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35" activeTab="0" autoFilterDateGrouping="1"/>
  </bookViews>
  <sheets>
    <sheet xmlns:r="http://schemas.openxmlformats.org/officeDocument/2006/relationships" name="Diccionario" sheetId="1" state="visible" r:id="rId1"/>
    <sheet xmlns:r="http://schemas.openxmlformats.org/officeDocument/2006/relationships" name="BD_Indicadores" sheetId="2" state="visible" r:id="rId2"/>
    <sheet xmlns:r="http://schemas.openxmlformats.org/officeDocument/2006/relationships" name="TRM" sheetId="3" state="visible" r:id="rId3"/>
    <sheet xmlns:r="http://schemas.openxmlformats.org/officeDocument/2006/relationships" name="TRM_Peru" sheetId="4" state="visible" r:id="rId4"/>
    <sheet xmlns:r="http://schemas.openxmlformats.org/officeDocument/2006/relationships" name="Calc_LTV_Fin" sheetId="5" state="visible" r:id="rId5"/>
    <sheet xmlns:r="http://schemas.openxmlformats.org/officeDocument/2006/relationships" name="Analisis_Churn" sheetId="6" state="visible" r:id="rId6"/>
    <sheet xmlns:r="http://schemas.openxmlformats.org/officeDocument/2006/relationships" name="Analisis_Reconciliacion" sheetId="7" state="visible" r:id="rId7"/>
    <sheet xmlns:r="http://schemas.openxmlformats.org/officeDocument/2006/relationships" name="CATALOGOS" sheetId="8" state="visible" r:id="rId8"/>
    <sheet xmlns:r="http://schemas.openxmlformats.org/officeDocument/2006/relationships" name="LOG" sheetId="9" state="visible" r:id="rId9"/>
    <sheet xmlns:r="http://schemas.openxmlformats.org/officeDocument/2006/relationships" name="Pipeline_Comercial" sheetId="10" state="visible" r:id="rId10"/>
    <sheet xmlns:r="http://schemas.openxmlformats.org/officeDocument/2006/relationships" name="MAP_DASHBOARD_GASTOS" sheetId="11" state="visible" r:id="rId11"/>
    <sheet xmlns:r="http://schemas.openxmlformats.org/officeDocument/2006/relationships" name="BD_GASTOS_HOMOLOGADOS" sheetId="12" state="visible" r:id="rId12"/>
    <sheet xmlns:r="http://schemas.openxmlformats.org/officeDocument/2006/relationships" name="BD_GASTOS_DASHBOARD_BRIDGE" sheetId="13" state="visible" r:id="rId13"/>
    <sheet xmlns:r="http://schemas.openxmlformats.org/officeDocument/2006/relationships" name="BD_GASTOS_RESUMEN_MENSUAL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0.000"/>
    <numFmt numFmtId="167" formatCode="0.000000"/>
  </numFmts>
  <fonts count="19">
    <font>
      <name val="Calibri"/>
      <color theme="1"/>
      <sz val="11"/>
    </font>
    <font>
      <name val="Arial"/>
      <i val="1"/>
      <color rgb="FF9AA7A0"/>
      <sz val="9"/>
    </font>
    <font>
      <name val="Arial"/>
      <b val="1"/>
      <color rgb="FF39FF88"/>
      <sz val="10"/>
    </font>
    <font>
      <name val="Arial"/>
      <color rgb="FF222222"/>
      <sz val="9"/>
    </font>
    <font>
      <name val="Arial"/>
      <i val="1"/>
      <color rgb="FF9AA7A0"/>
      <sz val="8"/>
    </font>
    <font>
      <name val="Arial"/>
      <b val="1"/>
      <color rgb="FF222222"/>
      <sz val="10"/>
    </font>
    <font>
      <name val="Arial"/>
      <b val="1"/>
      <color rgb="FF0000FF"/>
      <sz val="10"/>
    </font>
    <font>
      <name val="Arial"/>
      <color rgb="FF9AA7A0"/>
      <sz val="8"/>
    </font>
    <font>
      <name val="Arial"/>
      <color rgb="FF222222"/>
      <sz val="10"/>
    </font>
    <font>
      <name val="Arial"/>
      <b val="1"/>
      <color rgb="FF006400"/>
      <sz val="10"/>
    </font>
    <font>
      <name val="Arial"/>
      <color rgb="FF9AA7A0"/>
      <sz val="9"/>
    </font>
    <font>
      <name val="Arial"/>
      <b val="1"/>
      <color rgb="FFFFFFFF"/>
      <sz val="9"/>
    </font>
    <font>
      <name val="Arial"/>
      <b val="1"/>
      <color rgb="FF222222"/>
      <sz val="9"/>
    </font>
    <font>
      <name val="Calibri"/>
      <i val="1"/>
      <color rgb="FF808080"/>
      <sz val="9"/>
    </font>
    <font>
      <name val="Calibri"/>
      <b val="1"/>
      <sz val="11"/>
    </font>
    <font>
      <name val="Calibri"/>
      <b val="1"/>
      <color rgb="FF1F3864"/>
      <sz val="12"/>
    </font>
    <font>
      <name val="Calibri"/>
      <b val="1"/>
      <color rgb="FFFFFFFF"/>
      <sz val="10"/>
    </font>
    <font>
      <name val="Calibri"/>
      <b val="1"/>
      <color rgb="FF1F4E78"/>
      <sz val="14"/>
    </font>
    <font>
      <name val="Calibri"/>
      <b val="1"/>
      <color rgb="FFFFFFFF"/>
      <sz val="11"/>
    </font>
  </fonts>
  <fills count="11">
    <fill>
      <patternFill/>
    </fill>
    <fill>
      <patternFill patternType="gray125"/>
    </fill>
    <fill>
      <patternFill patternType="solid">
        <fgColor rgb="FF0E1A14"/>
      </patternFill>
    </fill>
    <fill>
      <patternFill patternType="solid">
        <fgColor rgb="FF16271E"/>
      </patternFill>
    </fill>
    <fill>
      <patternFill patternType="solid">
        <fgColor rgb="FFFFFFFF"/>
      </patternFill>
    </fill>
    <fill>
      <patternFill patternType="solid">
        <fgColor rgb="FFF4F8F5"/>
      </patternFill>
    </fill>
    <fill>
      <patternFill patternType="solid">
        <fgColor rgb="FFFFF4CC"/>
      </patternFill>
    </fill>
    <fill>
      <patternFill patternType="solid">
        <fgColor rgb="FFFFFF00"/>
      </patternFill>
    </fill>
    <fill>
      <patternFill patternType="solid">
        <fgColor rgb="FF305496"/>
      </patternFill>
    </fill>
    <fill>
      <patternFill patternType="solid">
        <fgColor rgb="FFD9E1F2"/>
      </patternFill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 style="thin">
        <color rgb="FFD6DEDA"/>
      </left>
      <right style="thin">
        <color rgb="FFD6DEDA"/>
      </right>
      <top style="thin">
        <color rgb="FFD6DEDA"/>
      </top>
      <bottom style="thin">
        <color rgb="FFD6DEDA"/>
      </bottom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left"/>
    </xf>
    <xf numFmtId="0" fontId="3" fillId="5" borderId="1" applyAlignment="1" pivotButton="0" quotePrefix="0" xfId="0">
      <alignment horizontal="left"/>
    </xf>
    <xf numFmtId="3" fontId="3" fillId="4" borderId="1" applyAlignment="1" pivotButton="0" quotePrefix="0" xfId="0">
      <alignment horizontal="left"/>
    </xf>
    <xf numFmtId="0" fontId="5" fillId="0" borderId="1" applyAlignment="1" pivotButton="0" quotePrefix="0" xfId="0">
      <alignment horizontal="left"/>
    </xf>
    <xf numFmtId="164" fontId="6" fillId="7" borderId="1" applyAlignment="1" pivotButton="0" quotePrefix="0" xfId="0">
      <alignment horizontal="right"/>
    </xf>
    <xf numFmtId="0" fontId="7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left"/>
    </xf>
    <xf numFmtId="3" fontId="8" fillId="0" borderId="1" applyAlignment="1" pivotButton="0" quotePrefix="0" xfId="0">
      <alignment horizontal="right"/>
    </xf>
    <xf numFmtId="10" fontId="8" fillId="0" borderId="1" applyAlignment="1" pivotButton="0" quotePrefix="0" xfId="0">
      <alignment horizontal="right"/>
    </xf>
    <xf numFmtId="3" fontId="9" fillId="0" borderId="1" applyAlignment="1" pivotButton="0" quotePrefix="0" xfId="0">
      <alignment horizontal="right"/>
    </xf>
    <xf numFmtId="165" fontId="9" fillId="0" borderId="1" applyAlignment="1" pivotButton="0" quotePrefix="0" xfId="0">
      <alignment horizontal="right"/>
    </xf>
    <xf numFmtId="2" fontId="9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left"/>
    </xf>
    <xf numFmtId="0" fontId="10" fillId="4" borderId="1" applyAlignment="1" pivotButton="0" quotePrefix="0" xfId="0">
      <alignment horizontal="left"/>
    </xf>
    <xf numFmtId="3" fontId="3" fillId="5" borderId="1" applyAlignment="1" pivotButton="0" quotePrefix="0" xfId="0">
      <alignment horizontal="left"/>
    </xf>
    <xf numFmtId="0" fontId="10" fillId="5" borderId="1" applyAlignment="1" pivotButton="0" quotePrefix="0" xfId="0">
      <alignment horizontal="left"/>
    </xf>
    <xf numFmtId="0" fontId="11" fillId="3" borderId="1" applyAlignment="1" pivotButton="0" quotePrefix="0" xfId="0">
      <alignment horizontal="left"/>
    </xf>
    <xf numFmtId="164" fontId="3" fillId="4" borderId="1" applyAlignment="1" pivotButton="0" quotePrefix="0" xfId="0">
      <alignment horizontal="left"/>
    </xf>
    <xf numFmtId="164" fontId="3" fillId="5" borderId="1" applyAlignment="1" pivotButton="0" quotePrefix="0" xfId="0">
      <alignment horizontal="left"/>
    </xf>
    <xf numFmtId="0" fontId="12" fillId="5" borderId="1" applyAlignment="1" pivotButton="0" quotePrefix="0" xfId="0">
      <alignment horizontal="left"/>
    </xf>
    <xf numFmtId="0" fontId="12" fillId="4" borderId="1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3" fillId="0" borderId="0" pivotButton="0" quotePrefix="0" xfId="0"/>
    <xf numFmtId="3" fontId="0" fillId="0" borderId="0" pivotButton="0" quotePrefix="0" xfId="0"/>
    <xf numFmtId="0" fontId="14" fillId="0" borderId="0" pivotButton="0" quotePrefix="0" xfId="0"/>
    <xf numFmtId="3" fontId="14" fillId="0" borderId="0" pivotButton="0" quotePrefix="0" xfId="0"/>
    <xf numFmtId="0" fontId="14" fillId="9" borderId="0" pivotButton="0" quotePrefix="0" xfId="0"/>
    <xf numFmtId="3" fontId="14" fillId="9" borderId="0" pivotButton="0" quotePrefix="0" xfId="0"/>
    <xf numFmtId="0" fontId="16" fillId="8" borderId="1" applyAlignment="1" pivotButton="0" quotePrefix="0" xfId="0">
      <alignment horizontal="center" vertical="center"/>
    </xf>
    <xf numFmtId="0" fontId="16" fillId="8" borderId="0" applyAlignment="1" pivotButton="0" quotePrefix="0" xfId="0">
      <alignment horizontal="center" vertical="center"/>
    </xf>
    <xf numFmtId="165" fontId="0" fillId="0" borderId="0" pivotButton="0" quotePrefix="0" xfId="0"/>
    <xf numFmtId="0" fontId="15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3" fillId="4" borderId="1" applyAlignment="1" pivotButton="0" quotePrefix="0" xfId="0">
      <alignment horizontal="left"/>
    </xf>
    <xf numFmtId="4" fontId="0" fillId="0" borderId="0" pivotButton="0" quotePrefix="0" xfId="0"/>
    <xf numFmtId="4" fontId="3" fillId="5" borderId="1" applyAlignment="1" pivotButton="0" quotePrefix="0" xfId="0">
      <alignment horizontal="left"/>
    </xf>
    <xf numFmtId="4" fontId="3" fillId="0" borderId="0" applyAlignment="1" pivotButton="0" quotePrefix="0" xfId="0">
      <alignment horizontal="left"/>
    </xf>
    <xf numFmtId="0" fontId="16" fillId="8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0" fontId="18" fillId="10" borderId="1" applyAlignment="1" pivotButton="0" quotePrefix="0" xfId="0">
      <alignment horizontal="center"/>
    </xf>
    <xf numFmtId="0" fontId="18" fillId="10" borderId="0" applyAlignment="1" pivotButton="0" quotePrefix="0" xfId="0">
      <alignment horizontal="center"/>
    </xf>
    <xf numFmtId="0" fontId="17" fillId="0" borderId="0" pivotButton="0" quotePrefix="0" xfId="0"/>
    <xf numFmtId="0" fontId="18" fillId="10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0" borderId="0" applyAlignment="1" pivotButton="0" quotePrefix="0" xfId="0">
      <alignment horizontal="left" wrapText="1"/>
    </xf>
    <xf numFmtId="0" fontId="2" fillId="3" borderId="0" applyAlignment="1" pivotButton="0" quotePrefix="0" xfId="0">
      <alignment horizontal="left" vertical="center"/>
    </xf>
    <xf numFmtId="165" fontId="0" fillId="0" borderId="0" pivotButton="0" quotePrefix="0" xfId="0"/>
    <xf numFmtId="164" fontId="6" fillId="7" borderId="1" applyAlignment="1" pivotButton="0" quotePrefix="0" xfId="0">
      <alignment horizontal="right"/>
    </xf>
    <xf numFmtId="165" fontId="9" fillId="0" borderId="1" applyAlignment="1" pivotButton="0" quotePrefix="0" xfId="0">
      <alignment horizontal="right"/>
    </xf>
    <xf numFmtId="164" fontId="3" fillId="4" borderId="1" applyAlignment="1" pivotButton="0" quotePrefix="0" xfId="0">
      <alignment horizontal="left"/>
    </xf>
    <xf numFmtId="164" fontId="3" fillId="5" borderId="1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400"/>
      <rgbColor rgb="FFC0C0C0"/>
      <rgbColor rgb="FF808080"/>
      <rgbColor rgb="FF9999FF"/>
      <rgbColor rgb="FF993366"/>
      <rgbColor rgb="FFFFF4CC"/>
      <rgbColor rgb="FFF4F8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6DEDA"/>
      <rgbColor rgb="FFFFFF99"/>
      <rgbColor rgb="FF99CCFF"/>
      <rgbColor rgb="FFFF99CC"/>
      <rgbColor rgb="FFCC99FF"/>
      <rgbColor rgb="FFFFCC99"/>
      <rgbColor rgb="FF3366FF"/>
      <rgbColor rgb="FF39FF88"/>
      <rgbColor rgb="FF99CC00"/>
      <rgbColor rgb="FFFFCC00"/>
      <rgbColor rgb="FFFF9900"/>
      <rgbColor rgb="FFFF6600"/>
      <rgbColor rgb="FF6E6E6E"/>
      <rgbColor rgb="FF9AA7A0"/>
      <rgbColor rgb="FF0E1A14"/>
      <rgbColor rgb="FF339966"/>
      <rgbColor rgb="FF16271E"/>
      <rgbColor rgb="FF222222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bl_Diccionario" displayName="tbl_Diccionario" ref="A3:N109" headerRowCount="1">
  <autoFilter ref="A3:N109"/>
  <tableColumns count="14">
    <tableColumn id="1" name="ID"/>
    <tableColumn id="2" name="Categoría"/>
    <tableColumn id="3" name="Código indicador"/>
    <tableColumn id="4" name="Nombre visible"/>
    <tableColumn id="5" name="Tipo"/>
    <tableColumn id="6" name="Fórmula / regla de cálculo"/>
    <tableColumn id="7" name="Unidad"/>
    <tableColumn id="8" name="Responsable carga"/>
    <tableColumn id="9" name="Fuente sugerida"/>
    <tableColumn id="10" name="Frecuencia"/>
    <tableColumn id="11" name="Desglose (segmento / detalle)"/>
    <tableColumn id="12" name="Origen"/>
    <tableColumn id="13" name="Comentario"/>
    <tableColumn id="14" name="periodicida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BD_Indicadores" displayName="tbl_BD_Indicadores" ref="A3:N1615" headerRowCount="1">
  <autoFilter ref="A3:N1615"/>
  <tableColumns count="14">
    <tableColumn id="1" name="periodo"/>
    <tableColumn id="2" name="pais"/>
    <tableColumn id="3" name="compania"/>
    <tableColumn id="4" name="moneda"/>
    <tableColumn id="5" name="escenario"/>
    <tableColumn id="6" name="codigo_indicador"/>
    <tableColumn id="7" name="segmento"/>
    <tableColumn id="8" name="detalle"/>
    <tableColumn id="9" name="valor"/>
    <tableColumn id="10" name="unidad"/>
    <tableColumn id="11" name="comentario"/>
    <tableColumn id="12" name="area"/>
    <tableColumn id="13" name="area_responsable"/>
    <tableColumn id="14" name="periodicida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TRM" displayName="tbl_TRM" ref="A3:D39" headerRowCount="1">
  <autoFilter ref="A3:D39"/>
  <tableColumns count="4">
    <tableColumn id="1" name="periodo"/>
    <tableColumn id="2" name="trm_cop_usd"/>
    <tableColumn id="3" name="fuente"/>
    <tableColumn id="4" name="trm_promedio_merc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TRM_Peru" displayName="tbl_TRM_Peru" ref="A4:E11" headerRowCount="1">
  <autoFilter ref="A4:E11"/>
  <tableColumns count="5">
    <tableColumn id="1" name="periodo"/>
    <tableColumn id="2" name="par"/>
    <tableColumn id="3" name="tc_pen_usd"/>
    <tableColumn id="4" name="factor_usd_pen"/>
    <tableColumn id="5" name="fuen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0"/>
  <sheetViews>
    <sheetView showGridLines="0" workbookViewId="0">
      <selection activeCell="A1" sqref="A1:M1"/>
    </sheetView>
  </sheetViews>
  <sheetFormatPr baseColWidth="8" defaultColWidth="8.6640625" defaultRowHeight="14.4"/>
  <cols>
    <col width="6" customWidth="1" style="52" min="1" max="1"/>
    <col width="16" customWidth="1" style="52" min="2" max="2"/>
    <col width="26" customWidth="1" style="52" min="3" max="4"/>
    <col width="12" customWidth="1" style="52" min="5" max="5"/>
    <col width="40" customWidth="1" style="52" min="6" max="6"/>
    <col width="12" customWidth="1" style="52" min="7" max="7"/>
    <col width="16" customWidth="1" style="52" min="8" max="8"/>
    <col width="18" customWidth="1" style="52" min="9" max="10"/>
    <col width="40" customWidth="1" style="52" min="11" max="11"/>
    <col width="9" customWidth="1" style="52" min="12" max="12"/>
    <col width="34" customWidth="1" style="52" min="13" max="13"/>
  </cols>
  <sheetData>
    <row r="1" ht="30" customHeight="1" s="52">
      <c r="A1" s="53" t="inlineStr">
        <is>
          <t>Diccionario de indicadores — Dashboard Ejecutivo COCO Tecnologías</t>
        </is>
      </c>
    </row>
    <row r="2" ht="19.5" customHeight="1" s="52">
      <c r="A2" s="51" t="inlineStr">
        <is>
          <t>Catálogo único de variables. 'Origen=COCO' viene de tu archivo; 'Origen=Claude' son inputs base que las fórmulas requieren y conviene validar.</t>
        </is>
      </c>
    </row>
    <row r="3" ht="30" customHeight="1" s="52">
      <c r="A3" s="34" t="inlineStr">
        <is>
          <t>ID</t>
        </is>
      </c>
      <c r="B3" s="34" t="inlineStr">
        <is>
          <t>Categoría</t>
        </is>
      </c>
      <c r="C3" s="34" t="inlineStr">
        <is>
          <t>Código indicador</t>
        </is>
      </c>
      <c r="D3" s="34" t="inlineStr">
        <is>
          <t>Nombre visible</t>
        </is>
      </c>
      <c r="E3" s="34" t="inlineStr">
        <is>
          <t>Tipo</t>
        </is>
      </c>
      <c r="F3" s="34" t="inlineStr">
        <is>
          <t>Fórmula / regla de cálculo</t>
        </is>
      </c>
      <c r="G3" s="34" t="inlineStr">
        <is>
          <t>Unidad</t>
        </is>
      </c>
      <c r="H3" s="34" t="inlineStr">
        <is>
          <t>Responsable carga</t>
        </is>
      </c>
      <c r="I3" s="34" t="inlineStr">
        <is>
          <t>Fuente sugerida</t>
        </is>
      </c>
      <c r="J3" s="34" t="inlineStr">
        <is>
          <t>Frecuencia</t>
        </is>
      </c>
      <c r="K3" s="34" t="inlineStr">
        <is>
          <t>Desglose (segmento / detalle)</t>
        </is>
      </c>
      <c r="L3" s="34" t="inlineStr">
        <is>
          <t>Origen</t>
        </is>
      </c>
      <c r="M3" s="34" t="inlineStr">
        <is>
          <t>Comentario</t>
        </is>
      </c>
      <c r="N3" s="35" t="inlineStr">
        <is>
          <t>periodicidad</t>
        </is>
      </c>
    </row>
    <row r="4" ht="14.25" customHeight="1" s="52">
      <c r="A4" s="1" t="n">
        <v>1</v>
      </c>
      <c r="B4" s="1" t="inlineStr">
        <is>
          <t>Control</t>
        </is>
      </c>
      <c r="C4" s="1" t="inlineStr">
        <is>
          <t>periodo</t>
        </is>
      </c>
      <c r="D4" s="1" t="inlineStr">
        <is>
          <t>Periodo</t>
        </is>
      </c>
      <c r="E4" s="1" t="inlineStr">
        <is>
          <t>Dimensión</t>
        </is>
      </c>
      <c r="F4" s="1" t="inlineStr">
        <is>
          <t>Mes de reporte en formato AAAA-MM</t>
        </is>
      </c>
      <c r="G4" s="1" t="inlineStr">
        <is>
          <t>AAAA-MM</t>
        </is>
      </c>
      <c r="H4" s="1" t="inlineStr">
        <is>
          <t>Cada área</t>
        </is>
      </c>
      <c r="I4" s="1" t="inlineStr">
        <is>
          <t>Plantilla</t>
        </is>
      </c>
      <c r="J4" s="1" t="inlineStr">
        <is>
          <t>Mensual</t>
        </is>
      </c>
      <c r="K4" s="1" t="n"/>
      <c r="L4" s="1" t="inlineStr">
        <is>
          <t>COCO</t>
        </is>
      </c>
      <c r="M4" s="1" t="inlineStr">
        <is>
          <t>Debe existir en todas las filas</t>
        </is>
      </c>
      <c r="N4" t="inlineStr">
        <is>
          <t>Mensual</t>
        </is>
      </c>
    </row>
    <row r="5" ht="14.25" customHeight="1" s="52">
      <c r="A5" s="2" t="n">
        <v>2</v>
      </c>
      <c r="B5" s="2" t="inlineStr">
        <is>
          <t>Control</t>
        </is>
      </c>
      <c r="C5" s="2" t="inlineStr">
        <is>
          <t>pais</t>
        </is>
      </c>
      <c r="D5" s="2" t="inlineStr">
        <is>
          <t>País</t>
        </is>
      </c>
      <c r="E5" s="2" t="inlineStr">
        <is>
          <t>Dimensión</t>
        </is>
      </c>
      <c r="F5" s="2" t="inlineStr">
        <is>
          <t>País donde se genera la métrica</t>
        </is>
      </c>
      <c r="G5" s="2" t="inlineStr">
        <is>
          <t>Texto</t>
        </is>
      </c>
      <c r="H5" s="2" t="inlineStr">
        <is>
          <t>Cada área</t>
        </is>
      </c>
      <c r="I5" s="2" t="inlineStr">
        <is>
          <t>Plantilla</t>
        </is>
      </c>
      <c r="J5" s="2" t="inlineStr">
        <is>
          <t>Mensual</t>
        </is>
      </c>
      <c r="K5" s="2" t="inlineStr">
        <is>
          <t>Colombia / México / EE.UU. / Otros</t>
        </is>
      </c>
      <c r="L5" s="2" t="inlineStr">
        <is>
          <t>COCO</t>
        </is>
      </c>
      <c r="M5" s="2" t="n"/>
      <c r="N5" t="inlineStr">
        <is>
          <t>Mensual</t>
        </is>
      </c>
    </row>
    <row r="6" ht="14.25" customHeight="1" s="52">
      <c r="A6" s="1" t="n">
        <v>3</v>
      </c>
      <c r="B6" s="1" t="inlineStr">
        <is>
          <t>Control</t>
        </is>
      </c>
      <c r="C6" s="1" t="inlineStr">
        <is>
          <t>compania</t>
        </is>
      </c>
      <c r="D6" s="1" t="inlineStr">
        <is>
          <t>Compañía</t>
        </is>
      </c>
      <c r="E6" s="1" t="inlineStr">
        <is>
          <t>Dimensión</t>
        </is>
      </c>
      <c r="F6" s="1" t="inlineStr">
        <is>
          <t>Entidad legal o unidad de negocio</t>
        </is>
      </c>
      <c r="G6" s="1" t="inlineStr">
        <is>
          <t>Texto</t>
        </is>
      </c>
      <c r="H6" s="1" t="inlineStr">
        <is>
          <t>Finanzas</t>
        </is>
      </c>
      <c r="I6" s="1" t="inlineStr">
        <is>
          <t>Contabilidad</t>
        </is>
      </c>
      <c r="J6" s="1" t="inlineStr">
        <is>
          <t>Mensual</t>
        </is>
      </c>
      <c r="K6" s="1" t="inlineStr">
        <is>
          <t>Coco Colombia / Coco LLC / Coco Global</t>
        </is>
      </c>
      <c r="L6" s="1" t="inlineStr">
        <is>
          <t>COCO</t>
        </is>
      </c>
      <c r="M6" s="1" t="n"/>
      <c r="N6" t="inlineStr">
        <is>
          <t>Mensual</t>
        </is>
      </c>
    </row>
    <row r="7" ht="14.25" customHeight="1" s="52">
      <c r="A7" s="2" t="n">
        <v>4</v>
      </c>
      <c r="B7" s="2" t="inlineStr">
        <is>
          <t>Control</t>
        </is>
      </c>
      <c r="C7" s="2" t="inlineStr">
        <is>
          <t>moneda</t>
        </is>
      </c>
      <c r="D7" s="2" t="inlineStr">
        <is>
          <t>Moneda</t>
        </is>
      </c>
      <c r="E7" s="2" t="inlineStr">
        <is>
          <t>Dimensión</t>
        </is>
      </c>
      <c r="F7" s="2" t="inlineStr">
        <is>
          <t>Moneda original del dato reportado</t>
        </is>
      </c>
      <c r="G7" s="2" t="inlineStr">
        <is>
          <t>COP/USD</t>
        </is>
      </c>
      <c r="H7" s="2" t="inlineStr">
        <is>
          <t>Cada área</t>
        </is>
      </c>
      <c r="I7" s="2" t="inlineStr">
        <is>
          <t>Plantilla</t>
        </is>
      </c>
      <c r="J7" s="2" t="inlineStr">
        <is>
          <t>Mensual</t>
        </is>
      </c>
      <c r="K7" s="2" t="inlineStr">
        <is>
          <t>COP / USD</t>
        </is>
      </c>
      <c r="L7" s="2" t="inlineStr">
        <is>
          <t>COCO</t>
        </is>
      </c>
      <c r="M7" s="2" t="inlineStr">
        <is>
          <t>No mezclar monedas sin identificar</t>
        </is>
      </c>
      <c r="N7" t="inlineStr">
        <is>
          <t>Mensual</t>
        </is>
      </c>
    </row>
    <row r="8" ht="14.25" customHeight="1" s="52">
      <c r="A8" s="1" t="n">
        <v>5</v>
      </c>
      <c r="B8" s="1" t="inlineStr">
        <is>
          <t>Control</t>
        </is>
      </c>
      <c r="C8" s="1" t="inlineStr">
        <is>
          <t>escenario</t>
        </is>
      </c>
      <c r="D8" s="1" t="inlineStr">
        <is>
          <t>Escenario</t>
        </is>
      </c>
      <c r="E8" s="1" t="inlineStr">
        <is>
          <t>Dimensión</t>
        </is>
      </c>
      <c r="F8" s="1" t="inlineStr">
        <is>
          <t>Tipo de dato reportado</t>
        </is>
      </c>
      <c r="G8" s="1" t="inlineStr">
        <is>
          <t>Texto</t>
        </is>
      </c>
      <c r="H8" s="1" t="inlineStr">
        <is>
          <t>Finanzas</t>
        </is>
      </c>
      <c r="I8" s="1" t="inlineStr">
        <is>
          <t>Plantilla</t>
        </is>
      </c>
      <c r="J8" s="1" t="inlineStr">
        <is>
          <t>Mensual</t>
        </is>
      </c>
      <c r="K8" s="1" t="inlineStr">
        <is>
          <t>Real / Budget / Forecast</t>
        </is>
      </c>
      <c r="L8" s="1" t="inlineStr">
        <is>
          <t>COCO</t>
        </is>
      </c>
      <c r="M8" s="1" t="inlineStr">
        <is>
          <t>Permite comparar real vs ppto vs forecast</t>
        </is>
      </c>
      <c r="N8" t="inlineStr">
        <is>
          <t>Mensual</t>
        </is>
      </c>
    </row>
    <row r="9" ht="22.5" customHeight="1" s="52">
      <c r="A9" s="2" t="n">
        <v>7</v>
      </c>
      <c r="B9" s="2" t="inlineStr">
        <is>
          <t>Finanzas</t>
        </is>
      </c>
      <c r="C9" s="2" t="inlineStr">
        <is>
          <t>ingresos_one_off</t>
        </is>
      </c>
      <c r="D9" s="2" t="inlineStr">
        <is>
          <t>Ingresos one-off</t>
        </is>
      </c>
      <c r="E9" s="2" t="inlineStr">
        <is>
          <t>Input</t>
        </is>
      </c>
      <c r="F9" s="2" t="inlineStr">
        <is>
          <t>Facturación no recurrente</t>
        </is>
      </c>
      <c r="G9" s="2" t="inlineStr">
        <is>
          <t>COP/USD</t>
        </is>
      </c>
      <c r="H9" s="2" t="inlineStr">
        <is>
          <t>Ventas</t>
        </is>
      </c>
      <c r="I9" s="2" t="inlineStr">
        <is>
          <t>Facturación / contab.</t>
        </is>
      </c>
      <c r="J9" s="2" t="inlineStr">
        <is>
          <t>Mensual</t>
        </is>
      </c>
      <c r="K9" s="2" t="inlineStr">
        <is>
          <t>detalle: Implementación / Interoperabilidad / Integración / Proyectos</t>
        </is>
      </c>
      <c r="L9" s="2" t="inlineStr">
        <is>
          <t>COCO</t>
        </is>
      </c>
      <c r="M9" s="2" t="inlineStr">
        <is>
          <t>Separar de ingresos recurrentes</t>
        </is>
      </c>
      <c r="N9" t="inlineStr">
        <is>
          <t>Mensual</t>
        </is>
      </c>
    </row>
    <row r="10" ht="14.25" customHeight="1" s="52">
      <c r="A10" s="1" t="n">
        <v>10</v>
      </c>
      <c r="B10" s="1" t="inlineStr">
        <is>
          <t>Finanzas</t>
        </is>
      </c>
      <c r="C10" s="1" t="inlineStr">
        <is>
          <t>margen_bruto</t>
        </is>
      </c>
      <c r="D10" s="1" t="inlineStr">
        <is>
          <t>Margen bruto</t>
        </is>
      </c>
      <c r="E10" s="1" t="inlineStr">
        <is>
          <t>KPI</t>
        </is>
      </c>
      <c r="F10" s="1" t="inlineStr">
        <is>
          <t>ingresos_totales - costo_directo</t>
        </is>
      </c>
      <c r="G10" s="1" t="inlineStr">
        <is>
          <t>COP/USD</t>
        </is>
      </c>
      <c r="H10" s="1" t="inlineStr">
        <is>
          <t>Finanzas</t>
        </is>
      </c>
      <c r="I10" s="1" t="inlineStr">
        <is>
          <t>Contabilidad</t>
        </is>
      </c>
      <c r="J10" s="1" t="inlineStr">
        <is>
          <t>Mensual</t>
        </is>
      </c>
      <c r="K10" s="1" t="n"/>
      <c r="L10" s="1" t="inlineStr">
        <is>
          <t>COCO</t>
        </is>
      </c>
      <c r="M10" s="1" t="inlineStr">
        <is>
          <t>Indicador clave de escalabilidad</t>
        </is>
      </c>
      <c r="N10" t="inlineStr">
        <is>
          <t>Mensual</t>
        </is>
      </c>
    </row>
    <row r="11" ht="14.25" customHeight="1" s="52">
      <c r="A11" s="2" t="n">
        <v>11</v>
      </c>
      <c r="B11" s="2" t="inlineStr">
        <is>
          <t>Finanzas</t>
        </is>
      </c>
      <c r="C11" s="2" t="inlineStr">
        <is>
          <t>margen_bruto_pct</t>
        </is>
      </c>
      <c r="D11" s="2" t="inlineStr">
        <is>
          <t>Margen bruto %</t>
        </is>
      </c>
      <c r="E11" s="2" t="inlineStr">
        <is>
          <t>KPI</t>
        </is>
      </c>
      <c r="F11" s="2" t="inlineStr">
        <is>
          <t>margen_bruto / ingresos_totales</t>
        </is>
      </c>
      <c r="G11" s="2" t="inlineStr">
        <is>
          <t>%</t>
        </is>
      </c>
      <c r="H11" s="2" t="inlineStr">
        <is>
          <t>Finanzas</t>
        </is>
      </c>
      <c r="I11" s="2" t="inlineStr">
        <is>
          <t>Contabilidad</t>
        </is>
      </c>
      <c r="J11" s="2" t="inlineStr">
        <is>
          <t>Mensual</t>
        </is>
      </c>
      <c r="K11" s="2" t="n"/>
      <c r="L11" s="2" t="inlineStr">
        <is>
          <t>COCO</t>
        </is>
      </c>
      <c r="M11" s="2" t="inlineStr">
        <is>
          <t>Meta a definir con CEO</t>
        </is>
      </c>
      <c r="N11" t="inlineStr">
        <is>
          <t>Mensual</t>
        </is>
      </c>
    </row>
    <row r="12" ht="22.5" customHeight="1" s="52">
      <c r="A12" s="1" t="n">
        <v>12</v>
      </c>
      <c r="B12" s="1" t="inlineStr">
        <is>
          <t>Finanzas</t>
        </is>
      </c>
      <c r="C12" s="1" t="inlineStr">
        <is>
          <t>gastos_totales</t>
        </is>
      </c>
      <c r="D12" s="1" t="inlineStr">
        <is>
          <t>Gastos operativos totales</t>
        </is>
      </c>
      <c r="E12" s="1" t="inlineStr">
        <is>
          <t>Input/KPI</t>
        </is>
      </c>
      <c r="F12" s="1" t="inlineStr">
        <is>
          <t>Σ gastos por área</t>
        </is>
      </c>
      <c r="G12" s="1" t="inlineStr">
        <is>
          <t>COP/USD</t>
        </is>
      </c>
      <c r="H12" s="1" t="inlineStr">
        <is>
          <t>Finanzas</t>
        </is>
      </c>
      <c r="I12" s="1" t="inlineStr">
        <is>
          <t>Contabilidad</t>
        </is>
      </c>
      <c r="J12" s="1" t="inlineStr">
        <is>
          <t>Mensual</t>
        </is>
      </c>
      <c r="K12" s="1" t="n"/>
      <c r="L12" s="1" t="inlineStr">
        <is>
          <t>COCO</t>
        </is>
      </c>
      <c r="M12" s="1" t="inlineStr">
        <is>
          <t>Opex. Puede cargarse agregado o por área. Distinto de 'egresos_totales'</t>
        </is>
      </c>
      <c r="N12" t="inlineStr">
        <is>
          <t>Mensual</t>
        </is>
      </c>
    </row>
    <row r="13" ht="22.5" customHeight="1" s="52">
      <c r="A13" s="2" t="n">
        <v>15</v>
      </c>
      <c r="B13" s="2" t="inlineStr">
        <is>
          <t>Finanzas</t>
        </is>
      </c>
      <c r="C13" s="2" t="inlineStr">
        <is>
          <t>egresos_totales</t>
        </is>
      </c>
      <c r="D13" s="2" t="inlineStr">
        <is>
          <t>Egresos totales</t>
        </is>
      </c>
      <c r="E13" s="2" t="inlineStr">
        <is>
          <t>Input/KPI</t>
        </is>
      </c>
      <c r="F13" s="2" t="inlineStr">
        <is>
          <t>Σ de todas las salidas del periodo (costos + gastos + financieros)</t>
        </is>
      </c>
      <c r="G13" s="2" t="inlineStr">
        <is>
          <t>COP/USD</t>
        </is>
      </c>
      <c r="H13" s="2" t="inlineStr">
        <is>
          <t>Finanzas</t>
        </is>
      </c>
      <c r="I13" s="2" t="inlineStr">
        <is>
          <t>Contabilidad</t>
        </is>
      </c>
      <c r="J13" s="2" t="inlineStr">
        <is>
          <t>Mensual</t>
        </is>
      </c>
      <c r="K13" s="2" t="n"/>
      <c r="L13" s="2" t="inlineStr">
        <is>
          <t>COCO</t>
        </is>
      </c>
      <c r="M13" s="2" t="inlineStr">
        <is>
          <t>P&amp;L: Ingresos - Egresos = Utilidad neta</t>
        </is>
      </c>
      <c r="N13" t="inlineStr">
        <is>
          <t>Mensual</t>
        </is>
      </c>
    </row>
    <row r="14" ht="14.25" customHeight="1" s="52">
      <c r="A14" s="1" t="n">
        <v>17</v>
      </c>
      <c r="B14" s="1" t="inlineStr">
        <is>
          <t>Finanzas</t>
        </is>
      </c>
      <c r="C14" s="1" t="inlineStr">
        <is>
          <t>utilidad_neta</t>
        </is>
      </c>
      <c r="D14" s="1" t="inlineStr">
        <is>
          <t>Utilidad neta</t>
        </is>
      </c>
      <c r="E14" s="1" t="inlineStr">
        <is>
          <t>KPI</t>
        </is>
      </c>
      <c r="F14" s="1" t="inlineStr">
        <is>
          <t>ingresos_totales - egresos_totales</t>
        </is>
      </c>
      <c r="G14" s="1" t="inlineStr">
        <is>
          <t>COP/USD</t>
        </is>
      </c>
      <c r="H14" s="1" t="inlineStr">
        <is>
          <t>Finanzas</t>
        </is>
      </c>
      <c r="I14" s="1" t="inlineStr">
        <is>
          <t>Contabilidad</t>
        </is>
      </c>
      <c r="J14" s="1" t="inlineStr">
        <is>
          <t>Mensual</t>
        </is>
      </c>
      <c r="K14" s="1" t="n"/>
      <c r="L14" s="1" t="inlineStr">
        <is>
          <t>COCO</t>
        </is>
      </c>
      <c r="M14" s="1" t="inlineStr">
        <is>
          <t>Resultado del P&amp;L del periodo</t>
        </is>
      </c>
      <c r="N14" t="inlineStr">
        <is>
          <t>Mensual</t>
        </is>
      </c>
    </row>
    <row r="15" ht="14.25" customHeight="1" s="52">
      <c r="A15" s="2" t="n">
        <v>13</v>
      </c>
      <c r="B15" s="2" t="inlineStr">
        <is>
          <t>Finanzas</t>
        </is>
      </c>
      <c r="C15" s="2" t="inlineStr">
        <is>
          <t>ebitda</t>
        </is>
      </c>
      <c r="D15" s="2" t="inlineStr">
        <is>
          <t>EBITDA</t>
        </is>
      </c>
      <c r="E15" s="2" t="inlineStr">
        <is>
          <t>KPI</t>
        </is>
      </c>
      <c r="F15" s="2" t="inlineStr">
        <is>
          <t>margen_bruto - gastos_totales</t>
        </is>
      </c>
      <c r="G15" s="2" t="inlineStr">
        <is>
          <t>COP/USD</t>
        </is>
      </c>
      <c r="H15" s="2" t="inlineStr">
        <is>
          <t>Finanzas</t>
        </is>
      </c>
      <c r="I15" s="2" t="inlineStr">
        <is>
          <t>Contabilidad</t>
        </is>
      </c>
      <c r="J15" s="2" t="inlineStr">
        <is>
          <t>Mensual</t>
        </is>
      </c>
      <c r="K15" s="2" t="n"/>
      <c r="L15" s="2" t="inlineStr">
        <is>
          <t>COCO</t>
        </is>
      </c>
      <c r="M15" s="2" t="inlineStr">
        <is>
          <t>Métrica central del comité</t>
        </is>
      </c>
      <c r="N15" t="inlineStr">
        <is>
          <t>Mensual</t>
        </is>
      </c>
    </row>
    <row r="16" ht="14.25" customHeight="1" s="52">
      <c r="A16" s="1" t="n">
        <v>14</v>
      </c>
      <c r="B16" s="1" t="inlineStr">
        <is>
          <t>Finanzas</t>
        </is>
      </c>
      <c r="C16" s="1" t="inlineStr">
        <is>
          <t>margen_ebitda</t>
        </is>
      </c>
      <c r="D16" s="1" t="inlineStr">
        <is>
          <t>Margen EBITDA</t>
        </is>
      </c>
      <c r="E16" s="1" t="inlineStr">
        <is>
          <t>KPI</t>
        </is>
      </c>
      <c r="F16" s="1" t="inlineStr">
        <is>
          <t>ebitda / ingresos_totales</t>
        </is>
      </c>
      <c r="G16" s="1" t="inlineStr">
        <is>
          <t>%</t>
        </is>
      </c>
      <c r="H16" s="1" t="inlineStr">
        <is>
          <t>Finanzas</t>
        </is>
      </c>
      <c r="I16" s="1" t="inlineStr">
        <is>
          <t>Contabilidad</t>
        </is>
      </c>
      <c r="J16" s="1" t="inlineStr">
        <is>
          <t>Mensual</t>
        </is>
      </c>
      <c r="K16" s="1" t="n"/>
      <c r="L16" s="1" t="inlineStr">
        <is>
          <t>COCO</t>
        </is>
      </c>
      <c r="M16" s="1" t="inlineStr">
        <is>
          <t>Comparar contra presupuesto</t>
        </is>
      </c>
      <c r="N16" t="inlineStr">
        <is>
          <t>Mensual</t>
        </is>
      </c>
    </row>
    <row r="17" ht="14.25" customHeight="1" s="52">
      <c r="A17" s="2" t="n">
        <v>16</v>
      </c>
      <c r="B17" s="2" t="inlineStr">
        <is>
          <t>Finanzas</t>
        </is>
      </c>
      <c r="C17" s="2" t="inlineStr">
        <is>
          <t>cobros_periodo</t>
        </is>
      </c>
      <c r="D17" s="2" t="inlineStr">
        <is>
          <t>Cobros del periodo</t>
        </is>
      </c>
      <c r="E17" s="2" t="inlineStr">
        <is>
          <t>Input</t>
        </is>
      </c>
      <c r="F17" s="2" t="inlineStr">
        <is>
          <t>Dinero efectivamente recibido de clientes</t>
        </is>
      </c>
      <c r="G17" s="2" t="inlineStr">
        <is>
          <t>COP/USD</t>
        </is>
      </c>
      <c r="H17" s="2" t="inlineStr">
        <is>
          <t>Tesorería</t>
        </is>
      </c>
      <c r="I17" s="2" t="inlineStr">
        <is>
          <t>Bancos / cartera</t>
        </is>
      </c>
      <c r="J17" s="2" t="inlineStr">
        <is>
          <t>Mensual</t>
        </is>
      </c>
      <c r="K17" s="2" t="n"/>
      <c r="L17" s="2" t="inlineStr">
        <is>
          <t>COCO</t>
        </is>
      </c>
      <c r="M17" s="2" t="inlineStr">
        <is>
          <t>Distinto a facturación</t>
        </is>
      </c>
      <c r="N17" t="inlineStr">
        <is>
          <t>Mensual</t>
        </is>
      </c>
    </row>
    <row r="18" ht="14.25" customHeight="1" s="52">
      <c r="A18" s="1" t="n">
        <v>18</v>
      </c>
      <c r="B18" s="1" t="inlineStr">
        <is>
          <t>Finanzas</t>
        </is>
      </c>
      <c r="C18" s="1" t="inlineStr">
        <is>
          <t>burn_rate_neto</t>
        </is>
      </c>
      <c r="D18" s="1" t="inlineStr">
        <is>
          <t>Burn rate neto</t>
        </is>
      </c>
      <c r="E18" s="1" t="inlineStr">
        <is>
          <t>KPI</t>
        </is>
      </c>
      <c r="F18" s="1" t="inlineStr">
        <is>
          <t>pagos_periodo - cobros_periodo</t>
        </is>
      </c>
      <c r="G18" s="1" t="inlineStr">
        <is>
          <t>COP/USD</t>
        </is>
      </c>
      <c r="H18" s="1" t="inlineStr">
        <is>
          <t>Finanzas</t>
        </is>
      </c>
      <c r="I18" s="1" t="inlineStr">
        <is>
          <t>Tesorería</t>
        </is>
      </c>
      <c r="J18" s="1" t="inlineStr">
        <is>
          <t>Mensual</t>
        </is>
      </c>
      <c r="K18" s="1" t="n"/>
      <c r="L18" s="1" t="inlineStr">
        <is>
          <t>COCO</t>
        </is>
      </c>
      <c r="M18" s="1" t="inlineStr">
        <is>
          <t>Negativo = consume caja</t>
        </is>
      </c>
      <c r="N18" t="inlineStr">
        <is>
          <t>Mensual</t>
        </is>
      </c>
    </row>
    <row r="19" ht="14.25" customHeight="1" s="52">
      <c r="A19" s="2" t="n">
        <v>19</v>
      </c>
      <c r="B19" s="2" t="inlineStr">
        <is>
          <t>Finanzas</t>
        </is>
      </c>
      <c r="C19" s="2" t="inlineStr">
        <is>
          <t>runway_meses</t>
        </is>
      </c>
      <c r="D19" s="2" t="inlineStr">
        <is>
          <t>Runway</t>
        </is>
      </c>
      <c r="E19" s="2" t="inlineStr">
        <is>
          <t>KPI</t>
        </is>
      </c>
      <c r="F19" s="2" t="inlineStr">
        <is>
          <t>caja_disponible / burn_rate_neto</t>
        </is>
      </c>
      <c r="G19" s="2" t="inlineStr">
        <is>
          <t>Meses</t>
        </is>
      </c>
      <c r="H19" s="2" t="inlineStr">
        <is>
          <t>Finanzas</t>
        </is>
      </c>
      <c r="I19" s="2" t="inlineStr">
        <is>
          <t>Tesorería</t>
        </is>
      </c>
      <c r="J19" s="2" t="inlineStr">
        <is>
          <t>Mensual</t>
        </is>
      </c>
      <c r="K19" s="2" t="n"/>
      <c r="L19" s="2" t="inlineStr">
        <is>
          <t>COCO</t>
        </is>
      </c>
      <c r="M19" s="2" t="inlineStr">
        <is>
          <t>Solo si burn_rate_neto &gt; 0</t>
        </is>
      </c>
      <c r="N19" t="inlineStr">
        <is>
          <t>Mensual</t>
        </is>
      </c>
    </row>
    <row r="20" ht="22.5" customHeight="1" s="52">
      <c r="A20" s="1" t="n">
        <v>21</v>
      </c>
      <c r="B20" s="1" t="inlineStr">
        <is>
          <t>Finanzas</t>
        </is>
      </c>
      <c r="C20" s="1" t="inlineStr">
        <is>
          <t>ppto_vs_real_ingresos</t>
        </is>
      </c>
      <c r="D20" s="1" t="inlineStr">
        <is>
          <t>Ingresos real vs presupuesto</t>
        </is>
      </c>
      <c r="E20" s="1" t="inlineStr">
        <is>
          <t>KPI</t>
        </is>
      </c>
      <c r="F20" s="1" t="inlineStr">
        <is>
          <t>(ingresos_totales Real / ingresos_totales Budget) - 1</t>
        </is>
      </c>
      <c r="G20" s="1" t="inlineStr">
        <is>
          <t>%</t>
        </is>
      </c>
      <c r="H20" s="1" t="inlineStr">
        <is>
          <t>Finanzas</t>
        </is>
      </c>
      <c r="I20" s="1" t="inlineStr">
        <is>
          <t>Presupuesto</t>
        </is>
      </c>
      <c r="J20" s="1" t="inlineStr">
        <is>
          <t>Mensual</t>
        </is>
      </c>
      <c r="K20" s="1" t="n"/>
      <c r="L20" s="1" t="inlineStr">
        <is>
          <t>COCO</t>
        </is>
      </c>
      <c r="M20" s="1" t="inlineStr">
        <is>
          <t>Se deriva del campo 'escenario'</t>
        </is>
      </c>
      <c r="N20" t="inlineStr">
        <is>
          <t>Mensual</t>
        </is>
      </c>
    </row>
    <row r="21" ht="14.25" customHeight="1" s="52">
      <c r="A21" s="2" t="n">
        <v>22</v>
      </c>
      <c r="B21" s="2" t="inlineStr">
        <is>
          <t>Finanzas</t>
        </is>
      </c>
      <c r="C21" s="2" t="inlineStr">
        <is>
          <t>ppto_vs_real_gastos</t>
        </is>
      </c>
      <c r="D21" s="2" t="inlineStr">
        <is>
          <t>Gastos real vs presupuesto</t>
        </is>
      </c>
      <c r="E21" s="2" t="inlineStr">
        <is>
          <t>KPI</t>
        </is>
      </c>
      <c r="F21" s="2" t="inlineStr">
        <is>
          <t>(gastos_totales Real / gastos_totales Budget) - 1</t>
        </is>
      </c>
      <c r="G21" s="2" t="inlineStr">
        <is>
          <t>%</t>
        </is>
      </c>
      <c r="H21" s="2" t="inlineStr">
        <is>
          <t>Finanzas</t>
        </is>
      </c>
      <c r="I21" s="2" t="inlineStr">
        <is>
          <t>Presupuesto</t>
        </is>
      </c>
      <c r="J21" s="2" t="inlineStr">
        <is>
          <t>Mensual</t>
        </is>
      </c>
      <c r="K21" s="2" t="n"/>
      <c r="L21" s="2" t="inlineStr">
        <is>
          <t>COCO</t>
        </is>
      </c>
      <c r="M21" s="2" t="inlineStr">
        <is>
          <t>Se deriva del campo 'escenario'</t>
        </is>
      </c>
      <c r="N21" t="inlineStr">
        <is>
          <t>Mensual</t>
        </is>
      </c>
    </row>
    <row r="22" ht="14.25" customHeight="1" s="52">
      <c r="A22" s="1" t="n">
        <v>29</v>
      </c>
      <c r="B22" s="1" t="inlineStr">
        <is>
          <t>SaaS / Revenue</t>
        </is>
      </c>
      <c r="C22" s="1" t="inlineStr">
        <is>
          <t>arr</t>
        </is>
      </c>
      <c r="D22" s="1" t="inlineStr">
        <is>
          <t>ARR (serie de Finanzas)</t>
        </is>
      </c>
      <c r="E22" s="1" t="inlineStr">
        <is>
          <t>KPI</t>
        </is>
      </c>
      <c r="F22" s="1" t="inlineStr">
        <is>
          <t>SIN CONFIRMAR. La ficha decia "mrr_final x 12" y no corresponde: el valor guardado equivale a 4,79 veces el MRR en mayo-26 y 5,90 en junio-26, no 12. Es otra serie, no el ARR del MRR --para eso esta arr_mrr--. Pendiente de definir con Finanzas. Ultimo dato: 2026-06.</t>
        </is>
      </c>
      <c r="G22" s="1" t="inlineStr">
        <is>
          <t>COP/USD</t>
        </is>
      </c>
      <c r="H22" s="1" t="inlineStr">
        <is>
          <t>Finanzas</t>
        </is>
      </c>
      <c r="I22" s="1" t="inlineStr">
        <is>
          <t>Finanzas</t>
        </is>
      </c>
      <c r="J22" s="1" t="inlineStr">
        <is>
          <t>Mensual</t>
        </is>
      </c>
      <c r="K22" s="1" t="n"/>
      <c r="L22" s="1" t="inlineStr">
        <is>
          <t>COCO</t>
        </is>
      </c>
      <c r="M22" s="1" t="inlineStr">
        <is>
          <t>MRR anualizado</t>
        </is>
      </c>
      <c r="N22" t="inlineStr">
        <is>
          <t>Mensual</t>
        </is>
      </c>
    </row>
    <row r="23" ht="22.5" customHeight="1" s="52">
      <c r="A23" s="2" t="n">
        <v>32</v>
      </c>
      <c r="B23" s="2" t="inlineStr">
        <is>
          <t>SaaS / Revenue</t>
        </is>
      </c>
      <c r="C23" s="2" t="inlineStr">
        <is>
          <t>grr</t>
        </is>
      </c>
      <c r="D23" s="2" t="inlineStr">
        <is>
          <t>GRR</t>
        </is>
      </c>
      <c r="E23" s="2" t="inlineStr">
        <is>
          <t>KPI</t>
        </is>
      </c>
      <c r="F23" s="2" t="inlineStr">
        <is>
          <t>(mrr_inicio - contraction_mrr - churned_mrr) / mrr_inicio</t>
        </is>
      </c>
      <c r="G23" s="2" t="inlineStr">
        <is>
          <t>%</t>
        </is>
      </c>
      <c r="H23" s="2" t="inlineStr">
        <is>
          <t>Finanzas</t>
        </is>
      </c>
      <c r="I23" s="2" t="inlineStr">
        <is>
          <t>CRM / facturación</t>
        </is>
      </c>
      <c r="J23" s="2" t="inlineStr">
        <is>
          <t>Mensual</t>
        </is>
      </c>
      <c r="K23" s="2" t="n"/>
      <c r="L23" s="2" t="inlineStr">
        <is>
          <t>COCO</t>
        </is>
      </c>
      <c r="M23" s="2" t="inlineStr">
        <is>
          <t>Retención bruta de ingresos</t>
        </is>
      </c>
      <c r="N23" t="inlineStr">
        <is>
          <t>Mensual</t>
        </is>
      </c>
    </row>
    <row r="24" ht="14.25" customHeight="1" s="52">
      <c r="A24" s="1" t="n">
        <v>34</v>
      </c>
      <c r="B24" s="1" t="inlineStr">
        <is>
          <t>SaaS / Revenue</t>
        </is>
      </c>
      <c r="C24" s="1" t="inlineStr">
        <is>
          <t>arpa</t>
        </is>
      </c>
      <c r="D24" s="1" t="inlineStr">
        <is>
          <t>ARPA</t>
        </is>
      </c>
      <c r="E24" s="1" t="inlineStr">
        <is>
          <t>KPI</t>
        </is>
      </c>
      <c r="F24" s="1" t="inlineStr">
        <is>
          <t>mrr_final / clientes_final</t>
        </is>
      </c>
      <c r="G24" s="1" t="inlineStr">
        <is>
          <t>COP/USD</t>
        </is>
      </c>
      <c r="H24" s="1" t="inlineStr">
        <is>
          <t>Finanzas</t>
        </is>
      </c>
      <c r="I24" s="1" t="inlineStr">
        <is>
          <t>Facturación / CRM</t>
        </is>
      </c>
      <c r="J24" s="1" t="inlineStr">
        <is>
          <t>Mensual</t>
        </is>
      </c>
      <c r="K24" s="1" t="n"/>
      <c r="L24" s="1" t="inlineStr">
        <is>
          <t>COCO</t>
        </is>
      </c>
      <c r="M24" s="1" t="inlineStr">
        <is>
          <t>Ingreso promedio por cuenta</t>
        </is>
      </c>
      <c r="N24" t="inlineStr">
        <is>
          <t>Mensual</t>
        </is>
      </c>
    </row>
    <row r="25" ht="14.25" customHeight="1" s="52">
      <c r="A25" s="2" t="n">
        <v>35</v>
      </c>
      <c r="B25" s="2" t="inlineStr">
        <is>
          <t>Ventas</t>
        </is>
      </c>
      <c r="C25" s="2" t="inlineStr">
        <is>
          <t>pipeline_total</t>
        </is>
      </c>
      <c r="D25" s="2" t="inlineStr">
        <is>
          <t>Pipeline total</t>
        </is>
      </c>
      <c r="E25" s="2" t="inlineStr">
        <is>
          <t>Input</t>
        </is>
      </c>
      <c r="F25" s="2" t="inlineStr">
        <is>
          <t>Σ valor oportunidades abiertas</t>
        </is>
      </c>
      <c r="G25" s="2" t="inlineStr">
        <is>
          <t>COP/USD</t>
        </is>
      </c>
      <c r="H25" s="2" t="inlineStr">
        <is>
          <t>Ventas</t>
        </is>
      </c>
      <c r="I25" s="2" t="inlineStr">
        <is>
          <t>CRM</t>
        </is>
      </c>
      <c r="J25" s="2" t="inlineStr">
        <is>
          <t>Semanal/mensual</t>
        </is>
      </c>
      <c r="K25" s="2" t="n"/>
      <c r="L25" s="2" t="inlineStr">
        <is>
          <t>COCO</t>
        </is>
      </c>
      <c r="M25" s="2" t="inlineStr">
        <is>
          <t>Con fecha estimada de cierre</t>
        </is>
      </c>
      <c r="N25" t="inlineStr">
        <is>
          <t>Mensual</t>
        </is>
      </c>
    </row>
    <row r="26" ht="14.25" customHeight="1" s="52">
      <c r="A26" s="1" t="n">
        <v>36</v>
      </c>
      <c r="B26" s="1" t="inlineStr">
        <is>
          <t>Ventas</t>
        </is>
      </c>
      <c r="C26" s="1" t="inlineStr">
        <is>
          <t>pipeline_ponderado</t>
        </is>
      </c>
      <c r="D26" s="1" t="inlineStr">
        <is>
          <t>Pipeline ponderado</t>
        </is>
      </c>
      <c r="E26" s="1" t="inlineStr">
        <is>
          <t>KPI</t>
        </is>
      </c>
      <c r="F26" s="1" t="inlineStr">
        <is>
          <t>Σ (valor_oportunidad * prob_cierre)</t>
        </is>
      </c>
      <c r="G26" s="1" t="inlineStr">
        <is>
          <t>COP/USD</t>
        </is>
      </c>
      <c r="H26" s="1" t="inlineStr">
        <is>
          <t>Ventas</t>
        </is>
      </c>
      <c r="I26" s="1" t="inlineStr">
        <is>
          <t>CRM</t>
        </is>
      </c>
      <c r="J26" s="1" t="inlineStr">
        <is>
          <t>Semanal/mensual</t>
        </is>
      </c>
      <c r="K26" s="1" t="n"/>
      <c r="L26" s="1" t="inlineStr">
        <is>
          <t>COCO</t>
        </is>
      </c>
      <c r="M26" s="1" t="inlineStr">
        <is>
          <t>Más útil que pipeline bruto</t>
        </is>
      </c>
      <c r="N26" t="inlineStr">
        <is>
          <t>Mensual</t>
        </is>
      </c>
    </row>
    <row r="27" ht="14.25" customHeight="1" s="52">
      <c r="A27" s="2" t="n">
        <v>37</v>
      </c>
      <c r="B27" s="2" t="inlineStr">
        <is>
          <t>Ventas</t>
        </is>
      </c>
      <c r="C27" s="2" t="inlineStr">
        <is>
          <t>ventas_cerradas</t>
        </is>
      </c>
      <c r="D27" s="2" t="inlineStr">
        <is>
          <t>Ventas cerradas</t>
        </is>
      </c>
      <c r="E27" s="2" t="inlineStr">
        <is>
          <t>Input</t>
        </is>
      </c>
      <c r="F27" s="2" t="inlineStr">
        <is>
          <t>Valor contratos ganados en el periodo</t>
        </is>
      </c>
      <c r="G27" s="2" t="inlineStr">
        <is>
          <t>COP/USD</t>
        </is>
      </c>
      <c r="H27" s="2" t="inlineStr">
        <is>
          <t>Ventas</t>
        </is>
      </c>
      <c r="I27" s="2" t="inlineStr">
        <is>
          <t>CRM / contratos</t>
        </is>
      </c>
      <c r="J27" s="2" t="inlineStr">
        <is>
          <t>Mensual</t>
        </is>
      </c>
      <c r="K27" s="2" t="inlineStr">
        <is>
          <t>detalle: Recurrente / One-off</t>
        </is>
      </c>
      <c r="L27" s="2" t="inlineStr">
        <is>
          <t>COCO</t>
        </is>
      </c>
      <c r="M27" s="2" t="inlineStr">
        <is>
          <t>Separar recurrente vs one-off</t>
        </is>
      </c>
      <c r="N27" t="inlineStr">
        <is>
          <t>Mensual</t>
        </is>
      </c>
    </row>
    <row r="28" ht="14.25" customHeight="1" s="52">
      <c r="A28" s="1" t="n">
        <v>41</v>
      </c>
      <c r="B28" s="1" t="inlineStr">
        <is>
          <t>Ventas</t>
        </is>
      </c>
      <c r="C28" s="1" t="inlineStr">
        <is>
          <t>ticket_promedio</t>
        </is>
      </c>
      <c r="D28" s="1" t="inlineStr">
        <is>
          <t>Ticket promedio</t>
        </is>
      </c>
      <c r="E28" s="1" t="inlineStr">
        <is>
          <t>KPI</t>
        </is>
      </c>
      <c r="F28" s="1" t="inlineStr">
        <is>
          <t>ventas_cerradas / deals_ganados</t>
        </is>
      </c>
      <c r="G28" s="1" t="inlineStr">
        <is>
          <t>COP/USD</t>
        </is>
      </c>
      <c r="H28" s="1" t="inlineStr">
        <is>
          <t>Ventas</t>
        </is>
      </c>
      <c r="I28" s="1" t="inlineStr">
        <is>
          <t>CRM / contratos</t>
        </is>
      </c>
      <c r="J28" s="1" t="inlineStr">
        <is>
          <t>Mensual</t>
        </is>
      </c>
      <c r="K28" s="1" t="n"/>
      <c r="L28" s="1" t="inlineStr">
        <is>
          <t>COCO</t>
        </is>
      </c>
      <c r="M28" s="1" t="inlineStr">
        <is>
          <t>Medir también por país</t>
        </is>
      </c>
      <c r="N28" t="inlineStr">
        <is>
          <t>Mensual</t>
        </is>
      </c>
    </row>
    <row r="29" ht="14.25" customHeight="1" s="52">
      <c r="A29" s="2" t="n">
        <v>42</v>
      </c>
      <c r="B29" s="2" t="inlineStr">
        <is>
          <t>Ventas</t>
        </is>
      </c>
      <c r="C29" s="2" t="inlineStr">
        <is>
          <t>forecast_comercial</t>
        </is>
      </c>
      <c r="D29" s="2" t="inlineStr">
        <is>
          <t>Forecast comercial</t>
        </is>
      </c>
      <c r="E29" s="2" t="inlineStr">
        <is>
          <t>Input/KPI</t>
        </is>
      </c>
      <c r="F29" s="2" t="inlineStr">
        <is>
          <t>Σ (oport. con cierre esperado * prob_cierre)</t>
        </is>
      </c>
      <c r="G29" s="2" t="inlineStr">
        <is>
          <t>COP/USD</t>
        </is>
      </c>
      <c r="H29" s="2" t="inlineStr">
        <is>
          <t>Ventas</t>
        </is>
      </c>
      <c r="I29" s="2" t="inlineStr">
        <is>
          <t>CRM</t>
        </is>
      </c>
      <c r="J29" s="2" t="inlineStr">
        <is>
          <t>Semanal/mensual</t>
        </is>
      </c>
      <c r="K29" s="2" t="n"/>
      <c r="L29" s="2" t="inlineStr">
        <is>
          <t>COCO</t>
        </is>
      </c>
      <c r="M29" s="2" t="inlineStr">
        <is>
          <t>Anticipa ingresos</t>
        </is>
      </c>
      <c r="N29" t="inlineStr">
        <is>
          <t>Mensual</t>
        </is>
      </c>
    </row>
    <row r="30" ht="14.25" customHeight="1" s="52">
      <c r="A30" s="1" t="n">
        <v>43</v>
      </c>
      <c r="B30" s="1" t="inlineStr">
        <is>
          <t>Marketing</t>
        </is>
      </c>
      <c r="C30" s="1" t="inlineStr">
        <is>
          <t>gasto_marketing_total</t>
        </is>
      </c>
      <c r="D30" s="1" t="inlineStr">
        <is>
          <t>Gasto marketing total</t>
        </is>
      </c>
      <c r="E30" s="1" t="inlineStr">
        <is>
          <t>Input</t>
        </is>
      </c>
      <c r="F30" s="1" t="inlineStr">
        <is>
          <t>Gasto total de marketing (pauta total)</t>
        </is>
      </c>
      <c r="G30" s="1" t="inlineStr">
        <is>
          <t>COP/USD</t>
        </is>
      </c>
      <c r="H30" s="1" t="inlineStr">
        <is>
          <t>Marketing</t>
        </is>
      </c>
      <c r="I30" s="1" t="inlineStr">
        <is>
          <t>Marketing</t>
        </is>
      </c>
      <c r="J30" s="1" t="inlineStr">
        <is>
          <t>Mensual</t>
        </is>
      </c>
      <c r="K30" s="1" t="n"/>
      <c r="L30" s="1" t="inlineStr">
        <is>
          <t>COCO</t>
        </is>
      </c>
      <c r="M30" s="1" t="inlineStr">
        <is>
          <t>Necesario para CAC. Revisar = pauta total</t>
        </is>
      </c>
      <c r="N30" t="inlineStr">
        <is>
          <t>Mensual</t>
        </is>
      </c>
    </row>
    <row r="31" ht="14.25" customHeight="1" s="52">
      <c r="A31" s="2" t="n">
        <v>44</v>
      </c>
      <c r="B31" s="2" t="inlineStr">
        <is>
          <t>Marketing</t>
        </is>
      </c>
      <c r="C31" s="2" t="inlineStr">
        <is>
          <t>leads_generados</t>
        </is>
      </c>
      <c r="D31" s="2" t="inlineStr">
        <is>
          <t>Leads generados</t>
        </is>
      </c>
      <c r="E31" s="2" t="inlineStr">
        <is>
          <t>Input</t>
        </is>
      </c>
      <c r="F31" s="2" t="inlineStr">
        <is>
          <t>Nº de leads nuevos</t>
        </is>
      </c>
      <c r="G31" s="2" t="inlineStr">
        <is>
          <t>Número</t>
        </is>
      </c>
      <c r="H31" s="2" t="inlineStr">
        <is>
          <t>Marketing</t>
        </is>
      </c>
      <c r="I31" s="2" t="inlineStr">
        <is>
          <t>CRM / formularios</t>
        </is>
      </c>
      <c r="J31" s="2" t="inlineStr">
        <is>
          <t>Mensual</t>
        </is>
      </c>
      <c r="K31" s="2" t="inlineStr">
        <is>
          <t>detalle: por canal (opcional)</t>
        </is>
      </c>
      <c r="L31" s="2" t="inlineStr">
        <is>
          <t>COCO</t>
        </is>
      </c>
      <c r="M31" s="2" t="inlineStr">
        <is>
          <t>Separar por canal si es posible</t>
        </is>
      </c>
      <c r="N31" t="inlineStr">
        <is>
          <t>Mensual</t>
        </is>
      </c>
    </row>
    <row r="32" ht="22.5" customHeight="1" s="52">
      <c r="A32" s="1" t="n">
        <v>49</v>
      </c>
      <c r="B32" s="1" t="inlineStr">
        <is>
          <t>Marketing</t>
        </is>
      </c>
      <c r="C32" s="1" t="inlineStr">
        <is>
          <t>cac_fully_loaded</t>
        </is>
      </c>
      <c r="D32" s="1" t="inlineStr">
        <is>
          <t>CAC fully loaded</t>
        </is>
      </c>
      <c r="E32" s="1" t="inlineStr">
        <is>
          <t>KPI</t>
        </is>
      </c>
      <c r="F32" s="1" t="inlineStr">
        <is>
          <t>(gasto_ventas_comercial + gasto_marketing_total) / clientes_nuevos</t>
        </is>
      </c>
      <c r="G32" s="1" t="inlineStr">
        <is>
          <t>COP/USD</t>
        </is>
      </c>
      <c r="H32" s="1" t="inlineStr">
        <is>
          <t>Comercial/Mktg</t>
        </is>
      </c>
      <c r="I32" s="1" t="inlineStr">
        <is>
          <t>Contab. / CRM</t>
        </is>
      </c>
      <c r="J32" s="1" t="inlineStr">
        <is>
          <t>Trimestral</t>
        </is>
      </c>
      <c r="K32" s="1" t="n"/>
      <c r="L32" s="1" t="inlineStr">
        <is>
          <t>COCO</t>
        </is>
      </c>
      <c r="M32" s="1" t="inlineStr">
        <is>
          <t>Incluye ventas + mktg. Revisión trimestral (Andrés)</t>
        </is>
      </c>
      <c r="N32" t="inlineStr">
        <is>
          <t>Trimestral</t>
        </is>
      </c>
    </row>
    <row r="33" ht="22.5" customHeight="1" s="52">
      <c r="A33" s="2" t="n">
        <v>50</v>
      </c>
      <c r="B33" s="2" t="inlineStr">
        <is>
          <t>Marketing</t>
        </is>
      </c>
      <c r="C33" s="2" t="inlineStr">
        <is>
          <t>ltv</t>
        </is>
      </c>
      <c r="D33" s="2" t="inlineStr">
        <is>
          <t>LTV</t>
        </is>
      </c>
      <c r="E33" s="2" t="inlineStr">
        <is>
          <t>KPI</t>
        </is>
      </c>
      <c r="F33" s="2" t="inlineStr">
        <is>
          <t>(arpa * margen_bruto_pct) / churn_ingresos_pct</t>
        </is>
      </c>
      <c r="G33" s="2" t="inlineStr">
        <is>
          <t>COP/USD</t>
        </is>
      </c>
      <c r="H33" s="2" t="inlineStr">
        <is>
          <t>Comercial/Mktg</t>
        </is>
      </c>
      <c r="I33" s="2" t="inlineStr">
        <is>
          <t>Facturación / CRM</t>
        </is>
      </c>
      <c r="J33" s="2" t="inlineStr">
        <is>
          <t>Trimestral</t>
        </is>
      </c>
      <c r="K33" s="2" t="inlineStr">
        <is>
          <t>detalle: Mercadeo (s/ingreso, churn clientes) | Financiero TTM (margen 51%, churn ingresos)</t>
        </is>
      </c>
      <c r="L33" s="2" t="inlineStr">
        <is>
          <t>COCO</t>
        </is>
      </c>
      <c r="M33" s="2" t="inlineStr">
        <is>
          <t>Vista Financiera: hoja Calc_LTV_Fin, margen editable, churn TTM</t>
        </is>
      </c>
      <c r="N33" t="inlineStr">
        <is>
          <t>Trimestral</t>
        </is>
      </c>
    </row>
    <row r="34" ht="22.5" customHeight="1" s="52">
      <c r="A34" s="1" t="n">
        <v>51</v>
      </c>
      <c r="B34" s="1" t="inlineStr">
        <is>
          <t>Marketing</t>
        </is>
      </c>
      <c r="C34" s="1" t="inlineStr">
        <is>
          <t>ltv_cac</t>
        </is>
      </c>
      <c r="D34" s="1" t="inlineStr">
        <is>
          <t>LTV / CAC</t>
        </is>
      </c>
      <c r="E34" s="1" t="inlineStr">
        <is>
          <t>KPI</t>
        </is>
      </c>
      <c r="F34" s="1" t="inlineStr">
        <is>
          <t>ltv / cac_fully_loaded</t>
        </is>
      </c>
      <c r="G34" s="1" t="inlineStr">
        <is>
          <t>Veces</t>
        </is>
      </c>
      <c r="H34" s="1" t="inlineStr">
        <is>
          <t>Comercial/Mktg</t>
        </is>
      </c>
      <c r="I34" s="1" t="inlineStr">
        <is>
          <t>Dashboard</t>
        </is>
      </c>
      <c r="J34" s="1" t="inlineStr">
        <is>
          <t>Trimestral</t>
        </is>
      </c>
      <c r="K34" s="1" t="inlineStr">
        <is>
          <t>detalle: Mercadeo | Financiero</t>
        </is>
      </c>
      <c r="L34" s="1" t="inlineStr">
        <is>
          <t>COCO</t>
        </is>
      </c>
      <c r="M34" s="1" t="inlineStr">
        <is>
          <t>Eficiencia comercial. Difiere según vista del LTV</t>
        </is>
      </c>
      <c r="N34" t="inlineStr">
        <is>
          <t>Trimestral</t>
        </is>
      </c>
    </row>
    <row r="35" ht="22.5" customHeight="1" s="52">
      <c r="A35" s="2" t="n">
        <v>52</v>
      </c>
      <c r="B35" s="2" t="inlineStr">
        <is>
          <t>Marketing</t>
        </is>
      </c>
      <c r="C35" s="2" t="inlineStr">
        <is>
          <t>cac_payback_meses</t>
        </is>
      </c>
      <c r="D35" s="2" t="inlineStr">
        <is>
          <t>Payback CAC</t>
        </is>
      </c>
      <c r="E35" s="2" t="inlineStr">
        <is>
          <t>KPI</t>
        </is>
      </c>
      <c r="F35" s="2" t="inlineStr">
        <is>
          <t>cac_fully_loaded / (arpa * margen_bruto_pct)</t>
        </is>
      </c>
      <c r="G35" s="2" t="inlineStr">
        <is>
          <t>Meses</t>
        </is>
      </c>
      <c r="H35" s="2" t="inlineStr">
        <is>
          <t>Comercial/Mktg</t>
        </is>
      </c>
      <c r="I35" s="2" t="inlineStr">
        <is>
          <t>Dashboard</t>
        </is>
      </c>
      <c r="J35" s="2" t="inlineStr">
        <is>
          <t>Trimestral</t>
        </is>
      </c>
      <c r="K35" s="2" t="inlineStr">
        <is>
          <t>detalle: Mercadeo (s/margen) | Financiero (c/margen)</t>
        </is>
      </c>
      <c r="L35" s="2" t="inlineStr">
        <is>
          <t>COCO</t>
        </is>
      </c>
      <c r="M35" s="2" t="inlineStr">
        <is>
          <t>Dos vistas. Revisión trimestral (Andrés)</t>
        </is>
      </c>
      <c r="N35" t="inlineStr">
        <is>
          <t>Trimestral</t>
        </is>
      </c>
    </row>
    <row r="36" ht="22.5" customHeight="1" s="52">
      <c r="A36" s="1" t="n">
        <v>53</v>
      </c>
      <c r="B36" s="1" t="inlineStr">
        <is>
          <t>Customer Success</t>
        </is>
      </c>
      <c r="C36" s="1" t="inlineStr">
        <is>
          <t>clientes_inicio</t>
        </is>
      </c>
      <c r="D36" s="1" t="inlineStr">
        <is>
          <t>Clientes iniciales</t>
        </is>
      </c>
      <c r="E36" s="1" t="inlineStr">
        <is>
          <t>Input</t>
        </is>
      </c>
      <c r="F36" s="1" t="inlineStr">
        <is>
          <t>Clientes activos al inicio del periodo</t>
        </is>
      </c>
      <c r="G36" s="1" t="inlineStr">
        <is>
          <t>Número</t>
        </is>
      </c>
      <c r="H36" s="1" t="inlineStr">
        <is>
          <t>Comercial</t>
        </is>
      </c>
      <c r="I36" s="1" t="inlineStr">
        <is>
          <t>CRM / facturación</t>
        </is>
      </c>
      <c r="J36" s="1" t="inlineStr">
        <is>
          <t>Mensual</t>
        </is>
      </c>
      <c r="K36" s="1" t="n"/>
      <c r="L36" s="1" t="inlineStr">
        <is>
          <t>COCO</t>
        </is>
      </c>
      <c r="M36" s="1" t="inlineStr">
        <is>
          <t>Base para churn</t>
        </is>
      </c>
      <c r="N36" t="inlineStr">
        <is>
          <t>Mensual</t>
        </is>
      </c>
    </row>
    <row r="37" ht="22.5" customHeight="1" s="52">
      <c r="A37" s="2" t="n">
        <v>54</v>
      </c>
      <c r="B37" s="2" t="inlineStr">
        <is>
          <t>Customer Success</t>
        </is>
      </c>
      <c r="C37" s="2" t="inlineStr">
        <is>
          <t>clientes_nuevos</t>
        </is>
      </c>
      <c r="D37" s="2" t="inlineStr">
        <is>
          <t>Clientes nuevos</t>
        </is>
      </c>
      <c r="E37" s="2" t="inlineStr">
        <is>
          <t>Input</t>
        </is>
      </c>
      <c r="F37" s="2" t="inlineStr">
        <is>
          <t>Clientes ganados en el periodo</t>
        </is>
      </c>
      <c r="G37" s="2" t="inlineStr">
        <is>
          <t>Número</t>
        </is>
      </c>
      <c r="H37" s="2" t="inlineStr">
        <is>
          <t>Comercial</t>
        </is>
      </c>
      <c r="I37" s="2" t="inlineStr">
        <is>
          <t>CRM</t>
        </is>
      </c>
      <c r="J37" s="2" t="inlineStr">
        <is>
          <t>Mensual</t>
        </is>
      </c>
      <c r="K37" s="2" t="n"/>
      <c r="L37" s="2" t="inlineStr">
        <is>
          <t>COCO</t>
        </is>
      </c>
      <c r="M37" s="2" t="inlineStr">
        <is>
          <t>Reconcilia con ventas</t>
        </is>
      </c>
      <c r="N37" t="inlineStr">
        <is>
          <t>Mensual</t>
        </is>
      </c>
    </row>
    <row r="38" ht="22.5" customHeight="1" s="52">
      <c r="A38" s="1" t="n">
        <v>56</v>
      </c>
      <c r="B38" s="1" t="inlineStr">
        <is>
          <t>Customer Success</t>
        </is>
      </c>
      <c r="C38" s="1" t="inlineStr">
        <is>
          <t>clientes_final</t>
        </is>
      </c>
      <c r="D38" s="1" t="inlineStr">
        <is>
          <t>Clientes finales</t>
        </is>
      </c>
      <c r="E38" s="1" t="inlineStr">
        <is>
          <t>KPI</t>
        </is>
      </c>
      <c r="F38" s="1" t="inlineStr">
        <is>
          <t>clientes_inicio + clientes_nuevos - clientes_perdidos</t>
        </is>
      </c>
      <c r="G38" s="1" t="inlineStr">
        <is>
          <t>Número</t>
        </is>
      </c>
      <c r="H38" s="1" t="inlineStr">
        <is>
          <t>Comercial</t>
        </is>
      </c>
      <c r="I38" s="1" t="inlineStr">
        <is>
          <t>CRM</t>
        </is>
      </c>
      <c r="J38" s="1" t="inlineStr">
        <is>
          <t>Mensual</t>
        </is>
      </c>
      <c r="K38" s="1" t="n"/>
      <c r="L38" s="1" t="inlineStr">
        <is>
          <t>COCO</t>
        </is>
      </c>
      <c r="M38" s="1" t="inlineStr">
        <is>
          <t>Base al cierre</t>
        </is>
      </c>
      <c r="N38" t="inlineStr">
        <is>
          <t>Mensual</t>
        </is>
      </c>
    </row>
    <row r="39" ht="22.5" customHeight="1" s="52">
      <c r="A39" s="2" t="n">
        <v>57</v>
      </c>
      <c r="B39" s="2" t="inlineStr">
        <is>
          <t>Customer Success</t>
        </is>
      </c>
      <c r="C39" s="2" t="inlineStr">
        <is>
          <t>churn_clientes_pct</t>
        </is>
      </c>
      <c r="D39" s="2" t="inlineStr">
        <is>
          <t>Churn de clientes</t>
        </is>
      </c>
      <c r="E39" s="2" t="inlineStr">
        <is>
          <t>KPI</t>
        </is>
      </c>
      <c r="F39" s="2" t="inlineStr">
        <is>
          <t>clientes_perdidos / clientes_inicio</t>
        </is>
      </c>
      <c r="G39" s="2" t="inlineStr">
        <is>
          <t>%</t>
        </is>
      </c>
      <c r="H39" s="2" t="inlineStr">
        <is>
          <t>Comercial</t>
        </is>
      </c>
      <c r="I39" s="2" t="inlineStr">
        <is>
          <t>CRM</t>
        </is>
      </c>
      <c r="J39" s="2" t="inlineStr">
        <is>
          <t>Mensual</t>
        </is>
      </c>
      <c r="K39" s="2" t="n"/>
      <c r="L39" s="2" t="inlineStr">
        <is>
          <t>COCO</t>
        </is>
      </c>
      <c r="M39" s="2" t="inlineStr">
        <is>
          <t>Complementa churn de ingresos</t>
        </is>
      </c>
      <c r="N39" t="inlineStr">
        <is>
          <t>Mensual</t>
        </is>
      </c>
    </row>
    <row r="40" ht="22.5" customHeight="1" s="52">
      <c r="A40" s="1" t="n">
        <v>58</v>
      </c>
      <c r="B40" s="1" t="inlineStr">
        <is>
          <t>Customer Success</t>
        </is>
      </c>
      <c r="C40" s="1" t="inlineStr">
        <is>
          <t>clientes_en_riesgo</t>
        </is>
      </c>
      <c r="D40" s="1" t="inlineStr">
        <is>
          <t>Clientes en riesgo</t>
        </is>
      </c>
      <c r="E40" s="1" t="inlineStr">
        <is>
          <t>Input</t>
        </is>
      </c>
      <c r="F40" s="1" t="inlineStr">
        <is>
          <t>Clientes con prob. de churn según CS</t>
        </is>
      </c>
      <c r="G40" s="1" t="inlineStr">
        <is>
          <t>Número</t>
        </is>
      </c>
      <c r="H40" s="1" t="inlineStr">
        <is>
          <t>Comercial</t>
        </is>
      </c>
      <c r="I40" s="1" t="inlineStr">
        <is>
          <t>CRM / health score</t>
        </is>
      </c>
      <c r="J40" s="1" t="inlineStr">
        <is>
          <t>Mensual</t>
        </is>
      </c>
      <c r="K40" s="1" t="n"/>
      <c r="L40" s="1" t="inlineStr">
        <is>
          <t>COCO</t>
        </is>
      </c>
      <c r="M40" s="1" t="inlineStr">
        <is>
          <t>Métrica accionable</t>
        </is>
      </c>
      <c r="N40" t="inlineStr">
        <is>
          <t>Mensual</t>
        </is>
      </c>
    </row>
    <row r="41" ht="22.5" customHeight="1" s="52">
      <c r="A41" s="2" t="n">
        <v>59</v>
      </c>
      <c r="B41" s="2" t="inlineStr">
        <is>
          <t>Customer Success</t>
        </is>
      </c>
      <c r="C41" s="2" t="inlineStr">
        <is>
          <t>clientes_riesgo_pct</t>
        </is>
      </c>
      <c r="D41" s="2" t="inlineStr">
        <is>
          <t>% clientes en riesgo</t>
        </is>
      </c>
      <c r="E41" s="2" t="inlineStr">
        <is>
          <t>KPI</t>
        </is>
      </c>
      <c r="F41" s="2" t="inlineStr">
        <is>
          <t>clientes_en_riesgo / clientes_final</t>
        </is>
      </c>
      <c r="G41" s="2" t="inlineStr">
        <is>
          <t>%</t>
        </is>
      </c>
      <c r="H41" s="2" t="inlineStr">
        <is>
          <t>Comercial</t>
        </is>
      </c>
      <c r="I41" s="2" t="inlineStr">
        <is>
          <t>CRM</t>
        </is>
      </c>
      <c r="J41" s="2" t="inlineStr">
        <is>
          <t>Mensual</t>
        </is>
      </c>
      <c r="K41" s="2" t="n"/>
      <c r="L41" s="2" t="inlineStr">
        <is>
          <t>COCO</t>
        </is>
      </c>
      <c r="M41" s="2" t="inlineStr">
        <is>
          <t>Alerta temprana</t>
        </is>
      </c>
      <c r="N41" t="inlineStr">
        <is>
          <t>Mensual</t>
        </is>
      </c>
    </row>
    <row r="42" ht="22.5" customHeight="1" s="52">
      <c r="A42" s="1" t="n">
        <v>60</v>
      </c>
      <c r="B42" s="1" t="inlineStr">
        <is>
          <t>Customer Success</t>
        </is>
      </c>
      <c r="C42" s="1" t="inlineStr">
        <is>
          <t>nps</t>
        </is>
      </c>
      <c r="D42" s="1" t="inlineStr">
        <is>
          <t>NPS</t>
        </is>
      </c>
      <c r="E42" s="1" t="inlineStr">
        <is>
          <t>Input</t>
        </is>
      </c>
      <c r="F42" s="1" t="inlineStr">
        <is>
          <t>Resultado de encuesta de recomendación</t>
        </is>
      </c>
      <c r="G42" s="1" t="inlineStr">
        <is>
          <t>%</t>
        </is>
      </c>
      <c r="H42" s="1" t="inlineStr">
        <is>
          <t>CS</t>
        </is>
      </c>
      <c r="I42" s="1" t="inlineStr">
        <is>
          <t>Encuestas</t>
        </is>
      </c>
      <c r="J42" s="1" t="inlineStr">
        <is>
          <t>Mensual/trim.</t>
        </is>
      </c>
      <c r="K42" s="1" t="inlineStr">
        <is>
          <t>detalle: Promotores / Pasivos / Detractores</t>
        </is>
      </c>
      <c r="L42" s="1" t="inlineStr">
        <is>
          <t>COCO</t>
        </is>
      </c>
      <c r="M42" s="1" t="inlineStr">
        <is>
          <t>S8. Histórico completo lo envía CS</t>
        </is>
      </c>
      <c r="N42" t="inlineStr">
        <is>
          <t>Mensual</t>
        </is>
      </c>
    </row>
    <row r="43" ht="14.25" customHeight="1" s="52">
      <c r="A43" s="2" t="n">
        <v>67</v>
      </c>
      <c r="B43" s="2" t="inlineStr">
        <is>
          <t>Internacional</t>
        </is>
      </c>
      <c r="C43" s="2" t="inlineStr">
        <is>
          <t>ingresos_internacionales</t>
        </is>
      </c>
      <c r="D43" s="2" t="inlineStr">
        <is>
          <t>Ingresos internacionales</t>
        </is>
      </c>
      <c r="E43" s="2" t="inlineStr">
        <is>
          <t>KPI</t>
        </is>
      </c>
      <c r="F43" s="2" t="inlineStr">
        <is>
          <t>Σ ingresos_totales donde país≠Colombia</t>
        </is>
      </c>
      <c r="G43" s="2" t="inlineStr">
        <is>
          <t>COP/USD</t>
        </is>
      </c>
      <c r="H43" s="2" t="inlineStr">
        <is>
          <t>Finanzas</t>
        </is>
      </c>
      <c r="I43" s="2" t="inlineStr">
        <is>
          <t>Facturación</t>
        </is>
      </c>
      <c r="J43" s="2" t="inlineStr">
        <is>
          <t>Mensual</t>
        </is>
      </c>
      <c r="K43" s="2" t="inlineStr">
        <is>
          <t>segmento: por país</t>
        </is>
      </c>
      <c r="L43" s="2" t="inlineStr">
        <is>
          <t>COCO</t>
        </is>
      </c>
      <c r="M43" s="2" t="inlineStr">
        <is>
          <t>Clave para ronda</t>
        </is>
      </c>
      <c r="N43" t="inlineStr">
        <is>
          <t>Mensual</t>
        </is>
      </c>
    </row>
    <row r="44" ht="14.25" customHeight="1" s="52">
      <c r="A44" s="1" t="n">
        <v>68</v>
      </c>
      <c r="B44" s="1" t="inlineStr">
        <is>
          <t>Internacional</t>
        </is>
      </c>
      <c r="C44" s="1" t="inlineStr">
        <is>
          <t>mrr_internacional</t>
        </is>
      </c>
      <c r="D44" s="1" t="inlineStr">
        <is>
          <t>MRR internacional</t>
        </is>
      </c>
      <c r="E44" s="1" t="inlineStr">
        <is>
          <t>KPI</t>
        </is>
      </c>
      <c r="F44" s="1" t="inlineStr">
        <is>
          <t>Σ mrr_final donde país≠Colombia</t>
        </is>
      </c>
      <c r="G44" s="1" t="inlineStr">
        <is>
          <t>COP/USD</t>
        </is>
      </c>
      <c r="H44" s="1" t="inlineStr">
        <is>
          <t>Finanzas/Intl</t>
        </is>
      </c>
      <c r="I44" s="1" t="inlineStr">
        <is>
          <t>Facturación / CRM</t>
        </is>
      </c>
      <c r="J44" s="1" t="inlineStr">
        <is>
          <t>Mensual</t>
        </is>
      </c>
      <c r="K44" s="1" t="inlineStr">
        <is>
          <t>segmento: por país</t>
        </is>
      </c>
      <c r="L44" s="1" t="inlineStr">
        <is>
          <t>COCO</t>
        </is>
      </c>
      <c r="M44" s="1" t="n"/>
      <c r="N44" t="inlineStr">
        <is>
          <t>Mensual</t>
        </is>
      </c>
    </row>
    <row r="45" ht="14.25" customHeight="1" s="52">
      <c r="A45" s="2" t="n">
        <v>69</v>
      </c>
      <c r="B45" s="2" t="inlineStr">
        <is>
          <t>Internacional</t>
        </is>
      </c>
      <c r="C45" s="2" t="inlineStr">
        <is>
          <t>pipeline_internacional</t>
        </is>
      </c>
      <c r="D45" s="2" t="inlineStr">
        <is>
          <t>Pipeline internacional</t>
        </is>
      </c>
      <c r="E45" s="2" t="inlineStr">
        <is>
          <t>KPI</t>
        </is>
      </c>
      <c r="F45" s="2" t="inlineStr">
        <is>
          <t>Σ pipeline_total donde país≠Colombia</t>
        </is>
      </c>
      <c r="G45" s="2" t="inlineStr">
        <is>
          <t>COP/USD</t>
        </is>
      </c>
      <c r="H45" s="2" t="inlineStr">
        <is>
          <t>Ventas/Intl</t>
        </is>
      </c>
      <c r="I45" s="2" t="inlineStr">
        <is>
          <t>CRM</t>
        </is>
      </c>
      <c r="J45" s="2" t="inlineStr">
        <is>
          <t>Semanal/mensual</t>
        </is>
      </c>
      <c r="K45" s="2" t="inlineStr">
        <is>
          <t>segmento: por país</t>
        </is>
      </c>
      <c r="L45" s="2" t="inlineStr">
        <is>
          <t>COCO</t>
        </is>
      </c>
      <c r="M45" s="2" t="inlineStr">
        <is>
          <t>Tracción internacional</t>
        </is>
      </c>
      <c r="N45" t="inlineStr">
        <is>
          <t>Mensual</t>
        </is>
      </c>
    </row>
    <row r="46" ht="14.25" customHeight="1" s="52">
      <c r="A46" s="1" t="n">
        <v>70</v>
      </c>
      <c r="B46" s="1" t="inlineStr">
        <is>
          <t>Internacional</t>
        </is>
      </c>
      <c r="C46" s="1" t="inlineStr">
        <is>
          <t>clientes_internacionales</t>
        </is>
      </c>
      <c r="D46" s="1" t="inlineStr">
        <is>
          <t>Clientes internacionales</t>
        </is>
      </c>
      <c r="E46" s="1" t="inlineStr">
        <is>
          <t>KPI</t>
        </is>
      </c>
      <c r="F46" s="1" t="inlineStr">
        <is>
          <t>Σ clientes_final donde país≠Colombia</t>
        </is>
      </c>
      <c r="G46" s="1" t="inlineStr">
        <is>
          <t>Número</t>
        </is>
      </c>
      <c r="H46" s="1" t="inlineStr">
        <is>
          <t>CS/Intl</t>
        </is>
      </c>
      <c r="I46" s="1" t="inlineStr">
        <is>
          <t>CRM / facturación</t>
        </is>
      </c>
      <c r="J46" s="1" t="inlineStr">
        <is>
          <t>Mensual</t>
        </is>
      </c>
      <c r="K46" s="1" t="inlineStr">
        <is>
          <t>segmento: por país</t>
        </is>
      </c>
      <c r="L46" s="1" t="inlineStr">
        <is>
          <t>COCO</t>
        </is>
      </c>
      <c r="M46" s="1" t="n"/>
      <c r="N46" t="inlineStr">
        <is>
          <t>Mensual</t>
        </is>
      </c>
    </row>
    <row r="47" ht="14.25" customHeight="1" s="52">
      <c r="A47" s="2" t="n">
        <v>101</v>
      </c>
      <c r="B47" s="2" t="inlineStr">
        <is>
          <t>Contabilidad</t>
        </is>
      </c>
      <c r="C47" s="2" t="inlineStr">
        <is>
          <t>new_mrr</t>
        </is>
      </c>
      <c r="D47" s="2" t="inlineStr">
        <is>
          <t>Nuevas ventas MRR</t>
        </is>
      </c>
      <c r="E47" s="2" t="inlineStr">
        <is>
          <t>Input</t>
        </is>
      </c>
      <c r="F47" s="2" t="inlineStr">
        <is>
          <t>MRR de clientes nuevos del periodo</t>
        </is>
      </c>
      <c r="G47" s="2" t="inlineStr">
        <is>
          <t>COP/USD</t>
        </is>
      </c>
      <c r="H47" s="2" t="inlineStr">
        <is>
          <t>Contabilidad</t>
        </is>
      </c>
      <c r="I47" s="2" t="inlineStr">
        <is>
          <t>Contabilidad</t>
        </is>
      </c>
      <c r="J47" s="2" t="inlineStr">
        <is>
          <t>Mensual (serie 13m)</t>
        </is>
      </c>
      <c r="K47" s="2" t="n"/>
      <c r="L47" s="2" t="inlineStr">
        <is>
          <t>COCO</t>
        </is>
      </c>
      <c r="M47" s="2" t="inlineStr">
        <is>
          <t>Componente del MRR bridge</t>
        </is>
      </c>
      <c r="N47" t="inlineStr">
        <is>
          <t>Mensual</t>
        </is>
      </c>
    </row>
    <row r="48" ht="14.25" customHeight="1" s="52">
      <c r="A48" s="1" t="n">
        <v>102</v>
      </c>
      <c r="B48" s="1" t="inlineStr">
        <is>
          <t>Contabilidad</t>
        </is>
      </c>
      <c r="C48" s="1" t="inlineStr">
        <is>
          <t>expansion_mrr</t>
        </is>
      </c>
      <c r="D48" s="1" t="inlineStr">
        <is>
          <t>Expansión MRR</t>
        </is>
      </c>
      <c r="E48" s="1" t="inlineStr">
        <is>
          <t>Input</t>
        </is>
      </c>
      <c r="F48" s="1" t="inlineStr">
        <is>
          <t>Incremento de MRR de clientes existentes</t>
        </is>
      </c>
      <c r="G48" s="1" t="inlineStr">
        <is>
          <t>COP/USD</t>
        </is>
      </c>
      <c r="H48" s="1" t="inlineStr">
        <is>
          <t>Contabilidad</t>
        </is>
      </c>
      <c r="I48" s="1" t="inlineStr">
        <is>
          <t>Contabilidad</t>
        </is>
      </c>
      <c r="J48" s="1" t="inlineStr">
        <is>
          <t>Mensual (serie 13m)</t>
        </is>
      </c>
      <c r="K48" s="1" t="n"/>
      <c r="L48" s="1" t="inlineStr">
        <is>
          <t>COCO</t>
        </is>
      </c>
      <c r="M48" s="1" t="inlineStr">
        <is>
          <t>Componente del MRR bridge</t>
        </is>
      </c>
      <c r="N48" t="inlineStr">
        <is>
          <t>Mensual</t>
        </is>
      </c>
    </row>
    <row r="49" ht="14.25" customHeight="1" s="52">
      <c r="A49" s="2" t="n">
        <v>103</v>
      </c>
      <c r="B49" s="2" t="inlineStr">
        <is>
          <t>Contabilidad</t>
        </is>
      </c>
      <c r="C49" s="2" t="inlineStr">
        <is>
          <t>reactivacion_mrr</t>
        </is>
      </c>
      <c r="D49" s="2" t="inlineStr">
        <is>
          <t>Rescatadas MRR</t>
        </is>
      </c>
      <c r="E49" s="2" t="inlineStr">
        <is>
          <t>Input</t>
        </is>
      </c>
      <c r="F49" s="2" t="inlineStr">
        <is>
          <t>MRR de clientes recuperados</t>
        </is>
      </c>
      <c r="G49" s="2" t="inlineStr">
        <is>
          <t>COP/USD</t>
        </is>
      </c>
      <c r="H49" s="2" t="inlineStr">
        <is>
          <t>Contabilidad</t>
        </is>
      </c>
      <c r="I49" s="2" t="inlineStr">
        <is>
          <t>Contabilidad</t>
        </is>
      </c>
      <c r="J49" s="2" t="inlineStr">
        <is>
          <t>Mensual (serie 13m)</t>
        </is>
      </c>
      <c r="K49" s="2" t="n"/>
      <c r="L49" s="2" t="inlineStr">
        <is>
          <t>COCO</t>
        </is>
      </c>
      <c r="M49" s="2" t="inlineStr">
        <is>
          <t>Componente del MRR bridge</t>
        </is>
      </c>
      <c r="N49" t="inlineStr">
        <is>
          <t>Mensual</t>
        </is>
      </c>
    </row>
    <row r="50" ht="14.25" customHeight="1" s="52">
      <c r="A50" s="1" t="n">
        <v>104</v>
      </c>
      <c r="B50" s="1" t="inlineStr">
        <is>
          <t>Contabilidad</t>
        </is>
      </c>
      <c r="C50" s="1" t="inlineStr">
        <is>
          <t>contraction_mrr</t>
        </is>
      </c>
      <c r="D50" s="1" t="inlineStr">
        <is>
          <t>Contracción MRR</t>
        </is>
      </c>
      <c r="E50" s="1" t="inlineStr">
        <is>
          <t>Input</t>
        </is>
      </c>
      <c r="F50" s="1" t="inlineStr">
        <is>
          <t>Reducción de MRR de clientes existentes</t>
        </is>
      </c>
      <c r="G50" s="1" t="inlineStr">
        <is>
          <t>COP/USD</t>
        </is>
      </c>
      <c r="H50" s="1" t="inlineStr">
        <is>
          <t>Contabilidad</t>
        </is>
      </c>
      <c r="I50" s="1" t="inlineStr">
        <is>
          <t>Contabilidad</t>
        </is>
      </c>
      <c r="J50" s="1" t="inlineStr">
        <is>
          <t>Mensual (serie 13m)</t>
        </is>
      </c>
      <c r="K50" s="1" t="n"/>
      <c r="L50" s="1" t="inlineStr">
        <is>
          <t>COCO</t>
        </is>
      </c>
      <c r="M50" s="1" t="inlineStr">
        <is>
          <t>Componente del MRR bridge</t>
        </is>
      </c>
      <c r="N50" t="inlineStr">
        <is>
          <t>Mensual</t>
        </is>
      </c>
    </row>
    <row r="51" ht="14.25" customHeight="1" s="52">
      <c r="A51" s="2" t="n">
        <v>105</v>
      </c>
      <c r="B51" s="2" t="inlineStr">
        <is>
          <t>Contabilidad</t>
        </is>
      </c>
      <c r="C51" s="2" t="inlineStr">
        <is>
          <t>churned_mrr</t>
        </is>
      </c>
      <c r="D51" s="2" t="inlineStr">
        <is>
          <t>Churned MRR</t>
        </is>
      </c>
      <c r="E51" s="2" t="inlineStr">
        <is>
          <t>Input</t>
        </is>
      </c>
      <c r="F51" s="2" t="inlineStr">
        <is>
          <t>MRR perdido por clientes que se van</t>
        </is>
      </c>
      <c r="G51" s="2" t="inlineStr">
        <is>
          <t>COP/USD</t>
        </is>
      </c>
      <c r="H51" s="2" t="inlineStr">
        <is>
          <t>Contabilidad</t>
        </is>
      </c>
      <c r="I51" s="2" t="inlineStr">
        <is>
          <t>Contabilidad</t>
        </is>
      </c>
      <c r="J51" s="2" t="inlineStr">
        <is>
          <t>Mensual (serie 13m)</t>
        </is>
      </c>
      <c r="K51" s="2" t="n"/>
      <c r="L51" s="2" t="inlineStr">
        <is>
          <t>COCO</t>
        </is>
      </c>
      <c r="M51" s="2" t="inlineStr">
        <is>
          <t>Componente del MRR bridge</t>
        </is>
      </c>
      <c r="N51" t="inlineStr">
        <is>
          <t>Mensual</t>
        </is>
      </c>
    </row>
    <row r="52" ht="14.25" customHeight="1" s="52">
      <c r="A52" s="1" t="n">
        <v>106</v>
      </c>
      <c r="B52" s="1" t="inlineStr">
        <is>
          <t>Contabilidad</t>
        </is>
      </c>
      <c r="C52" s="1" t="inlineStr">
        <is>
          <t>retained_mrr</t>
        </is>
      </c>
      <c r="D52" s="1" t="inlineStr">
        <is>
          <t>Retenidas MRR</t>
        </is>
      </c>
      <c r="E52" s="1" t="inlineStr">
        <is>
          <t>Input</t>
        </is>
      </c>
      <c r="F52" s="1" t="inlineStr">
        <is>
          <t>MRR retenido del periodo anterior</t>
        </is>
      </c>
      <c r="G52" s="1" t="inlineStr">
        <is>
          <t>COP/USD</t>
        </is>
      </c>
      <c r="H52" s="1" t="inlineStr">
        <is>
          <t>Contabilidad</t>
        </is>
      </c>
      <c r="I52" s="1" t="inlineStr">
        <is>
          <t>Contabilidad</t>
        </is>
      </c>
      <c r="J52" s="1" t="inlineStr">
        <is>
          <t>Mensual (serie 13m)</t>
        </is>
      </c>
      <c r="K52" s="1" t="n"/>
      <c r="L52" s="1" t="inlineStr">
        <is>
          <t>COCO</t>
        </is>
      </c>
      <c r="M52" s="1" t="inlineStr">
        <is>
          <t>Componente del MRR bridge</t>
        </is>
      </c>
      <c r="N52" t="inlineStr">
        <is>
          <t>Mensual</t>
        </is>
      </c>
    </row>
    <row r="53" ht="14.25" customHeight="1" s="52">
      <c r="A53" s="2" t="n">
        <v>107</v>
      </c>
      <c r="B53" s="2" t="inlineStr">
        <is>
          <t>Contabilidad</t>
        </is>
      </c>
      <c r="C53" s="2" t="inlineStr">
        <is>
          <t>churn_mrr_mensual</t>
        </is>
      </c>
      <c r="D53" s="2" t="inlineStr">
        <is>
          <t>Churn MRR mensual</t>
        </is>
      </c>
      <c r="E53" s="2" t="inlineStr">
        <is>
          <t>KPI</t>
        </is>
      </c>
      <c r="F53" s="2" t="inlineStr">
        <is>
          <t>churned_mrr / mrr_inicio</t>
        </is>
      </c>
      <c r="G53" s="2" t="inlineStr">
        <is>
          <t>%</t>
        </is>
      </c>
      <c r="H53" s="2" t="inlineStr">
        <is>
          <t>Contabilidad</t>
        </is>
      </c>
      <c r="I53" s="2" t="inlineStr">
        <is>
          <t>Contabilidad</t>
        </is>
      </c>
      <c r="J53" s="2" t="inlineStr">
        <is>
          <t>Mensual (serie 13m)</t>
        </is>
      </c>
      <c r="K53" s="2" t="n"/>
      <c r="L53" s="2" t="inlineStr">
        <is>
          <t>COCO</t>
        </is>
      </c>
      <c r="M53" s="2" t="inlineStr">
        <is>
          <t>Churn de ingresos mes a mes</t>
        </is>
      </c>
      <c r="N53" t="inlineStr">
        <is>
          <t>Mensual</t>
        </is>
      </c>
    </row>
    <row r="54" ht="22.5" customHeight="1" s="52">
      <c r="A54" s="1" t="n">
        <v>108</v>
      </c>
      <c r="B54" s="1" t="inlineStr">
        <is>
          <t>Customer Success</t>
        </is>
      </c>
      <c r="C54" s="1" t="inlineStr">
        <is>
          <t>clientes_retirados</t>
        </is>
      </c>
      <c r="D54" s="1" t="inlineStr">
        <is>
          <t>Clientes retirados</t>
        </is>
      </c>
      <c r="E54" s="1" t="inlineStr">
        <is>
          <t>Input</t>
        </is>
      </c>
      <c r="F54" s="1" t="inlineStr">
        <is>
          <t>Nº de clientes que se retiran en el periodo</t>
        </is>
      </c>
      <c r="G54" s="1" t="inlineStr">
        <is>
          <t>Número</t>
        </is>
      </c>
      <c r="H54" s="1" t="inlineStr">
        <is>
          <t>Comercial</t>
        </is>
      </c>
      <c r="I54" s="1" t="inlineStr">
        <is>
          <t>CRM</t>
        </is>
      </c>
      <c r="J54" s="1" t="inlineStr">
        <is>
          <t>Mensual</t>
        </is>
      </c>
      <c r="K54" s="1" t="n"/>
      <c r="L54" s="1" t="inlineStr">
        <is>
          <t>COCO</t>
        </is>
      </c>
      <c r="M54" s="1" t="inlineStr">
        <is>
          <t>Igual a clientes_perdidos</t>
        </is>
      </c>
      <c r="N54" t="inlineStr">
        <is>
          <t>Mensual</t>
        </is>
      </c>
    </row>
    <row r="55" ht="22.5" customHeight="1" s="52">
      <c r="A55" s="2" t="n">
        <v>120</v>
      </c>
      <c r="B55" s="2" t="inlineStr">
        <is>
          <t>Contabilidad</t>
        </is>
      </c>
      <c r="C55" s="2" t="inlineStr">
        <is>
          <t>cartera_total</t>
        </is>
      </c>
      <c r="D55" s="2" t="inlineStr">
        <is>
          <t>Cartera total</t>
        </is>
      </c>
      <c r="E55" s="2" t="inlineStr">
        <is>
          <t>Input</t>
        </is>
      </c>
      <c r="F55" s="2" t="inlineStr">
        <is>
          <t>Saldo total de cartera por cobrar</t>
        </is>
      </c>
      <c r="G55" s="2" t="inlineStr">
        <is>
          <t>COP/USD</t>
        </is>
      </c>
      <c r="H55" s="2" t="inlineStr">
        <is>
          <t>Contabilidad</t>
        </is>
      </c>
      <c r="I55" s="2" t="inlineStr">
        <is>
          <t>Contabilidad</t>
        </is>
      </c>
      <c r="J55" s="2" t="inlineStr">
        <is>
          <t>Mensual (serie 13m + último mes)</t>
        </is>
      </c>
      <c r="K55" s="2" t="n"/>
      <c r="L55" s="2" t="inlineStr">
        <is>
          <t>COCO</t>
        </is>
      </c>
      <c r="M55" s="2" t="n"/>
      <c r="N55" t="inlineStr">
        <is>
          <t>Mensual</t>
        </is>
      </c>
    </row>
    <row r="56" ht="22.5" customHeight="1" s="52">
      <c r="A56" s="1" t="n">
        <v>121</v>
      </c>
      <c r="B56" s="1" t="inlineStr">
        <is>
          <t>Contabilidad</t>
        </is>
      </c>
      <c r="C56" s="1" t="inlineStr">
        <is>
          <t>cartera_vencida</t>
        </is>
      </c>
      <c r="D56" s="1" t="inlineStr">
        <is>
          <t>Cartera vencida</t>
        </is>
      </c>
      <c r="E56" s="1" t="inlineStr">
        <is>
          <t>Input</t>
        </is>
      </c>
      <c r="F56" s="1" t="inlineStr">
        <is>
          <t>Cartera con plazo vencido</t>
        </is>
      </c>
      <c r="G56" s="1" t="inlineStr">
        <is>
          <t>COP/USD</t>
        </is>
      </c>
      <c r="H56" s="1" t="inlineStr">
        <is>
          <t>Contabilidad</t>
        </is>
      </c>
      <c r="I56" s="1" t="inlineStr">
        <is>
          <t>Contabilidad</t>
        </is>
      </c>
      <c r="J56" s="1" t="inlineStr">
        <is>
          <t>Mensual (serie 13m + último mes)</t>
        </is>
      </c>
      <c r="K56" s="1" t="n"/>
      <c r="L56" s="1" t="inlineStr">
        <is>
          <t>COCO</t>
        </is>
      </c>
      <c r="M56" s="1" t="n"/>
      <c r="N56" t="inlineStr">
        <is>
          <t>Mensual</t>
        </is>
      </c>
    </row>
    <row r="57" ht="22.5" customHeight="1" s="52">
      <c r="A57" s="2" t="n">
        <v>122</v>
      </c>
      <c r="B57" s="2" t="inlineStr">
        <is>
          <t>Contabilidad</t>
        </is>
      </c>
      <c r="C57" s="2" t="inlineStr">
        <is>
          <t>cartera_sana</t>
        </is>
      </c>
      <c r="D57" s="2" t="inlineStr">
        <is>
          <t>Cartera sana</t>
        </is>
      </c>
      <c r="E57" s="2" t="inlineStr">
        <is>
          <t>KPI</t>
        </is>
      </c>
      <c r="F57" s="2" t="inlineStr">
        <is>
          <t>cartera_total - cartera_vencida</t>
        </is>
      </c>
      <c r="G57" s="2" t="inlineStr">
        <is>
          <t>COP/USD</t>
        </is>
      </c>
      <c r="H57" s="2" t="inlineStr">
        <is>
          <t>Contabilidad</t>
        </is>
      </c>
      <c r="I57" s="2" t="inlineStr">
        <is>
          <t>Contabilidad</t>
        </is>
      </c>
      <c r="J57" s="2" t="inlineStr">
        <is>
          <t>Mensual (serie 13m + último mes)</t>
        </is>
      </c>
      <c r="K57" s="2" t="n"/>
      <c r="L57" s="2" t="inlineStr">
        <is>
          <t>COCO</t>
        </is>
      </c>
      <c r="M57" s="2" t="n"/>
      <c r="N57" t="inlineStr">
        <is>
          <t>Mensual</t>
        </is>
      </c>
    </row>
    <row r="58" ht="14.25" customHeight="1" s="52">
      <c r="A58" s="1" t="n">
        <v>123</v>
      </c>
      <c r="B58" s="1" t="inlineStr">
        <is>
          <t>Contabilidad</t>
        </is>
      </c>
      <c r="C58" s="1" t="inlineStr">
        <is>
          <t>cartera_vencida_cliente</t>
        </is>
      </c>
      <c r="D58" s="1" t="inlineStr">
        <is>
          <t>Cartera vencida por cliente</t>
        </is>
      </c>
      <c r="E58" s="1" t="inlineStr">
        <is>
          <t>Input</t>
        </is>
      </c>
      <c r="F58" s="1" t="inlineStr">
        <is>
          <t>Cartera vencida atribuida a cada cliente</t>
        </is>
      </c>
      <c r="G58" s="1" t="inlineStr">
        <is>
          <t>COP/USD</t>
        </is>
      </c>
      <c r="H58" s="1" t="inlineStr">
        <is>
          <t>Contabilidad</t>
        </is>
      </c>
      <c r="I58" s="1" t="inlineStr">
        <is>
          <t>Contabilidad</t>
        </is>
      </c>
      <c r="J58" s="1" t="inlineStr">
        <is>
          <t>Mensual</t>
        </is>
      </c>
      <c r="K58" s="1" t="inlineStr">
        <is>
          <t>detalle: 7 principales + 'Otros'</t>
        </is>
      </c>
      <c r="L58" s="1" t="inlineStr">
        <is>
          <t>COCO</t>
        </is>
      </c>
      <c r="M58" s="1" t="inlineStr">
        <is>
          <t>Para gráfico de torta</t>
        </is>
      </c>
      <c r="N58" t="inlineStr">
        <is>
          <t>Mensual</t>
        </is>
      </c>
    </row>
    <row r="59" ht="14.25" customHeight="1" s="52">
      <c r="A59" s="2" t="n">
        <v>124</v>
      </c>
      <c r="B59" s="2" t="inlineStr">
        <is>
          <t>Contabilidad</t>
        </is>
      </c>
      <c r="C59" s="2" t="inlineStr">
        <is>
          <t>liquidez_total</t>
        </is>
      </c>
      <c r="D59" s="2" t="inlineStr">
        <is>
          <t>Liquidez total</t>
        </is>
      </c>
      <c r="E59" s="2" t="inlineStr">
        <is>
          <t>Input</t>
        </is>
      </c>
      <c r="F59" s="2" t="inlineStr">
        <is>
          <t>Saldo disponible por cuenta principal</t>
        </is>
      </c>
      <c r="G59" s="2" t="inlineStr">
        <is>
          <t>COP/USD</t>
        </is>
      </c>
      <c r="H59" s="2" t="inlineStr">
        <is>
          <t>Tesorería</t>
        </is>
      </c>
      <c r="I59" s="2" t="inlineStr">
        <is>
          <t>Bancos</t>
        </is>
      </c>
      <c r="J59" s="2" t="inlineStr">
        <is>
          <t>Mensual</t>
        </is>
      </c>
      <c r="K59" s="2" t="inlineStr">
        <is>
          <t>detalle: cuenta bancaria</t>
        </is>
      </c>
      <c r="L59" s="2" t="inlineStr">
        <is>
          <t>COCO</t>
        </is>
      </c>
      <c r="M59" s="2" t="inlineStr">
        <is>
          <t>Por cuentas principales</t>
        </is>
      </c>
      <c r="N59" t="inlineStr">
        <is>
          <t>Mensual</t>
        </is>
      </c>
    </row>
    <row r="60" ht="22.5" customHeight="1" s="52">
      <c r="A60" s="1" t="n">
        <v>130</v>
      </c>
      <c r="B60" s="1" t="inlineStr">
        <is>
          <t>Contabilidad</t>
        </is>
      </c>
      <c r="C60" s="1" t="inlineStr">
        <is>
          <t>dso</t>
        </is>
      </c>
      <c r="D60" s="1" t="inlineStr">
        <is>
          <t>DSO</t>
        </is>
      </c>
      <c r="E60" s="1" t="inlineStr">
        <is>
          <t>KPI</t>
        </is>
      </c>
      <c r="F60" s="1" t="inlineStr">
        <is>
          <t>cartera_total / facturacion_periodo * 30</t>
        </is>
      </c>
      <c r="G60" s="1" t="inlineStr">
        <is>
          <t>Días</t>
        </is>
      </c>
      <c r="H60" s="1" t="inlineStr">
        <is>
          <t>Contabilidad</t>
        </is>
      </c>
      <c r="I60" s="1" t="inlineStr">
        <is>
          <t>Contabilidad</t>
        </is>
      </c>
      <c r="J60" s="1" t="inlineStr">
        <is>
          <t>Mensual (evol. 12m + proy.)</t>
        </is>
      </c>
      <c r="K60" s="1" t="n"/>
      <c r="L60" s="1" t="inlineStr">
        <is>
          <t>COCO</t>
        </is>
      </c>
      <c r="M60" s="1" t="inlineStr">
        <is>
          <t>Días de cartera</t>
        </is>
      </c>
      <c r="N60" t="inlineStr">
        <is>
          <t>Mensual</t>
        </is>
      </c>
    </row>
    <row r="61" ht="22.5" customHeight="1" s="52">
      <c r="A61" s="2" t="n">
        <v>131</v>
      </c>
      <c r="B61" s="2" t="inlineStr">
        <is>
          <t>Contabilidad</t>
        </is>
      </c>
      <c r="C61" s="2" t="inlineStr">
        <is>
          <t>dpo</t>
        </is>
      </c>
      <c r="D61" s="2" t="inlineStr">
        <is>
          <t>DPO</t>
        </is>
      </c>
      <c r="E61" s="2" t="inlineStr">
        <is>
          <t>KPI</t>
        </is>
      </c>
      <c r="F61" s="2" t="inlineStr">
        <is>
          <t>cuentas_x_pagar / costo_directo * 30</t>
        </is>
      </c>
      <c r="G61" s="2" t="inlineStr">
        <is>
          <t>Días</t>
        </is>
      </c>
      <c r="H61" s="2" t="inlineStr">
        <is>
          <t>Contabilidad</t>
        </is>
      </c>
      <c r="I61" s="2" t="inlineStr">
        <is>
          <t>Contabilidad</t>
        </is>
      </c>
      <c r="J61" s="2" t="inlineStr">
        <is>
          <t>Mensual (evol. 12m + proy.)</t>
        </is>
      </c>
      <c r="K61" s="2" t="n"/>
      <c r="L61" s="2" t="inlineStr">
        <is>
          <t>COCO</t>
        </is>
      </c>
      <c r="M61" s="2" t="inlineStr">
        <is>
          <t>Días de pago a proveedores</t>
        </is>
      </c>
      <c r="N61" t="inlineStr">
        <is>
          <t>Mensual</t>
        </is>
      </c>
    </row>
    <row r="62" ht="22.5" customHeight="1" s="52">
      <c r="A62" s="1" t="n">
        <v>132</v>
      </c>
      <c r="B62" s="1" t="inlineStr">
        <is>
          <t>Contabilidad</t>
        </is>
      </c>
      <c r="C62" s="1" t="inlineStr">
        <is>
          <t>ccc</t>
        </is>
      </c>
      <c r="D62" s="1" t="inlineStr">
        <is>
          <t>CCC</t>
        </is>
      </c>
      <c r="E62" s="1" t="inlineStr">
        <is>
          <t>KPI</t>
        </is>
      </c>
      <c r="F62" s="1" t="inlineStr">
        <is>
          <t>dso - dpo (+ días de inventario)</t>
        </is>
      </c>
      <c r="G62" s="1" t="inlineStr">
        <is>
          <t>Días</t>
        </is>
      </c>
      <c r="H62" s="1" t="inlineStr">
        <is>
          <t>Contabilidad</t>
        </is>
      </c>
      <c r="I62" s="1" t="inlineStr">
        <is>
          <t>Contabilidad</t>
        </is>
      </c>
      <c r="J62" s="1" t="inlineStr">
        <is>
          <t>Mensual (evol. 12m + proy.)</t>
        </is>
      </c>
      <c r="K62" s="1" t="n"/>
      <c r="L62" s="1" t="inlineStr">
        <is>
          <t>COCO</t>
        </is>
      </c>
      <c r="M62" s="1" t="inlineStr">
        <is>
          <t>Ciclo de conversión de efectivo</t>
        </is>
      </c>
      <c r="N62" t="inlineStr">
        <is>
          <t>Mensual</t>
        </is>
      </c>
    </row>
    <row r="63" ht="22.5" customHeight="1" s="52">
      <c r="A63" s="2" t="n">
        <v>140</v>
      </c>
      <c r="B63" s="2" t="inlineStr">
        <is>
          <t>Contabilidad</t>
        </is>
      </c>
      <c r="C63" s="2" t="inlineStr">
        <is>
          <t>gasto_area</t>
        </is>
      </c>
      <c r="D63" s="2" t="inlineStr">
        <is>
          <t>Costos y gastos por área</t>
        </is>
      </c>
      <c r="E63" s="2" t="inlineStr">
        <is>
          <t>Input</t>
        </is>
      </c>
      <c r="F63" s="2" t="inlineStr">
        <is>
          <t>Gasto del periodo por gran área</t>
        </is>
      </c>
      <c r="G63" s="2" t="inlineStr">
        <is>
          <t>COP/USD</t>
        </is>
      </c>
      <c r="H63" s="2" t="inlineStr">
        <is>
          <t>Contabilidad</t>
        </is>
      </c>
      <c r="I63" s="2" t="inlineStr">
        <is>
          <t>Contabilidad</t>
        </is>
      </c>
      <c r="J63" s="2" t="inlineStr">
        <is>
          <t>Mensual (serie 13m)</t>
        </is>
      </c>
      <c r="K63" s="2" t="inlineStr">
        <is>
          <t>detalle: Administración / Comercial / Proveedores / TI / Financieros</t>
        </is>
      </c>
      <c r="L63" s="2" t="inlineStr">
        <is>
          <t>COCO</t>
        </is>
      </c>
      <c r="M63" s="2" t="inlineStr">
        <is>
          <t>CONSOLIDADO: usar 'detalle' para el área</t>
        </is>
      </c>
      <c r="N63" t="inlineStr">
        <is>
          <t>Mensual</t>
        </is>
      </c>
    </row>
    <row r="64" ht="22.5" customHeight="1" s="52">
      <c r="A64" s="1" t="n">
        <v>141</v>
      </c>
      <c r="B64" s="1" t="inlineStr">
        <is>
          <t>Contabilidad</t>
        </is>
      </c>
      <c r="C64" s="1" t="inlineStr">
        <is>
          <t>gasto_admin</t>
        </is>
      </c>
      <c r="D64" s="1" t="inlineStr">
        <is>
          <t>Gastos administrativos</t>
        </is>
      </c>
      <c r="E64" s="1" t="inlineStr">
        <is>
          <t>Input</t>
        </is>
      </c>
      <c r="F64" s="1" t="inlineStr">
        <is>
          <t>Gasto administrativo por concepto</t>
        </is>
      </c>
      <c r="G64" s="1" t="inlineStr">
        <is>
          <t>COP/USD</t>
        </is>
      </c>
      <c r="H64" s="1" t="inlineStr">
        <is>
          <t>Contabilidad</t>
        </is>
      </c>
      <c r="I64" s="1" t="inlineStr">
        <is>
          <t>Contabilidad</t>
        </is>
      </c>
      <c r="J64" s="1" t="inlineStr">
        <is>
          <t>Mensual (serie 13m)</t>
        </is>
      </c>
      <c r="K64" s="1" t="inlineStr">
        <is>
          <t>detalle: Diversos / Viajes / Servicios / Seguros / Arrendamientos / Honorarios / Personal</t>
        </is>
      </c>
      <c r="L64" s="1" t="inlineStr">
        <is>
          <t>COCO</t>
        </is>
      </c>
      <c r="M64" s="1" t="inlineStr">
        <is>
          <t>CONSOLIDADO: usar 'detalle' para el concepto</t>
        </is>
      </c>
      <c r="N64" t="inlineStr">
        <is>
          <t>Mensual</t>
        </is>
      </c>
    </row>
    <row r="65" ht="22.5" customHeight="1" s="52">
      <c r="A65" s="2" t="n">
        <v>142</v>
      </c>
      <c r="B65" s="2" t="inlineStr">
        <is>
          <t>Contabilidad</t>
        </is>
      </c>
      <c r="C65" s="2" t="inlineStr">
        <is>
          <t>costo_operacion</t>
        </is>
      </c>
      <c r="D65" s="2" t="inlineStr">
        <is>
          <t>Costos de operación</t>
        </is>
      </c>
      <c r="E65" s="2" t="inlineStr">
        <is>
          <t>Input</t>
        </is>
      </c>
      <c r="F65" s="2" t="inlineStr">
        <is>
          <t>Costo de operación por concepto</t>
        </is>
      </c>
      <c r="G65" s="2" t="inlineStr">
        <is>
          <t>COP/USD</t>
        </is>
      </c>
      <c r="H65" s="2" t="inlineStr">
        <is>
          <t>Contabilidad</t>
        </is>
      </c>
      <c r="I65" s="2" t="inlineStr">
        <is>
          <t>Contabilidad</t>
        </is>
      </c>
      <c r="J65" s="2" t="inlineStr">
        <is>
          <t>Mensual (serie 13m)</t>
        </is>
      </c>
      <c r="K65" s="2" t="inlineStr">
        <is>
          <t>detalle: Viajes / Mantenimientos / Servicios / Honorarios / Personal</t>
        </is>
      </c>
      <c r="L65" s="2" t="inlineStr">
        <is>
          <t>COCO</t>
        </is>
      </c>
      <c r="M65" s="2" t="inlineStr">
        <is>
          <t>CONSOLIDADO: usar 'detalle' para el concepto</t>
        </is>
      </c>
      <c r="N65" t="inlineStr">
        <is>
          <t>Mensual</t>
        </is>
      </c>
    </row>
    <row r="66" ht="22.5" customHeight="1" s="52">
      <c r="A66" s="1" t="n">
        <v>143</v>
      </c>
      <c r="B66" s="1" t="inlineStr">
        <is>
          <t>Contabilidad</t>
        </is>
      </c>
      <c r="C66" s="1" t="inlineStr">
        <is>
          <t>costo_proveedor</t>
        </is>
      </c>
      <c r="D66" s="1" t="inlineStr">
        <is>
          <t>Costos de proveedores</t>
        </is>
      </c>
      <c r="E66" s="1" t="inlineStr">
        <is>
          <t>Input</t>
        </is>
      </c>
      <c r="F66" s="1" t="inlineStr">
        <is>
          <t>Costo por proveedor tecnológico</t>
        </is>
      </c>
      <c r="G66" s="1" t="inlineStr">
        <is>
          <t>COP/USD</t>
        </is>
      </c>
      <c r="H66" s="1" t="inlineStr">
        <is>
          <t>Contabilidad</t>
        </is>
      </c>
      <c r="I66" s="1" t="inlineStr">
        <is>
          <t>Contabilidad</t>
        </is>
      </c>
      <c r="J66" s="1" t="inlineStr">
        <is>
          <t>Mensual (serie 13m)</t>
        </is>
      </c>
      <c r="K66" s="1" t="inlineStr">
        <is>
          <t>detalle: B2Chat / AWS / Infobip / IVA / Otros</t>
        </is>
      </c>
      <c r="L66" s="1" t="inlineStr">
        <is>
          <t>COCO</t>
        </is>
      </c>
      <c r="M66" s="1" t="inlineStr">
        <is>
          <t>CONSOLIDADO: usar 'detalle' para el proveedor</t>
        </is>
      </c>
      <c r="N66" t="inlineStr">
        <is>
          <t>Mensual</t>
        </is>
      </c>
    </row>
    <row r="67" ht="22.5" customHeight="1" s="52">
      <c r="A67" s="2" t="n">
        <v>144</v>
      </c>
      <c r="B67" s="2" t="inlineStr">
        <is>
          <t>Contabilidad</t>
        </is>
      </c>
      <c r="C67" s="2" t="inlineStr">
        <is>
          <t>costo_proveedor_ventas_pct</t>
        </is>
      </c>
      <c r="D67" s="2" t="inlineStr">
        <is>
          <t>Costos de proveedores / ventas %</t>
        </is>
      </c>
      <c r="E67" s="2" t="inlineStr">
        <is>
          <t>KPI</t>
        </is>
      </c>
      <c r="F67" s="2" t="inlineStr">
        <is>
          <t>Σ costo_proveedor / ingresos_totales</t>
        </is>
      </c>
      <c r="G67" s="2" t="inlineStr">
        <is>
          <t>%</t>
        </is>
      </c>
      <c r="H67" s="2" t="inlineStr">
        <is>
          <t>Contabilidad</t>
        </is>
      </c>
      <c r="I67" s="2" t="inlineStr">
        <is>
          <t>Contabilidad</t>
        </is>
      </c>
      <c r="J67" s="2" t="inlineStr">
        <is>
          <t>Mensual (serie 13m)</t>
        </is>
      </c>
      <c r="K67" s="2" t="n"/>
      <c r="L67" s="2" t="inlineStr">
        <is>
          <t>COCO</t>
        </is>
      </c>
      <c r="M67" s="2" t="n"/>
      <c r="N67" t="inlineStr">
        <is>
          <t>Mensual</t>
        </is>
      </c>
    </row>
    <row r="68" ht="22.5" customHeight="1" s="52">
      <c r="A68" s="1" t="n">
        <v>145</v>
      </c>
      <c r="B68" s="1" t="inlineStr">
        <is>
          <t>Contabilidad</t>
        </is>
      </c>
      <c r="C68" s="1" t="inlineStr">
        <is>
          <t>salario_area_pct</t>
        </is>
      </c>
      <c r="D68" s="1" t="inlineStr">
        <is>
          <t>Salarios por área %</t>
        </is>
      </c>
      <c r="E68" s="1" t="inlineStr">
        <is>
          <t>KPI</t>
        </is>
      </c>
      <c r="F68" s="1" t="inlineStr">
        <is>
          <t>nómina_área / nómina_total</t>
        </is>
      </c>
      <c r="G68" s="1" t="inlineStr">
        <is>
          <t>%</t>
        </is>
      </c>
      <c r="H68" s="1" t="inlineStr">
        <is>
          <t>Contabilidad</t>
        </is>
      </c>
      <c r="I68" s="1" t="inlineStr">
        <is>
          <t>Contabilidad</t>
        </is>
      </c>
      <c r="J68" s="1" t="inlineStr">
        <is>
          <t>Mensual (últimos 2 meses)</t>
        </is>
      </c>
      <c r="K68" s="1" t="inlineStr">
        <is>
          <t>detalle: Desarrollo / Operaciones / Comercial / Administrativo</t>
        </is>
      </c>
      <c r="L68" s="1" t="inlineStr">
        <is>
          <t>COCO</t>
        </is>
      </c>
      <c r="M68" s="1" t="inlineStr">
        <is>
          <t>Gráfico de torta</t>
        </is>
      </c>
      <c r="N68" t="inlineStr">
        <is>
          <t>Mensual</t>
        </is>
      </c>
    </row>
    <row r="69" ht="14.25" customHeight="1" s="52">
      <c r="A69" s="2" t="n">
        <v>150</v>
      </c>
      <c r="B69" s="2" t="inlineStr">
        <is>
          <t>Contabilidad</t>
        </is>
      </c>
      <c r="C69" s="2" t="inlineStr">
        <is>
          <t>distribucion_clientes</t>
        </is>
      </c>
      <c r="D69" s="2" t="inlineStr">
        <is>
          <t>Distribución de clientes</t>
        </is>
      </c>
      <c r="E69" s="2" t="inlineStr">
        <is>
          <t>Input/KPI</t>
        </is>
      </c>
      <c r="F69" s="2" t="inlineStr">
        <is>
          <t>Nº o % de clientes por tipo de ingreso</t>
        </is>
      </c>
      <c r="G69" s="2" t="inlineStr">
        <is>
          <t>Número/%</t>
        </is>
      </c>
      <c r="H69" s="2" t="inlineStr">
        <is>
          <t>Comercial</t>
        </is>
      </c>
      <c r="I69" s="2" t="inlineStr">
        <is>
          <t>CRM / facturación</t>
        </is>
      </c>
      <c r="J69" s="2" t="inlineStr">
        <is>
          <t>Mensual</t>
        </is>
      </c>
      <c r="K69" s="2" t="inlineStr">
        <is>
          <t>detalle: Recurrente / No recurrente</t>
        </is>
      </c>
      <c r="L69" s="2" t="inlineStr">
        <is>
          <t>COCO</t>
        </is>
      </c>
      <c r="M69" s="2" t="n"/>
      <c r="N69" t="inlineStr">
        <is>
          <t>Mensual</t>
        </is>
      </c>
    </row>
    <row r="70" ht="22.5" customHeight="1" s="52">
      <c r="A70" s="1" t="n">
        <v>160</v>
      </c>
      <c r="B70" s="1" t="inlineStr">
        <is>
          <t>Financiero</t>
        </is>
      </c>
      <c r="C70" s="1" t="inlineStr">
        <is>
          <t>escenarios_fin</t>
        </is>
      </c>
      <c r="D70" s="1" t="inlineStr">
        <is>
          <t>Escenarios financieros</t>
        </is>
      </c>
      <c r="E70" s="1" t="inlineStr">
        <is>
          <t>KPI</t>
        </is>
      </c>
      <c r="F70" s="1" t="inlineStr">
        <is>
          <t>Proyección por escenario (Real/Budget/Forecast)</t>
        </is>
      </c>
      <c r="G70" s="1" t="inlineStr">
        <is>
          <t>COP/USD</t>
        </is>
      </c>
      <c r="H70" s="1" t="inlineStr">
        <is>
          <t>Finanzas</t>
        </is>
      </c>
      <c r="I70" s="1" t="inlineStr">
        <is>
          <t>Modelo financiero</t>
        </is>
      </c>
      <c r="J70" s="1" t="inlineStr">
        <is>
          <t>Mensual</t>
        </is>
      </c>
      <c r="K70" s="1" t="inlineStr">
        <is>
          <t>detalle: definir vistas con Andrés</t>
        </is>
      </c>
      <c r="L70" s="1" t="inlineStr">
        <is>
          <t>COCO</t>
        </is>
      </c>
      <c r="M70" s="1" t="inlineStr">
        <is>
          <t>ALCANCE A DEFINIR — vino suelto en el archivo</t>
        </is>
      </c>
      <c r="N70" t="inlineStr">
        <is>
          <t>Mensual</t>
        </is>
      </c>
    </row>
    <row r="71" ht="14.25" customHeight="1" s="52">
      <c r="A71" s="2" t="n">
        <v>125</v>
      </c>
      <c r="B71" s="2" t="inlineStr">
        <is>
          <t>Contabilidad</t>
        </is>
      </c>
      <c r="C71" s="2" t="inlineStr">
        <is>
          <t>cartera_cobro_legal</t>
        </is>
      </c>
      <c r="D71" s="2" t="inlineStr">
        <is>
          <t>Cartera en cobro legal</t>
        </is>
      </c>
      <c r="E71" s="2" t="inlineStr">
        <is>
          <t>Input</t>
        </is>
      </c>
      <c r="F71" s="2" t="inlineStr">
        <is>
          <t>Saldo de cartera en proceso jurídico</t>
        </is>
      </c>
      <c r="G71" s="2" t="inlineStr">
        <is>
          <t>COP/USD</t>
        </is>
      </c>
      <c r="H71" s="2" t="inlineStr">
        <is>
          <t>Contabilidad</t>
        </is>
      </c>
      <c r="I71" s="2" t="inlineStr">
        <is>
          <t>Contabilidad</t>
        </is>
      </c>
      <c r="J71" s="2" t="inlineStr">
        <is>
          <t>Mensual</t>
        </is>
      </c>
      <c r="K71" s="2" t="n"/>
      <c r="L71" s="2" t="inlineStr">
        <is>
          <t>COCO</t>
        </is>
      </c>
      <c r="M71" s="2" t="inlineStr">
        <is>
          <t>Subconjunto de la cartera vencida</t>
        </is>
      </c>
      <c r="N71" t="inlineStr">
        <is>
          <t>Mensual</t>
        </is>
      </c>
    </row>
    <row r="72" ht="14.25" customHeight="1" s="52">
      <c r="A72" s="1" t="n">
        <v>133</v>
      </c>
      <c r="B72" s="1" t="inlineStr">
        <is>
          <t>Contabilidad</t>
        </is>
      </c>
      <c r="C72" s="1" t="inlineStr">
        <is>
          <t>indice_morosidad</t>
        </is>
      </c>
      <c r="D72" s="1" t="inlineStr">
        <is>
          <t>Índice de morosidad (entregado por cartera)</t>
        </is>
      </c>
      <c r="E72" s="1" t="inlineStr">
        <is>
          <t>KPI</t>
        </is>
      </c>
      <c r="F72" s="1" t="inlineStr">
        <is>
          <t>Lo entrega cartera con su propia definicion; el tablero NO lo calcula. NO es cartera_vencida / cartera_total: esa razon da 41,6% en julio-26 y el valor entregado es 77,3%. El donut "Composicion de cartera" de la misma pestana muestra el 41,6%. Las dos cifras miden cosas distintas y falta la formula de la primera.</t>
        </is>
      </c>
      <c r="G72" s="1" t="inlineStr">
        <is>
          <t>%</t>
        </is>
      </c>
      <c r="H72" s="1" t="inlineStr">
        <is>
          <t>Contabilidad</t>
        </is>
      </c>
      <c r="I72" s="1" t="inlineStr">
        <is>
          <t>Contabilidad</t>
        </is>
      </c>
      <c r="J72" s="1" t="inlineStr">
        <is>
          <t>Mensual</t>
        </is>
      </c>
      <c r="K72" s="1" t="n"/>
      <c r="L72" s="1" t="inlineStr">
        <is>
          <t>COCO</t>
        </is>
      </c>
      <c r="M72" s="1" t="inlineStr">
        <is>
          <t>Meta: excelente &lt; 5%</t>
        </is>
      </c>
      <c r="N72" t="inlineStr">
        <is>
          <t>Mensual</t>
        </is>
      </c>
    </row>
    <row r="73" ht="14.25" customHeight="1" s="52">
      <c r="A73" s="2" t="n">
        <v>134</v>
      </c>
      <c r="B73" s="2" t="inlineStr">
        <is>
          <t>Contabilidad</t>
        </is>
      </c>
      <c r="C73" s="2" t="inlineStr">
        <is>
          <t>cartera_mayor_60_pct</t>
        </is>
      </c>
      <c r="D73" s="2" t="inlineStr">
        <is>
          <t>% Cartera mayor a 60 días</t>
        </is>
      </c>
      <c r="E73" s="2" t="inlineStr">
        <is>
          <t>KPI</t>
        </is>
      </c>
      <c r="F73" s="2" t="inlineStr">
        <is>
          <t>cartera_&gt;60d / cartera_total</t>
        </is>
      </c>
      <c r="G73" s="2" t="inlineStr">
        <is>
          <t>%</t>
        </is>
      </c>
      <c r="H73" s="2" t="inlineStr">
        <is>
          <t>Contabilidad</t>
        </is>
      </c>
      <c r="I73" s="2" t="inlineStr">
        <is>
          <t>Contabilidad</t>
        </is>
      </c>
      <c r="J73" s="2" t="inlineStr">
        <is>
          <t>Mensual</t>
        </is>
      </c>
      <c r="K73" s="2" t="n"/>
      <c r="L73" s="2" t="inlineStr">
        <is>
          <t>COCO</t>
        </is>
      </c>
      <c r="M73" s="2" t="inlineStr">
        <is>
          <t>Meta: excelente &lt; 5%</t>
        </is>
      </c>
      <c r="N73" t="inlineStr">
        <is>
          <t>Mensual</t>
        </is>
      </c>
    </row>
    <row r="74" ht="14.25" customHeight="1" s="52">
      <c r="A74" s="1" t="n">
        <v>135</v>
      </c>
      <c r="B74" s="1" t="inlineStr">
        <is>
          <t>Contabilidad</t>
        </is>
      </c>
      <c r="C74" s="1" t="inlineStr">
        <is>
          <t>cartera_arr_pct</t>
        </is>
      </c>
      <c r="D74" s="1" t="inlineStr">
        <is>
          <t>Cartera como % de ARR (ARR de cartera)</t>
        </is>
      </c>
      <c r="E74" s="1" t="inlineStr">
        <is>
          <t>KPI</t>
        </is>
      </c>
      <c r="F74" s="1" t="inlineStr">
        <is>
          <t>Entregado por cartera. NO reproduce cartera_total / arr (36,7%) ni cartera_total / arr_mrr (17,9%): el 20,9% implica un ARR de 2.248.086 USD que no existe en esta base. Usa un ARR propio de cartera, pendiente de conciliar.</t>
        </is>
      </c>
      <c r="G74" s="1" t="inlineStr">
        <is>
          <t>%</t>
        </is>
      </c>
      <c r="H74" s="1" t="inlineStr">
        <is>
          <t>Contabilidad</t>
        </is>
      </c>
      <c r="I74" s="1" t="inlineStr">
        <is>
          <t>Contabilidad</t>
        </is>
      </c>
      <c r="J74" s="1" t="inlineStr">
        <is>
          <t>Mensual</t>
        </is>
      </c>
      <c r="K74" s="1" t="n"/>
      <c r="L74" s="1" t="inlineStr">
        <is>
          <t>COCO</t>
        </is>
      </c>
      <c r="M74" s="1" t="inlineStr">
        <is>
          <t>Meta: excelente &lt; 12%</t>
        </is>
      </c>
      <c r="N74" t="inlineStr">
        <is>
          <t>Mensual</t>
        </is>
      </c>
    </row>
    <row r="75" ht="14.25" customHeight="1" s="52">
      <c r="A75" s="2" t="n">
        <v>136</v>
      </c>
      <c r="B75" s="2" t="inlineStr">
        <is>
          <t>Contabilidad</t>
        </is>
      </c>
      <c r="C75" s="2" t="inlineStr">
        <is>
          <t>concentracion_cartera</t>
        </is>
      </c>
      <c r="D75" s="2" t="inlineStr">
        <is>
          <t>Concentración de cartera</t>
        </is>
      </c>
      <c r="E75" s="2" t="inlineStr">
        <is>
          <t>KPI</t>
        </is>
      </c>
      <c r="F75" s="2" t="inlineStr">
        <is>
          <t>cartera top cliente(s) / cartera_total</t>
        </is>
      </c>
      <c r="G75" s="2" t="inlineStr">
        <is>
          <t>%</t>
        </is>
      </c>
      <c r="H75" s="2" t="inlineStr">
        <is>
          <t>Contabilidad</t>
        </is>
      </c>
      <c r="I75" s="2" t="inlineStr">
        <is>
          <t>Contabilidad</t>
        </is>
      </c>
      <c r="J75" s="2" t="inlineStr">
        <is>
          <t>Mensual</t>
        </is>
      </c>
      <c r="K75" s="2" t="n"/>
      <c r="L75" s="2" t="inlineStr">
        <is>
          <t>COCO</t>
        </is>
      </c>
      <c r="M75" s="2" t="inlineStr">
        <is>
          <t>Meta: excelente &lt; 15%</t>
        </is>
      </c>
      <c r="N75" t="inlineStr">
        <is>
          <t>Mensual</t>
        </is>
      </c>
    </row>
    <row r="76" ht="14.25" customHeight="1" s="52">
      <c r="A76" s="1" t="n">
        <v>137</v>
      </c>
      <c r="B76" s="1" t="inlineStr">
        <is>
          <t>Contabilidad</t>
        </is>
      </c>
      <c r="C76" s="1" t="inlineStr">
        <is>
          <t>write_off_ratio</t>
        </is>
      </c>
      <c r="D76" s="1" t="inlineStr">
        <is>
          <t>Castigo de cartera</t>
        </is>
      </c>
      <c r="E76" s="1" t="inlineStr">
        <is>
          <t>KPI</t>
        </is>
      </c>
      <c r="F76" s="1" t="inlineStr">
        <is>
          <t>cartera_castigada / ventas</t>
        </is>
      </c>
      <c r="G76" s="1" t="inlineStr">
        <is>
          <t>%</t>
        </is>
      </c>
      <c r="H76" s="1" t="inlineStr">
        <is>
          <t>Contabilidad</t>
        </is>
      </c>
      <c r="I76" s="1" t="inlineStr">
        <is>
          <t>Contabilidad</t>
        </is>
      </c>
      <c r="J76" s="1" t="inlineStr">
        <is>
          <t>Mensual</t>
        </is>
      </c>
      <c r="K76" s="1" t="n"/>
      <c r="L76" s="1" t="inlineStr">
        <is>
          <t>COCO</t>
        </is>
      </c>
      <c r="M76" s="1" t="inlineStr">
        <is>
          <t>Meta: excelente &lt; 1%</t>
        </is>
      </c>
      <c r="N76" t="inlineStr">
        <is>
          <t>Mensual</t>
        </is>
      </c>
    </row>
    <row r="77" ht="14.25" customHeight="1" s="52">
      <c r="A77" s="2" t="n">
        <v>8</v>
      </c>
      <c r="B77" s="2" t="inlineStr">
        <is>
          <t>Finanzas</t>
        </is>
      </c>
      <c r="C77" s="2" t="inlineStr">
        <is>
          <t>ingresos_no_recurrentes</t>
        </is>
      </c>
      <c r="D77" s="2" t="inlineStr">
        <is>
          <t>Ingresos no recurrentes</t>
        </is>
      </c>
      <c r="E77" s="2" t="inlineStr">
        <is>
          <t>Input</t>
        </is>
      </c>
      <c r="F77" s="2" t="inlineStr">
        <is>
          <t>Ingresos variables / one-off del periodo</t>
        </is>
      </c>
      <c r="G77" s="2" t="inlineStr">
        <is>
          <t>COP/USD</t>
        </is>
      </c>
      <c r="H77" s="2" t="inlineStr">
        <is>
          <t>Finanzas</t>
        </is>
      </c>
      <c r="I77" s="2" t="inlineStr">
        <is>
          <t>Facturación</t>
        </is>
      </c>
      <c r="J77" s="2" t="inlineStr">
        <is>
          <t>Mensual</t>
        </is>
      </c>
      <c r="K77" s="2" t="n"/>
      <c r="L77" s="2" t="inlineStr">
        <is>
          <t>COCO</t>
        </is>
      </c>
      <c r="M77" s="2" t="inlineStr">
        <is>
          <t>Serie S5</t>
        </is>
      </c>
      <c r="N77" t="inlineStr">
        <is>
          <t>Mensual</t>
        </is>
      </c>
    </row>
    <row r="78" ht="14.25" customHeight="1" s="52">
      <c r="A78" s="1" t="n">
        <v>146</v>
      </c>
      <c r="B78" s="1" t="inlineStr">
        <is>
          <t>Contabilidad</t>
        </is>
      </c>
      <c r="C78" s="1" t="inlineStr">
        <is>
          <t>gasto_desarrollo</t>
        </is>
      </c>
      <c r="D78" s="1" t="inlineStr">
        <is>
          <t>Gastos de Desarrollo</t>
        </is>
      </c>
      <c r="E78" s="1" t="inlineStr">
        <is>
          <t>Input</t>
        </is>
      </c>
      <c r="F78" s="1" t="inlineStr">
        <is>
          <t>Gasto del área de desarrollo por concepto</t>
        </is>
      </c>
      <c r="G78" s="1" t="inlineStr">
        <is>
          <t>COP/USD</t>
        </is>
      </c>
      <c r="H78" s="1" t="inlineStr">
        <is>
          <t>Contabilidad</t>
        </is>
      </c>
      <c r="I78" s="1" t="inlineStr">
        <is>
          <t>Contabilidad</t>
        </is>
      </c>
      <c r="J78" s="1" t="inlineStr">
        <is>
          <t>Mensual (serie)</t>
        </is>
      </c>
      <c r="K78" s="1" t="inlineStr">
        <is>
          <t>detalle: Personal / Honorarios / Servicios / Viajes</t>
        </is>
      </c>
      <c r="L78" s="1" t="inlineStr">
        <is>
          <t>COCO</t>
        </is>
      </c>
      <c r="M78" s="1" t="inlineStr">
        <is>
          <t>Zoom S15</t>
        </is>
      </c>
      <c r="N78" t="inlineStr">
        <is>
          <t>Mensual</t>
        </is>
      </c>
    </row>
    <row r="79" ht="22.5" customHeight="1" s="52">
      <c r="A79" s="2" t="n">
        <v>147</v>
      </c>
      <c r="B79" s="2" t="inlineStr">
        <is>
          <t>Contabilidad</t>
        </is>
      </c>
      <c r="C79" s="2" t="inlineStr">
        <is>
          <t>gasto_comercial</t>
        </is>
      </c>
      <c r="D79" s="2" t="inlineStr">
        <is>
          <t>Gastos Comercial</t>
        </is>
      </c>
      <c r="E79" s="2" t="inlineStr">
        <is>
          <t>Input</t>
        </is>
      </c>
      <c r="F79" s="2" t="inlineStr">
        <is>
          <t>Gasto del área comercial por concepto</t>
        </is>
      </c>
      <c r="G79" s="2" t="inlineStr">
        <is>
          <t>COP/USD</t>
        </is>
      </c>
      <c r="H79" s="2" t="inlineStr">
        <is>
          <t>Contabilidad</t>
        </is>
      </c>
      <c r="I79" s="2" t="inlineStr">
        <is>
          <t>Contabilidad</t>
        </is>
      </c>
      <c r="J79" s="2" t="inlineStr">
        <is>
          <t>Mensual (serie)</t>
        </is>
      </c>
      <c r="K79" s="2" t="inlineStr">
        <is>
          <t>detalle: Personal / Honorario / Seguros / Servicios / Viajes / Diversos</t>
        </is>
      </c>
      <c r="L79" s="2" t="inlineStr">
        <is>
          <t>COCO</t>
        </is>
      </c>
      <c r="M79" s="2" t="inlineStr">
        <is>
          <t>Zoom S13</t>
        </is>
      </c>
      <c r="N79" t="inlineStr">
        <is>
          <t>Mensual</t>
        </is>
      </c>
    </row>
    <row r="80" ht="22.5" customHeight="1" s="52">
      <c r="A80" s="1" t="n">
        <v>170</v>
      </c>
      <c r="B80" s="1" t="inlineStr">
        <is>
          <t>Ventas</t>
        </is>
      </c>
      <c r="C80" s="1" t="inlineStr">
        <is>
          <t>distribucion_facturacion_tamano</t>
        </is>
      </c>
      <c r="D80" s="1" t="inlineStr">
        <is>
          <t>Distribución facturación por tamaño</t>
        </is>
      </c>
      <c r="E80" s="1" t="inlineStr">
        <is>
          <t>KPI</t>
        </is>
      </c>
      <c r="F80" s="1" t="inlineStr">
        <is>
          <t>% de facturación por tamaño de cliente</t>
        </is>
      </c>
      <c r="G80" s="1" t="inlineStr">
        <is>
          <t>%</t>
        </is>
      </c>
      <c r="H80" s="1" t="inlineStr">
        <is>
          <t>Comercial</t>
        </is>
      </c>
      <c r="I80" s="1" t="inlineStr">
        <is>
          <t>CRM / facturación</t>
        </is>
      </c>
      <c r="J80" s="1" t="inlineStr">
        <is>
          <t>Mensual (serie)</t>
        </is>
      </c>
      <c r="K80" s="1" t="inlineStr">
        <is>
          <t>detalle: Grandes / Medianos / Pequeños</t>
        </is>
      </c>
      <c r="L80" s="1" t="inlineStr">
        <is>
          <t>COCO</t>
        </is>
      </c>
      <c r="M80" s="1" t="inlineStr">
        <is>
          <t>S9</t>
        </is>
      </c>
      <c r="N80" t="inlineStr">
        <is>
          <t>Mensual</t>
        </is>
      </c>
    </row>
    <row r="81" ht="22.5" customHeight="1" s="52">
      <c r="A81" s="2" t="n">
        <v>171</v>
      </c>
      <c r="B81" s="2" t="inlineStr">
        <is>
          <t>Finanzas</t>
        </is>
      </c>
      <c r="C81" s="2" t="inlineStr">
        <is>
          <t>distribucion_ingresos</t>
        </is>
      </c>
      <c r="D81" s="2" t="inlineStr">
        <is>
          <t>Distribución de ingresos por tipo</t>
        </is>
      </c>
      <c r="E81" s="2" t="inlineStr">
        <is>
          <t>KPI</t>
        </is>
      </c>
      <c r="F81" s="2" t="inlineStr">
        <is>
          <t>% de ingresos por tipo</t>
        </is>
      </c>
      <c r="G81" s="2" t="inlineStr">
        <is>
          <t>%</t>
        </is>
      </c>
      <c r="H81" s="2" t="inlineStr">
        <is>
          <t>Finanzas</t>
        </is>
      </c>
      <c r="I81" s="2" t="inlineStr">
        <is>
          <t>Contabilidad</t>
        </is>
      </c>
      <c r="J81" s="2" t="inlineStr">
        <is>
          <t>Anual</t>
        </is>
      </c>
      <c r="K81" s="2" t="inlineStr">
        <is>
          <t>detalle: Recurrente / Variable / Implementaciones / Internacional</t>
        </is>
      </c>
      <c r="L81" s="2" t="inlineStr">
        <is>
          <t>COCO</t>
        </is>
      </c>
      <c r="M81" s="2" t="inlineStr">
        <is>
          <t>S4 (pie por año)</t>
        </is>
      </c>
      <c r="N81" t="inlineStr">
        <is>
          <t>Mensual</t>
        </is>
      </c>
    </row>
    <row r="82" ht="14.25" customHeight="1" s="52">
      <c r="A82" s="3" t="n">
        <v>201</v>
      </c>
      <c r="B82" s="3" t="inlineStr">
        <is>
          <t>Finanzas</t>
        </is>
      </c>
      <c r="C82" s="3" t="inlineStr">
        <is>
          <t>mrr_inicio</t>
        </is>
      </c>
      <c r="D82" s="3" t="inlineStr">
        <is>
          <t>MRR inicio</t>
        </is>
      </c>
      <c r="E82" s="3" t="inlineStr">
        <is>
          <t>Input</t>
        </is>
      </c>
      <c r="F82" s="3" t="inlineStr">
        <is>
          <t>MRR al inicio del periodo</t>
        </is>
      </c>
      <c r="G82" s="3" t="inlineStr">
        <is>
          <t>COP/USD</t>
        </is>
      </c>
      <c r="H82" s="3" t="inlineStr">
        <is>
          <t>Finanzas</t>
        </is>
      </c>
      <c r="I82" s="3" t="inlineStr">
        <is>
          <t>Facturación / CRM</t>
        </is>
      </c>
      <c r="J82" s="3" t="inlineStr">
        <is>
          <t>Mensual</t>
        </is>
      </c>
      <c r="K82" s="3" t="n"/>
      <c r="L82" s="3" t="inlineStr">
        <is>
          <t>Claude</t>
        </is>
      </c>
      <c r="M82" s="3" t="inlineStr">
        <is>
          <t>Requerido por GRR, churn, bridge</t>
        </is>
      </c>
      <c r="N82" t="inlineStr">
        <is>
          <t>Mensual</t>
        </is>
      </c>
    </row>
    <row r="83" ht="14.25" customHeight="1" s="52">
      <c r="A83" s="3" t="n">
        <v>202</v>
      </c>
      <c r="B83" s="3" t="inlineStr">
        <is>
          <t>Finanzas</t>
        </is>
      </c>
      <c r="C83" s="3" t="inlineStr">
        <is>
          <t>mrr_final</t>
        </is>
      </c>
      <c r="D83" s="3" t="inlineStr">
        <is>
          <t>MRR final</t>
        </is>
      </c>
      <c r="E83" s="3" t="inlineStr">
        <is>
          <t>Input</t>
        </is>
      </c>
      <c r="F83" s="3" t="inlineStr">
        <is>
          <t>MRR al cierre del periodo</t>
        </is>
      </c>
      <c r="G83" s="3" t="inlineStr">
        <is>
          <t>COP/USD</t>
        </is>
      </c>
      <c r="H83" s="3" t="inlineStr">
        <is>
          <t>Finanzas</t>
        </is>
      </c>
      <c r="I83" s="3" t="inlineStr">
        <is>
          <t>Facturación / CRM</t>
        </is>
      </c>
      <c r="J83" s="3" t="inlineStr">
        <is>
          <t>Mensual</t>
        </is>
      </c>
      <c r="K83" s="3" t="n"/>
      <c r="L83" s="3" t="inlineStr">
        <is>
          <t>Claude</t>
        </is>
      </c>
      <c r="M83" s="3" t="inlineStr">
        <is>
          <t>Requerido por ARR, ARPA, MRR intl</t>
        </is>
      </c>
      <c r="N83" t="inlineStr">
        <is>
          <t>Mensual</t>
        </is>
      </c>
    </row>
    <row r="84" ht="14.25" customHeight="1" s="52">
      <c r="A84" s="3" t="n">
        <v>203</v>
      </c>
      <c r="B84" s="3" t="inlineStr">
        <is>
          <t>Finanzas</t>
        </is>
      </c>
      <c r="C84" s="3" t="inlineStr">
        <is>
          <t>ingresos_recurrentes</t>
        </is>
      </c>
      <c r="D84" s="3" t="inlineStr">
        <is>
          <t>Ingresos recurrentes</t>
        </is>
      </c>
      <c r="E84" s="3" t="inlineStr">
        <is>
          <t>Input</t>
        </is>
      </c>
      <c r="F84" s="3" t="inlineStr">
        <is>
          <t>Ingreso recurrente reconocido en el periodo</t>
        </is>
      </c>
      <c r="G84" s="3" t="inlineStr">
        <is>
          <t>COP/USD</t>
        </is>
      </c>
      <c r="H84" s="3" t="inlineStr">
        <is>
          <t>Finanzas</t>
        </is>
      </c>
      <c r="I84" s="3" t="inlineStr">
        <is>
          <t>Facturación</t>
        </is>
      </c>
      <c r="J84" s="3" t="inlineStr">
        <is>
          <t>Mensual</t>
        </is>
      </c>
      <c r="K84" s="3" t="n"/>
      <c r="L84" s="3" t="inlineStr">
        <is>
          <t>Claude</t>
        </is>
      </c>
      <c r="M84" s="3" t="inlineStr">
        <is>
          <t>≈ MRR reconocido del mes</t>
        </is>
      </c>
      <c r="N84" t="inlineStr">
        <is>
          <t>Mensual</t>
        </is>
      </c>
    </row>
    <row r="85" ht="14.25" customHeight="1" s="52">
      <c r="A85" s="3" t="n">
        <v>204</v>
      </c>
      <c r="B85" s="3" t="inlineStr">
        <is>
          <t>Finanzas</t>
        </is>
      </c>
      <c r="C85" s="3" t="inlineStr">
        <is>
          <t>ingresos_totales</t>
        </is>
      </c>
      <c r="D85" s="3" t="inlineStr">
        <is>
          <t>Ingresos totales</t>
        </is>
      </c>
      <c r="E85" s="3" t="inlineStr">
        <is>
          <t>KPI</t>
        </is>
      </c>
      <c r="F85" s="3" t="inlineStr">
        <is>
          <t>ingresos_recurrentes + ingresos_one_off</t>
        </is>
      </c>
      <c r="G85" s="3" t="inlineStr">
        <is>
          <t>COP/USD</t>
        </is>
      </c>
      <c r="H85" s="3" t="inlineStr">
        <is>
          <t>Finanzas</t>
        </is>
      </c>
      <c r="I85" s="3" t="inlineStr">
        <is>
          <t>Contabilidad</t>
        </is>
      </c>
      <c r="J85" s="3" t="inlineStr">
        <is>
          <t>Mensual</t>
        </is>
      </c>
      <c r="K85" s="3" t="n"/>
      <c r="L85" s="3" t="inlineStr">
        <is>
          <t>Claude</t>
        </is>
      </c>
      <c r="M85" s="3" t="inlineStr">
        <is>
          <t>Base de muchos KPIs</t>
        </is>
      </c>
      <c r="N85" t="inlineStr">
        <is>
          <t>Mensual</t>
        </is>
      </c>
    </row>
    <row r="86" ht="14.25" customHeight="1" s="52">
      <c r="A86" s="3" t="n">
        <v>205</v>
      </c>
      <c r="B86" s="3" t="inlineStr">
        <is>
          <t>Finanzas</t>
        </is>
      </c>
      <c r="C86" s="3" t="inlineStr">
        <is>
          <t>costo_directo</t>
        </is>
      </c>
      <c r="D86" s="3" t="inlineStr">
        <is>
          <t>Costo directo</t>
        </is>
      </c>
      <c r="E86" s="3" t="inlineStr">
        <is>
          <t>Input</t>
        </is>
      </c>
      <c r="F86" s="3" t="inlineStr">
        <is>
          <t>Costo directo de servicio (COGS)</t>
        </is>
      </c>
      <c r="G86" s="3" t="inlineStr">
        <is>
          <t>COP/USD</t>
        </is>
      </c>
      <c r="H86" s="3" t="inlineStr">
        <is>
          <t>Finanzas</t>
        </is>
      </c>
      <c r="I86" s="3" t="inlineStr">
        <is>
          <t>Contabilidad</t>
        </is>
      </c>
      <c r="J86" s="3" t="inlineStr">
        <is>
          <t>Mensual</t>
        </is>
      </c>
      <c r="K86" s="3" t="n"/>
      <c r="L86" s="3" t="inlineStr">
        <is>
          <t>Claude</t>
        </is>
      </c>
      <c r="M86" s="3" t="inlineStr">
        <is>
          <t>Requerido por margen bruto</t>
        </is>
      </c>
      <c r="N86" t="inlineStr">
        <is>
          <t>Mensual</t>
        </is>
      </c>
    </row>
    <row r="87" ht="14.25" customHeight="1" s="52">
      <c r="A87" s="3" t="n">
        <v>206</v>
      </c>
      <c r="B87" s="3" t="inlineStr">
        <is>
          <t>Finanzas</t>
        </is>
      </c>
      <c r="C87" s="3" t="inlineStr">
        <is>
          <t>caja_disponible</t>
        </is>
      </c>
      <c r="D87" s="3" t="inlineStr">
        <is>
          <t>Caja disponible</t>
        </is>
      </c>
      <c r="E87" s="3" t="inlineStr">
        <is>
          <t>Input</t>
        </is>
      </c>
      <c r="F87" s="3" t="inlineStr">
        <is>
          <t>Saldo de caja al cierre</t>
        </is>
      </c>
      <c r="G87" s="3" t="inlineStr">
        <is>
          <t>COP/USD</t>
        </is>
      </c>
      <c r="H87" s="3" t="inlineStr">
        <is>
          <t>Tesorería</t>
        </is>
      </c>
      <c r="I87" s="3" t="inlineStr">
        <is>
          <t>Bancos</t>
        </is>
      </c>
      <c r="J87" s="3" t="inlineStr">
        <is>
          <t>Mensual</t>
        </is>
      </c>
      <c r="K87" s="3" t="n"/>
      <c r="L87" s="3" t="inlineStr">
        <is>
          <t>Claude</t>
        </is>
      </c>
      <c r="M87" s="3" t="inlineStr">
        <is>
          <t>Requerido por runway</t>
        </is>
      </c>
      <c r="N87" t="inlineStr">
        <is>
          <t>Mensual</t>
        </is>
      </c>
    </row>
    <row r="88" ht="14.25" customHeight="1" s="52">
      <c r="A88" s="3" t="n">
        <v>207</v>
      </c>
      <c r="B88" s="3" t="inlineStr">
        <is>
          <t>Finanzas</t>
        </is>
      </c>
      <c r="C88" s="3" t="inlineStr">
        <is>
          <t>pagos_periodo</t>
        </is>
      </c>
      <c r="D88" s="3" t="inlineStr">
        <is>
          <t>Pagos del periodo</t>
        </is>
      </c>
      <c r="E88" s="3" t="inlineStr">
        <is>
          <t>Input</t>
        </is>
      </c>
      <c r="F88" s="3" t="inlineStr">
        <is>
          <t>Dinero efectivamente pagado en el periodo</t>
        </is>
      </c>
      <c r="G88" s="3" t="inlineStr">
        <is>
          <t>COP/USD</t>
        </is>
      </c>
      <c r="H88" s="3" t="inlineStr">
        <is>
          <t>Tesorería</t>
        </is>
      </c>
      <c r="I88" s="3" t="inlineStr">
        <is>
          <t>Bancos</t>
        </is>
      </c>
      <c r="J88" s="3" t="inlineStr">
        <is>
          <t>Mensual</t>
        </is>
      </c>
      <c r="K88" s="3" t="n"/>
      <c r="L88" s="3" t="inlineStr">
        <is>
          <t>Claude</t>
        </is>
      </c>
      <c r="M88" s="3" t="inlineStr">
        <is>
          <t>Requerido por burn rate</t>
        </is>
      </c>
      <c r="N88" t="inlineStr">
        <is>
          <t>Mensual</t>
        </is>
      </c>
    </row>
    <row r="89" ht="14.25" customHeight="1" s="52">
      <c r="A89" s="3" t="n">
        <v>208</v>
      </c>
      <c r="B89" s="3" t="inlineStr">
        <is>
          <t>Finanzas</t>
        </is>
      </c>
      <c r="C89" s="3" t="inlineStr">
        <is>
          <t>facturacion_periodo</t>
        </is>
      </c>
      <c r="D89" s="3" t="inlineStr">
        <is>
          <t>Facturación del periodo</t>
        </is>
      </c>
      <c r="E89" s="3" t="inlineStr">
        <is>
          <t>Input</t>
        </is>
      </c>
      <c r="F89" s="3" t="inlineStr">
        <is>
          <t>Dinero efectivamente facturado</t>
        </is>
      </c>
      <c r="G89" s="3" t="inlineStr">
        <is>
          <t>COP/USD</t>
        </is>
      </c>
      <c r="H89" s="3" t="inlineStr">
        <is>
          <t>Facturación</t>
        </is>
      </c>
      <c r="I89" s="3" t="inlineStr">
        <is>
          <t>Facturación</t>
        </is>
      </c>
      <c r="J89" s="3" t="inlineStr">
        <is>
          <t>Mensual</t>
        </is>
      </c>
      <c r="K89" s="3" t="n"/>
      <c r="L89" s="3" t="inlineStr">
        <is>
          <t>Claude</t>
        </is>
      </c>
      <c r="M89" s="3" t="inlineStr">
        <is>
          <t>Requerido por DSO / cartera</t>
        </is>
      </c>
      <c r="N89" t="inlineStr">
        <is>
          <t>Mensual</t>
        </is>
      </c>
    </row>
    <row r="90" ht="22.5" customHeight="1" s="52">
      <c r="A90" s="3" t="n">
        <v>209</v>
      </c>
      <c r="B90" s="3" t="inlineStr">
        <is>
          <t>Customer Success</t>
        </is>
      </c>
      <c r="C90" s="3" t="inlineStr">
        <is>
          <t>clientes_perdidos</t>
        </is>
      </c>
      <c r="D90" s="3" t="inlineStr">
        <is>
          <t>Clientes perdidos</t>
        </is>
      </c>
      <c r="E90" s="3" t="inlineStr">
        <is>
          <t>Input</t>
        </is>
      </c>
      <c r="F90" s="3" t="inlineStr">
        <is>
          <t>Clientes que se retiran en el periodo</t>
        </is>
      </c>
      <c r="G90" s="3" t="inlineStr">
        <is>
          <t>Número</t>
        </is>
      </c>
      <c r="H90" s="3" t="inlineStr">
        <is>
          <t>Comercial</t>
        </is>
      </c>
      <c r="I90" s="3" t="inlineStr">
        <is>
          <t>CRM</t>
        </is>
      </c>
      <c r="J90" s="3" t="inlineStr">
        <is>
          <t>Mensual</t>
        </is>
      </c>
      <c r="K90" s="3" t="n"/>
      <c r="L90" s="3" t="inlineStr">
        <is>
          <t>Claude</t>
        </is>
      </c>
      <c r="M90" s="3" t="inlineStr">
        <is>
          <t>Igual a clientes_retirados; requerido por churn</t>
        </is>
      </c>
      <c r="N90" t="inlineStr">
        <is>
          <t>Mensual</t>
        </is>
      </c>
    </row>
    <row r="91" ht="14.25" customHeight="1" s="52">
      <c r="A91" s="3" t="n">
        <v>210</v>
      </c>
      <c r="B91" s="3" t="inlineStr">
        <is>
          <t>Ventas</t>
        </is>
      </c>
      <c r="C91" s="3" t="inlineStr">
        <is>
          <t>deals_ganados</t>
        </is>
      </c>
      <c r="D91" s="3" t="inlineStr">
        <is>
          <t>Deals ganados</t>
        </is>
      </c>
      <c r="E91" s="3" t="inlineStr">
        <is>
          <t>Input</t>
        </is>
      </c>
      <c r="F91" s="3" t="inlineStr">
        <is>
          <t>Nº de oportunidades ganadas</t>
        </is>
      </c>
      <c r="G91" s="3" t="inlineStr">
        <is>
          <t>Número</t>
        </is>
      </c>
      <c r="H91" s="3" t="inlineStr">
        <is>
          <t>Ventas</t>
        </is>
      </c>
      <c r="I91" s="3" t="inlineStr">
        <is>
          <t>CRM</t>
        </is>
      </c>
      <c r="J91" s="3" t="inlineStr">
        <is>
          <t>Mensual</t>
        </is>
      </c>
      <c r="K91" s="3" t="n"/>
      <c r="L91" s="3" t="inlineStr">
        <is>
          <t>Claude</t>
        </is>
      </c>
      <c r="M91" s="3" t="inlineStr">
        <is>
          <t>Requerido por ticket promedio</t>
        </is>
      </c>
      <c r="N91" t="inlineStr">
        <is>
          <t>Mensual</t>
        </is>
      </c>
    </row>
    <row r="92" ht="14.25" customHeight="1" s="52">
      <c r="A92" s="3" t="n">
        <v>211</v>
      </c>
      <c r="B92" s="3" t="inlineStr">
        <is>
          <t>Ventas</t>
        </is>
      </c>
      <c r="C92" s="3" t="inlineStr">
        <is>
          <t>gasto_ventas_comercial</t>
        </is>
      </c>
      <c r="D92" s="3" t="inlineStr">
        <is>
          <t>Gasto comercial (ventas)</t>
        </is>
      </c>
      <c r="E92" s="3" t="inlineStr">
        <is>
          <t>Input</t>
        </is>
      </c>
      <c r="F92" s="3" t="inlineStr">
        <is>
          <t>Gasto del área comercial para adquisición</t>
        </is>
      </c>
      <c r="G92" s="3" t="inlineStr">
        <is>
          <t>COP/USD</t>
        </is>
      </c>
      <c r="H92" s="3" t="inlineStr">
        <is>
          <t>Comercial</t>
        </is>
      </c>
      <c r="I92" s="3" t="inlineStr">
        <is>
          <t>Contabilidad</t>
        </is>
      </c>
      <c r="J92" s="3" t="inlineStr">
        <is>
          <t>Mensual</t>
        </is>
      </c>
      <c r="K92" s="3" t="n"/>
      <c r="L92" s="3" t="inlineStr">
        <is>
          <t>Claude</t>
        </is>
      </c>
      <c r="M92" s="3" t="inlineStr">
        <is>
          <t>Requerido por CAC fully loaded</t>
        </is>
      </c>
      <c r="N92" t="inlineStr">
        <is>
          <t>Mensual</t>
        </is>
      </c>
    </row>
    <row r="93" ht="14.25" customHeight="1" s="52">
      <c r="A93" s="3" t="n">
        <v>212</v>
      </c>
      <c r="B93" s="3" t="inlineStr">
        <is>
          <t>SaaS / Revenue</t>
        </is>
      </c>
      <c r="C93" s="3" t="inlineStr">
        <is>
          <t>churn_ingresos_pct</t>
        </is>
      </c>
      <c r="D93" s="3" t="inlineStr">
        <is>
          <t>Churn de ingresos %</t>
        </is>
      </c>
      <c r="E93" s="3" t="inlineStr">
        <is>
          <t>KPI</t>
        </is>
      </c>
      <c r="F93" s="3" t="inlineStr">
        <is>
          <t>churned_mrr / mrr_inicio</t>
        </is>
      </c>
      <c r="G93" s="3" t="inlineStr">
        <is>
          <t>%</t>
        </is>
      </c>
      <c r="H93" s="3" t="inlineStr">
        <is>
          <t>Finanzas</t>
        </is>
      </c>
      <c r="I93" s="3" t="inlineStr">
        <is>
          <t>Contabilidad</t>
        </is>
      </c>
      <c r="J93" s="3" t="inlineStr">
        <is>
          <t>Mensual</t>
        </is>
      </c>
      <c r="K93" s="3" t="n"/>
      <c r="L93" s="3" t="inlineStr">
        <is>
          <t>Claude</t>
        </is>
      </c>
      <c r="M93" s="3" t="inlineStr">
        <is>
          <t>Requerido por LTV</t>
        </is>
      </c>
      <c r="N93" t="inlineStr">
        <is>
          <t>Mensual</t>
        </is>
      </c>
    </row>
    <row r="94">
      <c r="A94" t="n">
        <v>213</v>
      </c>
      <c r="B94" t="inlineStr">
        <is>
          <t>P&amp;G oficial</t>
        </is>
      </c>
      <c r="C94" t="inlineStr">
        <is>
          <t>pyg_ingresos_operacionales</t>
        </is>
      </c>
      <c r="D94" t="inlineStr">
        <is>
          <t>P&amp;G · Ingresos operacionales netos</t>
        </is>
      </c>
      <c r="E94" t="inlineStr">
        <is>
          <t>Input</t>
        </is>
      </c>
      <c r="F94" t="inlineStr">
        <is>
          <t>Servicio de software − devoluciones</t>
        </is>
      </c>
      <c r="G94" t="inlineStr">
        <is>
          <t>COP/USD</t>
        </is>
      </c>
      <c r="H94" t="inlineStr">
        <is>
          <t>Finanzas</t>
        </is>
      </c>
      <c r="I94" t="inlineStr">
        <is>
          <t>Estados financieros / Contabilidad</t>
        </is>
      </c>
      <c r="J94" t="inlineStr">
        <is>
          <t>Mensual</t>
        </is>
      </c>
      <c r="K94" t="inlineStr">
        <is>
          <t>pais / compañía</t>
        </is>
      </c>
      <c r="L94" t="inlineStr">
        <is>
          <t>COCO</t>
        </is>
      </c>
      <c r="M94" t="inlineStr">
        <is>
          <t>Ingreso operacional neto del P&amp;G oficial mensual</t>
        </is>
      </c>
      <c r="N94" t="inlineStr">
        <is>
          <t>Mensual</t>
        </is>
      </c>
    </row>
    <row r="95">
      <c r="A95" t="n">
        <v>214</v>
      </c>
      <c r="B95" t="inlineStr">
        <is>
          <t>P&amp;G oficial</t>
        </is>
      </c>
      <c r="C95" t="inlineStr">
        <is>
          <t>pyg_servicio_software</t>
        </is>
      </c>
      <c r="D95" t="inlineStr">
        <is>
          <t>P&amp;G · Servicio de software</t>
        </is>
      </c>
      <c r="E95" t="inlineStr">
        <is>
          <t>Input</t>
        </is>
      </c>
      <c r="F95" t="inlineStr">
        <is>
          <t>Facturación bruta por servicio de software</t>
        </is>
      </c>
      <c r="G95" t="inlineStr">
        <is>
          <t>COP</t>
        </is>
      </c>
      <c r="H95" t="inlineStr">
        <is>
          <t>Finanzas</t>
        </is>
      </c>
      <c r="I95" t="inlineStr">
        <is>
          <t>Estados financieros / Contabilidad</t>
        </is>
      </c>
      <c r="J95" t="inlineStr">
        <is>
          <t>Mensual</t>
        </is>
      </c>
      <c r="K95" t="inlineStr">
        <is>
          <t>pais / compañía</t>
        </is>
      </c>
      <c r="L95" t="inlineStr">
        <is>
          <t>COCO</t>
        </is>
      </c>
      <c r="M95" t="inlineStr">
        <is>
          <t>Antes de devoluciones</t>
        </is>
      </c>
      <c r="N95" t="inlineStr">
        <is>
          <t>Mensual</t>
        </is>
      </c>
    </row>
    <row r="96">
      <c r="A96" t="n">
        <v>215</v>
      </c>
      <c r="B96" t="inlineStr">
        <is>
          <t>P&amp;G oficial</t>
        </is>
      </c>
      <c r="C96" t="inlineStr">
        <is>
          <t>pyg_devoluciones</t>
        </is>
      </c>
      <c r="D96" t="inlineStr">
        <is>
          <t>P&amp;G · Devoluciones en ventas</t>
        </is>
      </c>
      <c r="E96" t="inlineStr">
        <is>
          <t>Input</t>
        </is>
      </c>
      <c r="F96" t="inlineStr">
        <is>
          <t>Devoluciones del periodo (valor negativo)</t>
        </is>
      </c>
      <c r="G96" t="inlineStr">
        <is>
          <t>COP</t>
        </is>
      </c>
      <c r="H96" t="inlineStr">
        <is>
          <t>Finanzas</t>
        </is>
      </c>
      <c r="I96" t="inlineStr">
        <is>
          <t>Estados financieros / Contabilidad</t>
        </is>
      </c>
      <c r="J96" t="inlineStr">
        <is>
          <t>Mensual</t>
        </is>
      </c>
      <c r="K96" t="inlineStr">
        <is>
          <t>pais / compañía</t>
        </is>
      </c>
      <c r="L96" t="inlineStr">
        <is>
          <t>COCO</t>
        </is>
      </c>
      <c r="M96" t="inlineStr">
        <is>
          <t>Resta de ingresos</t>
        </is>
      </c>
      <c r="N96" t="inlineStr">
        <is>
          <t>Mensual</t>
        </is>
      </c>
    </row>
    <row r="97">
      <c r="A97" t="n">
        <v>216</v>
      </c>
      <c r="B97" t="inlineStr">
        <is>
          <t>P&amp;G oficial</t>
        </is>
      </c>
      <c r="C97" t="inlineStr">
        <is>
          <t>pyg_costo_ventas</t>
        </is>
      </c>
      <c r="D97" t="inlineStr">
        <is>
          <t>P&amp;G · Costo de ventas</t>
        </is>
      </c>
      <c r="E97" t="inlineStr">
        <is>
          <t>Input</t>
        </is>
      </c>
      <c r="F97" t="inlineStr">
        <is>
          <t>Costo directo del servicio</t>
        </is>
      </c>
      <c r="G97" t="inlineStr">
        <is>
          <t>COP/USD</t>
        </is>
      </c>
      <c r="H97" t="inlineStr">
        <is>
          <t>Finanzas</t>
        </is>
      </c>
      <c r="I97" t="inlineStr">
        <is>
          <t>Estados financieros / Contabilidad</t>
        </is>
      </c>
      <c r="J97" t="inlineStr">
        <is>
          <t>Mensual</t>
        </is>
      </c>
      <c r="K97" t="inlineStr">
        <is>
          <t>pais / compañía</t>
        </is>
      </c>
      <c r="L97" t="inlineStr">
        <is>
          <t>COCO</t>
        </is>
      </c>
      <c r="M97" t="inlineStr">
        <is>
          <t>COGS del P&amp;G oficial</t>
        </is>
      </c>
      <c r="N97" t="inlineStr">
        <is>
          <t>Mensual</t>
        </is>
      </c>
    </row>
    <row r="98">
      <c r="A98" t="n">
        <v>217</v>
      </c>
      <c r="B98" t="inlineStr">
        <is>
          <t>P&amp;G oficial</t>
        </is>
      </c>
      <c r="C98" t="inlineStr">
        <is>
          <t>pyg_utilidad_bruta</t>
        </is>
      </c>
      <c r="D98" t="inlineStr">
        <is>
          <t>P&amp;G · Utilidad bruta</t>
        </is>
      </c>
      <c r="E98" t="inlineStr">
        <is>
          <t>KPI</t>
        </is>
      </c>
      <c r="F98" t="inlineStr">
        <is>
          <t>ingresos_operacionales − costo_ventas</t>
        </is>
      </c>
      <c r="G98" t="inlineStr">
        <is>
          <t>COP</t>
        </is>
      </c>
      <c r="H98" t="inlineStr">
        <is>
          <t>Finanzas</t>
        </is>
      </c>
      <c r="I98" t="inlineStr">
        <is>
          <t>Estados financieros / Contabilidad</t>
        </is>
      </c>
      <c r="J98" t="inlineStr">
        <is>
          <t>Mensual</t>
        </is>
      </c>
      <c r="K98" t="inlineStr">
        <is>
          <t>pais / compañía</t>
        </is>
      </c>
      <c r="L98" t="inlineStr">
        <is>
          <t>COCO</t>
        </is>
      </c>
      <c r="M98" t="inlineStr">
        <is>
          <t>Margen bruto del P&amp;G oficial</t>
        </is>
      </c>
      <c r="N98" t="inlineStr">
        <is>
          <t>Mensual</t>
        </is>
      </c>
    </row>
    <row r="99">
      <c r="A99" t="n">
        <v>218</v>
      </c>
      <c r="B99" t="inlineStr">
        <is>
          <t>P&amp;G oficial</t>
        </is>
      </c>
      <c r="C99" t="inlineStr">
        <is>
          <t>pyg_gasto_administracion</t>
        </is>
      </c>
      <c r="D99" t="inlineStr">
        <is>
          <t>P&amp;G · Gastos de administración</t>
        </is>
      </c>
      <c r="E99" t="inlineStr">
        <is>
          <t>Input</t>
        </is>
      </c>
      <c r="F99" t="inlineStr">
        <is>
          <t>Gastos operacionales de administración</t>
        </is>
      </c>
      <c r="G99" t="inlineStr">
        <is>
          <t>COP/USD</t>
        </is>
      </c>
      <c r="H99" t="inlineStr">
        <is>
          <t>Finanzas</t>
        </is>
      </c>
      <c r="I99" t="inlineStr">
        <is>
          <t>Estados financieros / Contabilidad</t>
        </is>
      </c>
      <c r="J99" t="inlineStr">
        <is>
          <t>Mensual</t>
        </is>
      </c>
      <c r="K99" t="inlineStr">
        <is>
          <t>pais / compañía</t>
        </is>
      </c>
      <c r="L99" t="inlineStr">
        <is>
          <t>COCO</t>
        </is>
      </c>
      <c r="M99" t="inlineStr">
        <is>
          <t>Línea del P&amp;G oficial</t>
        </is>
      </c>
      <c r="N99" t="inlineStr">
        <is>
          <t>Mensual</t>
        </is>
      </c>
    </row>
    <row r="100">
      <c r="A100" t="n">
        <v>219</v>
      </c>
      <c r="B100" t="inlineStr">
        <is>
          <t>P&amp;G oficial</t>
        </is>
      </c>
      <c r="C100" t="inlineStr">
        <is>
          <t>pyg_gasto_proyectos</t>
        </is>
      </c>
      <c r="D100" t="inlineStr">
        <is>
          <t>P&amp;G · Gastos operación/proyectos</t>
        </is>
      </c>
      <c r="E100" t="inlineStr">
        <is>
          <t>Input</t>
        </is>
      </c>
      <c r="F100" t="inlineStr">
        <is>
          <t>Gastos operacionales / proyectos reclasificados</t>
        </is>
      </c>
      <c r="G100" t="inlineStr">
        <is>
          <t>COP/USD</t>
        </is>
      </c>
      <c r="H100" t="inlineStr">
        <is>
          <t>Finanzas</t>
        </is>
      </c>
      <c r="I100" t="inlineStr">
        <is>
          <t>Estados financieros / Contabilidad</t>
        </is>
      </c>
      <c r="J100" t="inlineStr">
        <is>
          <t>Mensual</t>
        </is>
      </c>
      <c r="K100" t="inlineStr">
        <is>
          <t>pais / compañía</t>
        </is>
      </c>
      <c r="L100" t="inlineStr">
        <is>
          <t>COCO</t>
        </is>
      </c>
      <c r="M100" t="inlineStr">
        <is>
          <t>Línea del P&amp;G oficial</t>
        </is>
      </c>
      <c r="N100" t="inlineStr">
        <is>
          <t>Mensual</t>
        </is>
      </c>
    </row>
    <row r="101">
      <c r="A101" t="n">
        <v>220</v>
      </c>
      <c r="B101" t="inlineStr">
        <is>
          <t>P&amp;G oficial</t>
        </is>
      </c>
      <c r="C101" t="inlineStr">
        <is>
          <t>pyg_gasto_ventas</t>
        </is>
      </c>
      <c r="D101" t="inlineStr">
        <is>
          <t>P&amp;G · Gastos de ventas</t>
        </is>
      </c>
      <c r="E101" t="inlineStr">
        <is>
          <t>Input</t>
        </is>
      </c>
      <c r="F101" t="inlineStr">
        <is>
          <t>Gastos operacionales de ventas</t>
        </is>
      </c>
      <c r="G101" t="inlineStr">
        <is>
          <t>COP/USD</t>
        </is>
      </c>
      <c r="H101" t="inlineStr">
        <is>
          <t>Finanzas</t>
        </is>
      </c>
      <c r="I101" t="inlineStr">
        <is>
          <t>Estados financieros / Contabilidad</t>
        </is>
      </c>
      <c r="J101" t="inlineStr">
        <is>
          <t>Mensual</t>
        </is>
      </c>
      <c r="K101" t="inlineStr">
        <is>
          <t>pais / compañía</t>
        </is>
      </c>
      <c r="L101" t="inlineStr">
        <is>
          <t>COCO</t>
        </is>
      </c>
      <c r="M101" t="inlineStr">
        <is>
          <t>Línea del P&amp;G oficial</t>
        </is>
      </c>
      <c r="N101" t="inlineStr">
        <is>
          <t>Mensual</t>
        </is>
      </c>
    </row>
    <row r="102">
      <c r="A102" t="n">
        <v>221</v>
      </c>
      <c r="B102" t="inlineStr">
        <is>
          <t>P&amp;G oficial</t>
        </is>
      </c>
      <c r="C102" t="inlineStr">
        <is>
          <t>pyg_utilidad_operativa</t>
        </is>
      </c>
      <c r="D102" t="inlineStr">
        <is>
          <t>P&amp;G · Utilidad operativa</t>
        </is>
      </c>
      <c r="E102" t="inlineStr">
        <is>
          <t>KPI</t>
        </is>
      </c>
      <c r="F102" t="inlineStr">
        <is>
          <t>utilidad_bruta − gastos operacionales</t>
        </is>
      </c>
      <c r="G102" t="inlineStr">
        <is>
          <t>COP</t>
        </is>
      </c>
      <c r="H102" t="inlineStr">
        <is>
          <t>Finanzas</t>
        </is>
      </c>
      <c r="I102" t="inlineStr">
        <is>
          <t>Estados financieros / Contabilidad</t>
        </is>
      </c>
      <c r="J102" t="inlineStr">
        <is>
          <t>Mensual</t>
        </is>
      </c>
      <c r="K102" t="inlineStr">
        <is>
          <t>pais / compañía</t>
        </is>
      </c>
      <c r="L102" t="inlineStr">
        <is>
          <t>COCO</t>
        </is>
      </c>
      <c r="M102" t="inlineStr">
        <is>
          <t>Base de EBITDA junio</t>
        </is>
      </c>
      <c r="N102" t="inlineStr">
        <is>
          <t>Mensual</t>
        </is>
      </c>
    </row>
    <row r="103">
      <c r="A103" t="n">
        <v>222</v>
      </c>
      <c r="B103" t="inlineStr">
        <is>
          <t>P&amp;G oficial</t>
        </is>
      </c>
      <c r="C103" t="inlineStr">
        <is>
          <t>pyg_ingresos_no_operacionales</t>
        </is>
      </c>
      <c r="D103" t="inlineStr">
        <is>
          <t>P&amp;G · Ingresos no operacionales</t>
        </is>
      </c>
      <c r="E103" t="inlineStr">
        <is>
          <t>Input</t>
        </is>
      </c>
      <c r="F103" t="inlineStr">
        <is>
          <t>Ingresos financieros / otros no operacionales</t>
        </is>
      </c>
      <c r="G103" t="inlineStr">
        <is>
          <t>COP/USD</t>
        </is>
      </c>
      <c r="H103" t="inlineStr">
        <is>
          <t>Finanzas</t>
        </is>
      </c>
      <c r="I103" t="inlineStr">
        <is>
          <t>Estados financieros / Contabilidad</t>
        </is>
      </c>
      <c r="J103" t="inlineStr">
        <is>
          <t>Mensual</t>
        </is>
      </c>
      <c r="K103" t="inlineStr">
        <is>
          <t>pais / compañía</t>
        </is>
      </c>
      <c r="L103" t="inlineStr">
        <is>
          <t>COCO</t>
        </is>
      </c>
      <c r="M103" t="inlineStr">
        <is>
          <t>Línea del P&amp;G oficial</t>
        </is>
      </c>
      <c r="N103" t="inlineStr">
        <is>
          <t>Mensual</t>
        </is>
      </c>
    </row>
    <row r="104">
      <c r="A104" t="n">
        <v>223</v>
      </c>
      <c r="B104" t="inlineStr">
        <is>
          <t>P&amp;G oficial</t>
        </is>
      </c>
      <c r="C104" t="inlineStr">
        <is>
          <t>pyg_gastos_financieros</t>
        </is>
      </c>
      <c r="D104" t="inlineStr">
        <is>
          <t>P&amp;G · Gastos financieros</t>
        </is>
      </c>
      <c r="E104" t="inlineStr">
        <is>
          <t>Input</t>
        </is>
      </c>
      <c r="F104" t="inlineStr">
        <is>
          <t>Gastos no operacionales / financieros</t>
        </is>
      </c>
      <c r="G104" t="inlineStr">
        <is>
          <t>COP/USD</t>
        </is>
      </c>
      <c r="H104" t="inlineStr">
        <is>
          <t>Finanzas</t>
        </is>
      </c>
      <c r="I104" t="inlineStr">
        <is>
          <t>Estados financieros / Contabilidad</t>
        </is>
      </c>
      <c r="J104" t="inlineStr">
        <is>
          <t>Mensual</t>
        </is>
      </c>
      <c r="K104" t="inlineStr">
        <is>
          <t>pais / compañía</t>
        </is>
      </c>
      <c r="L104" t="inlineStr">
        <is>
          <t>COCO</t>
        </is>
      </c>
      <c r="M104" t="inlineStr">
        <is>
          <t>Línea del P&amp;G oficial</t>
        </is>
      </c>
      <c r="N104" t="inlineStr">
        <is>
          <t>Mensual</t>
        </is>
      </c>
    </row>
    <row r="105">
      <c r="A105" t="n">
        <v>224</v>
      </c>
      <c r="B105" t="inlineStr">
        <is>
          <t>P&amp;G oficial</t>
        </is>
      </c>
      <c r="C105" t="inlineStr">
        <is>
          <t>pyg_utilidad_neta</t>
        </is>
      </c>
      <c r="D105" t="inlineStr">
        <is>
          <t>P&amp;G · Utilidad neta</t>
        </is>
      </c>
      <c r="E105" t="inlineStr">
        <is>
          <t>KPI</t>
        </is>
      </c>
      <c r="F105" t="inlineStr">
        <is>
          <t>utilidad operativa + ing. no op − gastos financieros</t>
        </is>
      </c>
      <c r="G105" t="inlineStr">
        <is>
          <t>COP/USD</t>
        </is>
      </c>
      <c r="H105" t="inlineStr">
        <is>
          <t>Finanzas</t>
        </is>
      </c>
      <c r="I105" t="inlineStr">
        <is>
          <t>Estados financieros / Contabilidad</t>
        </is>
      </c>
      <c r="J105" t="inlineStr">
        <is>
          <t>Mensual</t>
        </is>
      </c>
      <c r="K105" t="inlineStr">
        <is>
          <t>pais / compañía</t>
        </is>
      </c>
      <c r="L105" t="inlineStr">
        <is>
          <t>COCO</t>
        </is>
      </c>
      <c r="M105" t="inlineStr">
        <is>
          <t>Resultado del ejercicio del P&amp;G oficial</t>
        </is>
      </c>
      <c r="N105" t="inlineStr">
        <is>
          <t>Mensual</t>
        </is>
      </c>
    </row>
    <row r="106">
      <c r="B106" t="inlineStr">
        <is>
          <t>Internacional</t>
        </is>
      </c>
      <c r="C106" t="inlineStr">
        <is>
          <t>(subsidiarias)</t>
        </is>
      </c>
      <c r="D106" t="inlineStr">
        <is>
          <t>Subsidiarias USA / Perú / Costa Rica</t>
        </is>
      </c>
      <c r="F106" t="inlineStr">
        <is>
          <t>Mismos códigos pyg_* con pais≠Colombia y moneda=USD</t>
        </is>
      </c>
      <c r="L106" t="inlineStr">
        <is>
          <t>COCO</t>
        </is>
      </c>
      <c r="M106" t="inlineStr">
        <is>
          <t>Fuente: plantilla unificación subsidiarias (USD)</t>
        </is>
      </c>
    </row>
    <row r="107">
      <c r="A107" t="n">
        <v>225</v>
      </c>
      <c r="B107" t="inlineStr">
        <is>
          <t>P&amp;G oficial</t>
        </is>
      </c>
      <c r="C107" t="inlineStr">
        <is>
          <t>proinnovate_ingresos</t>
        </is>
      </c>
      <c r="D107" t="inlineStr">
        <is>
          <t>PROINNOVATE · Ingresos/desembolsos</t>
        </is>
      </c>
      <c r="E107" t="inlineStr">
        <is>
          <t>Input</t>
        </is>
      </c>
      <c r="F107" t="inlineStr">
        <is>
          <t>Programa PROINNOVATE (Perú)</t>
        </is>
      </c>
      <c r="G107" t="inlineStr">
        <is>
          <t>USD</t>
        </is>
      </c>
      <c r="H107" t="inlineStr">
        <is>
          <t>Finanzas</t>
        </is>
      </c>
      <c r="I107" t="inlineStr">
        <is>
          <t>Subsidiaria Perú</t>
        </is>
      </c>
      <c r="J107" t="inlineStr">
        <is>
          <t>Mensual</t>
        </is>
      </c>
      <c r="K107" t="inlineStr">
        <is>
          <t>pais=Perú</t>
        </is>
      </c>
      <c r="L107" t="inlineStr">
        <is>
          <t>COCO</t>
        </is>
      </c>
      <c r="M107" t="inlineStr">
        <is>
          <t>Programa PROINNOVATE Perú</t>
        </is>
      </c>
      <c r="N107" t="inlineStr">
        <is>
          <t>Mensual</t>
        </is>
      </c>
    </row>
    <row r="108">
      <c r="A108" t="n">
        <v>226</v>
      </c>
      <c r="B108" t="inlineStr">
        <is>
          <t>P&amp;G oficial</t>
        </is>
      </c>
      <c r="C108" t="inlineStr">
        <is>
          <t>proinnovate_gastos</t>
        </is>
      </c>
      <c r="D108" t="inlineStr">
        <is>
          <t>PROINNOVATE · Gastos asociados</t>
        </is>
      </c>
      <c r="E108" t="inlineStr">
        <is>
          <t>Input</t>
        </is>
      </c>
      <c r="F108" t="inlineStr">
        <is>
          <t>Programa PROINNOVATE (Perú)</t>
        </is>
      </c>
      <c r="G108" t="inlineStr">
        <is>
          <t>USD</t>
        </is>
      </c>
      <c r="H108" t="inlineStr">
        <is>
          <t>Finanzas</t>
        </is>
      </c>
      <c r="I108" t="inlineStr">
        <is>
          <t>Subsidiaria Perú</t>
        </is>
      </c>
      <c r="J108" t="inlineStr">
        <is>
          <t>Mensual</t>
        </is>
      </c>
      <c r="K108" t="inlineStr">
        <is>
          <t>pais=Perú</t>
        </is>
      </c>
      <c r="L108" t="inlineStr">
        <is>
          <t>COCO</t>
        </is>
      </c>
      <c r="M108" t="inlineStr">
        <is>
          <t>Programa PROINNOVATE Perú</t>
        </is>
      </c>
      <c r="N108" t="inlineStr">
        <is>
          <t>Mensual</t>
        </is>
      </c>
    </row>
    <row r="109">
      <c r="A109" t="n">
        <v>227</v>
      </c>
      <c r="B109" t="inlineStr">
        <is>
          <t>P&amp;G oficial</t>
        </is>
      </c>
      <c r="C109" t="inlineStr">
        <is>
          <t>proinnovate_resultado</t>
        </is>
      </c>
      <c r="D109" t="inlineStr">
        <is>
          <t>PROINNOVATE · Resultado neto</t>
        </is>
      </c>
      <c r="E109" t="inlineStr">
        <is>
          <t>Input</t>
        </is>
      </c>
      <c r="F109" t="inlineStr">
        <is>
          <t>Programa PROINNOVATE (Perú)</t>
        </is>
      </c>
      <c r="G109" t="inlineStr">
        <is>
          <t>USD</t>
        </is>
      </c>
      <c r="H109" t="inlineStr">
        <is>
          <t>Finanzas</t>
        </is>
      </c>
      <c r="I109" t="inlineStr">
        <is>
          <t>Subsidiaria Perú</t>
        </is>
      </c>
      <c r="J109" t="inlineStr">
        <is>
          <t>Mensual</t>
        </is>
      </c>
      <c r="K109" t="inlineStr">
        <is>
          <t>pais=Perú</t>
        </is>
      </c>
      <c r="L109" t="inlineStr">
        <is>
          <t>COCO</t>
        </is>
      </c>
      <c r="M109" t="inlineStr">
        <is>
          <t>ingresos − gastos PROINNOVATE</t>
        </is>
      </c>
      <c r="N109" t="inlineStr">
        <is>
          <t>Mensual</t>
        </is>
      </c>
    </row>
    <row r="110">
      <c r="A110" t="n">
        <v>228</v>
      </c>
      <c r="B110" t="inlineStr">
        <is>
          <t>SaaS / Revenue</t>
        </is>
      </c>
      <c r="C110" t="inlineStr">
        <is>
          <t>arr_mrr</t>
        </is>
      </c>
      <c r="D110" t="inlineStr">
        <is>
          <t>ARR (promedio MRR x 12)</t>
        </is>
      </c>
      <c r="E110" t="inlineStr">
        <is>
          <t>KPI</t>
        </is>
      </c>
      <c r="F110" t="inlineStr">
        <is>
          <t>MRR recurrente promedio del año en curso x 12. Definición vigente desde el 27-ago-2026; antes era el MRR del último mes x 12.</t>
        </is>
      </c>
      <c r="G110" t="inlineStr">
        <is>
          <t>COP/USD</t>
        </is>
      </c>
      <c r="H110" t="inlineStr">
        <is>
          <t>Comercial</t>
        </is>
      </c>
      <c r="I110" t="inlineStr">
        <is>
          <t>Comercial / Facturación</t>
        </is>
      </c>
      <c r="J110" t="inlineStr">
        <is>
          <t>Mensual</t>
        </is>
      </c>
      <c r="L110" t="inlineStr">
        <is>
          <t>COCO</t>
        </is>
      </c>
      <c r="M110" t="inlineStr">
        <is>
          <t>MRR anualizado real. Separado de 'arr' porque ese código guarda Ventas Totales reportadas por contabilidad, una métrica distinta.</t>
        </is>
      </c>
      <c r="N110" t="inlineStr">
        <is>
          <t>Mensual</t>
        </is>
      </c>
    </row>
  </sheetData>
  <mergeCells count="2">
    <mergeCell ref="A2:M2"/>
    <mergeCell ref="A1:M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82"/>
  <sheetViews>
    <sheetView showGridLines="0" workbookViewId="0">
      <selection activeCell="A1" sqref="A1:K1"/>
    </sheetView>
  </sheetViews>
  <sheetFormatPr baseColWidth="8" defaultColWidth="8.6640625" defaultRowHeight="14.4"/>
  <cols>
    <col width="12" customWidth="1" style="52" min="1" max="2"/>
    <col width="14" customWidth="1" style="52" min="3" max="3"/>
    <col width="12" customWidth="1" style="52" min="4" max="5"/>
    <col width="26" customWidth="1" style="52" min="6" max="6"/>
    <col width="12" customWidth="1" style="52" min="7" max="7"/>
    <col width="20" customWidth="1" style="52" min="8" max="8"/>
    <col width="16" customWidth="1" style="52" min="9" max="9"/>
    <col width="12" customWidth="1" style="52" min="10" max="10"/>
    <col width="30" customWidth="1" style="52" min="11" max="11"/>
    <col width="14" customWidth="1" style="52" min="12" max="12"/>
    <col width="16" customWidth="1" style="52" min="13" max="13"/>
    <col width="12" customWidth="1" style="52" min="14" max="14"/>
  </cols>
  <sheetData>
    <row r="1" ht="25.5" customHeight="1" s="52">
      <c r="A1" s="53" t="inlineStr">
        <is>
          <t>BD_Indicadores — tabla de hechos (formato largo). 1 fila = 1 indicador en 1 periodo y dimensiones.</t>
        </is>
      </c>
    </row>
    <row r="2" ht="14.25" customHeight="1" s="52">
      <c r="A2" s="4" t="inlineStr">
        <is>
          <t>AAAA-MM</t>
        </is>
      </c>
      <c r="B2" s="4" t="inlineStr">
        <is>
          <t>lista</t>
        </is>
      </c>
      <c r="C2" s="4" t="inlineStr">
        <is>
          <t>lista</t>
        </is>
      </c>
      <c r="D2" s="4" t="inlineStr">
        <is>
          <t>lista</t>
        </is>
      </c>
      <c r="E2" s="4" t="inlineStr">
        <is>
          <t>lista</t>
        </is>
      </c>
      <c r="F2" s="4" t="inlineStr">
        <is>
          <t>lista (Diccionario)</t>
        </is>
      </c>
      <c r="G2" s="4" t="inlineStr">
        <is>
          <t>p.ej. Medianos</t>
        </is>
      </c>
      <c r="H2" s="4" t="inlineStr">
        <is>
          <t>p.ej. AWS / Comercial</t>
        </is>
      </c>
      <c r="I2" s="4" t="inlineStr">
        <is>
          <t>número</t>
        </is>
      </c>
      <c r="J2" s="4" t="inlineStr">
        <is>
          <t>COP/USD/%/…</t>
        </is>
      </c>
      <c r="K2" s="4" t="inlineStr">
        <is>
          <t>opcional</t>
        </is>
      </c>
      <c r="L2" t="inlineStr">
        <is>
          <t>lista (Diccionario)</t>
        </is>
      </c>
    </row>
    <row r="3" ht="24" customHeight="1" s="52">
      <c r="A3" s="47" t="inlineStr">
        <is>
          <t>periodo</t>
        </is>
      </c>
      <c r="B3" s="47" t="inlineStr">
        <is>
          <t>pais</t>
        </is>
      </c>
      <c r="C3" s="47" t="inlineStr">
        <is>
          <t>compania</t>
        </is>
      </c>
      <c r="D3" s="47" t="inlineStr">
        <is>
          <t>moneda</t>
        </is>
      </c>
      <c r="E3" s="47" t="inlineStr">
        <is>
          <t>escenario</t>
        </is>
      </c>
      <c r="F3" s="47" t="inlineStr">
        <is>
          <t>codigo_indicador</t>
        </is>
      </c>
      <c r="G3" s="47" t="inlineStr">
        <is>
          <t>segmento</t>
        </is>
      </c>
      <c r="H3" s="47" t="inlineStr">
        <is>
          <t>detalle</t>
        </is>
      </c>
      <c r="I3" s="47" t="inlineStr">
        <is>
          <t>valor</t>
        </is>
      </c>
      <c r="J3" s="47" t="inlineStr">
        <is>
          <t>unidad</t>
        </is>
      </c>
      <c r="K3" s="47" t="inlineStr">
        <is>
          <t>comentario</t>
        </is>
      </c>
      <c r="L3" s="48" t="inlineStr">
        <is>
          <t>area</t>
        </is>
      </c>
      <c r="M3" s="48" t="inlineStr">
        <is>
          <t>area_responsable</t>
        </is>
      </c>
      <c r="N3" s="48" t="inlineStr">
        <is>
          <t>periodicidad</t>
        </is>
      </c>
    </row>
    <row r="4" ht="14.25" customHeight="1" s="52">
      <c r="A4" t="inlineStr">
        <is>
          <t>2024-01</t>
        </is>
      </c>
      <c r="B4" t="inlineStr">
        <is>
          <t>Colombia</t>
        </is>
      </c>
      <c r="C4" t="inlineStr">
        <is>
          <t>Coco Colombia</t>
        </is>
      </c>
      <c r="D4" t="inlineStr">
        <is>
          <t>COP</t>
        </is>
      </c>
      <c r="E4" t="inlineStr">
        <is>
          <t>Real</t>
        </is>
      </c>
      <c r="F4" t="inlineStr">
        <is>
          <t>ingresos_totales</t>
        </is>
      </c>
      <c r="I4" t="n">
        <v>430000000</v>
      </c>
      <c r="J4" t="inlineStr">
        <is>
          <t>COP</t>
        </is>
      </c>
      <c r="L4">
        <f>IFERROR(INDEX(Diccionario!$B:$B,MATCH(F4,Diccionario!$C:$C,0)),"")</f>
        <v/>
      </c>
      <c r="M4">
        <f>IFERROR(INDEX(Diccionario!$H:$H,MATCH(F4,Diccionario!$C:$C,0)),"")</f>
        <v/>
      </c>
      <c r="N4">
        <f>IFERROR(INDEX(Diccionario!$N:$N,MATCH(F4,Diccionario!$C:$C,0)),"")</f>
        <v/>
      </c>
    </row>
    <row r="5" ht="14.25" customHeight="1" s="52">
      <c r="A5" t="inlineStr">
        <is>
          <t>2024-01</t>
        </is>
      </c>
      <c r="B5" t="inlineStr">
        <is>
          <t>Colombia</t>
        </is>
      </c>
      <c r="C5" t="inlineStr">
        <is>
          <t>Coco Colombia</t>
        </is>
      </c>
      <c r="D5" t="inlineStr">
        <is>
          <t>COP</t>
        </is>
      </c>
      <c r="E5" t="inlineStr">
        <is>
          <t>Real</t>
        </is>
      </c>
      <c r="F5" t="inlineStr">
        <is>
          <t>egresos_totales</t>
        </is>
      </c>
      <c r="I5" t="n">
        <v>547000000</v>
      </c>
      <c r="J5" t="inlineStr">
        <is>
          <t>COP</t>
        </is>
      </c>
      <c r="L5">
        <f>IFERROR(INDEX(Diccionario!$B:$B,MATCH(F5,Diccionario!$C:$C,0)),"")</f>
        <v/>
      </c>
      <c r="M5">
        <f>IFERROR(INDEX(Diccionario!$H:$H,MATCH(F5,Diccionario!$C:$C,0)),"")</f>
        <v/>
      </c>
      <c r="N5">
        <f>IFERROR(INDEX(Diccionario!$N:$N,MATCH(F5,Diccionario!$C:$C,0)),"")</f>
        <v/>
      </c>
    </row>
    <row r="6" ht="14.25" customHeight="1" s="52">
      <c r="A6" t="inlineStr">
        <is>
          <t>2024-01</t>
        </is>
      </c>
      <c r="B6" t="inlineStr">
        <is>
          <t>Colombia</t>
        </is>
      </c>
      <c r="C6" t="inlineStr">
        <is>
          <t>Coco Colombia</t>
        </is>
      </c>
      <c r="D6" t="inlineStr">
        <is>
          <t>COP</t>
        </is>
      </c>
      <c r="E6" t="inlineStr">
        <is>
          <t>Real</t>
        </is>
      </c>
      <c r="F6" t="inlineStr">
        <is>
          <t>utilidad_neta</t>
        </is>
      </c>
      <c r="I6" t="n">
        <v>-117000000</v>
      </c>
      <c r="J6" t="inlineStr">
        <is>
          <t>COP</t>
        </is>
      </c>
      <c r="K6" t="inlineStr">
        <is>
          <t>Derivado: ingresos - egresos</t>
        </is>
      </c>
      <c r="L6">
        <f>IFERROR(INDEX(Diccionario!$B:$B,MATCH(F6,Diccionario!$C:$C,0)),"")</f>
        <v/>
      </c>
      <c r="M6">
        <f>IFERROR(INDEX(Diccionario!$H:$H,MATCH(F6,Diccionario!$C:$C,0)),"")</f>
        <v/>
      </c>
      <c r="N6">
        <f>IFERROR(INDEX(Diccionario!$N:$N,MATCH(F6,Diccionario!$C:$C,0)),"")</f>
        <v/>
      </c>
    </row>
    <row r="7" ht="14.25" customHeight="1" s="52">
      <c r="A7" t="inlineStr">
        <is>
          <t>2024-02</t>
        </is>
      </c>
      <c r="B7" t="inlineStr">
        <is>
          <t>Colombia</t>
        </is>
      </c>
      <c r="C7" t="inlineStr">
        <is>
          <t>Coco Colombia</t>
        </is>
      </c>
      <c r="D7" t="inlineStr">
        <is>
          <t>COP</t>
        </is>
      </c>
      <c r="E7" t="inlineStr">
        <is>
          <t>Real</t>
        </is>
      </c>
      <c r="F7" t="inlineStr">
        <is>
          <t>ingresos_totales</t>
        </is>
      </c>
      <c r="I7" t="n">
        <v>692000000</v>
      </c>
      <c r="J7" t="inlineStr">
        <is>
          <t>COP</t>
        </is>
      </c>
      <c r="L7">
        <f>IFERROR(INDEX(Diccionario!$B:$B,MATCH(F7,Diccionario!$C:$C,0)),"")</f>
        <v/>
      </c>
      <c r="M7">
        <f>IFERROR(INDEX(Diccionario!$H:$H,MATCH(F7,Diccionario!$C:$C,0)),"")</f>
        <v/>
      </c>
      <c r="N7">
        <f>IFERROR(INDEX(Diccionario!$N:$N,MATCH(F7,Diccionario!$C:$C,0)),"")</f>
        <v/>
      </c>
    </row>
    <row r="8" ht="14.25" customHeight="1" s="52">
      <c r="A8" t="inlineStr">
        <is>
          <t>2024-02</t>
        </is>
      </c>
      <c r="B8" t="inlineStr">
        <is>
          <t>Colombia</t>
        </is>
      </c>
      <c r="C8" t="inlineStr">
        <is>
          <t>Coco Colombia</t>
        </is>
      </c>
      <c r="D8" t="inlineStr">
        <is>
          <t>COP</t>
        </is>
      </c>
      <c r="E8" t="inlineStr">
        <is>
          <t>Real</t>
        </is>
      </c>
      <c r="F8" t="inlineStr">
        <is>
          <t>egresos_totales</t>
        </is>
      </c>
      <c r="I8" t="n">
        <v>515000000</v>
      </c>
      <c r="J8" t="inlineStr">
        <is>
          <t>COP</t>
        </is>
      </c>
      <c r="L8">
        <f>IFERROR(INDEX(Diccionario!$B:$B,MATCH(F8,Diccionario!$C:$C,0)),"")</f>
        <v/>
      </c>
      <c r="M8">
        <f>IFERROR(INDEX(Diccionario!$H:$H,MATCH(F8,Diccionario!$C:$C,0)),"")</f>
        <v/>
      </c>
      <c r="N8">
        <f>IFERROR(INDEX(Diccionario!$N:$N,MATCH(F8,Diccionario!$C:$C,0)),"")</f>
        <v/>
      </c>
    </row>
    <row r="9" ht="14.25" customHeight="1" s="52">
      <c r="A9" t="inlineStr">
        <is>
          <t>2024-02</t>
        </is>
      </c>
      <c r="B9" t="inlineStr">
        <is>
          <t>Colombia</t>
        </is>
      </c>
      <c r="C9" t="inlineStr">
        <is>
          <t>Coco Colombia</t>
        </is>
      </c>
      <c r="D9" t="inlineStr">
        <is>
          <t>COP</t>
        </is>
      </c>
      <c r="E9" t="inlineStr">
        <is>
          <t>Real</t>
        </is>
      </c>
      <c r="F9" t="inlineStr">
        <is>
          <t>utilidad_neta</t>
        </is>
      </c>
      <c r="I9" t="n">
        <v>177000000</v>
      </c>
      <c r="J9" t="inlineStr">
        <is>
          <t>COP</t>
        </is>
      </c>
      <c r="K9" t="inlineStr">
        <is>
          <t>Derivado: ingresos - egresos</t>
        </is>
      </c>
      <c r="L9">
        <f>IFERROR(INDEX(Diccionario!$B:$B,MATCH(F9,Diccionario!$C:$C,0)),"")</f>
        <v/>
      </c>
      <c r="M9">
        <f>IFERROR(INDEX(Diccionario!$H:$H,MATCH(F9,Diccionario!$C:$C,0)),"")</f>
        <v/>
      </c>
      <c r="N9">
        <f>IFERROR(INDEX(Diccionario!$N:$N,MATCH(F9,Diccionario!$C:$C,0)),"")</f>
        <v/>
      </c>
    </row>
    <row r="10" ht="14.25" customHeight="1" s="52">
      <c r="A10" t="inlineStr">
        <is>
          <t>2024-03</t>
        </is>
      </c>
      <c r="B10" t="inlineStr">
        <is>
          <t>Colombia</t>
        </is>
      </c>
      <c r="C10" t="inlineStr">
        <is>
          <t>Coco Colombia</t>
        </is>
      </c>
      <c r="D10" t="inlineStr">
        <is>
          <t>COP</t>
        </is>
      </c>
      <c r="E10" t="inlineStr">
        <is>
          <t>Real</t>
        </is>
      </c>
      <c r="F10" t="inlineStr">
        <is>
          <t>ingresos_totales</t>
        </is>
      </c>
      <c r="I10" t="n">
        <v>582000000</v>
      </c>
      <c r="J10" t="inlineStr">
        <is>
          <t>COP</t>
        </is>
      </c>
      <c r="L10">
        <f>IFERROR(INDEX(Diccionario!$B:$B,MATCH(F10,Diccionario!$C:$C,0)),"")</f>
        <v/>
      </c>
      <c r="M10">
        <f>IFERROR(INDEX(Diccionario!$H:$H,MATCH(F10,Diccionario!$C:$C,0)),"")</f>
        <v/>
      </c>
      <c r="N10">
        <f>IFERROR(INDEX(Diccionario!$N:$N,MATCH(F10,Diccionario!$C:$C,0)),"")</f>
        <v/>
      </c>
    </row>
    <row r="11" ht="14.25" customHeight="1" s="52">
      <c r="A11" t="inlineStr">
        <is>
          <t>2024-03</t>
        </is>
      </c>
      <c r="B11" t="inlineStr">
        <is>
          <t>Colombia</t>
        </is>
      </c>
      <c r="C11" t="inlineStr">
        <is>
          <t>Coco Colombia</t>
        </is>
      </c>
      <c r="D11" t="inlineStr">
        <is>
          <t>COP</t>
        </is>
      </c>
      <c r="E11" t="inlineStr">
        <is>
          <t>Real</t>
        </is>
      </c>
      <c r="F11" t="inlineStr">
        <is>
          <t>egresos_totales</t>
        </is>
      </c>
      <c r="I11" t="n">
        <v>571000000</v>
      </c>
      <c r="J11" t="inlineStr">
        <is>
          <t>COP</t>
        </is>
      </c>
      <c r="L11">
        <f>IFERROR(INDEX(Diccionario!$B:$B,MATCH(F11,Diccionario!$C:$C,0)),"")</f>
        <v/>
      </c>
      <c r="M11">
        <f>IFERROR(INDEX(Diccionario!$H:$H,MATCH(F11,Diccionario!$C:$C,0)),"")</f>
        <v/>
      </c>
      <c r="N11">
        <f>IFERROR(INDEX(Diccionario!$N:$N,MATCH(F11,Diccionario!$C:$C,0)),"")</f>
        <v/>
      </c>
    </row>
    <row r="12" ht="14.25" customHeight="1" s="52">
      <c r="A12" t="inlineStr">
        <is>
          <t>2024-03</t>
        </is>
      </c>
      <c r="B12" t="inlineStr">
        <is>
          <t>Colombia</t>
        </is>
      </c>
      <c r="C12" t="inlineStr">
        <is>
          <t>Coco Colombia</t>
        </is>
      </c>
      <c r="D12" t="inlineStr">
        <is>
          <t>COP</t>
        </is>
      </c>
      <c r="E12" t="inlineStr">
        <is>
          <t>Real</t>
        </is>
      </c>
      <c r="F12" t="inlineStr">
        <is>
          <t>utilidad_neta</t>
        </is>
      </c>
      <c r="I12" t="n">
        <v>11000000</v>
      </c>
      <c r="J12" t="inlineStr">
        <is>
          <t>COP</t>
        </is>
      </c>
      <c r="K12" t="inlineStr">
        <is>
          <t>Derivado: ingresos - egresos</t>
        </is>
      </c>
      <c r="L12">
        <f>IFERROR(INDEX(Diccionario!$B:$B,MATCH(F12,Diccionario!$C:$C,0)),"")</f>
        <v/>
      </c>
      <c r="M12">
        <f>IFERROR(INDEX(Diccionario!$H:$H,MATCH(F12,Diccionario!$C:$C,0)),"")</f>
        <v/>
      </c>
      <c r="N12">
        <f>IFERROR(INDEX(Diccionario!$N:$N,MATCH(F12,Diccionario!$C:$C,0)),"")</f>
        <v/>
      </c>
    </row>
    <row r="13" ht="14.25" customHeight="1" s="52">
      <c r="A13" t="inlineStr">
        <is>
          <t>2024-04</t>
        </is>
      </c>
      <c r="B13" t="inlineStr">
        <is>
          <t>Colombia</t>
        </is>
      </c>
      <c r="C13" t="inlineStr">
        <is>
          <t>Coco Colombia</t>
        </is>
      </c>
      <c r="D13" t="inlineStr">
        <is>
          <t>COP</t>
        </is>
      </c>
      <c r="E13" t="inlineStr">
        <is>
          <t>Real</t>
        </is>
      </c>
      <c r="F13" t="inlineStr">
        <is>
          <t>ingresos_totales</t>
        </is>
      </c>
      <c r="I13" t="n">
        <v>578000000</v>
      </c>
      <c r="J13" t="inlineStr">
        <is>
          <t>COP</t>
        </is>
      </c>
      <c r="L13">
        <f>IFERROR(INDEX(Diccionario!$B:$B,MATCH(F13,Diccionario!$C:$C,0)),"")</f>
        <v/>
      </c>
      <c r="M13">
        <f>IFERROR(INDEX(Diccionario!$H:$H,MATCH(F13,Diccionario!$C:$C,0)),"")</f>
        <v/>
      </c>
      <c r="N13">
        <f>IFERROR(INDEX(Diccionario!$N:$N,MATCH(F13,Diccionario!$C:$C,0)),"")</f>
        <v/>
      </c>
    </row>
    <row r="14" ht="14.25" customHeight="1" s="52">
      <c r="A14" t="inlineStr">
        <is>
          <t>2024-04</t>
        </is>
      </c>
      <c r="B14" t="inlineStr">
        <is>
          <t>Colombia</t>
        </is>
      </c>
      <c r="C14" t="inlineStr">
        <is>
          <t>Coco Colombia</t>
        </is>
      </c>
      <c r="D14" t="inlineStr">
        <is>
          <t>COP</t>
        </is>
      </c>
      <c r="E14" t="inlineStr">
        <is>
          <t>Real</t>
        </is>
      </c>
      <c r="F14" t="inlineStr">
        <is>
          <t>egresos_totales</t>
        </is>
      </c>
      <c r="I14" t="n">
        <v>573000000</v>
      </c>
      <c r="J14" t="inlineStr">
        <is>
          <t>COP</t>
        </is>
      </c>
      <c r="L14">
        <f>IFERROR(INDEX(Diccionario!$B:$B,MATCH(F14,Diccionario!$C:$C,0)),"")</f>
        <v/>
      </c>
      <c r="M14">
        <f>IFERROR(INDEX(Diccionario!$H:$H,MATCH(F14,Diccionario!$C:$C,0)),"")</f>
        <v/>
      </c>
      <c r="N14">
        <f>IFERROR(INDEX(Diccionario!$N:$N,MATCH(F14,Diccionario!$C:$C,0)),"")</f>
        <v/>
      </c>
    </row>
    <row r="15" ht="14.25" customHeight="1" s="52">
      <c r="A15" t="inlineStr">
        <is>
          <t>2024-04</t>
        </is>
      </c>
      <c r="B15" t="inlineStr">
        <is>
          <t>Colombia</t>
        </is>
      </c>
      <c r="C15" t="inlineStr">
        <is>
          <t>Coco Colombia</t>
        </is>
      </c>
      <c r="D15" t="inlineStr">
        <is>
          <t>COP</t>
        </is>
      </c>
      <c r="E15" t="inlineStr">
        <is>
          <t>Real</t>
        </is>
      </c>
      <c r="F15" t="inlineStr">
        <is>
          <t>utilidad_neta</t>
        </is>
      </c>
      <c r="I15" t="n">
        <v>5000000</v>
      </c>
      <c r="J15" t="inlineStr">
        <is>
          <t>COP</t>
        </is>
      </c>
      <c r="K15" t="inlineStr">
        <is>
          <t>Derivado: ingresos - egresos</t>
        </is>
      </c>
      <c r="L15">
        <f>IFERROR(INDEX(Diccionario!$B:$B,MATCH(F15,Diccionario!$C:$C,0)),"")</f>
        <v/>
      </c>
      <c r="M15">
        <f>IFERROR(INDEX(Diccionario!$H:$H,MATCH(F15,Diccionario!$C:$C,0)),"")</f>
        <v/>
      </c>
      <c r="N15">
        <f>IFERROR(INDEX(Diccionario!$N:$N,MATCH(F15,Diccionario!$C:$C,0)),"")</f>
        <v/>
      </c>
    </row>
    <row r="16" ht="14.25" customHeight="1" s="52">
      <c r="A16" t="inlineStr">
        <is>
          <t>2024-05</t>
        </is>
      </c>
      <c r="B16" t="inlineStr">
        <is>
          <t>Colombia</t>
        </is>
      </c>
      <c r="C16" t="inlineStr">
        <is>
          <t>Coco Colombia</t>
        </is>
      </c>
      <c r="D16" t="inlineStr">
        <is>
          <t>COP</t>
        </is>
      </c>
      <c r="E16" t="inlineStr">
        <is>
          <t>Real</t>
        </is>
      </c>
      <c r="F16" t="inlineStr">
        <is>
          <t>ingresos_totales</t>
        </is>
      </c>
      <c r="I16" t="n">
        <v>679000000</v>
      </c>
      <c r="J16" t="inlineStr">
        <is>
          <t>COP</t>
        </is>
      </c>
      <c r="L16">
        <f>IFERROR(INDEX(Diccionario!$B:$B,MATCH(F16,Diccionario!$C:$C,0)),"")</f>
        <v/>
      </c>
      <c r="M16">
        <f>IFERROR(INDEX(Diccionario!$H:$H,MATCH(F16,Diccionario!$C:$C,0)),"")</f>
        <v/>
      </c>
      <c r="N16">
        <f>IFERROR(INDEX(Diccionario!$N:$N,MATCH(F16,Diccionario!$C:$C,0)),"")</f>
        <v/>
      </c>
    </row>
    <row r="17" ht="14.25" customHeight="1" s="52">
      <c r="A17" t="inlineStr">
        <is>
          <t>2024-05</t>
        </is>
      </c>
      <c r="B17" t="inlineStr">
        <is>
          <t>Colombia</t>
        </is>
      </c>
      <c r="C17" t="inlineStr">
        <is>
          <t>Coco Colombia</t>
        </is>
      </c>
      <c r="D17" t="inlineStr">
        <is>
          <t>COP</t>
        </is>
      </c>
      <c r="E17" t="inlineStr">
        <is>
          <t>Real</t>
        </is>
      </c>
      <c r="F17" t="inlineStr">
        <is>
          <t>egresos_totales</t>
        </is>
      </c>
      <c r="I17" t="n">
        <v>574000000</v>
      </c>
      <c r="J17" t="inlineStr">
        <is>
          <t>COP</t>
        </is>
      </c>
      <c r="L17">
        <f>IFERROR(INDEX(Diccionario!$B:$B,MATCH(F17,Diccionario!$C:$C,0)),"")</f>
        <v/>
      </c>
      <c r="M17">
        <f>IFERROR(INDEX(Diccionario!$H:$H,MATCH(F17,Diccionario!$C:$C,0)),"")</f>
        <v/>
      </c>
      <c r="N17">
        <f>IFERROR(INDEX(Diccionario!$N:$N,MATCH(F17,Diccionario!$C:$C,0)),"")</f>
        <v/>
      </c>
    </row>
    <row r="18" ht="14.25" customHeight="1" s="52">
      <c r="A18" t="inlineStr">
        <is>
          <t>2024-05</t>
        </is>
      </c>
      <c r="B18" t="inlineStr">
        <is>
          <t>Colombia</t>
        </is>
      </c>
      <c r="C18" t="inlineStr">
        <is>
          <t>Coco Colombia</t>
        </is>
      </c>
      <c r="D18" t="inlineStr">
        <is>
          <t>COP</t>
        </is>
      </c>
      <c r="E18" t="inlineStr">
        <is>
          <t>Real</t>
        </is>
      </c>
      <c r="F18" t="inlineStr">
        <is>
          <t>utilidad_neta</t>
        </is>
      </c>
      <c r="I18" t="n">
        <v>105000000</v>
      </c>
      <c r="J18" t="inlineStr">
        <is>
          <t>COP</t>
        </is>
      </c>
      <c r="K18" t="inlineStr">
        <is>
          <t>Derivado: ingresos - egresos</t>
        </is>
      </c>
      <c r="L18">
        <f>IFERROR(INDEX(Diccionario!$B:$B,MATCH(F18,Diccionario!$C:$C,0)),"")</f>
        <v/>
      </c>
      <c r="M18">
        <f>IFERROR(INDEX(Diccionario!$H:$H,MATCH(F18,Diccionario!$C:$C,0)),"")</f>
        <v/>
      </c>
      <c r="N18">
        <f>IFERROR(INDEX(Diccionario!$N:$N,MATCH(F18,Diccionario!$C:$C,0)),"")</f>
        <v/>
      </c>
    </row>
    <row r="19" ht="14.25" customHeight="1" s="52">
      <c r="A19" t="inlineStr">
        <is>
          <t>2024-06</t>
        </is>
      </c>
      <c r="B19" t="inlineStr">
        <is>
          <t>Colombia</t>
        </is>
      </c>
      <c r="C19" t="inlineStr">
        <is>
          <t>Coco Colombia</t>
        </is>
      </c>
      <c r="D19" t="inlineStr">
        <is>
          <t>COP</t>
        </is>
      </c>
      <c r="E19" t="inlineStr">
        <is>
          <t>Real</t>
        </is>
      </c>
      <c r="F19" t="inlineStr">
        <is>
          <t>ingresos_totales</t>
        </is>
      </c>
      <c r="I19" t="n">
        <v>684000000</v>
      </c>
      <c r="J19" t="inlineStr">
        <is>
          <t>COP</t>
        </is>
      </c>
      <c r="L19">
        <f>IFERROR(INDEX(Diccionario!$B:$B,MATCH(F19,Diccionario!$C:$C,0)),"")</f>
        <v/>
      </c>
      <c r="M19">
        <f>IFERROR(INDEX(Diccionario!$H:$H,MATCH(F19,Diccionario!$C:$C,0)),"")</f>
        <v/>
      </c>
      <c r="N19">
        <f>IFERROR(INDEX(Diccionario!$N:$N,MATCH(F19,Diccionario!$C:$C,0)),"")</f>
        <v/>
      </c>
    </row>
    <row r="20" ht="14.25" customHeight="1" s="52">
      <c r="A20" t="inlineStr">
        <is>
          <t>2024-06</t>
        </is>
      </c>
      <c r="B20" t="inlineStr">
        <is>
          <t>Colombia</t>
        </is>
      </c>
      <c r="C20" t="inlineStr">
        <is>
          <t>Coco Colombia</t>
        </is>
      </c>
      <c r="D20" t="inlineStr">
        <is>
          <t>COP</t>
        </is>
      </c>
      <c r="E20" t="inlineStr">
        <is>
          <t>Real</t>
        </is>
      </c>
      <c r="F20" t="inlineStr">
        <is>
          <t>egresos_totales</t>
        </is>
      </c>
      <c r="I20" t="n">
        <v>611000000</v>
      </c>
      <c r="J20" t="inlineStr">
        <is>
          <t>COP</t>
        </is>
      </c>
      <c r="L20">
        <f>IFERROR(INDEX(Diccionario!$B:$B,MATCH(F20,Diccionario!$C:$C,0)),"")</f>
        <v/>
      </c>
      <c r="M20">
        <f>IFERROR(INDEX(Diccionario!$H:$H,MATCH(F20,Diccionario!$C:$C,0)),"")</f>
        <v/>
      </c>
      <c r="N20">
        <f>IFERROR(INDEX(Diccionario!$N:$N,MATCH(F20,Diccionario!$C:$C,0)),"")</f>
        <v/>
      </c>
    </row>
    <row r="21" ht="14.25" customHeight="1" s="52">
      <c r="A21" t="inlineStr">
        <is>
          <t>2024-06</t>
        </is>
      </c>
      <c r="B21" t="inlineStr">
        <is>
          <t>Colombia</t>
        </is>
      </c>
      <c r="C21" t="inlineStr">
        <is>
          <t>Coco Colombia</t>
        </is>
      </c>
      <c r="D21" t="inlineStr">
        <is>
          <t>COP</t>
        </is>
      </c>
      <c r="E21" t="inlineStr">
        <is>
          <t>Real</t>
        </is>
      </c>
      <c r="F21" t="inlineStr">
        <is>
          <t>utilidad_neta</t>
        </is>
      </c>
      <c r="I21" t="n">
        <v>73000000</v>
      </c>
      <c r="J21" t="inlineStr">
        <is>
          <t>COP</t>
        </is>
      </c>
      <c r="K21" t="inlineStr">
        <is>
          <t>Derivado: ingresos - egresos</t>
        </is>
      </c>
      <c r="L21">
        <f>IFERROR(INDEX(Diccionario!$B:$B,MATCH(F21,Diccionario!$C:$C,0)),"")</f>
        <v/>
      </c>
      <c r="M21">
        <f>IFERROR(INDEX(Diccionario!$H:$H,MATCH(F21,Diccionario!$C:$C,0)),"")</f>
        <v/>
      </c>
      <c r="N21">
        <f>IFERROR(INDEX(Diccionario!$N:$N,MATCH(F21,Diccionario!$C:$C,0)),"")</f>
        <v/>
      </c>
    </row>
    <row r="22" ht="14.25" customHeight="1" s="52">
      <c r="A22" t="inlineStr">
        <is>
          <t>2024-07</t>
        </is>
      </c>
      <c r="B22" t="inlineStr">
        <is>
          <t>Colombia</t>
        </is>
      </c>
      <c r="C22" t="inlineStr">
        <is>
          <t>Coco Colombia</t>
        </is>
      </c>
      <c r="D22" t="inlineStr">
        <is>
          <t>COP</t>
        </is>
      </c>
      <c r="E22" t="inlineStr">
        <is>
          <t>Real</t>
        </is>
      </c>
      <c r="F22" t="inlineStr">
        <is>
          <t>ingresos_totales</t>
        </is>
      </c>
      <c r="I22" t="n">
        <v>642000000</v>
      </c>
      <c r="J22" t="inlineStr">
        <is>
          <t>COP</t>
        </is>
      </c>
      <c r="L22">
        <f>IFERROR(INDEX(Diccionario!$B:$B,MATCH(F22,Diccionario!$C:$C,0)),"")</f>
        <v/>
      </c>
      <c r="M22">
        <f>IFERROR(INDEX(Diccionario!$H:$H,MATCH(F22,Diccionario!$C:$C,0)),"")</f>
        <v/>
      </c>
      <c r="N22">
        <f>IFERROR(INDEX(Diccionario!$N:$N,MATCH(F22,Diccionario!$C:$C,0)),"")</f>
        <v/>
      </c>
    </row>
    <row r="23" ht="14.25" customHeight="1" s="52">
      <c r="A23" t="inlineStr">
        <is>
          <t>2024-07</t>
        </is>
      </c>
      <c r="B23" t="inlineStr">
        <is>
          <t>Colombia</t>
        </is>
      </c>
      <c r="C23" t="inlineStr">
        <is>
          <t>Coco Colombia</t>
        </is>
      </c>
      <c r="D23" t="inlineStr">
        <is>
          <t>COP</t>
        </is>
      </c>
      <c r="E23" t="inlineStr">
        <is>
          <t>Real</t>
        </is>
      </c>
      <c r="F23" t="inlineStr">
        <is>
          <t>egresos_totales</t>
        </is>
      </c>
      <c r="I23" t="n">
        <v>555000000</v>
      </c>
      <c r="J23" t="inlineStr">
        <is>
          <t>COP</t>
        </is>
      </c>
      <c r="L23">
        <f>IFERROR(INDEX(Diccionario!$B:$B,MATCH(F23,Diccionario!$C:$C,0)),"")</f>
        <v/>
      </c>
      <c r="M23">
        <f>IFERROR(INDEX(Diccionario!$H:$H,MATCH(F23,Diccionario!$C:$C,0)),"")</f>
        <v/>
      </c>
      <c r="N23">
        <f>IFERROR(INDEX(Diccionario!$N:$N,MATCH(F23,Diccionario!$C:$C,0)),"")</f>
        <v/>
      </c>
    </row>
    <row r="24" ht="14.25" customHeight="1" s="52">
      <c r="A24" t="inlineStr">
        <is>
          <t>2024-07</t>
        </is>
      </c>
      <c r="B24" t="inlineStr">
        <is>
          <t>Colombia</t>
        </is>
      </c>
      <c r="C24" t="inlineStr">
        <is>
          <t>Coco Colombia</t>
        </is>
      </c>
      <c r="D24" t="inlineStr">
        <is>
          <t>COP</t>
        </is>
      </c>
      <c r="E24" t="inlineStr">
        <is>
          <t>Real</t>
        </is>
      </c>
      <c r="F24" t="inlineStr">
        <is>
          <t>utilidad_neta</t>
        </is>
      </c>
      <c r="I24" t="n">
        <v>87000000</v>
      </c>
      <c r="J24" t="inlineStr">
        <is>
          <t>COP</t>
        </is>
      </c>
      <c r="K24" t="inlineStr">
        <is>
          <t>Derivado: ingresos - egresos</t>
        </is>
      </c>
      <c r="L24">
        <f>IFERROR(INDEX(Diccionario!$B:$B,MATCH(F24,Diccionario!$C:$C,0)),"")</f>
        <v/>
      </c>
      <c r="M24">
        <f>IFERROR(INDEX(Diccionario!$H:$H,MATCH(F24,Diccionario!$C:$C,0)),"")</f>
        <v/>
      </c>
      <c r="N24">
        <f>IFERROR(INDEX(Diccionario!$N:$N,MATCH(F24,Diccionario!$C:$C,0)),"")</f>
        <v/>
      </c>
    </row>
    <row r="25" ht="14.25" customHeight="1" s="52">
      <c r="A25" t="inlineStr">
        <is>
          <t>2024-08</t>
        </is>
      </c>
      <c r="B25" t="inlineStr">
        <is>
          <t>Colombia</t>
        </is>
      </c>
      <c r="C25" t="inlineStr">
        <is>
          <t>Coco Colombia</t>
        </is>
      </c>
      <c r="D25" t="inlineStr">
        <is>
          <t>COP</t>
        </is>
      </c>
      <c r="E25" t="inlineStr">
        <is>
          <t>Real</t>
        </is>
      </c>
      <c r="F25" t="inlineStr">
        <is>
          <t>ingresos_totales</t>
        </is>
      </c>
      <c r="I25" t="n">
        <v>675000000</v>
      </c>
      <c r="J25" t="inlineStr">
        <is>
          <t>COP</t>
        </is>
      </c>
      <c r="L25">
        <f>IFERROR(INDEX(Diccionario!$B:$B,MATCH(F25,Diccionario!$C:$C,0)),"")</f>
        <v/>
      </c>
      <c r="M25">
        <f>IFERROR(INDEX(Diccionario!$H:$H,MATCH(F25,Diccionario!$C:$C,0)),"")</f>
        <v/>
      </c>
      <c r="N25">
        <f>IFERROR(INDEX(Diccionario!$N:$N,MATCH(F25,Diccionario!$C:$C,0)),"")</f>
        <v/>
      </c>
    </row>
    <row r="26" ht="14.25" customHeight="1" s="52">
      <c r="A26" t="inlineStr">
        <is>
          <t>2024-08</t>
        </is>
      </c>
      <c r="B26" t="inlineStr">
        <is>
          <t>Colombia</t>
        </is>
      </c>
      <c r="C26" t="inlineStr">
        <is>
          <t>Coco Colombia</t>
        </is>
      </c>
      <c r="D26" t="inlineStr">
        <is>
          <t>COP</t>
        </is>
      </c>
      <c r="E26" t="inlineStr">
        <is>
          <t>Real</t>
        </is>
      </c>
      <c r="F26" t="inlineStr">
        <is>
          <t>egresos_totales</t>
        </is>
      </c>
      <c r="I26" t="n">
        <v>638000000</v>
      </c>
      <c r="J26" t="inlineStr">
        <is>
          <t>COP</t>
        </is>
      </c>
      <c r="L26">
        <f>IFERROR(INDEX(Diccionario!$B:$B,MATCH(F26,Diccionario!$C:$C,0)),"")</f>
        <v/>
      </c>
      <c r="M26">
        <f>IFERROR(INDEX(Diccionario!$H:$H,MATCH(F26,Diccionario!$C:$C,0)),"")</f>
        <v/>
      </c>
      <c r="N26">
        <f>IFERROR(INDEX(Diccionario!$N:$N,MATCH(F26,Diccionario!$C:$C,0)),"")</f>
        <v/>
      </c>
    </row>
    <row r="27" ht="14.25" customHeight="1" s="52">
      <c r="A27" t="inlineStr">
        <is>
          <t>2024-08</t>
        </is>
      </c>
      <c r="B27" t="inlineStr">
        <is>
          <t>Colombia</t>
        </is>
      </c>
      <c r="C27" t="inlineStr">
        <is>
          <t>Coco Colombia</t>
        </is>
      </c>
      <c r="D27" t="inlineStr">
        <is>
          <t>COP</t>
        </is>
      </c>
      <c r="E27" t="inlineStr">
        <is>
          <t>Real</t>
        </is>
      </c>
      <c r="F27" t="inlineStr">
        <is>
          <t>utilidad_neta</t>
        </is>
      </c>
      <c r="I27" t="n">
        <v>37000000</v>
      </c>
      <c r="J27" t="inlineStr">
        <is>
          <t>COP</t>
        </is>
      </c>
      <c r="K27" t="inlineStr">
        <is>
          <t>Derivado: ingresos - egresos</t>
        </is>
      </c>
      <c r="L27">
        <f>IFERROR(INDEX(Diccionario!$B:$B,MATCH(F27,Diccionario!$C:$C,0)),"")</f>
        <v/>
      </c>
      <c r="M27">
        <f>IFERROR(INDEX(Diccionario!$H:$H,MATCH(F27,Diccionario!$C:$C,0)),"")</f>
        <v/>
      </c>
      <c r="N27">
        <f>IFERROR(INDEX(Diccionario!$N:$N,MATCH(F27,Diccionario!$C:$C,0)),"")</f>
        <v/>
      </c>
    </row>
    <row r="28" ht="14.25" customHeight="1" s="52">
      <c r="A28" t="inlineStr">
        <is>
          <t>2024-09</t>
        </is>
      </c>
      <c r="B28" t="inlineStr">
        <is>
          <t>Colombia</t>
        </is>
      </c>
      <c r="C28" t="inlineStr">
        <is>
          <t>Coco Colombia</t>
        </is>
      </c>
      <c r="D28" t="inlineStr">
        <is>
          <t>COP</t>
        </is>
      </c>
      <c r="E28" t="inlineStr">
        <is>
          <t>Real</t>
        </is>
      </c>
      <c r="F28" t="inlineStr">
        <is>
          <t>ingresos_totales</t>
        </is>
      </c>
      <c r="I28" t="n">
        <v>663000000</v>
      </c>
      <c r="J28" t="inlineStr">
        <is>
          <t>COP</t>
        </is>
      </c>
      <c r="L28">
        <f>IFERROR(INDEX(Diccionario!$B:$B,MATCH(F28,Diccionario!$C:$C,0)),"")</f>
        <v/>
      </c>
      <c r="M28">
        <f>IFERROR(INDEX(Diccionario!$H:$H,MATCH(F28,Diccionario!$C:$C,0)),"")</f>
        <v/>
      </c>
      <c r="N28">
        <f>IFERROR(INDEX(Diccionario!$N:$N,MATCH(F28,Diccionario!$C:$C,0)),"")</f>
        <v/>
      </c>
    </row>
    <row r="29" ht="14.25" customHeight="1" s="52">
      <c r="A29" t="inlineStr">
        <is>
          <t>2024-09</t>
        </is>
      </c>
      <c r="B29" t="inlineStr">
        <is>
          <t>Colombia</t>
        </is>
      </c>
      <c r="C29" t="inlineStr">
        <is>
          <t>Coco Colombia</t>
        </is>
      </c>
      <c r="D29" t="inlineStr">
        <is>
          <t>COP</t>
        </is>
      </c>
      <c r="E29" t="inlineStr">
        <is>
          <t>Real</t>
        </is>
      </c>
      <c r="F29" t="inlineStr">
        <is>
          <t>egresos_totales</t>
        </is>
      </c>
      <c r="I29" t="n">
        <v>679000000</v>
      </c>
      <c r="J29" t="inlineStr">
        <is>
          <t>COP</t>
        </is>
      </c>
      <c r="L29">
        <f>IFERROR(INDEX(Diccionario!$B:$B,MATCH(F29,Diccionario!$C:$C,0)),"")</f>
        <v/>
      </c>
      <c r="M29">
        <f>IFERROR(INDEX(Diccionario!$H:$H,MATCH(F29,Diccionario!$C:$C,0)),"")</f>
        <v/>
      </c>
      <c r="N29">
        <f>IFERROR(INDEX(Diccionario!$N:$N,MATCH(F29,Diccionario!$C:$C,0)),"")</f>
        <v/>
      </c>
    </row>
    <row r="30" ht="14.25" customHeight="1" s="52">
      <c r="A30" t="inlineStr">
        <is>
          <t>2024-09</t>
        </is>
      </c>
      <c r="B30" t="inlineStr">
        <is>
          <t>Colombia</t>
        </is>
      </c>
      <c r="C30" t="inlineStr">
        <is>
          <t>Coco Colombia</t>
        </is>
      </c>
      <c r="D30" t="inlineStr">
        <is>
          <t>COP</t>
        </is>
      </c>
      <c r="E30" t="inlineStr">
        <is>
          <t>Real</t>
        </is>
      </c>
      <c r="F30" t="inlineStr">
        <is>
          <t>utilidad_neta</t>
        </is>
      </c>
      <c r="I30" t="n">
        <v>-16000000</v>
      </c>
      <c r="J30" t="inlineStr">
        <is>
          <t>COP</t>
        </is>
      </c>
      <c r="K30" t="inlineStr">
        <is>
          <t>Derivado: ingresos - egresos</t>
        </is>
      </c>
      <c r="L30">
        <f>IFERROR(INDEX(Diccionario!$B:$B,MATCH(F30,Diccionario!$C:$C,0)),"")</f>
        <v/>
      </c>
      <c r="M30">
        <f>IFERROR(INDEX(Diccionario!$H:$H,MATCH(F30,Diccionario!$C:$C,0)),"")</f>
        <v/>
      </c>
      <c r="N30">
        <f>IFERROR(INDEX(Diccionario!$N:$N,MATCH(F30,Diccionario!$C:$C,0)),"")</f>
        <v/>
      </c>
    </row>
    <row r="31" ht="14.25" customHeight="1" s="52">
      <c r="A31" t="inlineStr">
        <is>
          <t>2024-10</t>
        </is>
      </c>
      <c r="B31" t="inlineStr">
        <is>
          <t>Colombia</t>
        </is>
      </c>
      <c r="C31" t="inlineStr">
        <is>
          <t>Coco Colombia</t>
        </is>
      </c>
      <c r="D31" t="inlineStr">
        <is>
          <t>COP</t>
        </is>
      </c>
      <c r="E31" t="inlineStr">
        <is>
          <t>Real</t>
        </is>
      </c>
      <c r="F31" t="inlineStr">
        <is>
          <t>ingresos_totales</t>
        </is>
      </c>
      <c r="I31" t="n">
        <v>672000000</v>
      </c>
      <c r="J31" t="inlineStr">
        <is>
          <t>COP</t>
        </is>
      </c>
      <c r="L31">
        <f>IFERROR(INDEX(Diccionario!$B:$B,MATCH(F31,Diccionario!$C:$C,0)),"")</f>
        <v/>
      </c>
      <c r="M31">
        <f>IFERROR(INDEX(Diccionario!$H:$H,MATCH(F31,Diccionario!$C:$C,0)),"")</f>
        <v/>
      </c>
      <c r="N31">
        <f>IFERROR(INDEX(Diccionario!$N:$N,MATCH(F31,Diccionario!$C:$C,0)),"")</f>
        <v/>
      </c>
    </row>
    <row r="32" ht="14.25" customHeight="1" s="52">
      <c r="A32" t="inlineStr">
        <is>
          <t>2024-10</t>
        </is>
      </c>
      <c r="B32" t="inlineStr">
        <is>
          <t>Colombia</t>
        </is>
      </c>
      <c r="C32" t="inlineStr">
        <is>
          <t>Coco Colombia</t>
        </is>
      </c>
      <c r="D32" t="inlineStr">
        <is>
          <t>COP</t>
        </is>
      </c>
      <c r="E32" t="inlineStr">
        <is>
          <t>Real</t>
        </is>
      </c>
      <c r="F32" t="inlineStr">
        <is>
          <t>egresos_totales</t>
        </is>
      </c>
      <c r="I32" t="n">
        <v>716000000</v>
      </c>
      <c r="J32" t="inlineStr">
        <is>
          <t>COP</t>
        </is>
      </c>
      <c r="L32">
        <f>IFERROR(INDEX(Diccionario!$B:$B,MATCH(F32,Diccionario!$C:$C,0)),"")</f>
        <v/>
      </c>
      <c r="M32">
        <f>IFERROR(INDEX(Diccionario!$H:$H,MATCH(F32,Diccionario!$C:$C,0)),"")</f>
        <v/>
      </c>
      <c r="N32">
        <f>IFERROR(INDEX(Diccionario!$N:$N,MATCH(F32,Diccionario!$C:$C,0)),"")</f>
        <v/>
      </c>
    </row>
    <row r="33" ht="14.25" customHeight="1" s="52">
      <c r="A33" t="inlineStr">
        <is>
          <t>2024-10</t>
        </is>
      </c>
      <c r="B33" t="inlineStr">
        <is>
          <t>Colombia</t>
        </is>
      </c>
      <c r="C33" t="inlineStr">
        <is>
          <t>Coco Colombia</t>
        </is>
      </c>
      <c r="D33" t="inlineStr">
        <is>
          <t>COP</t>
        </is>
      </c>
      <c r="E33" t="inlineStr">
        <is>
          <t>Real</t>
        </is>
      </c>
      <c r="F33" t="inlineStr">
        <is>
          <t>utilidad_neta</t>
        </is>
      </c>
      <c r="I33" t="n">
        <v>-44000000</v>
      </c>
      <c r="J33" t="inlineStr">
        <is>
          <t>COP</t>
        </is>
      </c>
      <c r="K33" t="inlineStr">
        <is>
          <t>Derivado: ingresos - egresos</t>
        </is>
      </c>
      <c r="L33">
        <f>IFERROR(INDEX(Diccionario!$B:$B,MATCH(F33,Diccionario!$C:$C,0)),"")</f>
        <v/>
      </c>
      <c r="M33">
        <f>IFERROR(INDEX(Diccionario!$H:$H,MATCH(F33,Diccionario!$C:$C,0)),"")</f>
        <v/>
      </c>
      <c r="N33">
        <f>IFERROR(INDEX(Diccionario!$N:$N,MATCH(F33,Diccionario!$C:$C,0)),"")</f>
        <v/>
      </c>
    </row>
    <row r="34" ht="14.25" customHeight="1" s="52">
      <c r="A34" t="inlineStr">
        <is>
          <t>2024-11</t>
        </is>
      </c>
      <c r="B34" t="inlineStr">
        <is>
          <t>Colombia</t>
        </is>
      </c>
      <c r="C34" t="inlineStr">
        <is>
          <t>Coco Colombia</t>
        </is>
      </c>
      <c r="D34" t="inlineStr">
        <is>
          <t>COP</t>
        </is>
      </c>
      <c r="E34" t="inlineStr">
        <is>
          <t>Real</t>
        </is>
      </c>
      <c r="F34" t="inlineStr">
        <is>
          <t>ingresos_totales</t>
        </is>
      </c>
      <c r="I34" t="n">
        <v>761000000</v>
      </c>
      <c r="J34" t="inlineStr">
        <is>
          <t>COP</t>
        </is>
      </c>
      <c r="L34">
        <f>IFERROR(INDEX(Diccionario!$B:$B,MATCH(F34,Diccionario!$C:$C,0)),"")</f>
        <v/>
      </c>
      <c r="M34">
        <f>IFERROR(INDEX(Diccionario!$H:$H,MATCH(F34,Diccionario!$C:$C,0)),"")</f>
        <v/>
      </c>
      <c r="N34">
        <f>IFERROR(INDEX(Diccionario!$N:$N,MATCH(F34,Diccionario!$C:$C,0)),"")</f>
        <v/>
      </c>
    </row>
    <row r="35" ht="14.25" customHeight="1" s="52">
      <c r="A35" t="inlineStr">
        <is>
          <t>2024-11</t>
        </is>
      </c>
      <c r="B35" t="inlineStr">
        <is>
          <t>Colombia</t>
        </is>
      </c>
      <c r="C35" t="inlineStr">
        <is>
          <t>Coco Colombia</t>
        </is>
      </c>
      <c r="D35" t="inlineStr">
        <is>
          <t>COP</t>
        </is>
      </c>
      <c r="E35" t="inlineStr">
        <is>
          <t>Real</t>
        </is>
      </c>
      <c r="F35" t="inlineStr">
        <is>
          <t>egresos_totales</t>
        </is>
      </c>
      <c r="I35" t="n">
        <v>740000000</v>
      </c>
      <c r="J35" t="inlineStr">
        <is>
          <t>COP</t>
        </is>
      </c>
      <c r="L35">
        <f>IFERROR(INDEX(Diccionario!$B:$B,MATCH(F35,Diccionario!$C:$C,0)),"")</f>
        <v/>
      </c>
      <c r="M35">
        <f>IFERROR(INDEX(Diccionario!$H:$H,MATCH(F35,Diccionario!$C:$C,0)),"")</f>
        <v/>
      </c>
      <c r="N35">
        <f>IFERROR(INDEX(Diccionario!$N:$N,MATCH(F35,Diccionario!$C:$C,0)),"")</f>
        <v/>
      </c>
    </row>
    <row r="36" ht="14.25" customHeight="1" s="52">
      <c r="A36" t="inlineStr">
        <is>
          <t>2024-11</t>
        </is>
      </c>
      <c r="B36" t="inlineStr">
        <is>
          <t>Colombia</t>
        </is>
      </c>
      <c r="C36" t="inlineStr">
        <is>
          <t>Coco Colombia</t>
        </is>
      </c>
      <c r="D36" t="inlineStr">
        <is>
          <t>COP</t>
        </is>
      </c>
      <c r="E36" t="inlineStr">
        <is>
          <t>Real</t>
        </is>
      </c>
      <c r="F36" t="inlineStr">
        <is>
          <t>utilidad_neta</t>
        </is>
      </c>
      <c r="I36" t="n">
        <v>21000000</v>
      </c>
      <c r="J36" t="inlineStr">
        <is>
          <t>COP</t>
        </is>
      </c>
      <c r="K36" t="inlineStr">
        <is>
          <t>Derivado: ingresos - egresos</t>
        </is>
      </c>
      <c r="L36">
        <f>IFERROR(INDEX(Diccionario!$B:$B,MATCH(F36,Diccionario!$C:$C,0)),"")</f>
        <v/>
      </c>
      <c r="M36">
        <f>IFERROR(INDEX(Diccionario!$H:$H,MATCH(F36,Diccionario!$C:$C,0)),"")</f>
        <v/>
      </c>
      <c r="N36">
        <f>IFERROR(INDEX(Diccionario!$N:$N,MATCH(F36,Diccionario!$C:$C,0)),"")</f>
        <v/>
      </c>
    </row>
    <row r="37" ht="14.25" customHeight="1" s="52">
      <c r="A37" t="inlineStr">
        <is>
          <t>2024-12</t>
        </is>
      </c>
      <c r="B37" t="inlineStr">
        <is>
          <t>Colombia</t>
        </is>
      </c>
      <c r="C37" t="inlineStr">
        <is>
          <t>Coco Colombia</t>
        </is>
      </c>
      <c r="D37" t="inlineStr">
        <is>
          <t>COP</t>
        </is>
      </c>
      <c r="E37" t="inlineStr">
        <is>
          <t>Real</t>
        </is>
      </c>
      <c r="F37" t="inlineStr">
        <is>
          <t>ingresos_totales</t>
        </is>
      </c>
      <c r="I37" t="n">
        <v>1279000000</v>
      </c>
      <c r="J37" t="inlineStr">
        <is>
          <t>COP</t>
        </is>
      </c>
      <c r="L37">
        <f>IFERROR(INDEX(Diccionario!$B:$B,MATCH(F37,Diccionario!$C:$C,0)),"")</f>
        <v/>
      </c>
      <c r="M37">
        <f>IFERROR(INDEX(Diccionario!$H:$H,MATCH(F37,Diccionario!$C:$C,0)),"")</f>
        <v/>
      </c>
      <c r="N37">
        <f>IFERROR(INDEX(Diccionario!$N:$N,MATCH(F37,Diccionario!$C:$C,0)),"")</f>
        <v/>
      </c>
    </row>
    <row r="38" ht="14.25" customHeight="1" s="52">
      <c r="A38" t="inlineStr">
        <is>
          <t>2024-12</t>
        </is>
      </c>
      <c r="B38" t="inlineStr">
        <is>
          <t>Colombia</t>
        </is>
      </c>
      <c r="C38" t="inlineStr">
        <is>
          <t>Coco Colombia</t>
        </is>
      </c>
      <c r="D38" t="inlineStr">
        <is>
          <t>COP</t>
        </is>
      </c>
      <c r="E38" t="inlineStr">
        <is>
          <t>Real</t>
        </is>
      </c>
      <c r="F38" t="inlineStr">
        <is>
          <t>egresos_totales</t>
        </is>
      </c>
      <c r="I38" t="n">
        <v>810000000</v>
      </c>
      <c r="J38" t="inlineStr">
        <is>
          <t>COP</t>
        </is>
      </c>
      <c r="L38">
        <f>IFERROR(INDEX(Diccionario!$B:$B,MATCH(F38,Diccionario!$C:$C,0)),"")</f>
        <v/>
      </c>
      <c r="M38">
        <f>IFERROR(INDEX(Diccionario!$H:$H,MATCH(F38,Diccionario!$C:$C,0)),"")</f>
        <v/>
      </c>
      <c r="N38">
        <f>IFERROR(INDEX(Diccionario!$N:$N,MATCH(F38,Diccionario!$C:$C,0)),"")</f>
        <v/>
      </c>
    </row>
    <row r="39" ht="14.25" customHeight="1" s="52">
      <c r="A39" t="inlineStr">
        <is>
          <t>2024-12</t>
        </is>
      </c>
      <c r="B39" t="inlineStr">
        <is>
          <t>Colombia</t>
        </is>
      </c>
      <c r="C39" t="inlineStr">
        <is>
          <t>Coco Colombia</t>
        </is>
      </c>
      <c r="D39" t="inlineStr">
        <is>
          <t>COP</t>
        </is>
      </c>
      <c r="E39" t="inlineStr">
        <is>
          <t>Real</t>
        </is>
      </c>
      <c r="F39" t="inlineStr">
        <is>
          <t>utilidad_neta</t>
        </is>
      </c>
      <c r="I39" t="n">
        <v>469000000</v>
      </c>
      <c r="J39" t="inlineStr">
        <is>
          <t>COP</t>
        </is>
      </c>
      <c r="K39" t="inlineStr">
        <is>
          <t>Derivado: ingresos - egresos</t>
        </is>
      </c>
      <c r="L39">
        <f>IFERROR(INDEX(Diccionario!$B:$B,MATCH(F39,Diccionario!$C:$C,0)),"")</f>
        <v/>
      </c>
      <c r="M39">
        <f>IFERROR(INDEX(Diccionario!$H:$H,MATCH(F39,Diccionario!$C:$C,0)),"")</f>
        <v/>
      </c>
      <c r="N39">
        <f>IFERROR(INDEX(Diccionario!$N:$N,MATCH(F39,Diccionario!$C:$C,0)),"")</f>
        <v/>
      </c>
    </row>
    <row r="40" ht="14.25" customHeight="1" s="52">
      <c r="A40" t="inlineStr">
        <is>
          <t>2025-01</t>
        </is>
      </c>
      <c r="B40" t="inlineStr">
        <is>
          <t>Colombia</t>
        </is>
      </c>
      <c r="C40" t="inlineStr">
        <is>
          <t>Coco Colombia</t>
        </is>
      </c>
      <c r="D40" t="inlineStr">
        <is>
          <t>COP</t>
        </is>
      </c>
      <c r="E40" t="inlineStr">
        <is>
          <t>Real</t>
        </is>
      </c>
      <c r="F40" t="inlineStr">
        <is>
          <t>ingresos_totales</t>
        </is>
      </c>
      <c r="I40" t="n">
        <v>504000000</v>
      </c>
      <c r="J40" t="inlineStr">
        <is>
          <t>COP</t>
        </is>
      </c>
      <c r="L40">
        <f>IFERROR(INDEX(Diccionario!$B:$B,MATCH(F40,Diccionario!$C:$C,0)),"")</f>
        <v/>
      </c>
      <c r="M40">
        <f>IFERROR(INDEX(Diccionario!$H:$H,MATCH(F40,Diccionario!$C:$C,0)),"")</f>
        <v/>
      </c>
      <c r="N40">
        <f>IFERROR(INDEX(Diccionario!$N:$N,MATCH(F40,Diccionario!$C:$C,0)),"")</f>
        <v/>
      </c>
    </row>
    <row r="41" ht="14.25" customHeight="1" s="52">
      <c r="A41" t="inlineStr">
        <is>
          <t>2025-01</t>
        </is>
      </c>
      <c r="B41" t="inlineStr">
        <is>
          <t>Colombia</t>
        </is>
      </c>
      <c r="C41" t="inlineStr">
        <is>
          <t>Coco Colombia</t>
        </is>
      </c>
      <c r="D41" t="inlineStr">
        <is>
          <t>COP</t>
        </is>
      </c>
      <c r="E41" t="inlineStr">
        <is>
          <t>Real</t>
        </is>
      </c>
      <c r="F41" t="inlineStr">
        <is>
          <t>egresos_totales</t>
        </is>
      </c>
      <c r="I41" t="n">
        <v>694000000</v>
      </c>
      <c r="J41" t="inlineStr">
        <is>
          <t>COP</t>
        </is>
      </c>
      <c r="L41">
        <f>IFERROR(INDEX(Diccionario!$B:$B,MATCH(F41,Diccionario!$C:$C,0)),"")</f>
        <v/>
      </c>
      <c r="M41">
        <f>IFERROR(INDEX(Diccionario!$H:$H,MATCH(F41,Diccionario!$C:$C,0)),"")</f>
        <v/>
      </c>
      <c r="N41">
        <f>IFERROR(INDEX(Diccionario!$N:$N,MATCH(F41,Diccionario!$C:$C,0)),"")</f>
        <v/>
      </c>
    </row>
    <row r="42" ht="14.25" customHeight="1" s="52">
      <c r="A42" t="inlineStr">
        <is>
          <t>2025-01</t>
        </is>
      </c>
      <c r="B42" t="inlineStr">
        <is>
          <t>Colombia</t>
        </is>
      </c>
      <c r="C42" t="inlineStr">
        <is>
          <t>Coco Colombia</t>
        </is>
      </c>
      <c r="D42" t="inlineStr">
        <is>
          <t>COP</t>
        </is>
      </c>
      <c r="E42" t="inlineStr">
        <is>
          <t>Real</t>
        </is>
      </c>
      <c r="F42" t="inlineStr">
        <is>
          <t>utilidad_neta</t>
        </is>
      </c>
      <c r="I42" t="n">
        <v>-190000000</v>
      </c>
      <c r="J42" t="inlineStr">
        <is>
          <t>COP</t>
        </is>
      </c>
      <c r="K42" t="inlineStr">
        <is>
          <t>Derivado: ingresos - egresos</t>
        </is>
      </c>
      <c r="L42">
        <f>IFERROR(INDEX(Diccionario!$B:$B,MATCH(F42,Diccionario!$C:$C,0)),"")</f>
        <v/>
      </c>
      <c r="M42">
        <f>IFERROR(INDEX(Diccionario!$H:$H,MATCH(F42,Diccionario!$C:$C,0)),"")</f>
        <v/>
      </c>
      <c r="N42">
        <f>IFERROR(INDEX(Diccionario!$N:$N,MATCH(F42,Diccionario!$C:$C,0)),"")</f>
        <v/>
      </c>
    </row>
    <row r="43" ht="14.25" customHeight="1" s="52">
      <c r="A43" t="inlineStr">
        <is>
          <t>2025-02</t>
        </is>
      </c>
      <c r="B43" t="inlineStr">
        <is>
          <t>Colombia</t>
        </is>
      </c>
      <c r="C43" t="inlineStr">
        <is>
          <t>Coco Colombia</t>
        </is>
      </c>
      <c r="D43" t="inlineStr">
        <is>
          <t>COP</t>
        </is>
      </c>
      <c r="E43" t="inlineStr">
        <is>
          <t>Real</t>
        </is>
      </c>
      <c r="F43" t="inlineStr">
        <is>
          <t>ingresos_totales</t>
        </is>
      </c>
      <c r="I43" t="n">
        <v>564000000</v>
      </c>
      <c r="J43" t="inlineStr">
        <is>
          <t>COP</t>
        </is>
      </c>
      <c r="L43">
        <f>IFERROR(INDEX(Diccionario!$B:$B,MATCH(F43,Diccionario!$C:$C,0)),"")</f>
        <v/>
      </c>
      <c r="M43">
        <f>IFERROR(INDEX(Diccionario!$H:$H,MATCH(F43,Diccionario!$C:$C,0)),"")</f>
        <v/>
      </c>
      <c r="N43">
        <f>IFERROR(INDEX(Diccionario!$N:$N,MATCH(F43,Diccionario!$C:$C,0)),"")</f>
        <v/>
      </c>
    </row>
    <row r="44" ht="14.25" customHeight="1" s="52">
      <c r="A44" t="inlineStr">
        <is>
          <t>2025-02</t>
        </is>
      </c>
      <c r="B44" t="inlineStr">
        <is>
          <t>Colombia</t>
        </is>
      </c>
      <c r="C44" t="inlineStr">
        <is>
          <t>Coco Colombia</t>
        </is>
      </c>
      <c r="D44" t="inlineStr">
        <is>
          <t>COP</t>
        </is>
      </c>
      <c r="E44" t="inlineStr">
        <is>
          <t>Real</t>
        </is>
      </c>
      <c r="F44" t="inlineStr">
        <is>
          <t>egresos_totales</t>
        </is>
      </c>
      <c r="I44" t="n">
        <v>688000000</v>
      </c>
      <c r="J44" t="inlineStr">
        <is>
          <t>COP</t>
        </is>
      </c>
      <c r="L44">
        <f>IFERROR(INDEX(Diccionario!$B:$B,MATCH(F44,Diccionario!$C:$C,0)),"")</f>
        <v/>
      </c>
      <c r="M44">
        <f>IFERROR(INDEX(Diccionario!$H:$H,MATCH(F44,Diccionario!$C:$C,0)),"")</f>
        <v/>
      </c>
      <c r="N44">
        <f>IFERROR(INDEX(Diccionario!$N:$N,MATCH(F44,Diccionario!$C:$C,0)),"")</f>
        <v/>
      </c>
    </row>
    <row r="45" ht="14.25" customHeight="1" s="52">
      <c r="A45" t="inlineStr">
        <is>
          <t>2025-02</t>
        </is>
      </c>
      <c r="B45" t="inlineStr">
        <is>
          <t>Colombia</t>
        </is>
      </c>
      <c r="C45" t="inlineStr">
        <is>
          <t>Coco Colombia</t>
        </is>
      </c>
      <c r="D45" t="inlineStr">
        <is>
          <t>COP</t>
        </is>
      </c>
      <c r="E45" t="inlineStr">
        <is>
          <t>Real</t>
        </is>
      </c>
      <c r="F45" t="inlineStr">
        <is>
          <t>utilidad_neta</t>
        </is>
      </c>
      <c r="I45" t="n">
        <v>-124000000</v>
      </c>
      <c r="J45" t="inlineStr">
        <is>
          <t>COP</t>
        </is>
      </c>
      <c r="K45" t="inlineStr">
        <is>
          <t>Derivado: ingresos - egresos</t>
        </is>
      </c>
      <c r="L45">
        <f>IFERROR(INDEX(Diccionario!$B:$B,MATCH(F45,Diccionario!$C:$C,0)),"")</f>
        <v/>
      </c>
      <c r="M45">
        <f>IFERROR(INDEX(Diccionario!$H:$H,MATCH(F45,Diccionario!$C:$C,0)),"")</f>
        <v/>
      </c>
      <c r="N45">
        <f>IFERROR(INDEX(Diccionario!$N:$N,MATCH(F45,Diccionario!$C:$C,0)),"")</f>
        <v/>
      </c>
    </row>
    <row r="46" ht="14.25" customHeight="1" s="52">
      <c r="A46" t="inlineStr">
        <is>
          <t>2025-03</t>
        </is>
      </c>
      <c r="B46" t="inlineStr">
        <is>
          <t>Colombia</t>
        </is>
      </c>
      <c r="C46" t="inlineStr">
        <is>
          <t>Coco Colombia</t>
        </is>
      </c>
      <c r="D46" t="inlineStr">
        <is>
          <t>COP</t>
        </is>
      </c>
      <c r="E46" t="inlineStr">
        <is>
          <t>Real</t>
        </is>
      </c>
      <c r="F46" t="inlineStr">
        <is>
          <t>ingresos_totales</t>
        </is>
      </c>
      <c r="I46" t="n">
        <v>695000000</v>
      </c>
      <c r="J46" t="inlineStr">
        <is>
          <t>COP</t>
        </is>
      </c>
      <c r="L46">
        <f>IFERROR(INDEX(Diccionario!$B:$B,MATCH(F46,Diccionario!$C:$C,0)),"")</f>
        <v/>
      </c>
      <c r="M46">
        <f>IFERROR(INDEX(Diccionario!$H:$H,MATCH(F46,Diccionario!$C:$C,0)),"")</f>
        <v/>
      </c>
      <c r="N46">
        <f>IFERROR(INDEX(Diccionario!$N:$N,MATCH(F46,Diccionario!$C:$C,0)),"")</f>
        <v/>
      </c>
    </row>
    <row r="47" ht="14.25" customHeight="1" s="52">
      <c r="A47" t="inlineStr">
        <is>
          <t>2025-03</t>
        </is>
      </c>
      <c r="B47" t="inlineStr">
        <is>
          <t>Colombia</t>
        </is>
      </c>
      <c r="C47" t="inlineStr">
        <is>
          <t>Coco Colombia</t>
        </is>
      </c>
      <c r="D47" t="inlineStr">
        <is>
          <t>COP</t>
        </is>
      </c>
      <c r="E47" t="inlineStr">
        <is>
          <t>Real</t>
        </is>
      </c>
      <c r="F47" t="inlineStr">
        <is>
          <t>egresos_totales</t>
        </is>
      </c>
      <c r="I47" t="n">
        <v>809000000</v>
      </c>
      <c r="J47" t="inlineStr">
        <is>
          <t>COP</t>
        </is>
      </c>
      <c r="L47">
        <f>IFERROR(INDEX(Diccionario!$B:$B,MATCH(F47,Diccionario!$C:$C,0)),"")</f>
        <v/>
      </c>
      <c r="M47">
        <f>IFERROR(INDEX(Diccionario!$H:$H,MATCH(F47,Diccionario!$C:$C,0)),"")</f>
        <v/>
      </c>
      <c r="N47">
        <f>IFERROR(INDEX(Diccionario!$N:$N,MATCH(F47,Diccionario!$C:$C,0)),"")</f>
        <v/>
      </c>
    </row>
    <row r="48" ht="14.25" customHeight="1" s="52">
      <c r="A48" t="inlineStr">
        <is>
          <t>2025-03</t>
        </is>
      </c>
      <c r="B48" t="inlineStr">
        <is>
          <t>Colombia</t>
        </is>
      </c>
      <c r="C48" t="inlineStr">
        <is>
          <t>Coco Colombia</t>
        </is>
      </c>
      <c r="D48" t="inlineStr">
        <is>
          <t>COP</t>
        </is>
      </c>
      <c r="E48" t="inlineStr">
        <is>
          <t>Real</t>
        </is>
      </c>
      <c r="F48" t="inlineStr">
        <is>
          <t>utilidad_neta</t>
        </is>
      </c>
      <c r="I48" t="n">
        <v>-114000000</v>
      </c>
      <c r="J48" t="inlineStr">
        <is>
          <t>COP</t>
        </is>
      </c>
      <c r="K48" t="inlineStr">
        <is>
          <t>Derivado: ingresos - egresos</t>
        </is>
      </c>
      <c r="L48">
        <f>IFERROR(INDEX(Diccionario!$B:$B,MATCH(F48,Diccionario!$C:$C,0)),"")</f>
        <v/>
      </c>
      <c r="M48">
        <f>IFERROR(INDEX(Diccionario!$H:$H,MATCH(F48,Diccionario!$C:$C,0)),"")</f>
        <v/>
      </c>
      <c r="N48">
        <f>IFERROR(INDEX(Diccionario!$N:$N,MATCH(F48,Diccionario!$C:$C,0)),"")</f>
        <v/>
      </c>
    </row>
    <row r="49" ht="14.25" customHeight="1" s="52">
      <c r="A49" t="inlineStr">
        <is>
          <t>2025-04</t>
        </is>
      </c>
      <c r="B49" t="inlineStr">
        <is>
          <t>Colombia</t>
        </is>
      </c>
      <c r="C49" t="inlineStr">
        <is>
          <t>Coco Colombia</t>
        </is>
      </c>
      <c r="D49" t="inlineStr">
        <is>
          <t>COP</t>
        </is>
      </c>
      <c r="E49" t="inlineStr">
        <is>
          <t>Real</t>
        </is>
      </c>
      <c r="F49" t="inlineStr">
        <is>
          <t>ingresos_totales</t>
        </is>
      </c>
      <c r="I49" t="n">
        <v>578000000</v>
      </c>
      <c r="J49" t="inlineStr">
        <is>
          <t>COP</t>
        </is>
      </c>
      <c r="L49">
        <f>IFERROR(INDEX(Diccionario!$B:$B,MATCH(F49,Diccionario!$C:$C,0)),"")</f>
        <v/>
      </c>
      <c r="M49">
        <f>IFERROR(INDEX(Diccionario!$H:$H,MATCH(F49,Diccionario!$C:$C,0)),"")</f>
        <v/>
      </c>
      <c r="N49">
        <f>IFERROR(INDEX(Diccionario!$N:$N,MATCH(F49,Diccionario!$C:$C,0)),"")</f>
        <v/>
      </c>
    </row>
    <row r="50" ht="14.25" customHeight="1" s="52">
      <c r="A50" t="inlineStr">
        <is>
          <t>2025-04</t>
        </is>
      </c>
      <c r="B50" t="inlineStr">
        <is>
          <t>Colombia</t>
        </is>
      </c>
      <c r="C50" t="inlineStr">
        <is>
          <t>Coco Colombia</t>
        </is>
      </c>
      <c r="D50" t="inlineStr">
        <is>
          <t>COP</t>
        </is>
      </c>
      <c r="E50" t="inlineStr">
        <is>
          <t>Real</t>
        </is>
      </c>
      <c r="F50" t="inlineStr">
        <is>
          <t>egresos_totales</t>
        </is>
      </c>
      <c r="I50" t="n">
        <v>766600000</v>
      </c>
      <c r="J50" t="inlineStr">
        <is>
          <t>COP</t>
        </is>
      </c>
      <c r="L50">
        <f>IFERROR(INDEX(Diccionario!$B:$B,MATCH(F50,Diccionario!$C:$C,0)),"")</f>
        <v/>
      </c>
      <c r="M50">
        <f>IFERROR(INDEX(Diccionario!$H:$H,MATCH(F50,Diccionario!$C:$C,0)),"")</f>
        <v/>
      </c>
      <c r="N50">
        <f>IFERROR(INDEX(Diccionario!$N:$N,MATCH(F50,Diccionario!$C:$C,0)),"")</f>
        <v/>
      </c>
    </row>
    <row r="51" ht="14.25" customHeight="1" s="52">
      <c r="A51" t="inlineStr">
        <is>
          <t>2025-04</t>
        </is>
      </c>
      <c r="B51" t="inlineStr">
        <is>
          <t>Colombia</t>
        </is>
      </c>
      <c r="C51" t="inlineStr">
        <is>
          <t>Coco Colombia</t>
        </is>
      </c>
      <c r="D51" t="inlineStr">
        <is>
          <t>COP</t>
        </is>
      </c>
      <c r="E51" t="inlineStr">
        <is>
          <t>Real</t>
        </is>
      </c>
      <c r="F51" t="inlineStr">
        <is>
          <t>utilidad_neta</t>
        </is>
      </c>
      <c r="I51" t="n">
        <v>-188600000</v>
      </c>
      <c r="J51" t="inlineStr">
        <is>
          <t>COP</t>
        </is>
      </c>
      <c r="K51" t="inlineStr">
        <is>
          <t>Derivado: ingresos - egresos</t>
        </is>
      </c>
      <c r="L51">
        <f>IFERROR(INDEX(Diccionario!$B:$B,MATCH(F51,Diccionario!$C:$C,0)),"")</f>
        <v/>
      </c>
      <c r="M51">
        <f>IFERROR(INDEX(Diccionario!$H:$H,MATCH(F51,Diccionario!$C:$C,0)),"")</f>
        <v/>
      </c>
      <c r="N51">
        <f>IFERROR(INDEX(Diccionario!$N:$N,MATCH(F51,Diccionario!$C:$C,0)),"")</f>
        <v/>
      </c>
    </row>
    <row r="52" ht="14.25" customHeight="1" s="52">
      <c r="A52" t="inlineStr">
        <is>
          <t>2025-05</t>
        </is>
      </c>
      <c r="B52" t="inlineStr">
        <is>
          <t>Colombia</t>
        </is>
      </c>
      <c r="C52" t="inlineStr">
        <is>
          <t>Coco Colombia</t>
        </is>
      </c>
      <c r="D52" t="inlineStr">
        <is>
          <t>COP</t>
        </is>
      </c>
      <c r="E52" t="inlineStr">
        <is>
          <t>Real</t>
        </is>
      </c>
      <c r="F52" t="inlineStr">
        <is>
          <t>ingresos_totales</t>
        </is>
      </c>
      <c r="I52" t="n">
        <v>716000000</v>
      </c>
      <c r="J52" t="inlineStr">
        <is>
          <t>COP</t>
        </is>
      </c>
      <c r="L52">
        <f>IFERROR(INDEX(Diccionario!$B:$B,MATCH(F52,Diccionario!$C:$C,0)),"")</f>
        <v/>
      </c>
      <c r="M52">
        <f>IFERROR(INDEX(Diccionario!$H:$H,MATCH(F52,Diccionario!$C:$C,0)),"")</f>
        <v/>
      </c>
      <c r="N52">
        <f>IFERROR(INDEX(Diccionario!$N:$N,MATCH(F52,Diccionario!$C:$C,0)),"")</f>
        <v/>
      </c>
    </row>
    <row r="53" ht="14.25" customHeight="1" s="52">
      <c r="A53" t="inlineStr">
        <is>
          <t>2025-05</t>
        </is>
      </c>
      <c r="B53" t="inlineStr">
        <is>
          <t>Colombia</t>
        </is>
      </c>
      <c r="C53" t="inlineStr">
        <is>
          <t>Coco Colombia</t>
        </is>
      </c>
      <c r="D53" t="inlineStr">
        <is>
          <t>COP</t>
        </is>
      </c>
      <c r="E53" t="inlineStr">
        <is>
          <t>Real</t>
        </is>
      </c>
      <c r="F53" t="inlineStr">
        <is>
          <t>egresos_totales</t>
        </is>
      </c>
      <c r="I53" t="n">
        <v>729000000</v>
      </c>
      <c r="J53" t="inlineStr">
        <is>
          <t>COP</t>
        </is>
      </c>
      <c r="L53">
        <f>IFERROR(INDEX(Diccionario!$B:$B,MATCH(F53,Diccionario!$C:$C,0)),"")</f>
        <v/>
      </c>
      <c r="M53">
        <f>IFERROR(INDEX(Diccionario!$H:$H,MATCH(F53,Diccionario!$C:$C,0)),"")</f>
        <v/>
      </c>
      <c r="N53">
        <f>IFERROR(INDEX(Diccionario!$N:$N,MATCH(F53,Diccionario!$C:$C,0)),"")</f>
        <v/>
      </c>
    </row>
    <row r="54" ht="14.25" customHeight="1" s="52">
      <c r="A54" t="inlineStr">
        <is>
          <t>2025-05</t>
        </is>
      </c>
      <c r="B54" t="inlineStr">
        <is>
          <t>Colombia</t>
        </is>
      </c>
      <c r="C54" t="inlineStr">
        <is>
          <t>Coco Colombia</t>
        </is>
      </c>
      <c r="D54" t="inlineStr">
        <is>
          <t>COP</t>
        </is>
      </c>
      <c r="E54" t="inlineStr">
        <is>
          <t>Real</t>
        </is>
      </c>
      <c r="F54" t="inlineStr">
        <is>
          <t>utilidad_neta</t>
        </is>
      </c>
      <c r="I54" t="n">
        <v>-13000000</v>
      </c>
      <c r="J54" t="inlineStr">
        <is>
          <t>COP</t>
        </is>
      </c>
      <c r="K54" t="inlineStr">
        <is>
          <t>Derivado: ingresos - egresos</t>
        </is>
      </c>
      <c r="L54">
        <f>IFERROR(INDEX(Diccionario!$B:$B,MATCH(F54,Diccionario!$C:$C,0)),"")</f>
        <v/>
      </c>
      <c r="M54">
        <f>IFERROR(INDEX(Diccionario!$H:$H,MATCH(F54,Diccionario!$C:$C,0)),"")</f>
        <v/>
      </c>
      <c r="N54">
        <f>IFERROR(INDEX(Diccionario!$N:$N,MATCH(F54,Diccionario!$C:$C,0)),"")</f>
        <v/>
      </c>
    </row>
    <row r="55" ht="14.25" customHeight="1" s="52">
      <c r="A55" t="inlineStr">
        <is>
          <t>2025-06</t>
        </is>
      </c>
      <c r="B55" t="inlineStr">
        <is>
          <t>Colombia</t>
        </is>
      </c>
      <c r="C55" t="inlineStr">
        <is>
          <t>Coco Colombia</t>
        </is>
      </c>
      <c r="D55" t="inlineStr">
        <is>
          <t>COP</t>
        </is>
      </c>
      <c r="E55" t="inlineStr">
        <is>
          <t>Real</t>
        </is>
      </c>
      <c r="F55" t="inlineStr">
        <is>
          <t>ingresos_totales</t>
        </is>
      </c>
      <c r="I55" t="n">
        <v>610000000</v>
      </c>
      <c r="J55" t="inlineStr">
        <is>
          <t>COP</t>
        </is>
      </c>
      <c r="L55">
        <f>IFERROR(INDEX(Diccionario!$B:$B,MATCH(F55,Diccionario!$C:$C,0)),"")</f>
        <v/>
      </c>
      <c r="M55">
        <f>IFERROR(INDEX(Diccionario!$H:$H,MATCH(F55,Diccionario!$C:$C,0)),"")</f>
        <v/>
      </c>
      <c r="N55">
        <f>IFERROR(INDEX(Diccionario!$N:$N,MATCH(F55,Diccionario!$C:$C,0)),"")</f>
        <v/>
      </c>
    </row>
    <row r="56" ht="14.25" customHeight="1" s="52">
      <c r="A56" t="inlineStr">
        <is>
          <t>2025-06</t>
        </is>
      </c>
      <c r="B56" t="inlineStr">
        <is>
          <t>Colombia</t>
        </is>
      </c>
      <c r="C56" t="inlineStr">
        <is>
          <t>Coco Colombia</t>
        </is>
      </c>
      <c r="D56" t="inlineStr">
        <is>
          <t>COP</t>
        </is>
      </c>
      <c r="E56" t="inlineStr">
        <is>
          <t>Real</t>
        </is>
      </c>
      <c r="F56" t="inlineStr">
        <is>
          <t>egresos_totales</t>
        </is>
      </c>
      <c r="I56" t="n">
        <v>636000000</v>
      </c>
      <c r="J56" t="inlineStr">
        <is>
          <t>COP</t>
        </is>
      </c>
      <c r="L56">
        <f>IFERROR(INDEX(Diccionario!$B:$B,MATCH(F56,Diccionario!$C:$C,0)),"")</f>
        <v/>
      </c>
      <c r="M56">
        <f>IFERROR(INDEX(Diccionario!$H:$H,MATCH(F56,Diccionario!$C:$C,0)),"")</f>
        <v/>
      </c>
      <c r="N56">
        <f>IFERROR(INDEX(Diccionario!$N:$N,MATCH(F56,Diccionario!$C:$C,0)),"")</f>
        <v/>
      </c>
    </row>
    <row r="57" ht="14.25" customHeight="1" s="52">
      <c r="A57" t="inlineStr">
        <is>
          <t>2025-06</t>
        </is>
      </c>
      <c r="B57" t="inlineStr">
        <is>
          <t>Colombia</t>
        </is>
      </c>
      <c r="C57" t="inlineStr">
        <is>
          <t>Coco Colombia</t>
        </is>
      </c>
      <c r="D57" t="inlineStr">
        <is>
          <t>COP</t>
        </is>
      </c>
      <c r="E57" t="inlineStr">
        <is>
          <t>Real</t>
        </is>
      </c>
      <c r="F57" t="inlineStr">
        <is>
          <t>utilidad_neta</t>
        </is>
      </c>
      <c r="I57" t="n">
        <v>-26000000</v>
      </c>
      <c r="J57" t="inlineStr">
        <is>
          <t>COP</t>
        </is>
      </c>
      <c r="K57" t="inlineStr">
        <is>
          <t>Derivado: ingresos - egresos</t>
        </is>
      </c>
      <c r="L57">
        <f>IFERROR(INDEX(Diccionario!$B:$B,MATCH(F57,Diccionario!$C:$C,0)),"")</f>
        <v/>
      </c>
      <c r="M57">
        <f>IFERROR(INDEX(Diccionario!$H:$H,MATCH(F57,Diccionario!$C:$C,0)),"")</f>
        <v/>
      </c>
      <c r="N57">
        <f>IFERROR(INDEX(Diccionario!$N:$N,MATCH(F57,Diccionario!$C:$C,0)),"")</f>
        <v/>
      </c>
    </row>
    <row r="58" ht="14.25" customHeight="1" s="52">
      <c r="A58" t="inlineStr">
        <is>
          <t>2025-07</t>
        </is>
      </c>
      <c r="B58" t="inlineStr">
        <is>
          <t>Colombia</t>
        </is>
      </c>
      <c r="C58" t="inlineStr">
        <is>
          <t>Coco Colombia</t>
        </is>
      </c>
      <c r="D58" t="inlineStr">
        <is>
          <t>COP</t>
        </is>
      </c>
      <c r="E58" t="inlineStr">
        <is>
          <t>Real</t>
        </is>
      </c>
      <c r="F58" t="inlineStr">
        <is>
          <t>ingresos_totales</t>
        </is>
      </c>
      <c r="I58" t="n">
        <v>648000000</v>
      </c>
      <c r="J58" t="inlineStr">
        <is>
          <t>COP</t>
        </is>
      </c>
      <c r="L58">
        <f>IFERROR(INDEX(Diccionario!$B:$B,MATCH(F58,Diccionario!$C:$C,0)),"")</f>
        <v/>
      </c>
      <c r="M58">
        <f>IFERROR(INDEX(Diccionario!$H:$H,MATCH(F58,Diccionario!$C:$C,0)),"")</f>
        <v/>
      </c>
      <c r="N58">
        <f>IFERROR(INDEX(Diccionario!$N:$N,MATCH(F58,Diccionario!$C:$C,0)),"")</f>
        <v/>
      </c>
    </row>
    <row r="59" ht="14.25" customHeight="1" s="52">
      <c r="A59" t="inlineStr">
        <is>
          <t>2025-07</t>
        </is>
      </c>
      <c r="B59" t="inlineStr">
        <is>
          <t>Colombia</t>
        </is>
      </c>
      <c r="C59" t="inlineStr">
        <is>
          <t>Coco Colombia</t>
        </is>
      </c>
      <c r="D59" t="inlineStr">
        <is>
          <t>COP</t>
        </is>
      </c>
      <c r="E59" t="inlineStr">
        <is>
          <t>Real</t>
        </is>
      </c>
      <c r="F59" t="inlineStr">
        <is>
          <t>egresos_totales</t>
        </is>
      </c>
      <c r="I59" t="n">
        <v>884000000</v>
      </c>
      <c r="J59" t="inlineStr">
        <is>
          <t>COP</t>
        </is>
      </c>
      <c r="L59">
        <f>IFERROR(INDEX(Diccionario!$B:$B,MATCH(F59,Diccionario!$C:$C,0)),"")</f>
        <v/>
      </c>
      <c r="M59">
        <f>IFERROR(INDEX(Diccionario!$H:$H,MATCH(F59,Diccionario!$C:$C,0)),"")</f>
        <v/>
      </c>
      <c r="N59">
        <f>IFERROR(INDEX(Diccionario!$N:$N,MATCH(F59,Diccionario!$C:$C,0)),"")</f>
        <v/>
      </c>
    </row>
    <row r="60" ht="14.25" customHeight="1" s="52">
      <c r="A60" t="inlineStr">
        <is>
          <t>2025-07</t>
        </is>
      </c>
      <c r="B60" t="inlineStr">
        <is>
          <t>Colombia</t>
        </is>
      </c>
      <c r="C60" t="inlineStr">
        <is>
          <t>Coco Colombia</t>
        </is>
      </c>
      <c r="D60" t="inlineStr">
        <is>
          <t>COP</t>
        </is>
      </c>
      <c r="E60" t="inlineStr">
        <is>
          <t>Real</t>
        </is>
      </c>
      <c r="F60" t="inlineStr">
        <is>
          <t>utilidad_neta</t>
        </is>
      </c>
      <c r="I60" t="n">
        <v>-236000000</v>
      </c>
      <c r="J60" t="inlineStr">
        <is>
          <t>COP</t>
        </is>
      </c>
      <c r="K60" t="inlineStr">
        <is>
          <t>Derivado: ingresos - egresos</t>
        </is>
      </c>
      <c r="L60">
        <f>IFERROR(INDEX(Diccionario!$B:$B,MATCH(F60,Diccionario!$C:$C,0)),"")</f>
        <v/>
      </c>
      <c r="M60">
        <f>IFERROR(INDEX(Diccionario!$H:$H,MATCH(F60,Diccionario!$C:$C,0)),"")</f>
        <v/>
      </c>
      <c r="N60">
        <f>IFERROR(INDEX(Diccionario!$N:$N,MATCH(F60,Diccionario!$C:$C,0)),"")</f>
        <v/>
      </c>
    </row>
    <row r="61" ht="14.25" customHeight="1" s="52">
      <c r="A61" t="inlineStr">
        <is>
          <t>2025-08</t>
        </is>
      </c>
      <c r="B61" t="inlineStr">
        <is>
          <t>Colombia</t>
        </is>
      </c>
      <c r="C61" t="inlineStr">
        <is>
          <t>Coco Colombia</t>
        </is>
      </c>
      <c r="D61" t="inlineStr">
        <is>
          <t>COP</t>
        </is>
      </c>
      <c r="E61" t="inlineStr">
        <is>
          <t>Real</t>
        </is>
      </c>
      <c r="F61" t="inlineStr">
        <is>
          <t>ingresos_totales</t>
        </is>
      </c>
      <c r="I61" t="n">
        <v>634000000</v>
      </c>
      <c r="J61" t="inlineStr">
        <is>
          <t>COP</t>
        </is>
      </c>
      <c r="L61">
        <f>IFERROR(INDEX(Diccionario!$B:$B,MATCH(F61,Diccionario!$C:$C,0)),"")</f>
        <v/>
      </c>
      <c r="M61">
        <f>IFERROR(INDEX(Diccionario!$H:$H,MATCH(F61,Diccionario!$C:$C,0)),"")</f>
        <v/>
      </c>
      <c r="N61">
        <f>IFERROR(INDEX(Diccionario!$N:$N,MATCH(F61,Diccionario!$C:$C,0)),"")</f>
        <v/>
      </c>
    </row>
    <row r="62" ht="14.25" customHeight="1" s="52">
      <c r="A62" t="inlineStr">
        <is>
          <t>2025-08</t>
        </is>
      </c>
      <c r="B62" t="inlineStr">
        <is>
          <t>Colombia</t>
        </is>
      </c>
      <c r="C62" t="inlineStr">
        <is>
          <t>Coco Colombia</t>
        </is>
      </c>
      <c r="D62" t="inlineStr">
        <is>
          <t>COP</t>
        </is>
      </c>
      <c r="E62" t="inlineStr">
        <is>
          <t>Real</t>
        </is>
      </c>
      <c r="F62" t="inlineStr">
        <is>
          <t>egresos_totales</t>
        </is>
      </c>
      <c r="I62" t="n">
        <v>673000000</v>
      </c>
      <c r="J62" t="inlineStr">
        <is>
          <t>COP</t>
        </is>
      </c>
      <c r="L62">
        <f>IFERROR(INDEX(Diccionario!$B:$B,MATCH(F62,Diccionario!$C:$C,0)),"")</f>
        <v/>
      </c>
      <c r="M62">
        <f>IFERROR(INDEX(Diccionario!$H:$H,MATCH(F62,Diccionario!$C:$C,0)),"")</f>
        <v/>
      </c>
      <c r="N62">
        <f>IFERROR(INDEX(Diccionario!$N:$N,MATCH(F62,Diccionario!$C:$C,0)),"")</f>
        <v/>
      </c>
    </row>
    <row r="63" ht="14.25" customHeight="1" s="52">
      <c r="A63" t="inlineStr">
        <is>
          <t>2025-08</t>
        </is>
      </c>
      <c r="B63" t="inlineStr">
        <is>
          <t>Colombia</t>
        </is>
      </c>
      <c r="C63" t="inlineStr">
        <is>
          <t>Coco Colombia</t>
        </is>
      </c>
      <c r="D63" t="inlineStr">
        <is>
          <t>COP</t>
        </is>
      </c>
      <c r="E63" t="inlineStr">
        <is>
          <t>Real</t>
        </is>
      </c>
      <c r="F63" t="inlineStr">
        <is>
          <t>utilidad_neta</t>
        </is>
      </c>
      <c r="I63" t="n">
        <v>-39000000</v>
      </c>
      <c r="J63" t="inlineStr">
        <is>
          <t>COP</t>
        </is>
      </c>
      <c r="K63" t="inlineStr">
        <is>
          <t>Derivado: ingresos - egresos</t>
        </is>
      </c>
      <c r="L63">
        <f>IFERROR(INDEX(Diccionario!$B:$B,MATCH(F63,Diccionario!$C:$C,0)),"")</f>
        <v/>
      </c>
      <c r="M63">
        <f>IFERROR(INDEX(Diccionario!$H:$H,MATCH(F63,Diccionario!$C:$C,0)),"")</f>
        <v/>
      </c>
      <c r="N63">
        <f>IFERROR(INDEX(Diccionario!$N:$N,MATCH(F63,Diccionario!$C:$C,0)),"")</f>
        <v/>
      </c>
    </row>
    <row r="64" ht="14.25" customHeight="1" s="52">
      <c r="A64" t="inlineStr">
        <is>
          <t>2025-09</t>
        </is>
      </c>
      <c r="B64" t="inlineStr">
        <is>
          <t>Colombia</t>
        </is>
      </c>
      <c r="C64" t="inlineStr">
        <is>
          <t>Coco Colombia</t>
        </is>
      </c>
      <c r="D64" t="inlineStr">
        <is>
          <t>COP</t>
        </is>
      </c>
      <c r="E64" t="inlineStr">
        <is>
          <t>Real</t>
        </is>
      </c>
      <c r="F64" t="inlineStr">
        <is>
          <t>ingresos_totales</t>
        </is>
      </c>
      <c r="I64" t="n">
        <v>758000000</v>
      </c>
      <c r="J64" t="inlineStr">
        <is>
          <t>COP</t>
        </is>
      </c>
      <c r="L64">
        <f>IFERROR(INDEX(Diccionario!$B:$B,MATCH(F64,Diccionario!$C:$C,0)),"")</f>
        <v/>
      </c>
      <c r="M64">
        <f>IFERROR(INDEX(Diccionario!$H:$H,MATCH(F64,Diccionario!$C:$C,0)),"")</f>
        <v/>
      </c>
      <c r="N64">
        <f>IFERROR(INDEX(Diccionario!$N:$N,MATCH(F64,Diccionario!$C:$C,0)),"")</f>
        <v/>
      </c>
    </row>
    <row r="65" ht="14.25" customHeight="1" s="52">
      <c r="A65" t="inlineStr">
        <is>
          <t>2025-09</t>
        </is>
      </c>
      <c r="B65" t="inlineStr">
        <is>
          <t>Colombia</t>
        </is>
      </c>
      <c r="C65" t="inlineStr">
        <is>
          <t>Coco Colombia</t>
        </is>
      </c>
      <c r="D65" t="inlineStr">
        <is>
          <t>COP</t>
        </is>
      </c>
      <c r="E65" t="inlineStr">
        <is>
          <t>Real</t>
        </is>
      </c>
      <c r="F65" t="inlineStr">
        <is>
          <t>egresos_totales</t>
        </is>
      </c>
      <c r="I65" t="n">
        <v>708000000</v>
      </c>
      <c r="J65" t="inlineStr">
        <is>
          <t>COP</t>
        </is>
      </c>
      <c r="L65">
        <f>IFERROR(INDEX(Diccionario!$B:$B,MATCH(F65,Diccionario!$C:$C,0)),"")</f>
        <v/>
      </c>
      <c r="M65">
        <f>IFERROR(INDEX(Diccionario!$H:$H,MATCH(F65,Diccionario!$C:$C,0)),"")</f>
        <v/>
      </c>
      <c r="N65">
        <f>IFERROR(INDEX(Diccionario!$N:$N,MATCH(F65,Diccionario!$C:$C,0)),"")</f>
        <v/>
      </c>
    </row>
    <row r="66" ht="14.25" customHeight="1" s="52">
      <c r="A66" t="inlineStr">
        <is>
          <t>2025-09</t>
        </is>
      </c>
      <c r="B66" t="inlineStr">
        <is>
          <t>Colombia</t>
        </is>
      </c>
      <c r="C66" t="inlineStr">
        <is>
          <t>Coco Colombia</t>
        </is>
      </c>
      <c r="D66" t="inlineStr">
        <is>
          <t>COP</t>
        </is>
      </c>
      <c r="E66" t="inlineStr">
        <is>
          <t>Real</t>
        </is>
      </c>
      <c r="F66" t="inlineStr">
        <is>
          <t>utilidad_neta</t>
        </is>
      </c>
      <c r="I66" t="n">
        <v>50000000</v>
      </c>
      <c r="J66" t="inlineStr">
        <is>
          <t>COP</t>
        </is>
      </c>
      <c r="K66" t="inlineStr">
        <is>
          <t>Derivado: ingresos - egresos</t>
        </is>
      </c>
      <c r="L66">
        <f>IFERROR(INDEX(Diccionario!$B:$B,MATCH(F66,Diccionario!$C:$C,0)),"")</f>
        <v/>
      </c>
      <c r="M66">
        <f>IFERROR(INDEX(Diccionario!$H:$H,MATCH(F66,Diccionario!$C:$C,0)),"")</f>
        <v/>
      </c>
      <c r="N66">
        <f>IFERROR(INDEX(Diccionario!$N:$N,MATCH(F66,Diccionario!$C:$C,0)),"")</f>
        <v/>
      </c>
    </row>
    <row r="67" ht="14.25" customHeight="1" s="52">
      <c r="A67" t="inlineStr">
        <is>
          <t>2025-10</t>
        </is>
      </c>
      <c r="B67" t="inlineStr">
        <is>
          <t>Colombia</t>
        </is>
      </c>
      <c r="C67" t="inlineStr">
        <is>
          <t>Coco Colombia</t>
        </is>
      </c>
      <c r="D67" t="inlineStr">
        <is>
          <t>COP</t>
        </is>
      </c>
      <c r="E67" t="inlineStr">
        <is>
          <t>Real</t>
        </is>
      </c>
      <c r="F67" t="inlineStr">
        <is>
          <t>ingresos_totales</t>
        </is>
      </c>
      <c r="I67" t="n">
        <v>691000000</v>
      </c>
      <c r="J67" t="inlineStr">
        <is>
          <t>COP</t>
        </is>
      </c>
      <c r="L67">
        <f>IFERROR(INDEX(Diccionario!$B:$B,MATCH(F67,Diccionario!$C:$C,0)),"")</f>
        <v/>
      </c>
      <c r="M67">
        <f>IFERROR(INDEX(Diccionario!$H:$H,MATCH(F67,Diccionario!$C:$C,0)),"")</f>
        <v/>
      </c>
      <c r="N67">
        <f>IFERROR(INDEX(Diccionario!$N:$N,MATCH(F67,Diccionario!$C:$C,0)),"")</f>
        <v/>
      </c>
    </row>
    <row r="68" ht="14.25" customHeight="1" s="52">
      <c r="A68" t="inlineStr">
        <is>
          <t>2025-10</t>
        </is>
      </c>
      <c r="B68" t="inlineStr">
        <is>
          <t>Colombia</t>
        </is>
      </c>
      <c r="C68" t="inlineStr">
        <is>
          <t>Coco Colombia</t>
        </is>
      </c>
      <c r="D68" t="inlineStr">
        <is>
          <t>COP</t>
        </is>
      </c>
      <c r="E68" t="inlineStr">
        <is>
          <t>Real</t>
        </is>
      </c>
      <c r="F68" t="inlineStr">
        <is>
          <t>egresos_totales</t>
        </is>
      </c>
      <c r="I68" t="n">
        <v>778000000</v>
      </c>
      <c r="J68" t="inlineStr">
        <is>
          <t>COP</t>
        </is>
      </c>
      <c r="L68">
        <f>IFERROR(INDEX(Diccionario!$B:$B,MATCH(F68,Diccionario!$C:$C,0)),"")</f>
        <v/>
      </c>
      <c r="M68">
        <f>IFERROR(INDEX(Diccionario!$H:$H,MATCH(F68,Diccionario!$C:$C,0)),"")</f>
        <v/>
      </c>
      <c r="N68">
        <f>IFERROR(INDEX(Diccionario!$N:$N,MATCH(F68,Diccionario!$C:$C,0)),"")</f>
        <v/>
      </c>
    </row>
    <row r="69" ht="14.25" customHeight="1" s="52">
      <c r="A69" t="inlineStr">
        <is>
          <t>2025-10</t>
        </is>
      </c>
      <c r="B69" t="inlineStr">
        <is>
          <t>Colombia</t>
        </is>
      </c>
      <c r="C69" t="inlineStr">
        <is>
          <t>Coco Colombia</t>
        </is>
      </c>
      <c r="D69" t="inlineStr">
        <is>
          <t>COP</t>
        </is>
      </c>
      <c r="E69" t="inlineStr">
        <is>
          <t>Real</t>
        </is>
      </c>
      <c r="F69" t="inlineStr">
        <is>
          <t>utilidad_neta</t>
        </is>
      </c>
      <c r="I69" t="n">
        <v>-87000000</v>
      </c>
      <c r="J69" t="inlineStr">
        <is>
          <t>COP</t>
        </is>
      </c>
      <c r="K69" t="inlineStr">
        <is>
          <t>Derivado: ingresos - egresos</t>
        </is>
      </c>
      <c r="L69">
        <f>IFERROR(INDEX(Diccionario!$B:$B,MATCH(F69,Diccionario!$C:$C,0)),"")</f>
        <v/>
      </c>
      <c r="M69">
        <f>IFERROR(INDEX(Diccionario!$H:$H,MATCH(F69,Diccionario!$C:$C,0)),"")</f>
        <v/>
      </c>
      <c r="N69">
        <f>IFERROR(INDEX(Diccionario!$N:$N,MATCH(F69,Diccionario!$C:$C,0)),"")</f>
        <v/>
      </c>
    </row>
    <row r="70" ht="14.25" customHeight="1" s="52">
      <c r="A70" t="inlineStr">
        <is>
          <t>2025-11</t>
        </is>
      </c>
      <c r="B70" t="inlineStr">
        <is>
          <t>Colombia</t>
        </is>
      </c>
      <c r="C70" t="inlineStr">
        <is>
          <t>Coco Colombia</t>
        </is>
      </c>
      <c r="D70" t="inlineStr">
        <is>
          <t>COP</t>
        </is>
      </c>
      <c r="E70" t="inlineStr">
        <is>
          <t>Real</t>
        </is>
      </c>
      <c r="F70" t="inlineStr">
        <is>
          <t>ingresos_totales</t>
        </is>
      </c>
      <c r="I70" t="n">
        <v>700000000</v>
      </c>
      <c r="J70" t="inlineStr">
        <is>
          <t>COP</t>
        </is>
      </c>
      <c r="L70">
        <f>IFERROR(INDEX(Diccionario!$B:$B,MATCH(F70,Diccionario!$C:$C,0)),"")</f>
        <v/>
      </c>
      <c r="M70">
        <f>IFERROR(INDEX(Diccionario!$H:$H,MATCH(F70,Diccionario!$C:$C,0)),"")</f>
        <v/>
      </c>
      <c r="N70">
        <f>IFERROR(INDEX(Diccionario!$N:$N,MATCH(F70,Diccionario!$C:$C,0)),"")</f>
        <v/>
      </c>
    </row>
    <row r="71" ht="14.25" customHeight="1" s="52">
      <c r="A71" t="inlineStr">
        <is>
          <t>2025-11</t>
        </is>
      </c>
      <c r="B71" t="inlineStr">
        <is>
          <t>Colombia</t>
        </is>
      </c>
      <c r="C71" t="inlineStr">
        <is>
          <t>Coco Colombia</t>
        </is>
      </c>
      <c r="D71" t="inlineStr">
        <is>
          <t>COP</t>
        </is>
      </c>
      <c r="E71" t="inlineStr">
        <is>
          <t>Real</t>
        </is>
      </c>
      <c r="F71" t="inlineStr">
        <is>
          <t>egresos_totales</t>
        </is>
      </c>
      <c r="I71" t="n">
        <v>739000000</v>
      </c>
      <c r="J71" t="inlineStr">
        <is>
          <t>COP</t>
        </is>
      </c>
      <c r="L71">
        <f>IFERROR(INDEX(Diccionario!$B:$B,MATCH(F71,Diccionario!$C:$C,0)),"")</f>
        <v/>
      </c>
      <c r="M71">
        <f>IFERROR(INDEX(Diccionario!$H:$H,MATCH(F71,Diccionario!$C:$C,0)),"")</f>
        <v/>
      </c>
      <c r="N71">
        <f>IFERROR(INDEX(Diccionario!$N:$N,MATCH(F71,Diccionario!$C:$C,0)),"")</f>
        <v/>
      </c>
    </row>
    <row r="72" ht="14.25" customHeight="1" s="52">
      <c r="A72" t="inlineStr">
        <is>
          <t>2025-11</t>
        </is>
      </c>
      <c r="B72" t="inlineStr">
        <is>
          <t>Colombia</t>
        </is>
      </c>
      <c r="C72" t="inlineStr">
        <is>
          <t>Coco Colombia</t>
        </is>
      </c>
      <c r="D72" t="inlineStr">
        <is>
          <t>COP</t>
        </is>
      </c>
      <c r="E72" t="inlineStr">
        <is>
          <t>Real</t>
        </is>
      </c>
      <c r="F72" t="inlineStr">
        <is>
          <t>utilidad_neta</t>
        </is>
      </c>
      <c r="I72" t="n">
        <v>-39000000</v>
      </c>
      <c r="J72" t="inlineStr">
        <is>
          <t>COP</t>
        </is>
      </c>
      <c r="K72" t="inlineStr">
        <is>
          <t>Derivado: ingresos - egresos</t>
        </is>
      </c>
      <c r="L72">
        <f>IFERROR(INDEX(Diccionario!$B:$B,MATCH(F72,Diccionario!$C:$C,0)),"")</f>
        <v/>
      </c>
      <c r="M72">
        <f>IFERROR(INDEX(Diccionario!$H:$H,MATCH(F72,Diccionario!$C:$C,0)),"")</f>
        <v/>
      </c>
      <c r="N72">
        <f>IFERROR(INDEX(Diccionario!$N:$N,MATCH(F72,Diccionario!$C:$C,0)),"")</f>
        <v/>
      </c>
    </row>
    <row r="73" ht="14.25" customHeight="1" s="52">
      <c r="A73" t="inlineStr">
        <is>
          <t>2025-12</t>
        </is>
      </c>
      <c r="B73" t="inlineStr">
        <is>
          <t>Colombia</t>
        </is>
      </c>
      <c r="C73" t="inlineStr">
        <is>
          <t>Coco Colombia</t>
        </is>
      </c>
      <c r="D73" t="inlineStr">
        <is>
          <t>COP</t>
        </is>
      </c>
      <c r="E73" t="inlineStr">
        <is>
          <t>Real</t>
        </is>
      </c>
      <c r="F73" t="inlineStr">
        <is>
          <t>ingresos_totales</t>
        </is>
      </c>
      <c r="I73" t="n">
        <v>765000000</v>
      </c>
      <c r="J73" t="inlineStr">
        <is>
          <t>COP</t>
        </is>
      </c>
      <c r="L73">
        <f>IFERROR(INDEX(Diccionario!$B:$B,MATCH(F73,Diccionario!$C:$C,0)),"")</f>
        <v/>
      </c>
      <c r="M73">
        <f>IFERROR(INDEX(Diccionario!$H:$H,MATCH(F73,Diccionario!$C:$C,0)),"")</f>
        <v/>
      </c>
      <c r="N73">
        <f>IFERROR(INDEX(Diccionario!$N:$N,MATCH(F73,Diccionario!$C:$C,0)),"")</f>
        <v/>
      </c>
    </row>
    <row r="74" ht="14.25" customHeight="1" s="52">
      <c r="A74" t="inlineStr">
        <is>
          <t>2025-12</t>
        </is>
      </c>
      <c r="B74" t="inlineStr">
        <is>
          <t>Colombia</t>
        </is>
      </c>
      <c r="C74" t="inlineStr">
        <is>
          <t>Coco Colombia</t>
        </is>
      </c>
      <c r="D74" t="inlineStr">
        <is>
          <t>COP</t>
        </is>
      </c>
      <c r="E74" t="inlineStr">
        <is>
          <t>Real</t>
        </is>
      </c>
      <c r="F74" t="inlineStr">
        <is>
          <t>egresos_totales</t>
        </is>
      </c>
      <c r="I74" t="n">
        <v>718000000</v>
      </c>
      <c r="J74" t="inlineStr">
        <is>
          <t>COP</t>
        </is>
      </c>
      <c r="L74">
        <f>IFERROR(INDEX(Diccionario!$B:$B,MATCH(F74,Diccionario!$C:$C,0)),"")</f>
        <v/>
      </c>
      <c r="M74">
        <f>IFERROR(INDEX(Diccionario!$H:$H,MATCH(F74,Diccionario!$C:$C,0)),"")</f>
        <v/>
      </c>
      <c r="N74">
        <f>IFERROR(INDEX(Diccionario!$N:$N,MATCH(F74,Diccionario!$C:$C,0)),"")</f>
        <v/>
      </c>
    </row>
    <row r="75" ht="14.25" customHeight="1" s="52">
      <c r="A75" t="inlineStr">
        <is>
          <t>2025-12</t>
        </is>
      </c>
      <c r="B75" t="inlineStr">
        <is>
          <t>Colombia</t>
        </is>
      </c>
      <c r="C75" t="inlineStr">
        <is>
          <t>Coco Colombia</t>
        </is>
      </c>
      <c r="D75" t="inlineStr">
        <is>
          <t>COP</t>
        </is>
      </c>
      <c r="E75" t="inlineStr">
        <is>
          <t>Real</t>
        </is>
      </c>
      <c r="F75" t="inlineStr">
        <is>
          <t>utilidad_neta</t>
        </is>
      </c>
      <c r="I75" t="n">
        <v>47000000</v>
      </c>
      <c r="J75" t="inlineStr">
        <is>
          <t>COP</t>
        </is>
      </c>
      <c r="K75" t="inlineStr">
        <is>
          <t>Derivado: ingresos - egresos</t>
        </is>
      </c>
      <c r="L75">
        <f>IFERROR(INDEX(Diccionario!$B:$B,MATCH(F75,Diccionario!$C:$C,0)),"")</f>
        <v/>
      </c>
      <c r="M75">
        <f>IFERROR(INDEX(Diccionario!$H:$H,MATCH(F75,Diccionario!$C:$C,0)),"")</f>
        <v/>
      </c>
      <c r="N75">
        <f>IFERROR(INDEX(Diccionario!$N:$N,MATCH(F75,Diccionario!$C:$C,0)),"")</f>
        <v/>
      </c>
    </row>
    <row r="76" ht="14.25" customHeight="1" s="52">
      <c r="A76" t="inlineStr">
        <is>
          <t>2026-01</t>
        </is>
      </c>
      <c r="B76" t="inlineStr">
        <is>
          <t>Colombia</t>
        </is>
      </c>
      <c r="C76" t="inlineStr">
        <is>
          <t>Coco Colombia</t>
        </is>
      </c>
      <c r="D76" t="inlineStr">
        <is>
          <t>COP</t>
        </is>
      </c>
      <c r="E76" t="inlineStr">
        <is>
          <t>Real</t>
        </is>
      </c>
      <c r="F76" t="inlineStr">
        <is>
          <t>ingresos_totales</t>
        </is>
      </c>
      <c r="I76" t="n">
        <v>612247701</v>
      </c>
      <c r="J76" t="inlineStr">
        <is>
          <t>COP</t>
        </is>
      </c>
      <c r="K76" t="inlineStr">
        <is>
          <t>Ajustado al cierre oficial (PDF Estados Financieros Junio 2026); serie mensual del Modelo, suma = 4.472.342.747</t>
        </is>
      </c>
      <c r="L76">
        <f>IFERROR(INDEX(Diccionario!$B:$B,MATCH(F76,Diccionario!$C:$C,0)),"")</f>
        <v/>
      </c>
      <c r="M76">
        <f>IFERROR(INDEX(Diccionario!$H:$H,MATCH(F76,Diccionario!$C:$C,0)),"")</f>
        <v/>
      </c>
      <c r="N76">
        <f>IFERROR(INDEX(Diccionario!$N:$N,MATCH(F76,Diccionario!$C:$C,0)),"")</f>
        <v/>
      </c>
    </row>
    <row r="77" ht="14.25" customHeight="1" s="52">
      <c r="A77" t="inlineStr">
        <is>
          <t>2026-01</t>
        </is>
      </c>
      <c r="B77" t="inlineStr">
        <is>
          <t>Colombia</t>
        </is>
      </c>
      <c r="C77" t="inlineStr">
        <is>
          <t>Coco Colombia</t>
        </is>
      </c>
      <c r="D77" t="inlineStr">
        <is>
          <t>COP</t>
        </is>
      </c>
      <c r="E77" t="inlineStr">
        <is>
          <t>Real</t>
        </is>
      </c>
      <c r="F77" t="inlineStr">
        <is>
          <t>egresos_totales</t>
        </is>
      </c>
      <c r="I77" t="n">
        <v>542000000</v>
      </c>
      <c r="J77" t="inlineStr">
        <is>
          <t>COP</t>
        </is>
      </c>
      <c r="L77">
        <f>IFERROR(INDEX(Diccionario!$B:$B,MATCH(F77,Diccionario!$C:$C,0)),"")</f>
        <v/>
      </c>
      <c r="M77">
        <f>IFERROR(INDEX(Diccionario!$H:$H,MATCH(F77,Diccionario!$C:$C,0)),"")</f>
        <v/>
      </c>
      <c r="N77">
        <f>IFERROR(INDEX(Diccionario!$N:$N,MATCH(F77,Diccionario!$C:$C,0)),"")</f>
        <v/>
      </c>
    </row>
    <row r="78" ht="14.25" customHeight="1" s="52">
      <c r="A78" t="inlineStr">
        <is>
          <t>2026-01</t>
        </is>
      </c>
      <c r="B78" t="inlineStr">
        <is>
          <t>Colombia</t>
        </is>
      </c>
      <c r="C78" t="inlineStr">
        <is>
          <t>Coco Colombia</t>
        </is>
      </c>
      <c r="D78" t="inlineStr">
        <is>
          <t>COP</t>
        </is>
      </c>
      <c r="E78" t="inlineStr">
        <is>
          <t>Real</t>
        </is>
      </c>
      <c r="F78" t="inlineStr">
        <is>
          <t>utilidad_neta</t>
        </is>
      </c>
      <c r="I78" t="n">
        <v>91000000</v>
      </c>
      <c r="J78" t="inlineStr">
        <is>
          <t>COP</t>
        </is>
      </c>
      <c r="K78" t="inlineStr">
        <is>
          <t>Derivado: ingresos - egresos</t>
        </is>
      </c>
      <c r="L78">
        <f>IFERROR(INDEX(Diccionario!$B:$B,MATCH(F78,Diccionario!$C:$C,0)),"")</f>
        <v/>
      </c>
      <c r="M78">
        <f>IFERROR(INDEX(Diccionario!$H:$H,MATCH(F78,Diccionario!$C:$C,0)),"")</f>
        <v/>
      </c>
      <c r="N78">
        <f>IFERROR(INDEX(Diccionario!$N:$N,MATCH(F78,Diccionario!$C:$C,0)),"")</f>
        <v/>
      </c>
    </row>
    <row r="79" ht="14.25" customHeight="1" s="52">
      <c r="A79" t="inlineStr">
        <is>
          <t>2026-02</t>
        </is>
      </c>
      <c r="B79" t="inlineStr">
        <is>
          <t>Colombia</t>
        </is>
      </c>
      <c r="C79" t="inlineStr">
        <is>
          <t>Coco Colombia</t>
        </is>
      </c>
      <c r="D79" t="inlineStr">
        <is>
          <t>COP</t>
        </is>
      </c>
      <c r="E79" t="inlineStr">
        <is>
          <t>Real</t>
        </is>
      </c>
      <c r="F79" t="inlineStr">
        <is>
          <t>ingresos_totales</t>
        </is>
      </c>
      <c r="I79" t="n">
        <v>744218137</v>
      </c>
      <c r="J79" t="inlineStr">
        <is>
          <t>COP</t>
        </is>
      </c>
      <c r="K79" t="inlineStr">
        <is>
          <t>Ajustado al cierre oficial (PDF Estados Financieros Junio 2026); serie mensual del Modelo, suma = 4.472.342.747</t>
        </is>
      </c>
      <c r="L79">
        <f>IFERROR(INDEX(Diccionario!$B:$B,MATCH(F79,Diccionario!$C:$C,0)),"")</f>
        <v/>
      </c>
      <c r="M79">
        <f>IFERROR(INDEX(Diccionario!$H:$H,MATCH(F79,Diccionario!$C:$C,0)),"")</f>
        <v/>
      </c>
      <c r="N79">
        <f>IFERROR(INDEX(Diccionario!$N:$N,MATCH(F79,Diccionario!$C:$C,0)),"")</f>
        <v/>
      </c>
    </row>
    <row r="80" ht="14.25" customHeight="1" s="52">
      <c r="A80" t="inlineStr">
        <is>
          <t>2026-02</t>
        </is>
      </c>
      <c r="B80" t="inlineStr">
        <is>
          <t>Colombia</t>
        </is>
      </c>
      <c r="C80" t="inlineStr">
        <is>
          <t>Coco Colombia</t>
        </is>
      </c>
      <c r="D80" t="inlineStr">
        <is>
          <t>COP</t>
        </is>
      </c>
      <c r="E80" t="inlineStr">
        <is>
          <t>Real</t>
        </is>
      </c>
      <c r="F80" t="inlineStr">
        <is>
          <t>egresos_totales</t>
        </is>
      </c>
      <c r="I80" t="n">
        <v>684000000</v>
      </c>
      <c r="J80" t="inlineStr">
        <is>
          <t>COP</t>
        </is>
      </c>
      <c r="L80">
        <f>IFERROR(INDEX(Diccionario!$B:$B,MATCH(F80,Diccionario!$C:$C,0)),"")</f>
        <v/>
      </c>
      <c r="M80">
        <f>IFERROR(INDEX(Diccionario!$H:$H,MATCH(F80,Diccionario!$C:$C,0)),"")</f>
        <v/>
      </c>
      <c r="N80">
        <f>IFERROR(INDEX(Diccionario!$N:$N,MATCH(F80,Diccionario!$C:$C,0)),"")</f>
        <v/>
      </c>
    </row>
    <row r="81" ht="14.25" customHeight="1" s="52">
      <c r="A81" t="inlineStr">
        <is>
          <t>2026-02</t>
        </is>
      </c>
      <c r="B81" t="inlineStr">
        <is>
          <t>Colombia</t>
        </is>
      </c>
      <c r="C81" t="inlineStr">
        <is>
          <t>Coco Colombia</t>
        </is>
      </c>
      <c r="D81" t="inlineStr">
        <is>
          <t>COP</t>
        </is>
      </c>
      <c r="E81" t="inlineStr">
        <is>
          <t>Real</t>
        </is>
      </c>
      <c r="F81" t="inlineStr">
        <is>
          <t>utilidad_neta</t>
        </is>
      </c>
      <c r="I81" t="n">
        <v>60000000</v>
      </c>
      <c r="J81" t="inlineStr">
        <is>
          <t>COP</t>
        </is>
      </c>
      <c r="K81" t="inlineStr">
        <is>
          <t>Derivado: ingresos - egresos</t>
        </is>
      </c>
      <c r="L81">
        <f>IFERROR(INDEX(Diccionario!$B:$B,MATCH(F81,Diccionario!$C:$C,0)),"")</f>
        <v/>
      </c>
      <c r="M81">
        <f>IFERROR(INDEX(Diccionario!$H:$H,MATCH(F81,Diccionario!$C:$C,0)),"")</f>
        <v/>
      </c>
      <c r="N81">
        <f>IFERROR(INDEX(Diccionario!$N:$N,MATCH(F81,Diccionario!$C:$C,0)),"")</f>
        <v/>
      </c>
    </row>
    <row r="82" ht="14.25" customHeight="1" s="52">
      <c r="A82" t="inlineStr">
        <is>
          <t>2026-03</t>
        </is>
      </c>
      <c r="B82" t="inlineStr">
        <is>
          <t>Colombia</t>
        </is>
      </c>
      <c r="C82" t="inlineStr">
        <is>
          <t>Coco Colombia</t>
        </is>
      </c>
      <c r="D82" t="inlineStr">
        <is>
          <t>COP</t>
        </is>
      </c>
      <c r="E82" t="inlineStr">
        <is>
          <t>Real</t>
        </is>
      </c>
      <c r="F82" t="inlineStr">
        <is>
          <t>ingresos_totales</t>
        </is>
      </c>
      <c r="I82" t="n">
        <v>787041187</v>
      </c>
      <c r="J82" t="inlineStr">
        <is>
          <t>COP</t>
        </is>
      </c>
      <c r="K82" t="inlineStr">
        <is>
          <t>Ajustado al cierre oficial (PDF Estados Financieros Junio 2026); serie mensual del Modelo, suma = 4.472.342.747</t>
        </is>
      </c>
      <c r="L82">
        <f>IFERROR(INDEX(Diccionario!$B:$B,MATCH(F82,Diccionario!$C:$C,0)),"")</f>
        <v/>
      </c>
      <c r="M82">
        <f>IFERROR(INDEX(Diccionario!$H:$H,MATCH(F82,Diccionario!$C:$C,0)),"")</f>
        <v/>
      </c>
      <c r="N82">
        <f>IFERROR(INDEX(Diccionario!$N:$N,MATCH(F82,Diccionario!$C:$C,0)),"")</f>
        <v/>
      </c>
    </row>
    <row r="83" ht="14.25" customHeight="1" s="52">
      <c r="A83" t="inlineStr">
        <is>
          <t>2026-03</t>
        </is>
      </c>
      <c r="B83" t="inlineStr">
        <is>
          <t>Colombia</t>
        </is>
      </c>
      <c r="C83" t="inlineStr">
        <is>
          <t>Coco Colombia</t>
        </is>
      </c>
      <c r="D83" t="inlineStr">
        <is>
          <t>COP</t>
        </is>
      </c>
      <c r="E83" t="inlineStr">
        <is>
          <t>Real</t>
        </is>
      </c>
      <c r="F83" t="inlineStr">
        <is>
          <t>egresos_totales</t>
        </is>
      </c>
      <c r="I83" t="n">
        <v>806000000</v>
      </c>
      <c r="J83" t="inlineStr">
        <is>
          <t>COP</t>
        </is>
      </c>
      <c r="L83">
        <f>IFERROR(INDEX(Diccionario!$B:$B,MATCH(F83,Diccionario!$C:$C,0)),"")</f>
        <v/>
      </c>
      <c r="M83">
        <f>IFERROR(INDEX(Diccionario!$H:$H,MATCH(F83,Diccionario!$C:$C,0)),"")</f>
        <v/>
      </c>
      <c r="N83">
        <f>IFERROR(INDEX(Diccionario!$N:$N,MATCH(F83,Diccionario!$C:$C,0)),"")</f>
        <v/>
      </c>
    </row>
    <row r="84" ht="14.25" customHeight="1" s="52">
      <c r="A84" t="inlineStr">
        <is>
          <t>2026-03</t>
        </is>
      </c>
      <c r="B84" t="inlineStr">
        <is>
          <t>Colombia</t>
        </is>
      </c>
      <c r="C84" t="inlineStr">
        <is>
          <t>Coco Colombia</t>
        </is>
      </c>
      <c r="D84" t="inlineStr">
        <is>
          <t>COP</t>
        </is>
      </c>
      <c r="E84" t="inlineStr">
        <is>
          <t>Real</t>
        </is>
      </c>
      <c r="F84" t="inlineStr">
        <is>
          <t>utilidad_neta</t>
        </is>
      </c>
      <c r="I84" t="n">
        <v>-37000000</v>
      </c>
      <c r="J84" t="inlineStr">
        <is>
          <t>COP</t>
        </is>
      </c>
      <c r="K84" t="inlineStr">
        <is>
          <t>Derivado: ingresos - egresos</t>
        </is>
      </c>
      <c r="L84">
        <f>IFERROR(INDEX(Diccionario!$B:$B,MATCH(F84,Diccionario!$C:$C,0)),"")</f>
        <v/>
      </c>
      <c r="M84">
        <f>IFERROR(INDEX(Diccionario!$H:$H,MATCH(F84,Diccionario!$C:$C,0)),"")</f>
        <v/>
      </c>
      <c r="N84">
        <f>IFERROR(INDEX(Diccionario!$N:$N,MATCH(F84,Diccionario!$C:$C,0)),"")</f>
        <v/>
      </c>
    </row>
    <row r="85" ht="14.25" customHeight="1" s="52">
      <c r="A85" t="inlineStr">
        <is>
          <t>2026-04</t>
        </is>
      </c>
      <c r="B85" t="inlineStr">
        <is>
          <t>Colombia</t>
        </is>
      </c>
      <c r="C85" t="inlineStr">
        <is>
          <t>Coco Colombia</t>
        </is>
      </c>
      <c r="D85" t="inlineStr">
        <is>
          <t>COP</t>
        </is>
      </c>
      <c r="E85" t="inlineStr">
        <is>
          <t>Real</t>
        </is>
      </c>
      <c r="F85" t="inlineStr">
        <is>
          <t>ingresos_totales</t>
        </is>
      </c>
      <c r="I85" t="n">
        <v>750867662</v>
      </c>
      <c r="J85" t="inlineStr">
        <is>
          <t>COP</t>
        </is>
      </c>
      <c r="K85" t="inlineStr">
        <is>
          <t>Ajustado al cierre oficial (PDF Estados Financieros Junio 2026); serie mensual del Modelo, suma = 4.472.342.747</t>
        </is>
      </c>
      <c r="L85">
        <f>IFERROR(INDEX(Diccionario!$B:$B,MATCH(F85,Diccionario!$C:$C,0)),"")</f>
        <v/>
      </c>
      <c r="M85">
        <f>IFERROR(INDEX(Diccionario!$H:$H,MATCH(F85,Diccionario!$C:$C,0)),"")</f>
        <v/>
      </c>
      <c r="N85">
        <f>IFERROR(INDEX(Diccionario!$N:$N,MATCH(F85,Diccionario!$C:$C,0)),"")</f>
        <v/>
      </c>
    </row>
    <row r="86" ht="14.25" customHeight="1" s="52">
      <c r="A86" t="inlineStr">
        <is>
          <t>2026-04</t>
        </is>
      </c>
      <c r="B86" t="inlineStr">
        <is>
          <t>Colombia</t>
        </is>
      </c>
      <c r="C86" t="inlineStr">
        <is>
          <t>Coco Colombia</t>
        </is>
      </c>
      <c r="D86" t="inlineStr">
        <is>
          <t>COP</t>
        </is>
      </c>
      <c r="E86" t="inlineStr">
        <is>
          <t>Real</t>
        </is>
      </c>
      <c r="F86" t="inlineStr">
        <is>
          <t>egresos_totales</t>
        </is>
      </c>
      <c r="I86" t="n">
        <v>755000000</v>
      </c>
      <c r="J86" t="inlineStr">
        <is>
          <t>COP</t>
        </is>
      </c>
      <c r="L86">
        <f>IFERROR(INDEX(Diccionario!$B:$B,MATCH(F86,Diccionario!$C:$C,0)),"")</f>
        <v/>
      </c>
      <c r="M86">
        <f>IFERROR(INDEX(Diccionario!$H:$H,MATCH(F86,Diccionario!$C:$C,0)),"")</f>
        <v/>
      </c>
      <c r="N86">
        <f>IFERROR(INDEX(Diccionario!$N:$N,MATCH(F86,Diccionario!$C:$C,0)),"")</f>
        <v/>
      </c>
    </row>
    <row r="87" ht="14.25" customHeight="1" s="52">
      <c r="A87" t="inlineStr">
        <is>
          <t>2026-04</t>
        </is>
      </c>
      <c r="B87" t="inlineStr">
        <is>
          <t>Colombia</t>
        </is>
      </c>
      <c r="C87" t="inlineStr">
        <is>
          <t>Coco Colombia</t>
        </is>
      </c>
      <c r="D87" t="inlineStr">
        <is>
          <t>COP</t>
        </is>
      </c>
      <c r="E87" t="inlineStr">
        <is>
          <t>Real</t>
        </is>
      </c>
      <c r="F87" t="inlineStr">
        <is>
          <t>utilidad_neta</t>
        </is>
      </c>
      <c r="I87" t="n">
        <v>-1000000</v>
      </c>
      <c r="J87" t="inlineStr">
        <is>
          <t>COP</t>
        </is>
      </c>
      <c r="K87" t="inlineStr">
        <is>
          <t>Derivado: ingresos - egresos</t>
        </is>
      </c>
      <c r="L87">
        <f>IFERROR(INDEX(Diccionario!$B:$B,MATCH(F87,Diccionario!$C:$C,0)),"")</f>
        <v/>
      </c>
      <c r="M87">
        <f>IFERROR(INDEX(Diccionario!$H:$H,MATCH(F87,Diccionario!$C:$C,0)),"")</f>
        <v/>
      </c>
      <c r="N87">
        <f>IFERROR(INDEX(Diccionario!$N:$N,MATCH(F87,Diccionario!$C:$C,0)),"")</f>
        <v/>
      </c>
    </row>
    <row r="88" ht="14.25" customHeight="1" s="52">
      <c r="A88" t="inlineStr">
        <is>
          <t>2026-05</t>
        </is>
      </c>
      <c r="B88" t="inlineStr">
        <is>
          <t>Colombia</t>
        </is>
      </c>
      <c r="C88" t="inlineStr">
        <is>
          <t>Coco Colombia</t>
        </is>
      </c>
      <c r="D88" t="inlineStr">
        <is>
          <t>COP</t>
        </is>
      </c>
      <c r="E88" t="inlineStr">
        <is>
          <t>Real</t>
        </is>
      </c>
      <c r="F88" t="inlineStr">
        <is>
          <t>ingresos_totales</t>
        </is>
      </c>
      <c r="I88" t="n">
        <v>826514746</v>
      </c>
      <c r="J88" t="inlineStr">
        <is>
          <t>COP</t>
        </is>
      </c>
      <c r="K88" t="inlineStr">
        <is>
          <t>Ajustado al cierre oficial (PDF Estados Financieros Junio 2026); serie mensual del Modelo, suma = 4.472.342.747</t>
        </is>
      </c>
      <c r="L88">
        <f>IFERROR(INDEX(Diccionario!$B:$B,MATCH(F88,Diccionario!$C:$C,0)),"")</f>
        <v/>
      </c>
      <c r="M88">
        <f>IFERROR(INDEX(Diccionario!$H:$H,MATCH(F88,Diccionario!$C:$C,0)),"")</f>
        <v/>
      </c>
      <c r="N88">
        <f>IFERROR(INDEX(Diccionario!$N:$N,MATCH(F88,Diccionario!$C:$C,0)),"")</f>
        <v/>
      </c>
    </row>
    <row r="89" ht="14.25" customHeight="1" s="52">
      <c r="A89" t="inlineStr">
        <is>
          <t>2026-05</t>
        </is>
      </c>
      <c r="B89" t="inlineStr">
        <is>
          <t>Colombia</t>
        </is>
      </c>
      <c r="C89" t="inlineStr">
        <is>
          <t>Coco Colombia</t>
        </is>
      </c>
      <c r="D89" t="inlineStr">
        <is>
          <t>COP</t>
        </is>
      </c>
      <c r="E89" t="inlineStr">
        <is>
          <t>Real</t>
        </is>
      </c>
      <c r="F89" t="inlineStr">
        <is>
          <t>egresos_totales</t>
        </is>
      </c>
      <c r="I89" t="n">
        <v>720000000</v>
      </c>
      <c r="J89" t="inlineStr">
        <is>
          <t>COP</t>
        </is>
      </c>
      <c r="L89">
        <f>IFERROR(INDEX(Diccionario!$B:$B,MATCH(F89,Diccionario!$C:$C,0)),"")</f>
        <v/>
      </c>
      <c r="M89">
        <f>IFERROR(INDEX(Diccionario!$H:$H,MATCH(F89,Diccionario!$C:$C,0)),"")</f>
        <v/>
      </c>
      <c r="N89">
        <f>IFERROR(INDEX(Diccionario!$N:$N,MATCH(F89,Diccionario!$C:$C,0)),"")</f>
        <v/>
      </c>
    </row>
    <row r="90" ht="14.25" customHeight="1" s="52">
      <c r="A90" t="inlineStr">
        <is>
          <t>2026-05</t>
        </is>
      </c>
      <c r="B90" t="inlineStr">
        <is>
          <t>Colombia</t>
        </is>
      </c>
      <c r="C90" t="inlineStr">
        <is>
          <t>Coco Colombia</t>
        </is>
      </c>
      <c r="D90" t="inlineStr">
        <is>
          <t>COP</t>
        </is>
      </c>
      <c r="E90" t="inlineStr">
        <is>
          <t>Real</t>
        </is>
      </c>
      <c r="F90" t="inlineStr">
        <is>
          <t>utilidad_neta</t>
        </is>
      </c>
      <c r="I90" t="n">
        <v>92000000</v>
      </c>
      <c r="J90" t="inlineStr">
        <is>
          <t>COP</t>
        </is>
      </c>
      <c r="K90" t="inlineStr">
        <is>
          <t>Derivado: ingresos - egresos</t>
        </is>
      </c>
      <c r="L90">
        <f>IFERROR(INDEX(Diccionario!$B:$B,MATCH(F90,Diccionario!$C:$C,0)),"")</f>
        <v/>
      </c>
      <c r="M90">
        <f>IFERROR(INDEX(Diccionario!$H:$H,MATCH(F90,Diccionario!$C:$C,0)),"")</f>
        <v/>
      </c>
      <c r="N90">
        <f>IFERROR(INDEX(Diccionario!$N:$N,MATCH(F90,Diccionario!$C:$C,0)),"")</f>
        <v/>
      </c>
    </row>
    <row r="91" ht="14.25" customHeight="1" s="52">
      <c r="A91" t="inlineStr">
        <is>
          <t>2026-05</t>
        </is>
      </c>
      <c r="B91" t="inlineStr">
        <is>
          <t>Colombia</t>
        </is>
      </c>
      <c r="C91" t="inlineStr">
        <is>
          <t>Coco Colombia</t>
        </is>
      </c>
      <c r="D91" t="inlineStr">
        <is>
          <t>COP</t>
        </is>
      </c>
      <c r="E91" t="inlineStr">
        <is>
          <t>Real</t>
        </is>
      </c>
      <c r="F91" t="inlineStr">
        <is>
          <t>arr</t>
        </is>
      </c>
      <c r="I91" t="n">
        <v>3706946282</v>
      </c>
      <c r="J91" t="inlineStr">
        <is>
          <t>COP</t>
        </is>
      </c>
      <c r="K91" t="inlineStr">
        <is>
          <t>'Ventas Totales (ARR)' reportado por contabilidad</t>
        </is>
      </c>
      <c r="L91">
        <f>IFERROR(INDEX(Diccionario!$B:$B,MATCH(F103,Diccionario!$C:$C,0)),"")</f>
        <v/>
      </c>
      <c r="M91">
        <f>IFERROR(INDEX(Diccionario!$H:$H,MATCH(F103,Diccionario!$C:$C,0)),"")</f>
        <v/>
      </c>
      <c r="N91">
        <f>IFERROR(INDEX(Diccionario!$N:$N,MATCH(F103,Diccionario!$C:$C,0)),"")</f>
        <v/>
      </c>
    </row>
    <row r="92" ht="14.25" customHeight="1" s="52">
      <c r="A92" t="inlineStr">
        <is>
          <t>2026-05</t>
        </is>
      </c>
      <c r="B92" t="inlineStr">
        <is>
          <t>Colombia</t>
        </is>
      </c>
      <c r="C92" t="inlineStr">
        <is>
          <t>Coco Colombia</t>
        </is>
      </c>
      <c r="D92" t="inlineStr">
        <is>
          <t>COP</t>
        </is>
      </c>
      <c r="E92" t="inlineStr">
        <is>
          <t>Real</t>
        </is>
      </c>
      <c r="F92" t="inlineStr">
        <is>
          <t>cartera_total</t>
        </is>
      </c>
      <c r="I92" t="n">
        <v>1681540719.43</v>
      </c>
      <c r="J92" t="inlineStr">
        <is>
          <t>COP</t>
        </is>
      </c>
      <c r="L92">
        <f>IFERROR(INDEX(Diccionario!$B:$B,MATCH(F104,Diccionario!$C:$C,0)),"")</f>
        <v/>
      </c>
      <c r="M92">
        <f>IFERROR(INDEX(Diccionario!$H:$H,MATCH(F104,Diccionario!$C:$C,0)),"")</f>
        <v/>
      </c>
      <c r="N92">
        <f>IFERROR(INDEX(Diccionario!$N:$N,MATCH(F104,Diccionario!$C:$C,0)),"")</f>
        <v/>
      </c>
    </row>
    <row r="93" ht="14.25" customHeight="1" s="52">
      <c r="A93" t="inlineStr">
        <is>
          <t>2026-05</t>
        </is>
      </c>
      <c r="B93" t="inlineStr">
        <is>
          <t>Colombia</t>
        </is>
      </c>
      <c r="C93" t="inlineStr">
        <is>
          <t>Coco Colombia</t>
        </is>
      </c>
      <c r="D93" t="inlineStr">
        <is>
          <t>COP</t>
        </is>
      </c>
      <c r="E93" t="inlineStr">
        <is>
          <t>Real</t>
        </is>
      </c>
      <c r="F93" t="inlineStr">
        <is>
          <t>cartera_vencida</t>
        </is>
      </c>
      <c r="I93" t="n">
        <v>583774629.8</v>
      </c>
      <c r="J93" t="inlineStr">
        <is>
          <t>COP</t>
        </is>
      </c>
      <c r="L93">
        <f>IFERROR(INDEX(Diccionario!$B:$B,MATCH(F105,Diccionario!$C:$C,0)),"")</f>
        <v/>
      </c>
      <c r="M93">
        <f>IFERROR(INDEX(Diccionario!$H:$H,MATCH(F105,Diccionario!$C:$C,0)),"")</f>
        <v/>
      </c>
      <c r="N93">
        <f>IFERROR(INDEX(Diccionario!$N:$N,MATCH(F105,Diccionario!$C:$C,0)),"")</f>
        <v/>
      </c>
    </row>
    <row r="94" ht="14.25" customHeight="1" s="52">
      <c r="A94" t="inlineStr">
        <is>
          <t>2026-05</t>
        </is>
      </c>
      <c r="B94" t="inlineStr">
        <is>
          <t>Colombia</t>
        </is>
      </c>
      <c r="C94" t="inlineStr">
        <is>
          <t>Coco Colombia</t>
        </is>
      </c>
      <c r="D94" t="inlineStr">
        <is>
          <t>COP</t>
        </is>
      </c>
      <c r="E94" t="inlineStr">
        <is>
          <t>Real</t>
        </is>
      </c>
      <c r="F94" t="inlineStr">
        <is>
          <t>cartera_sana</t>
        </is>
      </c>
      <c r="I94" t="n">
        <v>1097766089.63</v>
      </c>
      <c r="J94" t="inlineStr">
        <is>
          <t>COP</t>
        </is>
      </c>
      <c r="L94">
        <f>IFERROR(INDEX(Diccionario!$B:$B,MATCH(F106,Diccionario!$C:$C,0)),"")</f>
        <v/>
      </c>
      <c r="M94">
        <f>IFERROR(INDEX(Diccionario!$H:$H,MATCH(F106,Diccionario!$C:$C,0)),"")</f>
        <v/>
      </c>
      <c r="N94">
        <f>IFERROR(INDEX(Diccionario!$N:$N,MATCH(F106,Diccionario!$C:$C,0)),"")</f>
        <v/>
      </c>
    </row>
    <row r="95" ht="14.25" customHeight="1" s="52">
      <c r="A95" t="inlineStr">
        <is>
          <t>2026-05</t>
        </is>
      </c>
      <c r="B95" t="inlineStr">
        <is>
          <t>Colombia</t>
        </is>
      </c>
      <c r="C95" t="inlineStr">
        <is>
          <t>Coco Colombia</t>
        </is>
      </c>
      <c r="D95" t="inlineStr">
        <is>
          <t>COP</t>
        </is>
      </c>
      <c r="E95" t="inlineStr">
        <is>
          <t>Real</t>
        </is>
      </c>
      <c r="F95" t="inlineStr">
        <is>
          <t>cartera_cobro_legal</t>
        </is>
      </c>
      <c r="I95" t="n">
        <v>9726509</v>
      </c>
      <c r="J95" t="inlineStr">
        <is>
          <t>COP</t>
        </is>
      </c>
      <c r="L95">
        <f>IFERROR(INDEX(Diccionario!$B:$B,MATCH(F107,Diccionario!$C:$C,0)),"")</f>
        <v/>
      </c>
      <c r="M95">
        <f>IFERROR(INDEX(Diccionario!$H:$H,MATCH(F107,Diccionario!$C:$C,0)),"")</f>
        <v/>
      </c>
      <c r="N95">
        <f>IFERROR(INDEX(Diccionario!$N:$N,MATCH(F107,Diccionario!$C:$C,0)),"")</f>
        <v/>
      </c>
    </row>
    <row r="96" ht="14.25" customHeight="1" s="52">
      <c r="A96" t="inlineStr">
        <is>
          <t>2026-05</t>
        </is>
      </c>
      <c r="B96" t="inlineStr">
        <is>
          <t>Colombia</t>
        </is>
      </c>
      <c r="C96" t="inlineStr">
        <is>
          <t>Coco Colombia</t>
        </is>
      </c>
      <c r="D96" t="inlineStr">
        <is>
          <t>COP</t>
        </is>
      </c>
      <c r="E96" t="inlineStr">
        <is>
          <t>Real</t>
        </is>
      </c>
      <c r="F96" t="inlineStr">
        <is>
          <t>dso</t>
        </is>
      </c>
      <c r="I96" t="n">
        <v>71</v>
      </c>
      <c r="J96" t="inlineStr">
        <is>
          <t>Días</t>
        </is>
      </c>
      <c r="K96" t="inlineStr">
        <is>
          <t>Meta &lt;45</t>
        </is>
      </c>
      <c r="L96">
        <f>IFERROR(INDEX(Diccionario!$B:$B,MATCH(F108,Diccionario!$C:$C,0)),"")</f>
        <v/>
      </c>
      <c r="M96">
        <f>IFERROR(INDEX(Diccionario!$H:$H,MATCH(F108,Diccionario!$C:$C,0)),"")</f>
        <v/>
      </c>
      <c r="N96">
        <f>IFERROR(INDEX(Diccionario!$N:$N,MATCH(F108,Diccionario!$C:$C,0)),"")</f>
        <v/>
      </c>
    </row>
    <row r="97" ht="14.25" customHeight="1" s="52">
      <c r="A97" t="inlineStr">
        <is>
          <t>2026-05</t>
        </is>
      </c>
      <c r="B97" t="inlineStr">
        <is>
          <t>Colombia</t>
        </is>
      </c>
      <c r="C97" t="inlineStr">
        <is>
          <t>Coco Colombia</t>
        </is>
      </c>
      <c r="D97" t="inlineStr">
        <is>
          <t>COP</t>
        </is>
      </c>
      <c r="E97" t="inlineStr">
        <is>
          <t>Real</t>
        </is>
      </c>
      <c r="F97" t="inlineStr">
        <is>
          <t>indice_morosidad</t>
        </is>
      </c>
      <c r="J97" t="inlineStr">
        <is>
          <t>%</t>
        </is>
      </c>
      <c r="K97" t="inlineStr">
        <is>
          <t>RETIRADO el 27-ago-2026: definicion distinta a la vigente. El valor anterior queda en BD_TRAZABILIDAD_COCO, hoja MRR_Cartera_Reemplazado.</t>
        </is>
      </c>
      <c r="L97">
        <f>IFERROR(INDEX(Diccionario!$B:$B,MATCH(F109,Diccionario!$C:$C,0)),"")</f>
        <v/>
      </c>
      <c r="M97">
        <f>IFERROR(INDEX(Diccionario!$H:$H,MATCH(F109,Diccionario!$C:$C,0)),"")</f>
        <v/>
      </c>
      <c r="N97">
        <f>IFERROR(INDEX(Diccionario!$N:$N,MATCH(F109,Diccionario!$C:$C,0)),"")</f>
        <v/>
      </c>
    </row>
    <row r="98" ht="14.25" customHeight="1" s="52">
      <c r="A98" t="inlineStr">
        <is>
          <t>2026-05</t>
        </is>
      </c>
      <c r="B98" t="inlineStr">
        <is>
          <t>Colombia</t>
        </is>
      </c>
      <c r="C98" t="inlineStr">
        <is>
          <t>Coco Colombia</t>
        </is>
      </c>
      <c r="D98" t="inlineStr">
        <is>
          <t>COP</t>
        </is>
      </c>
      <c r="E98" t="inlineStr">
        <is>
          <t>Real</t>
        </is>
      </c>
      <c r="F98" t="inlineStr">
        <is>
          <t>cartera_mayor_60_pct</t>
        </is>
      </c>
      <c r="I98" t="n">
        <v>37.9</v>
      </c>
      <c r="J98" t="inlineStr">
        <is>
          <t>%</t>
        </is>
      </c>
      <c r="K98" t="inlineStr">
        <is>
          <t>Meta &lt;5%</t>
        </is>
      </c>
      <c r="L98">
        <f>IFERROR(INDEX(Diccionario!$B:$B,MATCH(F110,Diccionario!$C:$C,0)),"")</f>
        <v/>
      </c>
      <c r="M98">
        <f>IFERROR(INDEX(Diccionario!$H:$H,MATCH(F110,Diccionario!$C:$C,0)),"")</f>
        <v/>
      </c>
      <c r="N98">
        <f>IFERROR(INDEX(Diccionario!$N:$N,MATCH(F110,Diccionario!$C:$C,0)),"")</f>
        <v/>
      </c>
    </row>
    <row r="99" ht="14.25" customHeight="1" s="52">
      <c r="A99" t="inlineStr">
        <is>
          <t>2026-05</t>
        </is>
      </c>
      <c r="B99" t="inlineStr">
        <is>
          <t>Colombia</t>
        </is>
      </c>
      <c r="C99" t="inlineStr">
        <is>
          <t>Coco Colombia</t>
        </is>
      </c>
      <c r="D99" t="inlineStr">
        <is>
          <t>COP</t>
        </is>
      </c>
      <c r="E99" t="inlineStr">
        <is>
          <t>Real</t>
        </is>
      </c>
      <c r="F99" t="inlineStr">
        <is>
          <t>cartera_arr_pct</t>
        </is>
      </c>
      <c r="I99" t="n">
        <v>45.36</v>
      </c>
      <c r="J99" t="inlineStr">
        <is>
          <t>%</t>
        </is>
      </c>
      <c r="K99" t="inlineStr">
        <is>
          <t>Meta &lt;12%</t>
        </is>
      </c>
      <c r="L99">
        <f>IFERROR(INDEX(Diccionario!$B:$B,MATCH(F111,Diccionario!$C:$C,0)),"")</f>
        <v/>
      </c>
      <c r="M99">
        <f>IFERROR(INDEX(Diccionario!$H:$H,MATCH(F111,Diccionario!$C:$C,0)),"")</f>
        <v/>
      </c>
      <c r="N99">
        <f>IFERROR(INDEX(Diccionario!$N:$N,MATCH(F111,Diccionario!$C:$C,0)),"")</f>
        <v/>
      </c>
    </row>
    <row r="100" ht="14.25" customHeight="1" s="52">
      <c r="A100" t="inlineStr">
        <is>
          <t>2026-05</t>
        </is>
      </c>
      <c r="B100" t="inlineStr">
        <is>
          <t>Colombia</t>
        </is>
      </c>
      <c r="C100" t="inlineStr">
        <is>
          <t>Coco Colombia</t>
        </is>
      </c>
      <c r="D100" t="inlineStr">
        <is>
          <t>COP</t>
        </is>
      </c>
      <c r="E100" t="inlineStr">
        <is>
          <t>Real</t>
        </is>
      </c>
      <c r="F100" t="inlineStr">
        <is>
          <t>concentracion_cartera</t>
        </is>
      </c>
      <c r="J100" t="inlineStr">
        <is>
          <t>%</t>
        </is>
      </c>
      <c r="K100" t="inlineStr">
        <is>
          <t>RETIRADO el 27-ago-2026: definicion distinta a la vigente. El valor anterior queda en BD_TRAZABILIDAD_COCO, hoja MRR_Cartera_Reemplazado.</t>
        </is>
      </c>
      <c r="L100">
        <f>IFERROR(INDEX(Diccionario!$B:$B,MATCH(F112,Diccionario!$C:$C,0)),"")</f>
        <v/>
      </c>
      <c r="M100">
        <f>IFERROR(INDEX(Diccionario!$H:$H,MATCH(F112,Diccionario!$C:$C,0)),"")</f>
        <v/>
      </c>
      <c r="N100">
        <f>IFERROR(INDEX(Diccionario!$N:$N,MATCH(F112,Diccionario!$C:$C,0)),"")</f>
        <v/>
      </c>
    </row>
    <row r="101" ht="14.25" customHeight="1" s="52">
      <c r="A101" t="inlineStr">
        <is>
          <t>2026-05</t>
        </is>
      </c>
      <c r="B101" t="inlineStr">
        <is>
          <t>Colombia</t>
        </is>
      </c>
      <c r="C101" t="inlineStr">
        <is>
          <t>Coco Colombia</t>
        </is>
      </c>
      <c r="D101" t="inlineStr">
        <is>
          <t>COP</t>
        </is>
      </c>
      <c r="E101" t="inlineStr">
        <is>
          <t>Real</t>
        </is>
      </c>
      <c r="F101" t="inlineStr">
        <is>
          <t>write_off_ratio</t>
        </is>
      </c>
      <c r="I101" t="n">
        <v>0.58</v>
      </c>
      <c r="J101" t="inlineStr">
        <is>
          <t>%</t>
        </is>
      </c>
      <c r="K101" t="inlineStr">
        <is>
          <t>Meta &lt;1%</t>
        </is>
      </c>
      <c r="L101">
        <f>IFERROR(INDEX(Diccionario!$B:$B,MATCH(F113,Diccionario!$C:$C,0)),"")</f>
        <v/>
      </c>
      <c r="M101">
        <f>IFERROR(INDEX(Diccionario!$H:$H,MATCH(F113,Diccionario!$C:$C,0)),"")</f>
        <v/>
      </c>
      <c r="N101">
        <f>IFERROR(INDEX(Diccionario!$N:$N,MATCH(F113,Diccionario!$C:$C,0)),"")</f>
        <v/>
      </c>
    </row>
    <row r="102" ht="14.25" customHeight="1" s="52">
      <c r="A102" t="inlineStr">
        <is>
          <t>2024-01</t>
        </is>
      </c>
      <c r="B102" t="inlineStr">
        <is>
          <t>Colombia</t>
        </is>
      </c>
      <c r="C102" t="inlineStr">
        <is>
          <t>Coco Colombia</t>
        </is>
      </c>
      <c r="D102" t="inlineStr">
        <is>
          <t>COP</t>
        </is>
      </c>
      <c r="E102" t="inlineStr">
        <is>
          <t>Real</t>
        </is>
      </c>
      <c r="F102" t="inlineStr">
        <is>
          <t>gasto_area</t>
        </is>
      </c>
      <c r="H102" t="inlineStr">
        <is>
          <t>Financieros</t>
        </is>
      </c>
      <c r="I102" t="n">
        <v>3000000</v>
      </c>
      <c r="J102" t="inlineStr">
        <is>
          <t>COP</t>
        </is>
      </c>
      <c r="L102">
        <f>IFERROR(INDEX(Diccionario!$B:$B,MATCH(F114,Diccionario!$C:$C,0)),"")</f>
        <v/>
      </c>
      <c r="M102">
        <f>IFERROR(INDEX(Diccionario!$H:$H,MATCH(F114,Diccionario!$C:$C,0)),"")</f>
        <v/>
      </c>
      <c r="N102">
        <f>IFERROR(INDEX(Diccionario!$N:$N,MATCH(F114,Diccionario!$C:$C,0)),"")</f>
        <v/>
      </c>
    </row>
    <row r="103" ht="14.25" customHeight="1" s="52">
      <c r="A103" t="inlineStr">
        <is>
          <t>2024-01</t>
        </is>
      </c>
      <c r="B103" t="inlineStr">
        <is>
          <t>Colombia</t>
        </is>
      </c>
      <c r="C103" t="inlineStr">
        <is>
          <t>Coco Colombia</t>
        </is>
      </c>
      <c r="D103" t="inlineStr">
        <is>
          <t>COP</t>
        </is>
      </c>
      <c r="E103" t="inlineStr">
        <is>
          <t>Real</t>
        </is>
      </c>
      <c r="F103" t="inlineStr">
        <is>
          <t>gasto_area</t>
        </is>
      </c>
      <c r="H103" t="inlineStr">
        <is>
          <t>TI</t>
        </is>
      </c>
      <c r="I103" t="n">
        <v>175000000</v>
      </c>
      <c r="J103" t="inlineStr">
        <is>
          <t>COP</t>
        </is>
      </c>
      <c r="L103">
        <f>IFERROR(INDEX(Diccionario!$B:$B,MATCH(F115,Diccionario!$C:$C,0)),"")</f>
        <v/>
      </c>
      <c r="M103">
        <f>IFERROR(INDEX(Diccionario!$H:$H,MATCH(F115,Diccionario!$C:$C,0)),"")</f>
        <v/>
      </c>
      <c r="N103">
        <f>IFERROR(INDEX(Diccionario!$N:$N,MATCH(F115,Diccionario!$C:$C,0)),"")</f>
        <v/>
      </c>
    </row>
    <row r="104" ht="14.25" customHeight="1" s="52">
      <c r="A104" t="inlineStr">
        <is>
          <t>2024-01</t>
        </is>
      </c>
      <c r="B104" t="inlineStr">
        <is>
          <t>Colombia</t>
        </is>
      </c>
      <c r="C104" t="inlineStr">
        <is>
          <t>Coco Colombia</t>
        </is>
      </c>
      <c r="D104" t="inlineStr">
        <is>
          <t>COP</t>
        </is>
      </c>
      <c r="E104" t="inlineStr">
        <is>
          <t>Real</t>
        </is>
      </c>
      <c r="F104" t="inlineStr">
        <is>
          <t>gasto_area</t>
        </is>
      </c>
      <c r="H104" t="inlineStr">
        <is>
          <t>Proveedores</t>
        </is>
      </c>
      <c r="I104" t="n">
        <v>133000000</v>
      </c>
      <c r="J104" t="inlineStr">
        <is>
          <t>COP</t>
        </is>
      </c>
      <c r="L104">
        <f>IFERROR(INDEX(Diccionario!$B:$B,MATCH(F116,Diccionario!$C:$C,0)),"")</f>
        <v/>
      </c>
      <c r="M104">
        <f>IFERROR(INDEX(Diccionario!$H:$H,MATCH(F116,Diccionario!$C:$C,0)),"")</f>
        <v/>
      </c>
      <c r="N104">
        <f>IFERROR(INDEX(Diccionario!$N:$N,MATCH(F116,Diccionario!$C:$C,0)),"")</f>
        <v/>
      </c>
    </row>
    <row r="105" ht="14.25" customHeight="1" s="52">
      <c r="A105" t="inlineStr">
        <is>
          <t>2024-01</t>
        </is>
      </c>
      <c r="B105" t="inlineStr">
        <is>
          <t>Colombia</t>
        </is>
      </c>
      <c r="C105" t="inlineStr">
        <is>
          <t>Coco Colombia</t>
        </is>
      </c>
      <c r="D105" t="inlineStr">
        <is>
          <t>COP</t>
        </is>
      </c>
      <c r="E105" t="inlineStr">
        <is>
          <t>Real</t>
        </is>
      </c>
      <c r="F105" t="inlineStr">
        <is>
          <t>gasto_area</t>
        </is>
      </c>
      <c r="H105" t="inlineStr">
        <is>
          <t>Comercial</t>
        </is>
      </c>
      <c r="I105" t="n">
        <v>125000000</v>
      </c>
      <c r="J105" t="inlineStr">
        <is>
          <t>COP</t>
        </is>
      </c>
      <c r="L105">
        <f>IFERROR(INDEX(Diccionario!$B:$B,MATCH(F117,Diccionario!$C:$C,0)),"")</f>
        <v/>
      </c>
      <c r="M105">
        <f>IFERROR(INDEX(Diccionario!$H:$H,MATCH(F117,Diccionario!$C:$C,0)),"")</f>
        <v/>
      </c>
      <c r="N105">
        <f>IFERROR(INDEX(Diccionario!$N:$N,MATCH(F117,Diccionario!$C:$C,0)),"")</f>
        <v/>
      </c>
    </row>
    <row r="106" ht="14.25" customHeight="1" s="52">
      <c r="A106" t="inlineStr">
        <is>
          <t>2024-01</t>
        </is>
      </c>
      <c r="B106" t="inlineStr">
        <is>
          <t>Colombia</t>
        </is>
      </c>
      <c r="C106" t="inlineStr">
        <is>
          <t>Coco Colombia</t>
        </is>
      </c>
      <c r="D106" t="inlineStr">
        <is>
          <t>COP</t>
        </is>
      </c>
      <c r="E106" t="inlineStr">
        <is>
          <t>Real</t>
        </is>
      </c>
      <c r="F106" t="inlineStr">
        <is>
          <t>gasto_area</t>
        </is>
      </c>
      <c r="H106" t="inlineStr">
        <is>
          <t>Administración</t>
        </is>
      </c>
      <c r="I106" t="n">
        <v>109000000</v>
      </c>
      <c r="J106" t="inlineStr">
        <is>
          <t>COP</t>
        </is>
      </c>
      <c r="L106">
        <f>IFERROR(INDEX(Diccionario!$B:$B,MATCH(F118,Diccionario!$C:$C,0)),"")</f>
        <v/>
      </c>
      <c r="M106">
        <f>IFERROR(INDEX(Diccionario!$H:$H,MATCH(F118,Diccionario!$C:$C,0)),"")</f>
        <v/>
      </c>
      <c r="N106">
        <f>IFERROR(INDEX(Diccionario!$N:$N,MATCH(F118,Diccionario!$C:$C,0)),"")</f>
        <v/>
      </c>
    </row>
    <row r="107" ht="14.25" customHeight="1" s="52">
      <c r="A107" t="inlineStr">
        <is>
          <t>2024-02</t>
        </is>
      </c>
      <c r="B107" t="inlineStr">
        <is>
          <t>Colombia</t>
        </is>
      </c>
      <c r="C107" t="inlineStr">
        <is>
          <t>Coco Colombia</t>
        </is>
      </c>
      <c r="D107" t="inlineStr">
        <is>
          <t>COP</t>
        </is>
      </c>
      <c r="E107" t="inlineStr">
        <is>
          <t>Real</t>
        </is>
      </c>
      <c r="F107" t="inlineStr">
        <is>
          <t>gasto_area</t>
        </is>
      </c>
      <c r="H107" t="inlineStr">
        <is>
          <t>Financieros</t>
        </is>
      </c>
      <c r="I107" t="n">
        <v>3000000</v>
      </c>
      <c r="J107" t="inlineStr">
        <is>
          <t>COP</t>
        </is>
      </c>
      <c r="L107">
        <f>IFERROR(INDEX(Diccionario!$B:$B,MATCH(F119,Diccionario!$C:$C,0)),"")</f>
        <v/>
      </c>
      <c r="M107">
        <f>IFERROR(INDEX(Diccionario!$H:$H,MATCH(F119,Diccionario!$C:$C,0)),"")</f>
        <v/>
      </c>
      <c r="N107">
        <f>IFERROR(INDEX(Diccionario!$N:$N,MATCH(F119,Diccionario!$C:$C,0)),"")</f>
        <v/>
      </c>
    </row>
    <row r="108" ht="14.25" customHeight="1" s="52">
      <c r="A108" t="inlineStr">
        <is>
          <t>2024-02</t>
        </is>
      </c>
      <c r="B108" t="inlineStr">
        <is>
          <t>Colombia</t>
        </is>
      </c>
      <c r="C108" t="inlineStr">
        <is>
          <t>Coco Colombia</t>
        </is>
      </c>
      <c r="D108" t="inlineStr">
        <is>
          <t>COP</t>
        </is>
      </c>
      <c r="E108" t="inlineStr">
        <is>
          <t>Real</t>
        </is>
      </c>
      <c r="F108" t="inlineStr">
        <is>
          <t>gasto_area</t>
        </is>
      </c>
      <c r="H108" t="inlineStr">
        <is>
          <t>TI</t>
        </is>
      </c>
      <c r="I108" t="n">
        <v>161000000</v>
      </c>
      <c r="J108" t="inlineStr">
        <is>
          <t>COP</t>
        </is>
      </c>
      <c r="L108">
        <f>IFERROR(INDEX(Diccionario!$B:$B,MATCH(F120,Diccionario!$C:$C,0)),"")</f>
        <v/>
      </c>
      <c r="M108">
        <f>IFERROR(INDEX(Diccionario!$H:$H,MATCH(F120,Diccionario!$C:$C,0)),"")</f>
        <v/>
      </c>
      <c r="N108">
        <f>IFERROR(INDEX(Diccionario!$N:$N,MATCH(F120,Diccionario!$C:$C,0)),"")</f>
        <v/>
      </c>
    </row>
    <row r="109" ht="14.25" customHeight="1" s="52">
      <c r="A109" t="inlineStr">
        <is>
          <t>2024-02</t>
        </is>
      </c>
      <c r="B109" t="inlineStr">
        <is>
          <t>Colombia</t>
        </is>
      </c>
      <c r="C109" t="inlineStr">
        <is>
          <t>Coco Colombia</t>
        </is>
      </c>
      <c r="D109" t="inlineStr">
        <is>
          <t>COP</t>
        </is>
      </c>
      <c r="E109" t="inlineStr">
        <is>
          <t>Real</t>
        </is>
      </c>
      <c r="F109" t="inlineStr">
        <is>
          <t>gasto_area</t>
        </is>
      </c>
      <c r="H109" t="inlineStr">
        <is>
          <t>Proveedores</t>
        </is>
      </c>
      <c r="I109" t="n">
        <v>115000000</v>
      </c>
      <c r="J109" t="inlineStr">
        <is>
          <t>COP</t>
        </is>
      </c>
      <c r="L109">
        <f>IFERROR(INDEX(Diccionario!$B:$B,MATCH(F121,Diccionario!$C:$C,0)),"")</f>
        <v/>
      </c>
      <c r="M109">
        <f>IFERROR(INDEX(Diccionario!$H:$H,MATCH(F121,Diccionario!$C:$C,0)),"")</f>
        <v/>
      </c>
      <c r="N109">
        <f>IFERROR(INDEX(Diccionario!$N:$N,MATCH(F121,Diccionario!$C:$C,0)),"")</f>
        <v/>
      </c>
    </row>
    <row r="110" ht="14.25" customHeight="1" s="52">
      <c r="A110" t="inlineStr">
        <is>
          <t>2024-02</t>
        </is>
      </c>
      <c r="B110" t="inlineStr">
        <is>
          <t>Colombia</t>
        </is>
      </c>
      <c r="C110" t="inlineStr">
        <is>
          <t>Coco Colombia</t>
        </is>
      </c>
      <c r="D110" t="inlineStr">
        <is>
          <t>COP</t>
        </is>
      </c>
      <c r="E110" t="inlineStr">
        <is>
          <t>Real</t>
        </is>
      </c>
      <c r="F110" t="inlineStr">
        <is>
          <t>gasto_area</t>
        </is>
      </c>
      <c r="H110" t="inlineStr">
        <is>
          <t>Comercial</t>
        </is>
      </c>
      <c r="I110" t="n">
        <v>112000000</v>
      </c>
      <c r="J110" t="inlineStr">
        <is>
          <t>COP</t>
        </is>
      </c>
      <c r="L110">
        <f>IFERROR(INDEX(Diccionario!$B:$B,MATCH(F122,Diccionario!$C:$C,0)),"")</f>
        <v/>
      </c>
      <c r="M110">
        <f>IFERROR(INDEX(Diccionario!$H:$H,MATCH(F122,Diccionario!$C:$C,0)),"")</f>
        <v/>
      </c>
      <c r="N110">
        <f>IFERROR(INDEX(Diccionario!$N:$N,MATCH(F122,Diccionario!$C:$C,0)),"")</f>
        <v/>
      </c>
    </row>
    <row r="111" ht="14.25" customHeight="1" s="52">
      <c r="A111" t="inlineStr">
        <is>
          <t>2024-02</t>
        </is>
      </c>
      <c r="B111" t="inlineStr">
        <is>
          <t>Colombia</t>
        </is>
      </c>
      <c r="C111" t="inlineStr">
        <is>
          <t>Coco Colombia</t>
        </is>
      </c>
      <c r="D111" t="inlineStr">
        <is>
          <t>COP</t>
        </is>
      </c>
      <c r="E111" t="inlineStr">
        <is>
          <t>Real</t>
        </is>
      </c>
      <c r="F111" t="inlineStr">
        <is>
          <t>gasto_area</t>
        </is>
      </c>
      <c r="H111" t="inlineStr">
        <is>
          <t>Administración</t>
        </is>
      </c>
      <c r="I111" t="n">
        <v>124000000</v>
      </c>
      <c r="J111" t="inlineStr">
        <is>
          <t>COP</t>
        </is>
      </c>
      <c r="L111">
        <f>IFERROR(INDEX(Diccionario!$B:$B,MATCH(F123,Diccionario!$C:$C,0)),"")</f>
        <v/>
      </c>
      <c r="M111">
        <f>IFERROR(INDEX(Diccionario!$H:$H,MATCH(F123,Diccionario!$C:$C,0)),"")</f>
        <v/>
      </c>
      <c r="N111">
        <f>IFERROR(INDEX(Diccionario!$N:$N,MATCH(F123,Diccionario!$C:$C,0)),"")</f>
        <v/>
      </c>
    </row>
    <row r="112" ht="14.25" customHeight="1" s="52">
      <c r="A112" t="inlineStr">
        <is>
          <t>2024-03</t>
        </is>
      </c>
      <c r="B112" t="inlineStr">
        <is>
          <t>Colombia</t>
        </is>
      </c>
      <c r="C112" t="inlineStr">
        <is>
          <t>Coco Colombia</t>
        </is>
      </c>
      <c r="D112" t="inlineStr">
        <is>
          <t>COP</t>
        </is>
      </c>
      <c r="E112" t="inlineStr">
        <is>
          <t>Real</t>
        </is>
      </c>
      <c r="F112" t="inlineStr">
        <is>
          <t>gasto_area</t>
        </is>
      </c>
      <c r="H112" t="inlineStr">
        <is>
          <t>Financieros</t>
        </is>
      </c>
      <c r="I112" t="n">
        <v>3000000</v>
      </c>
      <c r="J112" t="inlineStr">
        <is>
          <t>COP</t>
        </is>
      </c>
      <c r="L112">
        <f>IFERROR(INDEX(Diccionario!$B:$B,MATCH(F124,Diccionario!$C:$C,0)),"")</f>
        <v/>
      </c>
      <c r="M112">
        <f>IFERROR(INDEX(Diccionario!$H:$H,MATCH(F124,Diccionario!$C:$C,0)),"")</f>
        <v/>
      </c>
      <c r="N112">
        <f>IFERROR(INDEX(Diccionario!$N:$N,MATCH(F124,Diccionario!$C:$C,0)),"")</f>
        <v/>
      </c>
    </row>
    <row r="113" ht="14.25" customHeight="1" s="52">
      <c r="A113" t="inlineStr">
        <is>
          <t>2024-03</t>
        </is>
      </c>
      <c r="B113" t="inlineStr">
        <is>
          <t>Colombia</t>
        </is>
      </c>
      <c r="C113" t="inlineStr">
        <is>
          <t>Coco Colombia</t>
        </is>
      </c>
      <c r="D113" t="inlineStr">
        <is>
          <t>COP</t>
        </is>
      </c>
      <c r="E113" t="inlineStr">
        <is>
          <t>Real</t>
        </is>
      </c>
      <c r="F113" t="inlineStr">
        <is>
          <t>gasto_area</t>
        </is>
      </c>
      <c r="H113" t="inlineStr">
        <is>
          <t>TI</t>
        </is>
      </c>
      <c r="I113" t="n">
        <v>175000000</v>
      </c>
      <c r="J113" t="inlineStr">
        <is>
          <t>COP</t>
        </is>
      </c>
      <c r="L113">
        <f>IFERROR(INDEX(Diccionario!$B:$B,MATCH(F125,Diccionario!$C:$C,0)),"")</f>
        <v/>
      </c>
      <c r="M113">
        <f>IFERROR(INDEX(Diccionario!$H:$H,MATCH(F125,Diccionario!$C:$C,0)),"")</f>
        <v/>
      </c>
      <c r="N113">
        <f>IFERROR(INDEX(Diccionario!$N:$N,MATCH(F125,Diccionario!$C:$C,0)),"")</f>
        <v/>
      </c>
    </row>
    <row r="114" ht="14.25" customHeight="1" s="52">
      <c r="A114" t="inlineStr">
        <is>
          <t>2024-03</t>
        </is>
      </c>
      <c r="B114" t="inlineStr">
        <is>
          <t>Colombia</t>
        </is>
      </c>
      <c r="C114" t="inlineStr">
        <is>
          <t>Coco Colombia</t>
        </is>
      </c>
      <c r="D114" t="inlineStr">
        <is>
          <t>COP</t>
        </is>
      </c>
      <c r="E114" t="inlineStr">
        <is>
          <t>Real</t>
        </is>
      </c>
      <c r="F114" t="inlineStr">
        <is>
          <t>gasto_area</t>
        </is>
      </c>
      <c r="H114" t="inlineStr">
        <is>
          <t>Proveedores</t>
        </is>
      </c>
      <c r="I114" t="n">
        <v>130000000</v>
      </c>
      <c r="J114" t="inlineStr">
        <is>
          <t>COP</t>
        </is>
      </c>
      <c r="L114">
        <f>IFERROR(INDEX(Diccionario!$B:$B,MATCH(F126,Diccionario!$C:$C,0)),"")</f>
        <v/>
      </c>
      <c r="M114">
        <f>IFERROR(INDEX(Diccionario!$H:$H,MATCH(F126,Diccionario!$C:$C,0)),"")</f>
        <v/>
      </c>
      <c r="N114">
        <f>IFERROR(INDEX(Diccionario!$N:$N,MATCH(F126,Diccionario!$C:$C,0)),"")</f>
        <v/>
      </c>
    </row>
    <row r="115" ht="14.25" customHeight="1" s="52">
      <c r="A115" t="inlineStr">
        <is>
          <t>2024-03</t>
        </is>
      </c>
      <c r="B115" t="inlineStr">
        <is>
          <t>Colombia</t>
        </is>
      </c>
      <c r="C115" t="inlineStr">
        <is>
          <t>Coco Colombia</t>
        </is>
      </c>
      <c r="D115" t="inlineStr">
        <is>
          <t>COP</t>
        </is>
      </c>
      <c r="E115" t="inlineStr">
        <is>
          <t>Real</t>
        </is>
      </c>
      <c r="F115" t="inlineStr">
        <is>
          <t>gasto_area</t>
        </is>
      </c>
      <c r="H115" t="inlineStr">
        <is>
          <t>Comercial</t>
        </is>
      </c>
      <c r="I115" t="n">
        <v>132000000</v>
      </c>
      <c r="J115" t="inlineStr">
        <is>
          <t>COP</t>
        </is>
      </c>
      <c r="L115">
        <f>IFERROR(INDEX(Diccionario!$B:$B,MATCH(F127,Diccionario!$C:$C,0)),"")</f>
        <v/>
      </c>
      <c r="M115">
        <f>IFERROR(INDEX(Diccionario!$H:$H,MATCH(F127,Diccionario!$C:$C,0)),"")</f>
        <v/>
      </c>
      <c r="N115">
        <f>IFERROR(INDEX(Diccionario!$N:$N,MATCH(F127,Diccionario!$C:$C,0)),"")</f>
        <v/>
      </c>
    </row>
    <row r="116" ht="14.25" customHeight="1" s="52">
      <c r="A116" t="inlineStr">
        <is>
          <t>2024-03</t>
        </is>
      </c>
      <c r="B116" t="inlineStr">
        <is>
          <t>Colombia</t>
        </is>
      </c>
      <c r="C116" t="inlineStr">
        <is>
          <t>Coco Colombia</t>
        </is>
      </c>
      <c r="D116" t="inlineStr">
        <is>
          <t>COP</t>
        </is>
      </c>
      <c r="E116" t="inlineStr">
        <is>
          <t>Real</t>
        </is>
      </c>
      <c r="F116" t="inlineStr">
        <is>
          <t>gasto_area</t>
        </is>
      </c>
      <c r="H116" t="inlineStr">
        <is>
          <t>Administración</t>
        </is>
      </c>
      <c r="I116" t="n">
        <v>125000000</v>
      </c>
      <c r="J116" t="inlineStr">
        <is>
          <t>COP</t>
        </is>
      </c>
      <c r="L116">
        <f>IFERROR(INDEX(Diccionario!$B:$B,MATCH(F128,Diccionario!$C:$C,0)),"")</f>
        <v/>
      </c>
      <c r="M116">
        <f>IFERROR(INDEX(Diccionario!$H:$H,MATCH(F128,Diccionario!$C:$C,0)),"")</f>
        <v/>
      </c>
      <c r="N116">
        <f>IFERROR(INDEX(Diccionario!$N:$N,MATCH(F128,Diccionario!$C:$C,0)),"")</f>
        <v/>
      </c>
    </row>
    <row r="117" ht="14.25" customHeight="1" s="52">
      <c r="A117" t="inlineStr">
        <is>
          <t>2024-04</t>
        </is>
      </c>
      <c r="B117" t="inlineStr">
        <is>
          <t>Colombia</t>
        </is>
      </c>
      <c r="C117" t="inlineStr">
        <is>
          <t>Coco Colombia</t>
        </is>
      </c>
      <c r="D117" t="inlineStr">
        <is>
          <t>COP</t>
        </is>
      </c>
      <c r="E117" t="inlineStr">
        <is>
          <t>Real</t>
        </is>
      </c>
      <c r="F117" t="inlineStr">
        <is>
          <t>gasto_area</t>
        </is>
      </c>
      <c r="H117" t="inlineStr">
        <is>
          <t>Financieros</t>
        </is>
      </c>
      <c r="I117" t="n">
        <v>6000000</v>
      </c>
      <c r="J117" t="inlineStr">
        <is>
          <t>COP</t>
        </is>
      </c>
      <c r="L117">
        <f>IFERROR(INDEX(Diccionario!$B:$B,MATCH(F129,Diccionario!$C:$C,0)),"")</f>
        <v/>
      </c>
      <c r="M117">
        <f>IFERROR(INDEX(Diccionario!$H:$H,MATCH(F129,Diccionario!$C:$C,0)),"")</f>
        <v/>
      </c>
      <c r="N117">
        <f>IFERROR(INDEX(Diccionario!$N:$N,MATCH(F129,Diccionario!$C:$C,0)),"")</f>
        <v/>
      </c>
    </row>
    <row r="118" ht="14.25" customHeight="1" s="52">
      <c r="A118" t="inlineStr">
        <is>
          <t>2024-04</t>
        </is>
      </c>
      <c r="B118" t="inlineStr">
        <is>
          <t>Colombia</t>
        </is>
      </c>
      <c r="C118" t="inlineStr">
        <is>
          <t>Coco Colombia</t>
        </is>
      </c>
      <c r="D118" t="inlineStr">
        <is>
          <t>COP</t>
        </is>
      </c>
      <c r="E118" t="inlineStr">
        <is>
          <t>Real</t>
        </is>
      </c>
      <c r="F118" t="inlineStr">
        <is>
          <t>gasto_area</t>
        </is>
      </c>
      <c r="H118" t="inlineStr">
        <is>
          <t>TI</t>
        </is>
      </c>
      <c r="I118" t="n">
        <v>195000000</v>
      </c>
      <c r="J118" t="inlineStr">
        <is>
          <t>COP</t>
        </is>
      </c>
      <c r="L118">
        <f>IFERROR(INDEX(Diccionario!$B:$B,MATCH(F130,Diccionario!$C:$C,0)),"")</f>
        <v/>
      </c>
      <c r="M118">
        <f>IFERROR(INDEX(Diccionario!$H:$H,MATCH(F130,Diccionario!$C:$C,0)),"")</f>
        <v/>
      </c>
      <c r="N118">
        <f>IFERROR(INDEX(Diccionario!$N:$N,MATCH(F130,Diccionario!$C:$C,0)),"")</f>
        <v/>
      </c>
    </row>
    <row r="119" ht="14.25" customHeight="1" s="52">
      <c r="A119" t="inlineStr">
        <is>
          <t>2024-04</t>
        </is>
      </c>
      <c r="B119" t="inlineStr">
        <is>
          <t>Colombia</t>
        </is>
      </c>
      <c r="C119" t="inlineStr">
        <is>
          <t>Coco Colombia</t>
        </is>
      </c>
      <c r="D119" t="inlineStr">
        <is>
          <t>COP</t>
        </is>
      </c>
      <c r="E119" t="inlineStr">
        <is>
          <t>Real</t>
        </is>
      </c>
      <c r="F119" t="inlineStr">
        <is>
          <t>gasto_area</t>
        </is>
      </c>
      <c r="H119" t="inlineStr">
        <is>
          <t>Proveedores</t>
        </is>
      </c>
      <c r="I119" t="n">
        <v>130000000</v>
      </c>
      <c r="J119" t="inlineStr">
        <is>
          <t>COP</t>
        </is>
      </c>
      <c r="L119">
        <f>IFERROR(INDEX(Diccionario!$B:$B,MATCH(F131,Diccionario!$C:$C,0)),"")</f>
        <v/>
      </c>
      <c r="M119">
        <f>IFERROR(INDEX(Diccionario!$H:$H,MATCH(F131,Diccionario!$C:$C,0)),"")</f>
        <v/>
      </c>
      <c r="N119">
        <f>IFERROR(INDEX(Diccionario!$N:$N,MATCH(F131,Diccionario!$C:$C,0)),"")</f>
        <v/>
      </c>
    </row>
    <row r="120" ht="14.25" customHeight="1" s="52">
      <c r="A120" t="inlineStr">
        <is>
          <t>2024-04</t>
        </is>
      </c>
      <c r="B120" t="inlineStr">
        <is>
          <t>Colombia</t>
        </is>
      </c>
      <c r="C120" t="inlineStr">
        <is>
          <t>Coco Colombia</t>
        </is>
      </c>
      <c r="D120" t="inlineStr">
        <is>
          <t>COP</t>
        </is>
      </c>
      <c r="E120" t="inlineStr">
        <is>
          <t>Real</t>
        </is>
      </c>
      <c r="F120" t="inlineStr">
        <is>
          <t>gasto_area</t>
        </is>
      </c>
      <c r="H120" t="inlineStr">
        <is>
          <t>Comercial</t>
        </is>
      </c>
      <c r="I120" t="n">
        <v>147000000</v>
      </c>
      <c r="J120" t="inlineStr">
        <is>
          <t>COP</t>
        </is>
      </c>
      <c r="L120">
        <f>IFERROR(INDEX(Diccionario!$B:$B,MATCH(F132,Diccionario!$C:$C,0)),"")</f>
        <v/>
      </c>
      <c r="M120">
        <f>IFERROR(INDEX(Diccionario!$H:$H,MATCH(F132,Diccionario!$C:$C,0)),"")</f>
        <v/>
      </c>
      <c r="N120">
        <f>IFERROR(INDEX(Diccionario!$N:$N,MATCH(F132,Diccionario!$C:$C,0)),"")</f>
        <v/>
      </c>
    </row>
    <row r="121" ht="14.25" customHeight="1" s="52">
      <c r="A121" t="inlineStr">
        <is>
          <t>2024-04</t>
        </is>
      </c>
      <c r="B121" t="inlineStr">
        <is>
          <t>Colombia</t>
        </is>
      </c>
      <c r="C121" t="inlineStr">
        <is>
          <t>Coco Colombia</t>
        </is>
      </c>
      <c r="D121" t="inlineStr">
        <is>
          <t>COP</t>
        </is>
      </c>
      <c r="E121" t="inlineStr">
        <is>
          <t>Real</t>
        </is>
      </c>
      <c r="F121" t="inlineStr">
        <is>
          <t>gasto_area</t>
        </is>
      </c>
      <c r="H121" t="inlineStr">
        <is>
          <t>Administración</t>
        </is>
      </c>
      <c r="I121" t="n">
        <v>94000000</v>
      </c>
      <c r="J121" t="inlineStr">
        <is>
          <t>COP</t>
        </is>
      </c>
      <c r="L121">
        <f>IFERROR(INDEX(Diccionario!$B:$B,MATCH(F133,Diccionario!$C:$C,0)),"")</f>
        <v/>
      </c>
      <c r="M121">
        <f>IFERROR(INDEX(Diccionario!$H:$H,MATCH(F133,Diccionario!$C:$C,0)),"")</f>
        <v/>
      </c>
      <c r="N121">
        <f>IFERROR(INDEX(Diccionario!$N:$N,MATCH(F133,Diccionario!$C:$C,0)),"")</f>
        <v/>
      </c>
    </row>
    <row r="122" ht="14.25" customHeight="1" s="52">
      <c r="A122" t="inlineStr">
        <is>
          <t>2024-06</t>
        </is>
      </c>
      <c r="B122" t="inlineStr">
        <is>
          <t>Colombia</t>
        </is>
      </c>
      <c r="C122" t="inlineStr">
        <is>
          <t>Coco Colombia</t>
        </is>
      </c>
      <c r="D122" t="inlineStr">
        <is>
          <t>COP</t>
        </is>
      </c>
      <c r="E122" t="inlineStr">
        <is>
          <t>Real</t>
        </is>
      </c>
      <c r="F122" t="inlineStr">
        <is>
          <t>gasto_area</t>
        </is>
      </c>
      <c r="H122" t="inlineStr">
        <is>
          <t>Financieros</t>
        </is>
      </c>
      <c r="I122" t="n">
        <v>10000000</v>
      </c>
      <c r="J122" t="inlineStr">
        <is>
          <t>COP</t>
        </is>
      </c>
      <c r="L122">
        <f>IFERROR(INDEX(Diccionario!$B:$B,MATCH(F134,Diccionario!$C:$C,0)),"")</f>
        <v/>
      </c>
      <c r="M122">
        <f>IFERROR(INDEX(Diccionario!$H:$H,MATCH(F134,Diccionario!$C:$C,0)),"")</f>
        <v/>
      </c>
      <c r="N122">
        <f>IFERROR(INDEX(Diccionario!$N:$N,MATCH(F134,Diccionario!$C:$C,0)),"")</f>
        <v/>
      </c>
    </row>
    <row r="123" ht="14.25" customHeight="1" s="52">
      <c r="A123" t="inlineStr">
        <is>
          <t>2024-06</t>
        </is>
      </c>
      <c r="B123" t="inlineStr">
        <is>
          <t>Colombia</t>
        </is>
      </c>
      <c r="C123" t="inlineStr">
        <is>
          <t>Coco Colombia</t>
        </is>
      </c>
      <c r="D123" t="inlineStr">
        <is>
          <t>COP</t>
        </is>
      </c>
      <c r="E123" t="inlineStr">
        <is>
          <t>Real</t>
        </is>
      </c>
      <c r="F123" t="inlineStr">
        <is>
          <t>gasto_area</t>
        </is>
      </c>
      <c r="H123" t="inlineStr">
        <is>
          <t>TI</t>
        </is>
      </c>
      <c r="I123" t="n">
        <v>177000000</v>
      </c>
      <c r="J123" t="inlineStr">
        <is>
          <t>COP</t>
        </is>
      </c>
      <c r="L123">
        <f>IFERROR(INDEX(Diccionario!$B:$B,MATCH(F135,Diccionario!$C:$C,0)),"")</f>
        <v/>
      </c>
      <c r="M123">
        <f>IFERROR(INDEX(Diccionario!$H:$H,MATCH(F135,Diccionario!$C:$C,0)),"")</f>
        <v/>
      </c>
      <c r="N123">
        <f>IFERROR(INDEX(Diccionario!$N:$N,MATCH(F135,Diccionario!$C:$C,0)),"")</f>
        <v/>
      </c>
    </row>
    <row r="124" ht="14.25" customHeight="1" s="52">
      <c r="A124" t="inlineStr">
        <is>
          <t>2024-06</t>
        </is>
      </c>
      <c r="B124" t="inlineStr">
        <is>
          <t>Colombia</t>
        </is>
      </c>
      <c r="C124" t="inlineStr">
        <is>
          <t>Coco Colombia</t>
        </is>
      </c>
      <c r="D124" t="inlineStr">
        <is>
          <t>COP</t>
        </is>
      </c>
      <c r="E124" t="inlineStr">
        <is>
          <t>Real</t>
        </is>
      </c>
      <c r="F124" t="inlineStr">
        <is>
          <t>gasto_area</t>
        </is>
      </c>
      <c r="H124" t="inlineStr">
        <is>
          <t>Proveedores</t>
        </is>
      </c>
      <c r="I124" t="n">
        <v>167000000</v>
      </c>
      <c r="J124" t="inlineStr">
        <is>
          <t>COP</t>
        </is>
      </c>
      <c r="L124">
        <f>IFERROR(INDEX(Diccionario!$B:$B,MATCH(F136,Diccionario!$C:$C,0)),"")</f>
        <v/>
      </c>
      <c r="M124">
        <f>IFERROR(INDEX(Diccionario!$H:$H,MATCH(F136,Diccionario!$C:$C,0)),"")</f>
        <v/>
      </c>
      <c r="N124">
        <f>IFERROR(INDEX(Diccionario!$N:$N,MATCH(F136,Diccionario!$C:$C,0)),"")</f>
        <v/>
      </c>
    </row>
    <row r="125" ht="14.25" customHeight="1" s="52">
      <c r="A125" t="inlineStr">
        <is>
          <t>2024-06</t>
        </is>
      </c>
      <c r="B125" t="inlineStr">
        <is>
          <t>Colombia</t>
        </is>
      </c>
      <c r="C125" t="inlineStr">
        <is>
          <t>Coco Colombia</t>
        </is>
      </c>
      <c r="D125" t="inlineStr">
        <is>
          <t>COP</t>
        </is>
      </c>
      <c r="E125" t="inlineStr">
        <is>
          <t>Real</t>
        </is>
      </c>
      <c r="F125" t="inlineStr">
        <is>
          <t>gasto_area</t>
        </is>
      </c>
      <c r="H125" t="inlineStr">
        <is>
          <t>Comercial</t>
        </is>
      </c>
      <c r="I125" t="n">
        <v>157000000</v>
      </c>
      <c r="J125" t="inlineStr">
        <is>
          <t>COP</t>
        </is>
      </c>
      <c r="L125">
        <f>IFERROR(INDEX(Diccionario!$B:$B,MATCH(F137,Diccionario!$C:$C,0)),"")</f>
        <v/>
      </c>
      <c r="M125">
        <f>IFERROR(INDEX(Diccionario!$H:$H,MATCH(F137,Diccionario!$C:$C,0)),"")</f>
        <v/>
      </c>
      <c r="N125">
        <f>IFERROR(INDEX(Diccionario!$N:$N,MATCH(F137,Diccionario!$C:$C,0)),"")</f>
        <v/>
      </c>
    </row>
    <row r="126" ht="14.25" customHeight="1" s="52">
      <c r="A126" t="inlineStr">
        <is>
          <t>2024-06</t>
        </is>
      </c>
      <c r="B126" t="inlineStr">
        <is>
          <t>Colombia</t>
        </is>
      </c>
      <c r="C126" t="inlineStr">
        <is>
          <t>Coco Colombia</t>
        </is>
      </c>
      <c r="D126" t="inlineStr">
        <is>
          <t>COP</t>
        </is>
      </c>
      <c r="E126" t="inlineStr">
        <is>
          <t>Real</t>
        </is>
      </c>
      <c r="F126" t="inlineStr">
        <is>
          <t>gasto_area</t>
        </is>
      </c>
      <c r="H126" t="inlineStr">
        <is>
          <t>Administración</t>
        </is>
      </c>
      <c r="I126" t="n">
        <v>99000000</v>
      </c>
      <c r="J126" t="inlineStr">
        <is>
          <t>COP</t>
        </is>
      </c>
      <c r="L126">
        <f>IFERROR(INDEX(Diccionario!$B:$B,MATCH(F138,Diccionario!$C:$C,0)),"")</f>
        <v/>
      </c>
      <c r="M126">
        <f>IFERROR(INDEX(Diccionario!$H:$H,MATCH(F138,Diccionario!$C:$C,0)),"")</f>
        <v/>
      </c>
      <c r="N126">
        <f>IFERROR(INDEX(Diccionario!$N:$N,MATCH(F138,Diccionario!$C:$C,0)),"")</f>
        <v/>
      </c>
    </row>
    <row r="127" ht="14.25" customHeight="1" s="52">
      <c r="A127" t="inlineStr">
        <is>
          <t>2024-07</t>
        </is>
      </c>
      <c r="B127" t="inlineStr">
        <is>
          <t>Colombia</t>
        </is>
      </c>
      <c r="C127" t="inlineStr">
        <is>
          <t>Coco Colombia</t>
        </is>
      </c>
      <c r="D127" t="inlineStr">
        <is>
          <t>COP</t>
        </is>
      </c>
      <c r="E127" t="inlineStr">
        <is>
          <t>Real</t>
        </is>
      </c>
      <c r="F127" t="inlineStr">
        <is>
          <t>gasto_area</t>
        </is>
      </c>
      <c r="H127" t="inlineStr">
        <is>
          <t>Financieros</t>
        </is>
      </c>
      <c r="I127" t="n">
        <v>4000000</v>
      </c>
      <c r="J127" t="inlineStr">
        <is>
          <t>COP</t>
        </is>
      </c>
      <c r="L127">
        <f>IFERROR(INDEX(Diccionario!$B:$B,MATCH(F139,Diccionario!$C:$C,0)),"")</f>
        <v/>
      </c>
      <c r="M127">
        <f>IFERROR(INDEX(Diccionario!$H:$H,MATCH(F139,Diccionario!$C:$C,0)),"")</f>
        <v/>
      </c>
      <c r="N127">
        <f>IFERROR(INDEX(Diccionario!$N:$N,MATCH(F139,Diccionario!$C:$C,0)),"")</f>
        <v/>
      </c>
    </row>
    <row r="128" ht="14.25" customHeight="1" s="52">
      <c r="A128" t="inlineStr">
        <is>
          <t>2024-07</t>
        </is>
      </c>
      <c r="B128" t="inlineStr">
        <is>
          <t>Colombia</t>
        </is>
      </c>
      <c r="C128" t="inlineStr">
        <is>
          <t>Coco Colombia</t>
        </is>
      </c>
      <c r="D128" t="inlineStr">
        <is>
          <t>COP</t>
        </is>
      </c>
      <c r="E128" t="inlineStr">
        <is>
          <t>Real</t>
        </is>
      </c>
      <c r="F128" t="inlineStr">
        <is>
          <t>gasto_area</t>
        </is>
      </c>
      <c r="H128" t="inlineStr">
        <is>
          <t>TI</t>
        </is>
      </c>
      <c r="I128" t="n">
        <v>199000000</v>
      </c>
      <c r="J128" t="inlineStr">
        <is>
          <t>COP</t>
        </is>
      </c>
      <c r="L128">
        <f>IFERROR(INDEX(Diccionario!$B:$B,MATCH(F140,Diccionario!$C:$C,0)),"")</f>
        <v/>
      </c>
      <c r="M128">
        <f>IFERROR(INDEX(Diccionario!$H:$H,MATCH(F140,Diccionario!$C:$C,0)),"")</f>
        <v/>
      </c>
      <c r="N128">
        <f>IFERROR(INDEX(Diccionario!$N:$N,MATCH(F140,Diccionario!$C:$C,0)),"")</f>
        <v/>
      </c>
    </row>
    <row r="129" ht="14.25" customHeight="1" s="52">
      <c r="A129" t="inlineStr">
        <is>
          <t>2024-07</t>
        </is>
      </c>
      <c r="B129" t="inlineStr">
        <is>
          <t>Colombia</t>
        </is>
      </c>
      <c r="C129" t="inlineStr">
        <is>
          <t>Coco Colombia</t>
        </is>
      </c>
      <c r="D129" t="inlineStr">
        <is>
          <t>COP</t>
        </is>
      </c>
      <c r="E129" t="inlineStr">
        <is>
          <t>Real</t>
        </is>
      </c>
      <c r="F129" t="inlineStr">
        <is>
          <t>gasto_area</t>
        </is>
      </c>
      <c r="H129" t="inlineStr">
        <is>
          <t>Proveedores</t>
        </is>
      </c>
      <c r="I129" t="n">
        <v>84000000</v>
      </c>
      <c r="J129" t="inlineStr">
        <is>
          <t>COP</t>
        </is>
      </c>
      <c r="L129">
        <f>IFERROR(INDEX(Diccionario!$B:$B,MATCH(F141,Diccionario!$C:$C,0)),"")</f>
        <v/>
      </c>
      <c r="M129">
        <f>IFERROR(INDEX(Diccionario!$H:$H,MATCH(F141,Diccionario!$C:$C,0)),"")</f>
        <v/>
      </c>
      <c r="N129">
        <f>IFERROR(INDEX(Diccionario!$N:$N,MATCH(F141,Diccionario!$C:$C,0)),"")</f>
        <v/>
      </c>
    </row>
    <row r="130" ht="14.25" customHeight="1" s="52">
      <c r="A130" t="inlineStr">
        <is>
          <t>2024-07</t>
        </is>
      </c>
      <c r="B130" t="inlineStr">
        <is>
          <t>Colombia</t>
        </is>
      </c>
      <c r="C130" t="inlineStr">
        <is>
          <t>Coco Colombia</t>
        </is>
      </c>
      <c r="D130" t="inlineStr">
        <is>
          <t>COP</t>
        </is>
      </c>
      <c r="E130" t="inlineStr">
        <is>
          <t>Real</t>
        </is>
      </c>
      <c r="F130" t="inlineStr">
        <is>
          <t>gasto_area</t>
        </is>
      </c>
      <c r="H130" t="inlineStr">
        <is>
          <t>Comercial</t>
        </is>
      </c>
      <c r="I130" t="n">
        <v>162000000</v>
      </c>
      <c r="J130" t="inlineStr">
        <is>
          <t>COP</t>
        </is>
      </c>
      <c r="L130">
        <f>IFERROR(INDEX(Diccionario!$B:$B,MATCH(F142,Diccionario!$C:$C,0)),"")</f>
        <v/>
      </c>
      <c r="M130">
        <f>IFERROR(INDEX(Diccionario!$H:$H,MATCH(F142,Diccionario!$C:$C,0)),"")</f>
        <v/>
      </c>
      <c r="N130">
        <f>IFERROR(INDEX(Diccionario!$N:$N,MATCH(F142,Diccionario!$C:$C,0)),"")</f>
        <v/>
      </c>
    </row>
    <row r="131" ht="14.25" customHeight="1" s="52">
      <c r="A131" t="inlineStr">
        <is>
          <t>2024-07</t>
        </is>
      </c>
      <c r="B131" t="inlineStr">
        <is>
          <t>Colombia</t>
        </is>
      </c>
      <c r="C131" t="inlineStr">
        <is>
          <t>Coco Colombia</t>
        </is>
      </c>
      <c r="D131" t="inlineStr">
        <is>
          <t>COP</t>
        </is>
      </c>
      <c r="E131" t="inlineStr">
        <is>
          <t>Real</t>
        </is>
      </c>
      <c r="F131" t="inlineStr">
        <is>
          <t>gasto_area</t>
        </is>
      </c>
      <c r="H131" t="inlineStr">
        <is>
          <t>Administración</t>
        </is>
      </c>
      <c r="I131" t="n">
        <v>107000000</v>
      </c>
      <c r="J131" t="inlineStr">
        <is>
          <t>COP</t>
        </is>
      </c>
      <c r="L131">
        <f>IFERROR(INDEX(Diccionario!$B:$B,MATCH(F143,Diccionario!$C:$C,0)),"")</f>
        <v/>
      </c>
      <c r="M131">
        <f>IFERROR(INDEX(Diccionario!$H:$H,MATCH(F143,Diccionario!$C:$C,0)),"")</f>
        <v/>
      </c>
      <c r="N131">
        <f>IFERROR(INDEX(Diccionario!$N:$N,MATCH(F143,Diccionario!$C:$C,0)),"")</f>
        <v/>
      </c>
    </row>
    <row r="132" ht="14.25" customHeight="1" s="52">
      <c r="A132" t="inlineStr">
        <is>
          <t>2024-08</t>
        </is>
      </c>
      <c r="B132" t="inlineStr">
        <is>
          <t>Colombia</t>
        </is>
      </c>
      <c r="C132" t="inlineStr">
        <is>
          <t>Coco Colombia</t>
        </is>
      </c>
      <c r="D132" t="inlineStr">
        <is>
          <t>COP</t>
        </is>
      </c>
      <c r="E132" t="inlineStr">
        <is>
          <t>Real</t>
        </is>
      </c>
      <c r="F132" t="inlineStr">
        <is>
          <t>gasto_area</t>
        </is>
      </c>
      <c r="H132" t="inlineStr">
        <is>
          <t>Financieros</t>
        </is>
      </c>
      <c r="I132" t="n">
        <v>3000000</v>
      </c>
      <c r="J132" t="inlineStr">
        <is>
          <t>COP</t>
        </is>
      </c>
      <c r="L132">
        <f>IFERROR(INDEX(Diccionario!$B:$B,MATCH(F144,Diccionario!$C:$C,0)),"")</f>
        <v/>
      </c>
      <c r="M132">
        <f>IFERROR(INDEX(Diccionario!$H:$H,MATCH(F144,Diccionario!$C:$C,0)),"")</f>
        <v/>
      </c>
      <c r="N132">
        <f>IFERROR(INDEX(Diccionario!$N:$N,MATCH(F144,Diccionario!$C:$C,0)),"")</f>
        <v/>
      </c>
    </row>
    <row r="133" ht="14.25" customHeight="1" s="52">
      <c r="A133" t="inlineStr">
        <is>
          <t>2024-08</t>
        </is>
      </c>
      <c r="B133" t="inlineStr">
        <is>
          <t>Colombia</t>
        </is>
      </c>
      <c r="C133" t="inlineStr">
        <is>
          <t>Coco Colombia</t>
        </is>
      </c>
      <c r="D133" t="inlineStr">
        <is>
          <t>COP</t>
        </is>
      </c>
      <c r="E133" t="inlineStr">
        <is>
          <t>Real</t>
        </is>
      </c>
      <c r="F133" t="inlineStr">
        <is>
          <t>gasto_area</t>
        </is>
      </c>
      <c r="H133" t="inlineStr">
        <is>
          <t>TI</t>
        </is>
      </c>
      <c r="I133" t="n">
        <v>205000000</v>
      </c>
      <c r="J133" t="inlineStr">
        <is>
          <t>COP</t>
        </is>
      </c>
      <c r="L133">
        <f>IFERROR(INDEX(Diccionario!$B:$B,MATCH(F145,Diccionario!$C:$C,0)),"")</f>
        <v/>
      </c>
      <c r="M133">
        <f>IFERROR(INDEX(Diccionario!$H:$H,MATCH(F145,Diccionario!$C:$C,0)),"")</f>
        <v/>
      </c>
      <c r="N133">
        <f>IFERROR(INDEX(Diccionario!$N:$N,MATCH(F145,Diccionario!$C:$C,0)),"")</f>
        <v/>
      </c>
    </row>
    <row r="134" ht="14.25" customHeight="1" s="52">
      <c r="A134" t="inlineStr">
        <is>
          <t>2024-08</t>
        </is>
      </c>
      <c r="B134" t="inlineStr">
        <is>
          <t>Colombia</t>
        </is>
      </c>
      <c r="C134" t="inlineStr">
        <is>
          <t>Coco Colombia</t>
        </is>
      </c>
      <c r="D134" t="inlineStr">
        <is>
          <t>COP</t>
        </is>
      </c>
      <c r="E134" t="inlineStr">
        <is>
          <t>Real</t>
        </is>
      </c>
      <c r="F134" t="inlineStr">
        <is>
          <t>gasto_area</t>
        </is>
      </c>
      <c r="H134" t="inlineStr">
        <is>
          <t>Proveedores</t>
        </is>
      </c>
      <c r="I134" t="n">
        <v>176000000</v>
      </c>
      <c r="J134" t="inlineStr">
        <is>
          <t>COP</t>
        </is>
      </c>
      <c r="L134">
        <f>IFERROR(INDEX(Diccionario!$B:$B,MATCH(F146,Diccionario!$C:$C,0)),"")</f>
        <v/>
      </c>
      <c r="M134">
        <f>IFERROR(INDEX(Diccionario!$H:$H,MATCH(F146,Diccionario!$C:$C,0)),"")</f>
        <v/>
      </c>
      <c r="N134">
        <f>IFERROR(INDEX(Diccionario!$N:$N,MATCH(F146,Diccionario!$C:$C,0)),"")</f>
        <v/>
      </c>
    </row>
    <row r="135" ht="14.25" customHeight="1" s="52">
      <c r="A135" t="inlineStr">
        <is>
          <t>2024-08</t>
        </is>
      </c>
      <c r="B135" t="inlineStr">
        <is>
          <t>Colombia</t>
        </is>
      </c>
      <c r="C135" t="inlineStr">
        <is>
          <t>Coco Colombia</t>
        </is>
      </c>
      <c r="D135" t="inlineStr">
        <is>
          <t>COP</t>
        </is>
      </c>
      <c r="E135" t="inlineStr">
        <is>
          <t>Real</t>
        </is>
      </c>
      <c r="F135" t="inlineStr">
        <is>
          <t>gasto_area</t>
        </is>
      </c>
      <c r="H135" t="inlineStr">
        <is>
          <t>Comercial</t>
        </is>
      </c>
      <c r="I135" t="n">
        <v>121000000</v>
      </c>
      <c r="J135" t="inlineStr">
        <is>
          <t>COP</t>
        </is>
      </c>
      <c r="L135">
        <f>IFERROR(INDEX(Diccionario!$B:$B,MATCH(F147,Diccionario!$C:$C,0)),"")</f>
        <v/>
      </c>
      <c r="M135">
        <f>IFERROR(INDEX(Diccionario!$H:$H,MATCH(F147,Diccionario!$C:$C,0)),"")</f>
        <v/>
      </c>
      <c r="N135">
        <f>IFERROR(INDEX(Diccionario!$N:$N,MATCH(F147,Diccionario!$C:$C,0)),"")</f>
        <v/>
      </c>
    </row>
    <row r="136" ht="14.25" customHeight="1" s="52">
      <c r="A136" t="inlineStr">
        <is>
          <t>2024-08</t>
        </is>
      </c>
      <c r="B136" t="inlineStr">
        <is>
          <t>Colombia</t>
        </is>
      </c>
      <c r="C136" t="inlineStr">
        <is>
          <t>Coco Colombia</t>
        </is>
      </c>
      <c r="D136" t="inlineStr">
        <is>
          <t>COP</t>
        </is>
      </c>
      <c r="E136" t="inlineStr">
        <is>
          <t>Real</t>
        </is>
      </c>
      <c r="F136" t="inlineStr">
        <is>
          <t>gasto_area</t>
        </is>
      </c>
      <c r="H136" t="inlineStr">
        <is>
          <t>Administración</t>
        </is>
      </c>
      <c r="I136" t="n">
        <v>133000000</v>
      </c>
      <c r="J136" t="inlineStr">
        <is>
          <t>COP</t>
        </is>
      </c>
      <c r="L136">
        <f>IFERROR(INDEX(Diccionario!$B:$B,MATCH(F148,Diccionario!$C:$C,0)),"")</f>
        <v/>
      </c>
      <c r="M136">
        <f>IFERROR(INDEX(Diccionario!$H:$H,MATCH(F148,Diccionario!$C:$C,0)),"")</f>
        <v/>
      </c>
      <c r="N136">
        <f>IFERROR(INDEX(Diccionario!$N:$N,MATCH(F148,Diccionario!$C:$C,0)),"")</f>
        <v/>
      </c>
    </row>
    <row r="137" ht="14.25" customHeight="1" s="52">
      <c r="A137" t="inlineStr">
        <is>
          <t>2024-09</t>
        </is>
      </c>
      <c r="B137" t="inlineStr">
        <is>
          <t>Colombia</t>
        </is>
      </c>
      <c r="C137" t="inlineStr">
        <is>
          <t>Coco Colombia</t>
        </is>
      </c>
      <c r="D137" t="inlineStr">
        <is>
          <t>COP</t>
        </is>
      </c>
      <c r="E137" t="inlineStr">
        <is>
          <t>Real</t>
        </is>
      </c>
      <c r="F137" t="inlineStr">
        <is>
          <t>gasto_area</t>
        </is>
      </c>
      <c r="H137" t="inlineStr">
        <is>
          <t>Financieros</t>
        </is>
      </c>
      <c r="I137" t="n">
        <v>4000000</v>
      </c>
      <c r="J137" t="inlineStr">
        <is>
          <t>COP</t>
        </is>
      </c>
      <c r="L137">
        <f>IFERROR(INDEX(Diccionario!$B:$B,MATCH(F149,Diccionario!$C:$C,0)),"")</f>
        <v/>
      </c>
      <c r="M137">
        <f>IFERROR(INDEX(Diccionario!$H:$H,MATCH(F149,Diccionario!$C:$C,0)),"")</f>
        <v/>
      </c>
      <c r="N137">
        <f>IFERROR(INDEX(Diccionario!$N:$N,MATCH(F149,Diccionario!$C:$C,0)),"")</f>
        <v/>
      </c>
    </row>
    <row r="138" ht="14.25" customHeight="1" s="52">
      <c r="A138" t="inlineStr">
        <is>
          <t>2024-09</t>
        </is>
      </c>
      <c r="B138" t="inlineStr">
        <is>
          <t>Colombia</t>
        </is>
      </c>
      <c r="C138" t="inlineStr">
        <is>
          <t>Coco Colombia</t>
        </is>
      </c>
      <c r="D138" t="inlineStr">
        <is>
          <t>COP</t>
        </is>
      </c>
      <c r="E138" t="inlineStr">
        <is>
          <t>Real</t>
        </is>
      </c>
      <c r="F138" t="inlineStr">
        <is>
          <t>gasto_area</t>
        </is>
      </c>
      <c r="H138" t="inlineStr">
        <is>
          <t>TI</t>
        </is>
      </c>
      <c r="I138" t="n">
        <v>184000000</v>
      </c>
      <c r="J138" t="inlineStr">
        <is>
          <t>COP</t>
        </is>
      </c>
      <c r="L138">
        <f>IFERROR(INDEX(Diccionario!$B:$B,MATCH(F150,Diccionario!$C:$C,0)),"")</f>
        <v/>
      </c>
      <c r="M138">
        <f>IFERROR(INDEX(Diccionario!$H:$H,MATCH(F150,Diccionario!$C:$C,0)),"")</f>
        <v/>
      </c>
      <c r="N138">
        <f>IFERROR(INDEX(Diccionario!$N:$N,MATCH(F150,Diccionario!$C:$C,0)),"")</f>
        <v/>
      </c>
    </row>
    <row r="139" ht="14.25" customHeight="1" s="52">
      <c r="A139" t="inlineStr">
        <is>
          <t>2024-09</t>
        </is>
      </c>
      <c r="B139" t="inlineStr">
        <is>
          <t>Colombia</t>
        </is>
      </c>
      <c r="C139" t="inlineStr">
        <is>
          <t>Coco Colombia</t>
        </is>
      </c>
      <c r="D139" t="inlineStr">
        <is>
          <t>COP</t>
        </is>
      </c>
      <c r="E139" t="inlineStr">
        <is>
          <t>Real</t>
        </is>
      </c>
      <c r="F139" t="inlineStr">
        <is>
          <t>gasto_area</t>
        </is>
      </c>
      <c r="H139" t="inlineStr">
        <is>
          <t>Proveedores</t>
        </is>
      </c>
      <c r="I139" t="n">
        <v>169000000</v>
      </c>
      <c r="J139" t="inlineStr">
        <is>
          <t>COP</t>
        </is>
      </c>
      <c r="L139">
        <f>IFERROR(INDEX(Diccionario!$B:$B,MATCH(F151,Diccionario!$C:$C,0)),"")</f>
        <v/>
      </c>
      <c r="M139">
        <f>IFERROR(INDEX(Diccionario!$H:$H,MATCH(F151,Diccionario!$C:$C,0)),"")</f>
        <v/>
      </c>
      <c r="N139">
        <f>IFERROR(INDEX(Diccionario!$N:$N,MATCH(F151,Diccionario!$C:$C,0)),"")</f>
        <v/>
      </c>
    </row>
    <row r="140" ht="14.25" customHeight="1" s="52">
      <c r="A140" t="inlineStr">
        <is>
          <t>2024-09</t>
        </is>
      </c>
      <c r="B140" t="inlineStr">
        <is>
          <t>Colombia</t>
        </is>
      </c>
      <c r="C140" t="inlineStr">
        <is>
          <t>Coco Colombia</t>
        </is>
      </c>
      <c r="D140" t="inlineStr">
        <is>
          <t>COP</t>
        </is>
      </c>
      <c r="E140" t="inlineStr">
        <is>
          <t>Real</t>
        </is>
      </c>
      <c r="F140" t="inlineStr">
        <is>
          <t>gasto_area</t>
        </is>
      </c>
      <c r="H140" t="inlineStr">
        <is>
          <t>Comercial</t>
        </is>
      </c>
      <c r="I140" t="n">
        <v>169000000</v>
      </c>
      <c r="J140" t="inlineStr">
        <is>
          <t>COP</t>
        </is>
      </c>
      <c r="L140">
        <f>IFERROR(INDEX(Diccionario!$B:$B,MATCH(F152,Diccionario!$C:$C,0)),"")</f>
        <v/>
      </c>
      <c r="M140">
        <f>IFERROR(INDEX(Diccionario!$H:$H,MATCH(F152,Diccionario!$C:$C,0)),"")</f>
        <v/>
      </c>
      <c r="N140">
        <f>IFERROR(INDEX(Diccionario!$N:$N,MATCH(F152,Diccionario!$C:$C,0)),"")</f>
        <v/>
      </c>
    </row>
    <row r="141" ht="14.25" customHeight="1" s="52">
      <c r="A141" t="inlineStr">
        <is>
          <t>2024-09</t>
        </is>
      </c>
      <c r="B141" t="inlineStr">
        <is>
          <t>Colombia</t>
        </is>
      </c>
      <c r="C141" t="inlineStr">
        <is>
          <t>Coco Colombia</t>
        </is>
      </c>
      <c r="D141" t="inlineStr">
        <is>
          <t>COP</t>
        </is>
      </c>
      <c r="E141" t="inlineStr">
        <is>
          <t>Real</t>
        </is>
      </c>
      <c r="F141" t="inlineStr">
        <is>
          <t>gasto_area</t>
        </is>
      </c>
      <c r="H141" t="inlineStr">
        <is>
          <t>Administración</t>
        </is>
      </c>
      <c r="I141" t="n">
        <v>152000000</v>
      </c>
      <c r="J141" t="inlineStr">
        <is>
          <t>COP</t>
        </is>
      </c>
      <c r="L141">
        <f>IFERROR(INDEX(Diccionario!$B:$B,MATCH(F153,Diccionario!$C:$C,0)),"")</f>
        <v/>
      </c>
      <c r="M141">
        <f>IFERROR(INDEX(Diccionario!$H:$H,MATCH(F153,Diccionario!$C:$C,0)),"")</f>
        <v/>
      </c>
      <c r="N141">
        <f>IFERROR(INDEX(Diccionario!$N:$N,MATCH(F153,Diccionario!$C:$C,0)),"")</f>
        <v/>
      </c>
    </row>
    <row r="142" ht="14.25" customHeight="1" s="52">
      <c r="A142" t="inlineStr">
        <is>
          <t>2024-10</t>
        </is>
      </c>
      <c r="B142" t="inlineStr">
        <is>
          <t>Colombia</t>
        </is>
      </c>
      <c r="C142" t="inlineStr">
        <is>
          <t>Coco Colombia</t>
        </is>
      </c>
      <c r="D142" t="inlineStr">
        <is>
          <t>COP</t>
        </is>
      </c>
      <c r="E142" t="inlineStr">
        <is>
          <t>Real</t>
        </is>
      </c>
      <c r="F142" t="inlineStr">
        <is>
          <t>gasto_area</t>
        </is>
      </c>
      <c r="H142" t="inlineStr">
        <is>
          <t>Financieros</t>
        </is>
      </c>
      <c r="I142" t="n">
        <v>5000000</v>
      </c>
      <c r="J142" t="inlineStr">
        <is>
          <t>COP</t>
        </is>
      </c>
      <c r="L142">
        <f>IFERROR(INDEX(Diccionario!$B:$B,MATCH(F154,Diccionario!$C:$C,0)),"")</f>
        <v/>
      </c>
      <c r="M142">
        <f>IFERROR(INDEX(Diccionario!$H:$H,MATCH(F154,Diccionario!$C:$C,0)),"")</f>
        <v/>
      </c>
      <c r="N142">
        <f>IFERROR(INDEX(Diccionario!$N:$N,MATCH(F154,Diccionario!$C:$C,0)),"")</f>
        <v/>
      </c>
    </row>
    <row r="143" ht="14.25" customHeight="1" s="52">
      <c r="A143" t="inlineStr">
        <is>
          <t>2024-10</t>
        </is>
      </c>
      <c r="B143" t="inlineStr">
        <is>
          <t>Colombia</t>
        </is>
      </c>
      <c r="C143" t="inlineStr">
        <is>
          <t>Coco Colombia</t>
        </is>
      </c>
      <c r="D143" t="inlineStr">
        <is>
          <t>COP</t>
        </is>
      </c>
      <c r="E143" t="inlineStr">
        <is>
          <t>Real</t>
        </is>
      </c>
      <c r="F143" t="inlineStr">
        <is>
          <t>gasto_area</t>
        </is>
      </c>
      <c r="H143" t="inlineStr">
        <is>
          <t>TI</t>
        </is>
      </c>
      <c r="I143" t="n">
        <v>195000000</v>
      </c>
      <c r="J143" t="inlineStr">
        <is>
          <t>COP</t>
        </is>
      </c>
      <c r="L143">
        <f>IFERROR(INDEX(Diccionario!$B:$B,MATCH(F155,Diccionario!$C:$C,0)),"")</f>
        <v/>
      </c>
      <c r="M143">
        <f>IFERROR(INDEX(Diccionario!$H:$H,MATCH(F155,Diccionario!$C:$C,0)),"")</f>
        <v/>
      </c>
      <c r="N143">
        <f>IFERROR(INDEX(Diccionario!$N:$N,MATCH(F155,Diccionario!$C:$C,0)),"")</f>
        <v/>
      </c>
    </row>
    <row r="144" ht="14.25" customHeight="1" s="52">
      <c r="A144" t="inlineStr">
        <is>
          <t>2024-10</t>
        </is>
      </c>
      <c r="B144" t="inlineStr">
        <is>
          <t>Colombia</t>
        </is>
      </c>
      <c r="C144" t="inlineStr">
        <is>
          <t>Coco Colombia</t>
        </is>
      </c>
      <c r="D144" t="inlineStr">
        <is>
          <t>COP</t>
        </is>
      </c>
      <c r="E144" t="inlineStr">
        <is>
          <t>Real</t>
        </is>
      </c>
      <c r="F144" t="inlineStr">
        <is>
          <t>gasto_area</t>
        </is>
      </c>
      <c r="H144" t="inlineStr">
        <is>
          <t>Proveedores</t>
        </is>
      </c>
      <c r="I144" t="n">
        <v>205000000</v>
      </c>
      <c r="J144" t="inlineStr">
        <is>
          <t>COP</t>
        </is>
      </c>
      <c r="L144">
        <f>IFERROR(INDEX(Diccionario!$B:$B,MATCH(F156,Diccionario!$C:$C,0)),"")</f>
        <v/>
      </c>
      <c r="M144">
        <f>IFERROR(INDEX(Diccionario!$H:$H,MATCH(F156,Diccionario!$C:$C,0)),"")</f>
        <v/>
      </c>
      <c r="N144">
        <f>IFERROR(INDEX(Diccionario!$N:$N,MATCH(F156,Diccionario!$C:$C,0)),"")</f>
        <v/>
      </c>
    </row>
    <row r="145" ht="14.25" customHeight="1" s="52">
      <c r="A145" t="inlineStr">
        <is>
          <t>2024-10</t>
        </is>
      </c>
      <c r="B145" t="inlineStr">
        <is>
          <t>Colombia</t>
        </is>
      </c>
      <c r="C145" t="inlineStr">
        <is>
          <t>Coco Colombia</t>
        </is>
      </c>
      <c r="D145" t="inlineStr">
        <is>
          <t>COP</t>
        </is>
      </c>
      <c r="E145" t="inlineStr">
        <is>
          <t>Real</t>
        </is>
      </c>
      <c r="F145" t="inlineStr">
        <is>
          <t>gasto_area</t>
        </is>
      </c>
      <c r="H145" t="inlineStr">
        <is>
          <t>Comercial</t>
        </is>
      </c>
      <c r="I145" t="n">
        <v>176000000</v>
      </c>
      <c r="J145" t="inlineStr">
        <is>
          <t>COP</t>
        </is>
      </c>
      <c r="L145">
        <f>IFERROR(INDEX(Diccionario!$B:$B,MATCH(F157,Diccionario!$C:$C,0)),"")</f>
        <v/>
      </c>
      <c r="M145">
        <f>IFERROR(INDEX(Diccionario!$H:$H,MATCH(F157,Diccionario!$C:$C,0)),"")</f>
        <v/>
      </c>
      <c r="N145">
        <f>IFERROR(INDEX(Diccionario!$N:$N,MATCH(F157,Diccionario!$C:$C,0)),"")</f>
        <v/>
      </c>
    </row>
    <row r="146" ht="14.25" customHeight="1" s="52">
      <c r="A146" t="inlineStr">
        <is>
          <t>2024-10</t>
        </is>
      </c>
      <c r="B146" t="inlineStr">
        <is>
          <t>Colombia</t>
        </is>
      </c>
      <c r="C146" t="inlineStr">
        <is>
          <t>Coco Colombia</t>
        </is>
      </c>
      <c r="D146" t="inlineStr">
        <is>
          <t>COP</t>
        </is>
      </c>
      <c r="E146" t="inlineStr">
        <is>
          <t>Real</t>
        </is>
      </c>
      <c r="F146" t="inlineStr">
        <is>
          <t>gasto_area</t>
        </is>
      </c>
      <c r="H146" t="inlineStr">
        <is>
          <t>Administración</t>
        </is>
      </c>
      <c r="I146" t="n">
        <v>134000000</v>
      </c>
      <c r="J146" t="inlineStr">
        <is>
          <t>COP</t>
        </is>
      </c>
      <c r="L146">
        <f>IFERROR(INDEX(Diccionario!$B:$B,MATCH(F158,Diccionario!$C:$C,0)),"")</f>
        <v/>
      </c>
      <c r="M146">
        <f>IFERROR(INDEX(Diccionario!$H:$H,MATCH(F158,Diccionario!$C:$C,0)),"")</f>
        <v/>
      </c>
      <c r="N146">
        <f>IFERROR(INDEX(Diccionario!$N:$N,MATCH(F158,Diccionario!$C:$C,0)),"")</f>
        <v/>
      </c>
    </row>
    <row r="147" ht="14.25" customHeight="1" s="52">
      <c r="A147" t="inlineStr">
        <is>
          <t>2024-11</t>
        </is>
      </c>
      <c r="B147" t="inlineStr">
        <is>
          <t>Colombia</t>
        </is>
      </c>
      <c r="C147" t="inlineStr">
        <is>
          <t>Coco Colombia</t>
        </is>
      </c>
      <c r="D147" t="inlineStr">
        <is>
          <t>COP</t>
        </is>
      </c>
      <c r="E147" t="inlineStr">
        <is>
          <t>Real</t>
        </is>
      </c>
      <c r="F147" t="inlineStr">
        <is>
          <t>gasto_area</t>
        </is>
      </c>
      <c r="H147" t="inlineStr">
        <is>
          <t>Financieros</t>
        </is>
      </c>
      <c r="I147" t="n">
        <v>5000000</v>
      </c>
      <c r="J147" t="inlineStr">
        <is>
          <t>COP</t>
        </is>
      </c>
      <c r="L147">
        <f>IFERROR(INDEX(Diccionario!$B:$B,MATCH(F159,Diccionario!$C:$C,0)),"")</f>
        <v/>
      </c>
      <c r="M147">
        <f>IFERROR(INDEX(Diccionario!$H:$H,MATCH(F159,Diccionario!$C:$C,0)),"")</f>
        <v/>
      </c>
      <c r="N147">
        <f>IFERROR(INDEX(Diccionario!$N:$N,MATCH(F159,Diccionario!$C:$C,0)),"")</f>
        <v/>
      </c>
    </row>
    <row r="148" ht="14.25" customHeight="1" s="52">
      <c r="A148" t="inlineStr">
        <is>
          <t>2024-11</t>
        </is>
      </c>
      <c r="B148" t="inlineStr">
        <is>
          <t>Colombia</t>
        </is>
      </c>
      <c r="C148" t="inlineStr">
        <is>
          <t>Coco Colombia</t>
        </is>
      </c>
      <c r="D148" t="inlineStr">
        <is>
          <t>COP</t>
        </is>
      </c>
      <c r="E148" t="inlineStr">
        <is>
          <t>Real</t>
        </is>
      </c>
      <c r="F148" t="inlineStr">
        <is>
          <t>gasto_area</t>
        </is>
      </c>
      <c r="H148" t="inlineStr">
        <is>
          <t>TI</t>
        </is>
      </c>
      <c r="I148" t="n">
        <v>230000000</v>
      </c>
      <c r="J148" t="inlineStr">
        <is>
          <t>COP</t>
        </is>
      </c>
      <c r="L148">
        <f>IFERROR(INDEX(Diccionario!$B:$B,MATCH(F160,Diccionario!$C:$C,0)),"")</f>
        <v/>
      </c>
      <c r="M148">
        <f>IFERROR(INDEX(Diccionario!$H:$H,MATCH(F160,Diccionario!$C:$C,0)),"")</f>
        <v/>
      </c>
      <c r="N148">
        <f>IFERROR(INDEX(Diccionario!$N:$N,MATCH(F160,Diccionario!$C:$C,0)),"")</f>
        <v/>
      </c>
    </row>
    <row r="149" ht="14.25" customHeight="1" s="52">
      <c r="A149" t="inlineStr">
        <is>
          <t>2024-11</t>
        </is>
      </c>
      <c r="B149" t="inlineStr">
        <is>
          <t>Colombia</t>
        </is>
      </c>
      <c r="C149" t="inlineStr">
        <is>
          <t>Coco Colombia</t>
        </is>
      </c>
      <c r="D149" t="inlineStr">
        <is>
          <t>COP</t>
        </is>
      </c>
      <c r="E149" t="inlineStr">
        <is>
          <t>Real</t>
        </is>
      </c>
      <c r="F149" t="inlineStr">
        <is>
          <t>gasto_area</t>
        </is>
      </c>
      <c r="H149" t="inlineStr">
        <is>
          <t>Proveedores</t>
        </is>
      </c>
      <c r="I149" t="n">
        <v>178000000</v>
      </c>
      <c r="J149" t="inlineStr">
        <is>
          <t>COP</t>
        </is>
      </c>
      <c r="L149">
        <f>IFERROR(INDEX(Diccionario!$B:$B,MATCH(F161,Diccionario!$C:$C,0)),"")</f>
        <v/>
      </c>
      <c r="M149">
        <f>IFERROR(INDEX(Diccionario!$H:$H,MATCH(F161,Diccionario!$C:$C,0)),"")</f>
        <v/>
      </c>
      <c r="N149">
        <f>IFERROR(INDEX(Diccionario!$N:$N,MATCH(F161,Diccionario!$C:$C,0)),"")</f>
        <v/>
      </c>
    </row>
    <row r="150" ht="14.25" customHeight="1" s="52">
      <c r="A150" t="inlineStr">
        <is>
          <t>2024-11</t>
        </is>
      </c>
      <c r="B150" t="inlineStr">
        <is>
          <t>Colombia</t>
        </is>
      </c>
      <c r="C150" t="inlineStr">
        <is>
          <t>Coco Colombia</t>
        </is>
      </c>
      <c r="D150" t="inlineStr">
        <is>
          <t>COP</t>
        </is>
      </c>
      <c r="E150" t="inlineStr">
        <is>
          <t>Real</t>
        </is>
      </c>
      <c r="F150" t="inlineStr">
        <is>
          <t>gasto_area</t>
        </is>
      </c>
      <c r="H150" t="inlineStr">
        <is>
          <t>Comercial</t>
        </is>
      </c>
      <c r="I150" t="n">
        <v>169000000</v>
      </c>
      <c r="J150" t="inlineStr">
        <is>
          <t>COP</t>
        </is>
      </c>
      <c r="L150">
        <f>IFERROR(INDEX(Diccionario!$B:$B,MATCH(F162,Diccionario!$C:$C,0)),"")</f>
        <v/>
      </c>
      <c r="M150">
        <f>IFERROR(INDEX(Diccionario!$H:$H,MATCH(F162,Diccionario!$C:$C,0)),"")</f>
        <v/>
      </c>
      <c r="N150">
        <f>IFERROR(INDEX(Diccionario!$N:$N,MATCH(F162,Diccionario!$C:$C,0)),"")</f>
        <v/>
      </c>
    </row>
    <row r="151" ht="14.25" customHeight="1" s="52">
      <c r="A151" t="inlineStr">
        <is>
          <t>2024-11</t>
        </is>
      </c>
      <c r="B151" t="inlineStr">
        <is>
          <t>Colombia</t>
        </is>
      </c>
      <c r="C151" t="inlineStr">
        <is>
          <t>Coco Colombia</t>
        </is>
      </c>
      <c r="D151" t="inlineStr">
        <is>
          <t>COP</t>
        </is>
      </c>
      <c r="E151" t="inlineStr">
        <is>
          <t>Real</t>
        </is>
      </c>
      <c r="F151" t="inlineStr">
        <is>
          <t>gasto_area</t>
        </is>
      </c>
      <c r="H151" t="inlineStr">
        <is>
          <t>Administración</t>
        </is>
      </c>
      <c r="I151" t="n">
        <v>158000000</v>
      </c>
      <c r="J151" t="inlineStr">
        <is>
          <t>COP</t>
        </is>
      </c>
      <c r="L151">
        <f>IFERROR(INDEX(Diccionario!$B:$B,MATCH(F163,Diccionario!$C:$C,0)),"")</f>
        <v/>
      </c>
      <c r="M151">
        <f>IFERROR(INDEX(Diccionario!$H:$H,MATCH(F163,Diccionario!$C:$C,0)),"")</f>
        <v/>
      </c>
      <c r="N151">
        <f>IFERROR(INDEX(Diccionario!$N:$N,MATCH(F163,Diccionario!$C:$C,0)),"")</f>
        <v/>
      </c>
    </row>
    <row r="152" ht="14.25" customHeight="1" s="52">
      <c r="A152" t="inlineStr">
        <is>
          <t>2024-12</t>
        </is>
      </c>
      <c r="B152" t="inlineStr">
        <is>
          <t>Colombia</t>
        </is>
      </c>
      <c r="C152" t="inlineStr">
        <is>
          <t>Coco Colombia</t>
        </is>
      </c>
      <c r="D152" t="inlineStr">
        <is>
          <t>COP</t>
        </is>
      </c>
      <c r="E152" t="inlineStr">
        <is>
          <t>Real</t>
        </is>
      </c>
      <c r="F152" t="inlineStr">
        <is>
          <t>gasto_area</t>
        </is>
      </c>
      <c r="H152" t="inlineStr">
        <is>
          <t>Financieros</t>
        </is>
      </c>
      <c r="I152" t="n">
        <v>6500000</v>
      </c>
      <c r="J152" t="inlineStr">
        <is>
          <t>COP</t>
        </is>
      </c>
      <c r="L152">
        <f>IFERROR(INDEX(Diccionario!$B:$B,MATCH(F164,Diccionario!$C:$C,0)),"")</f>
        <v/>
      </c>
      <c r="M152">
        <f>IFERROR(INDEX(Diccionario!$H:$H,MATCH(F164,Diccionario!$C:$C,0)),"")</f>
        <v/>
      </c>
      <c r="N152">
        <f>IFERROR(INDEX(Diccionario!$N:$N,MATCH(F164,Diccionario!$C:$C,0)),"")</f>
        <v/>
      </c>
    </row>
    <row r="153" ht="14.25" customHeight="1" s="52">
      <c r="A153" t="inlineStr">
        <is>
          <t>2024-12</t>
        </is>
      </c>
      <c r="B153" t="inlineStr">
        <is>
          <t>Colombia</t>
        </is>
      </c>
      <c r="C153" t="inlineStr">
        <is>
          <t>Coco Colombia</t>
        </is>
      </c>
      <c r="D153" t="inlineStr">
        <is>
          <t>COP</t>
        </is>
      </c>
      <c r="E153" t="inlineStr">
        <is>
          <t>Real</t>
        </is>
      </c>
      <c r="F153" t="inlineStr">
        <is>
          <t>gasto_area</t>
        </is>
      </c>
      <c r="H153" t="inlineStr">
        <is>
          <t>TI</t>
        </is>
      </c>
      <c r="I153" t="n">
        <v>216000000</v>
      </c>
      <c r="J153" t="inlineStr">
        <is>
          <t>COP</t>
        </is>
      </c>
      <c r="L153">
        <f>IFERROR(INDEX(Diccionario!$B:$B,MATCH(F165,Diccionario!$C:$C,0)),"")</f>
        <v/>
      </c>
      <c r="M153">
        <f>IFERROR(INDEX(Diccionario!$H:$H,MATCH(F165,Diccionario!$C:$C,0)),"")</f>
        <v/>
      </c>
      <c r="N153">
        <f>IFERROR(INDEX(Diccionario!$N:$N,MATCH(F165,Diccionario!$C:$C,0)),"")</f>
        <v/>
      </c>
    </row>
    <row r="154" ht="14.25" customHeight="1" s="52">
      <c r="A154" t="inlineStr">
        <is>
          <t>2024-12</t>
        </is>
      </c>
      <c r="B154" t="inlineStr">
        <is>
          <t>Colombia</t>
        </is>
      </c>
      <c r="C154" t="inlineStr">
        <is>
          <t>Coco Colombia</t>
        </is>
      </c>
      <c r="D154" t="inlineStr">
        <is>
          <t>COP</t>
        </is>
      </c>
      <c r="E154" t="inlineStr">
        <is>
          <t>Real</t>
        </is>
      </c>
      <c r="F154" t="inlineStr">
        <is>
          <t>gasto_area</t>
        </is>
      </c>
      <c r="H154" t="inlineStr">
        <is>
          <t>Proveedores</t>
        </is>
      </c>
      <c r="I154" t="n">
        <v>182000000</v>
      </c>
      <c r="J154" t="inlineStr">
        <is>
          <t>COP</t>
        </is>
      </c>
      <c r="L154">
        <f>IFERROR(INDEX(Diccionario!$B:$B,MATCH(F166,Diccionario!$C:$C,0)),"")</f>
        <v/>
      </c>
      <c r="M154">
        <f>IFERROR(INDEX(Diccionario!$H:$H,MATCH(F166,Diccionario!$C:$C,0)),"")</f>
        <v/>
      </c>
      <c r="N154">
        <f>IFERROR(INDEX(Diccionario!$N:$N,MATCH(F166,Diccionario!$C:$C,0)),"")</f>
        <v/>
      </c>
    </row>
    <row r="155" ht="14.25" customHeight="1" s="52">
      <c r="A155" t="inlineStr">
        <is>
          <t>2024-12</t>
        </is>
      </c>
      <c r="B155" t="inlineStr">
        <is>
          <t>Colombia</t>
        </is>
      </c>
      <c r="C155" t="inlineStr">
        <is>
          <t>Coco Colombia</t>
        </is>
      </c>
      <c r="D155" t="inlineStr">
        <is>
          <t>COP</t>
        </is>
      </c>
      <c r="E155" t="inlineStr">
        <is>
          <t>Real</t>
        </is>
      </c>
      <c r="F155" t="inlineStr">
        <is>
          <t>gasto_area</t>
        </is>
      </c>
      <c r="H155" t="inlineStr">
        <is>
          <t>Comercial</t>
        </is>
      </c>
      <c r="I155" t="n">
        <v>175000000</v>
      </c>
      <c r="J155" t="inlineStr">
        <is>
          <t>COP</t>
        </is>
      </c>
      <c r="L155">
        <f>IFERROR(INDEX(Diccionario!$B:$B,MATCH(F167,Diccionario!$C:$C,0)),"")</f>
        <v/>
      </c>
      <c r="M155">
        <f>IFERROR(INDEX(Diccionario!$H:$H,MATCH(F167,Diccionario!$C:$C,0)),"")</f>
        <v/>
      </c>
      <c r="N155">
        <f>IFERROR(INDEX(Diccionario!$N:$N,MATCH(F167,Diccionario!$C:$C,0)),"")</f>
        <v/>
      </c>
    </row>
    <row r="156" ht="14.25" customHeight="1" s="52">
      <c r="A156" t="inlineStr">
        <is>
          <t>2024-12</t>
        </is>
      </c>
      <c r="B156" t="inlineStr">
        <is>
          <t>Colombia</t>
        </is>
      </c>
      <c r="C156" t="inlineStr">
        <is>
          <t>Coco Colombia</t>
        </is>
      </c>
      <c r="D156" t="inlineStr">
        <is>
          <t>COP</t>
        </is>
      </c>
      <c r="E156" t="inlineStr">
        <is>
          <t>Real</t>
        </is>
      </c>
      <c r="F156" t="inlineStr">
        <is>
          <t>gasto_area</t>
        </is>
      </c>
      <c r="H156" t="inlineStr">
        <is>
          <t>Administración</t>
        </is>
      </c>
      <c r="I156" t="n">
        <v>231000000</v>
      </c>
      <c r="J156" t="inlineStr">
        <is>
          <t>COP</t>
        </is>
      </c>
      <c r="L156">
        <f>IFERROR(INDEX(Diccionario!$B:$B,MATCH(F168,Diccionario!$C:$C,0)),"")</f>
        <v/>
      </c>
      <c r="M156">
        <f>IFERROR(INDEX(Diccionario!$H:$H,MATCH(F168,Diccionario!$C:$C,0)),"")</f>
        <v/>
      </c>
      <c r="N156">
        <f>IFERROR(INDEX(Diccionario!$N:$N,MATCH(F168,Diccionario!$C:$C,0)),"")</f>
        <v/>
      </c>
    </row>
    <row r="157" ht="14.25" customHeight="1" s="52">
      <c r="A157" t="inlineStr">
        <is>
          <t>2025-01</t>
        </is>
      </c>
      <c r="B157" t="inlineStr">
        <is>
          <t>Colombia</t>
        </is>
      </c>
      <c r="C157" t="inlineStr">
        <is>
          <t>Coco Colombia</t>
        </is>
      </c>
      <c r="D157" t="inlineStr">
        <is>
          <t>COP</t>
        </is>
      </c>
      <c r="E157" t="inlineStr">
        <is>
          <t>Real</t>
        </is>
      </c>
      <c r="F157" t="inlineStr">
        <is>
          <t>gasto_area</t>
        </is>
      </c>
      <c r="H157" t="inlineStr">
        <is>
          <t>Financieros</t>
        </is>
      </c>
      <c r="I157" t="n">
        <v>4700000</v>
      </c>
      <c r="J157" t="inlineStr">
        <is>
          <t>COP</t>
        </is>
      </c>
      <c r="L157">
        <f>IFERROR(INDEX(Diccionario!$B:$B,MATCH(F169,Diccionario!$C:$C,0)),"")</f>
        <v/>
      </c>
      <c r="M157">
        <f>IFERROR(INDEX(Diccionario!$H:$H,MATCH(F169,Diccionario!$C:$C,0)),"")</f>
        <v/>
      </c>
      <c r="N157">
        <f>IFERROR(INDEX(Diccionario!$N:$N,MATCH(F169,Diccionario!$C:$C,0)),"")</f>
        <v/>
      </c>
    </row>
    <row r="158" ht="14.25" customHeight="1" s="52">
      <c r="A158" t="inlineStr">
        <is>
          <t>2025-01</t>
        </is>
      </c>
      <c r="B158" t="inlineStr">
        <is>
          <t>Colombia</t>
        </is>
      </c>
      <c r="C158" t="inlineStr">
        <is>
          <t>Coco Colombia</t>
        </is>
      </c>
      <c r="D158" t="inlineStr">
        <is>
          <t>COP</t>
        </is>
      </c>
      <c r="E158" t="inlineStr">
        <is>
          <t>Real</t>
        </is>
      </c>
      <c r="F158" t="inlineStr">
        <is>
          <t>gasto_area</t>
        </is>
      </c>
      <c r="H158" t="inlineStr">
        <is>
          <t>TI</t>
        </is>
      </c>
      <c r="I158" t="n">
        <v>238000000</v>
      </c>
      <c r="J158" t="inlineStr">
        <is>
          <t>COP</t>
        </is>
      </c>
      <c r="L158">
        <f>IFERROR(INDEX(Diccionario!$B:$B,MATCH(F170,Diccionario!$C:$C,0)),"")</f>
        <v/>
      </c>
      <c r="M158">
        <f>IFERROR(INDEX(Diccionario!$H:$H,MATCH(F170,Diccionario!$C:$C,0)),"")</f>
        <v/>
      </c>
      <c r="N158">
        <f>IFERROR(INDEX(Diccionario!$N:$N,MATCH(F170,Diccionario!$C:$C,0)),"")</f>
        <v/>
      </c>
    </row>
    <row r="159" ht="14.25" customHeight="1" s="52">
      <c r="A159" t="inlineStr">
        <is>
          <t>2025-01</t>
        </is>
      </c>
      <c r="B159" t="inlineStr">
        <is>
          <t>Colombia</t>
        </is>
      </c>
      <c r="C159" t="inlineStr">
        <is>
          <t>Coco Colombia</t>
        </is>
      </c>
      <c r="D159" t="inlineStr">
        <is>
          <t>COP</t>
        </is>
      </c>
      <c r="E159" t="inlineStr">
        <is>
          <t>Real</t>
        </is>
      </c>
      <c r="F159" t="inlineStr">
        <is>
          <t>gasto_area</t>
        </is>
      </c>
      <c r="H159" t="inlineStr">
        <is>
          <t>Proveedores</t>
        </is>
      </c>
      <c r="I159" t="n">
        <v>130000000</v>
      </c>
      <c r="J159" t="inlineStr">
        <is>
          <t>COP</t>
        </is>
      </c>
      <c r="L159">
        <f>IFERROR(INDEX(Diccionario!$B:$B,MATCH(F171,Diccionario!$C:$C,0)),"")</f>
        <v/>
      </c>
      <c r="M159">
        <f>IFERROR(INDEX(Diccionario!$H:$H,MATCH(F171,Diccionario!$C:$C,0)),"")</f>
        <v/>
      </c>
      <c r="N159">
        <f>IFERROR(INDEX(Diccionario!$N:$N,MATCH(F171,Diccionario!$C:$C,0)),"")</f>
        <v/>
      </c>
    </row>
    <row r="160" ht="14.25" customHeight="1" s="52">
      <c r="A160" t="inlineStr">
        <is>
          <t>2025-01</t>
        </is>
      </c>
      <c r="B160" t="inlineStr">
        <is>
          <t>Colombia</t>
        </is>
      </c>
      <c r="C160" t="inlineStr">
        <is>
          <t>Coco Colombia</t>
        </is>
      </c>
      <c r="D160" t="inlineStr">
        <is>
          <t>COP</t>
        </is>
      </c>
      <c r="E160" t="inlineStr">
        <is>
          <t>Real</t>
        </is>
      </c>
      <c r="F160" t="inlineStr">
        <is>
          <t>gasto_area</t>
        </is>
      </c>
      <c r="H160" t="inlineStr">
        <is>
          <t>Comercial</t>
        </is>
      </c>
      <c r="I160" t="n">
        <v>163000000</v>
      </c>
      <c r="J160" t="inlineStr">
        <is>
          <t>COP</t>
        </is>
      </c>
      <c r="L160">
        <f>IFERROR(INDEX(Diccionario!$B:$B,MATCH(F172,Diccionario!$C:$C,0)),"")</f>
        <v/>
      </c>
      <c r="M160">
        <f>IFERROR(INDEX(Diccionario!$H:$H,MATCH(F172,Diccionario!$C:$C,0)),"")</f>
        <v/>
      </c>
      <c r="N160">
        <f>IFERROR(INDEX(Diccionario!$N:$N,MATCH(F172,Diccionario!$C:$C,0)),"")</f>
        <v/>
      </c>
    </row>
    <row r="161" ht="14.25" customHeight="1" s="52">
      <c r="A161" t="inlineStr">
        <is>
          <t>2025-01</t>
        </is>
      </c>
      <c r="B161" t="inlineStr">
        <is>
          <t>Colombia</t>
        </is>
      </c>
      <c r="C161" t="inlineStr">
        <is>
          <t>Coco Colombia</t>
        </is>
      </c>
      <c r="D161" t="inlineStr">
        <is>
          <t>COP</t>
        </is>
      </c>
      <c r="E161" t="inlineStr">
        <is>
          <t>Real</t>
        </is>
      </c>
      <c r="F161" t="inlineStr">
        <is>
          <t>gasto_area</t>
        </is>
      </c>
      <c r="H161" t="inlineStr">
        <is>
          <t>Administración</t>
        </is>
      </c>
      <c r="I161" t="n">
        <v>158000000</v>
      </c>
      <c r="J161" t="inlineStr">
        <is>
          <t>COP</t>
        </is>
      </c>
      <c r="L161">
        <f>IFERROR(INDEX(Diccionario!$B:$B,MATCH(F173,Diccionario!$C:$C,0)),"")</f>
        <v/>
      </c>
      <c r="M161">
        <f>IFERROR(INDEX(Diccionario!$H:$H,MATCH(F173,Diccionario!$C:$C,0)),"")</f>
        <v/>
      </c>
      <c r="N161">
        <f>IFERROR(INDEX(Diccionario!$N:$N,MATCH(F173,Diccionario!$C:$C,0)),"")</f>
        <v/>
      </c>
    </row>
    <row r="162" ht="14.25" customHeight="1" s="52">
      <c r="A162" t="inlineStr">
        <is>
          <t>2025-02</t>
        </is>
      </c>
      <c r="B162" t="inlineStr">
        <is>
          <t>Colombia</t>
        </is>
      </c>
      <c r="C162" t="inlineStr">
        <is>
          <t>Coco Colombia</t>
        </is>
      </c>
      <c r="D162" t="inlineStr">
        <is>
          <t>COP</t>
        </is>
      </c>
      <c r="E162" t="inlineStr">
        <is>
          <t>Real</t>
        </is>
      </c>
      <c r="F162" t="inlineStr">
        <is>
          <t>gasto_area</t>
        </is>
      </c>
      <c r="H162" t="inlineStr">
        <is>
          <t>Financieros</t>
        </is>
      </c>
      <c r="I162" t="n">
        <v>3800000</v>
      </c>
      <c r="J162" t="inlineStr">
        <is>
          <t>COP</t>
        </is>
      </c>
      <c r="L162">
        <f>IFERROR(INDEX(Diccionario!$B:$B,MATCH(F174,Diccionario!$C:$C,0)),"")</f>
        <v/>
      </c>
      <c r="M162">
        <f>IFERROR(INDEX(Diccionario!$H:$H,MATCH(F174,Diccionario!$C:$C,0)),"")</f>
        <v/>
      </c>
      <c r="N162">
        <f>IFERROR(INDEX(Diccionario!$N:$N,MATCH(F174,Diccionario!$C:$C,0)),"")</f>
        <v/>
      </c>
    </row>
    <row r="163" ht="14.25" customHeight="1" s="52">
      <c r="A163" t="inlineStr">
        <is>
          <t>2025-02</t>
        </is>
      </c>
      <c r="B163" t="inlineStr">
        <is>
          <t>Colombia</t>
        </is>
      </c>
      <c r="C163" t="inlineStr">
        <is>
          <t>Coco Colombia</t>
        </is>
      </c>
      <c r="D163" t="inlineStr">
        <is>
          <t>COP</t>
        </is>
      </c>
      <c r="E163" t="inlineStr">
        <is>
          <t>Real</t>
        </is>
      </c>
      <c r="F163" t="inlineStr">
        <is>
          <t>gasto_area</t>
        </is>
      </c>
      <c r="H163" t="inlineStr">
        <is>
          <t>TI</t>
        </is>
      </c>
      <c r="I163" t="n">
        <v>263000000</v>
      </c>
      <c r="J163" t="inlineStr">
        <is>
          <t>COP</t>
        </is>
      </c>
      <c r="L163">
        <f>IFERROR(INDEX(Diccionario!$B:$B,MATCH(F175,Diccionario!$C:$C,0)),"")</f>
        <v/>
      </c>
      <c r="M163">
        <f>IFERROR(INDEX(Diccionario!$H:$H,MATCH(F175,Diccionario!$C:$C,0)),"")</f>
        <v/>
      </c>
      <c r="N163">
        <f>IFERROR(INDEX(Diccionario!$N:$N,MATCH(F175,Diccionario!$C:$C,0)),"")</f>
        <v/>
      </c>
    </row>
    <row r="164" ht="14.25" customHeight="1" s="52">
      <c r="A164" t="inlineStr">
        <is>
          <t>2025-02</t>
        </is>
      </c>
      <c r="B164" t="inlineStr">
        <is>
          <t>Colombia</t>
        </is>
      </c>
      <c r="C164" t="inlineStr">
        <is>
          <t>Coco Colombia</t>
        </is>
      </c>
      <c r="D164" t="inlineStr">
        <is>
          <t>COP</t>
        </is>
      </c>
      <c r="E164" t="inlineStr">
        <is>
          <t>Real</t>
        </is>
      </c>
      <c r="F164" t="inlineStr">
        <is>
          <t>gasto_area</t>
        </is>
      </c>
      <c r="H164" t="inlineStr">
        <is>
          <t>Proveedores</t>
        </is>
      </c>
      <c r="I164" t="n">
        <v>47000000</v>
      </c>
      <c r="J164" t="inlineStr">
        <is>
          <t>COP</t>
        </is>
      </c>
      <c r="L164">
        <f>IFERROR(INDEX(Diccionario!$B:$B,MATCH(F176,Diccionario!$C:$C,0)),"")</f>
        <v/>
      </c>
      <c r="M164">
        <f>IFERROR(INDEX(Diccionario!$H:$H,MATCH(F176,Diccionario!$C:$C,0)),"")</f>
        <v/>
      </c>
      <c r="N164">
        <f>IFERROR(INDEX(Diccionario!$N:$N,MATCH(F176,Diccionario!$C:$C,0)),"")</f>
        <v/>
      </c>
    </row>
    <row r="165" ht="14.25" customHeight="1" s="52">
      <c r="A165" t="inlineStr">
        <is>
          <t>2025-02</t>
        </is>
      </c>
      <c r="B165" t="inlineStr">
        <is>
          <t>Colombia</t>
        </is>
      </c>
      <c r="C165" t="inlineStr">
        <is>
          <t>Coco Colombia</t>
        </is>
      </c>
      <c r="D165" t="inlineStr">
        <is>
          <t>COP</t>
        </is>
      </c>
      <c r="E165" t="inlineStr">
        <is>
          <t>Real</t>
        </is>
      </c>
      <c r="F165" t="inlineStr">
        <is>
          <t>gasto_area</t>
        </is>
      </c>
      <c r="H165" t="inlineStr">
        <is>
          <t>Comercial</t>
        </is>
      </c>
      <c r="I165" t="n">
        <v>233000000</v>
      </c>
      <c r="J165" t="inlineStr">
        <is>
          <t>COP</t>
        </is>
      </c>
      <c r="L165">
        <f>IFERROR(INDEX(Diccionario!$B:$B,MATCH(F177,Diccionario!$C:$C,0)),"")</f>
        <v/>
      </c>
      <c r="M165">
        <f>IFERROR(INDEX(Diccionario!$H:$H,MATCH(F177,Diccionario!$C:$C,0)),"")</f>
        <v/>
      </c>
      <c r="N165">
        <f>IFERROR(INDEX(Diccionario!$N:$N,MATCH(F177,Diccionario!$C:$C,0)),"")</f>
        <v/>
      </c>
    </row>
    <row r="166" ht="14.25" customHeight="1" s="52">
      <c r="A166" t="inlineStr">
        <is>
          <t>2025-02</t>
        </is>
      </c>
      <c r="B166" t="inlineStr">
        <is>
          <t>Colombia</t>
        </is>
      </c>
      <c r="C166" t="inlineStr">
        <is>
          <t>Coco Colombia</t>
        </is>
      </c>
      <c r="D166" t="inlineStr">
        <is>
          <t>COP</t>
        </is>
      </c>
      <c r="E166" t="inlineStr">
        <is>
          <t>Real</t>
        </is>
      </c>
      <c r="F166" t="inlineStr">
        <is>
          <t>gasto_area</t>
        </is>
      </c>
      <c r="H166" t="inlineStr">
        <is>
          <t>Administración</t>
        </is>
      </c>
      <c r="I166" t="n">
        <v>140000000</v>
      </c>
      <c r="J166" t="inlineStr">
        <is>
          <t>COP</t>
        </is>
      </c>
      <c r="L166">
        <f>IFERROR(INDEX(Diccionario!$B:$B,MATCH(F178,Diccionario!$C:$C,0)),"")</f>
        <v/>
      </c>
      <c r="M166">
        <f>IFERROR(INDEX(Diccionario!$H:$H,MATCH(F178,Diccionario!$C:$C,0)),"")</f>
        <v/>
      </c>
      <c r="N166">
        <f>IFERROR(INDEX(Diccionario!$N:$N,MATCH(F178,Diccionario!$C:$C,0)),"")</f>
        <v/>
      </c>
    </row>
    <row r="167" ht="14.25" customHeight="1" s="52">
      <c r="A167" t="inlineStr">
        <is>
          <t>2025-03</t>
        </is>
      </c>
      <c r="B167" t="inlineStr">
        <is>
          <t>Colombia</t>
        </is>
      </c>
      <c r="C167" t="inlineStr">
        <is>
          <t>Coco Colombia</t>
        </is>
      </c>
      <c r="D167" t="inlineStr">
        <is>
          <t>COP</t>
        </is>
      </c>
      <c r="E167" t="inlineStr">
        <is>
          <t>Real</t>
        </is>
      </c>
      <c r="F167" t="inlineStr">
        <is>
          <t>gasto_area</t>
        </is>
      </c>
      <c r="H167" t="inlineStr">
        <is>
          <t>Financieros</t>
        </is>
      </c>
      <c r="I167" t="n">
        <v>4700000</v>
      </c>
      <c r="J167" t="inlineStr">
        <is>
          <t>COP</t>
        </is>
      </c>
      <c r="L167">
        <f>IFERROR(INDEX(Diccionario!$B:$B,MATCH(F179,Diccionario!$C:$C,0)),"")</f>
        <v/>
      </c>
      <c r="M167">
        <f>IFERROR(INDEX(Diccionario!$H:$H,MATCH(F179,Diccionario!$C:$C,0)),"")</f>
        <v/>
      </c>
      <c r="N167">
        <f>IFERROR(INDEX(Diccionario!$N:$N,MATCH(F179,Diccionario!$C:$C,0)),"")</f>
        <v/>
      </c>
    </row>
    <row r="168" ht="14.25" customHeight="1" s="52">
      <c r="A168" t="inlineStr">
        <is>
          <t>2025-03</t>
        </is>
      </c>
      <c r="B168" t="inlineStr">
        <is>
          <t>Colombia</t>
        </is>
      </c>
      <c r="C168" t="inlineStr">
        <is>
          <t>Coco Colombia</t>
        </is>
      </c>
      <c r="D168" t="inlineStr">
        <is>
          <t>COP</t>
        </is>
      </c>
      <c r="E168" t="inlineStr">
        <is>
          <t>Real</t>
        </is>
      </c>
      <c r="F168" t="inlineStr">
        <is>
          <t>gasto_area</t>
        </is>
      </c>
      <c r="H168" t="inlineStr">
        <is>
          <t>TI</t>
        </is>
      </c>
      <c r="I168" t="n">
        <v>231000000</v>
      </c>
      <c r="J168" t="inlineStr">
        <is>
          <t>COP</t>
        </is>
      </c>
      <c r="L168">
        <f>IFERROR(INDEX(Diccionario!$B:$B,MATCH(F180,Diccionario!$C:$C,0)),"")</f>
        <v/>
      </c>
      <c r="M168">
        <f>IFERROR(INDEX(Diccionario!$H:$H,MATCH(F180,Diccionario!$C:$C,0)),"")</f>
        <v/>
      </c>
      <c r="N168">
        <f>IFERROR(INDEX(Diccionario!$N:$N,MATCH(F180,Diccionario!$C:$C,0)),"")</f>
        <v/>
      </c>
    </row>
    <row r="169" ht="14.25" customHeight="1" s="52">
      <c r="A169" t="inlineStr">
        <is>
          <t>2025-03</t>
        </is>
      </c>
      <c r="B169" t="inlineStr">
        <is>
          <t>Colombia</t>
        </is>
      </c>
      <c r="C169" t="inlineStr">
        <is>
          <t>Coco Colombia</t>
        </is>
      </c>
      <c r="D169" t="inlineStr">
        <is>
          <t>COP</t>
        </is>
      </c>
      <c r="E169" t="inlineStr">
        <is>
          <t>Real</t>
        </is>
      </c>
      <c r="F169" t="inlineStr">
        <is>
          <t>gasto_area</t>
        </is>
      </c>
      <c r="H169" t="inlineStr">
        <is>
          <t>Proveedores</t>
        </is>
      </c>
      <c r="I169" t="n">
        <v>208000000</v>
      </c>
      <c r="J169" t="inlineStr">
        <is>
          <t>COP</t>
        </is>
      </c>
      <c r="L169">
        <f>IFERROR(INDEX(Diccionario!$B:$B,MATCH(F181,Diccionario!$C:$C,0)),"")</f>
        <v/>
      </c>
      <c r="M169">
        <f>IFERROR(INDEX(Diccionario!$H:$H,MATCH(F181,Diccionario!$C:$C,0)),"")</f>
        <v/>
      </c>
      <c r="N169">
        <f>IFERROR(INDEX(Diccionario!$N:$N,MATCH(F181,Diccionario!$C:$C,0)),"")</f>
        <v/>
      </c>
    </row>
    <row r="170" ht="14.25" customHeight="1" s="52">
      <c r="A170" t="inlineStr">
        <is>
          <t>2025-03</t>
        </is>
      </c>
      <c r="B170" t="inlineStr">
        <is>
          <t>Colombia</t>
        </is>
      </c>
      <c r="C170" t="inlineStr">
        <is>
          <t>Coco Colombia</t>
        </is>
      </c>
      <c r="D170" t="inlineStr">
        <is>
          <t>COP</t>
        </is>
      </c>
      <c r="E170" t="inlineStr">
        <is>
          <t>Real</t>
        </is>
      </c>
      <c r="F170" t="inlineStr">
        <is>
          <t>gasto_area</t>
        </is>
      </c>
      <c r="H170" t="inlineStr">
        <is>
          <t>Comercial</t>
        </is>
      </c>
      <c r="I170" t="n">
        <v>227600000</v>
      </c>
      <c r="J170" t="inlineStr">
        <is>
          <t>COP</t>
        </is>
      </c>
      <c r="L170">
        <f>IFERROR(INDEX(Diccionario!$B:$B,MATCH(F182,Diccionario!$C:$C,0)),"")</f>
        <v/>
      </c>
      <c r="M170">
        <f>IFERROR(INDEX(Diccionario!$H:$H,MATCH(F182,Diccionario!$C:$C,0)),"")</f>
        <v/>
      </c>
      <c r="N170">
        <f>IFERROR(INDEX(Diccionario!$N:$N,MATCH(F182,Diccionario!$C:$C,0)),"")</f>
        <v/>
      </c>
    </row>
    <row r="171" ht="14.25" customHeight="1" s="52">
      <c r="A171" t="inlineStr">
        <is>
          <t>2025-03</t>
        </is>
      </c>
      <c r="B171" t="inlineStr">
        <is>
          <t>Colombia</t>
        </is>
      </c>
      <c r="C171" t="inlineStr">
        <is>
          <t>Coco Colombia</t>
        </is>
      </c>
      <c r="D171" t="inlineStr">
        <is>
          <t>COP</t>
        </is>
      </c>
      <c r="E171" t="inlineStr">
        <is>
          <t>Real</t>
        </is>
      </c>
      <c r="F171" t="inlineStr">
        <is>
          <t>gasto_area</t>
        </is>
      </c>
      <c r="H171" t="inlineStr">
        <is>
          <t>Administración</t>
        </is>
      </c>
      <c r="I171" t="n">
        <v>141000000</v>
      </c>
      <c r="J171" t="inlineStr">
        <is>
          <t>COP</t>
        </is>
      </c>
      <c r="L171">
        <f>IFERROR(INDEX(Diccionario!$B:$B,MATCH(F183,Diccionario!$C:$C,0)),"")</f>
        <v/>
      </c>
      <c r="M171">
        <f>IFERROR(INDEX(Diccionario!$H:$H,MATCH(F183,Diccionario!$C:$C,0)),"")</f>
        <v/>
      </c>
      <c r="N171">
        <f>IFERROR(INDEX(Diccionario!$N:$N,MATCH(F183,Diccionario!$C:$C,0)),"")</f>
        <v/>
      </c>
    </row>
    <row r="172" ht="14.25" customHeight="1" s="52">
      <c r="A172" t="inlineStr">
        <is>
          <t>2025-04</t>
        </is>
      </c>
      <c r="B172" t="inlineStr">
        <is>
          <t>Colombia</t>
        </is>
      </c>
      <c r="C172" t="inlineStr">
        <is>
          <t>Coco Colombia</t>
        </is>
      </c>
      <c r="D172" t="inlineStr">
        <is>
          <t>COP</t>
        </is>
      </c>
      <c r="E172" t="inlineStr">
        <is>
          <t>Real</t>
        </is>
      </c>
      <c r="F172" t="inlineStr">
        <is>
          <t>gasto_area</t>
        </is>
      </c>
      <c r="H172" t="inlineStr">
        <is>
          <t>Financieros</t>
        </is>
      </c>
      <c r="I172" t="n">
        <v>5000000</v>
      </c>
      <c r="J172" t="inlineStr">
        <is>
          <t>COP</t>
        </is>
      </c>
      <c r="L172">
        <f>IFERROR(INDEX(Diccionario!$B:$B,MATCH(F184,Diccionario!$C:$C,0)),"")</f>
        <v/>
      </c>
      <c r="M172">
        <f>IFERROR(INDEX(Diccionario!$H:$H,MATCH(F184,Diccionario!$C:$C,0)),"")</f>
        <v/>
      </c>
      <c r="N172">
        <f>IFERROR(INDEX(Diccionario!$N:$N,MATCH(F184,Diccionario!$C:$C,0)),"")</f>
        <v/>
      </c>
    </row>
    <row r="173" ht="14.25" customHeight="1" s="52">
      <c r="A173" t="inlineStr">
        <is>
          <t>2025-04</t>
        </is>
      </c>
      <c r="B173" t="inlineStr">
        <is>
          <t>Colombia</t>
        </is>
      </c>
      <c r="C173" t="inlineStr">
        <is>
          <t>Coco Colombia</t>
        </is>
      </c>
      <c r="D173" t="inlineStr">
        <is>
          <t>COP</t>
        </is>
      </c>
      <c r="E173" t="inlineStr">
        <is>
          <t>Real</t>
        </is>
      </c>
      <c r="F173" t="inlineStr">
        <is>
          <t>gasto_area</t>
        </is>
      </c>
      <c r="H173" t="inlineStr">
        <is>
          <t>TI</t>
        </is>
      </c>
      <c r="I173" t="n">
        <v>253000000</v>
      </c>
      <c r="J173" t="inlineStr">
        <is>
          <t>COP</t>
        </is>
      </c>
      <c r="L173">
        <f>IFERROR(INDEX(Diccionario!$B:$B,MATCH(F185,Diccionario!$C:$C,0)),"")</f>
        <v/>
      </c>
      <c r="M173">
        <f>IFERROR(INDEX(Diccionario!$H:$H,MATCH(F185,Diccionario!$C:$C,0)),"")</f>
        <v/>
      </c>
      <c r="N173">
        <f>IFERROR(INDEX(Diccionario!$N:$N,MATCH(F185,Diccionario!$C:$C,0)),"")</f>
        <v/>
      </c>
    </row>
    <row r="174" ht="14.25" customHeight="1" s="52">
      <c r="A174" t="inlineStr">
        <is>
          <t>2025-04</t>
        </is>
      </c>
      <c r="B174" t="inlineStr">
        <is>
          <t>Colombia</t>
        </is>
      </c>
      <c r="C174" t="inlineStr">
        <is>
          <t>Coco Colombia</t>
        </is>
      </c>
      <c r="D174" t="inlineStr">
        <is>
          <t>COP</t>
        </is>
      </c>
      <c r="E174" t="inlineStr">
        <is>
          <t>Real</t>
        </is>
      </c>
      <c r="F174" t="inlineStr">
        <is>
          <t>gasto_area</t>
        </is>
      </c>
      <c r="H174" t="inlineStr">
        <is>
          <t>Proveedores</t>
        </is>
      </c>
      <c r="I174" t="n">
        <v>156000000</v>
      </c>
      <c r="J174" t="inlineStr">
        <is>
          <t>COP</t>
        </is>
      </c>
      <c r="L174">
        <f>IFERROR(INDEX(Diccionario!$B:$B,MATCH(F186,Diccionario!$C:$C,0)),"")</f>
        <v/>
      </c>
      <c r="M174">
        <f>IFERROR(INDEX(Diccionario!$H:$H,MATCH(F186,Diccionario!$C:$C,0)),"")</f>
        <v/>
      </c>
      <c r="N174">
        <f>IFERROR(INDEX(Diccionario!$N:$N,MATCH(F186,Diccionario!$C:$C,0)),"")</f>
        <v/>
      </c>
    </row>
    <row r="175" ht="14.25" customHeight="1" s="52">
      <c r="A175" t="inlineStr">
        <is>
          <t>2025-04</t>
        </is>
      </c>
      <c r="B175" t="inlineStr">
        <is>
          <t>Colombia</t>
        </is>
      </c>
      <c r="C175" t="inlineStr">
        <is>
          <t>Coco Colombia</t>
        </is>
      </c>
      <c r="D175" t="inlineStr">
        <is>
          <t>COP</t>
        </is>
      </c>
      <c r="E175" t="inlineStr">
        <is>
          <t>Real</t>
        </is>
      </c>
      <c r="F175" t="inlineStr">
        <is>
          <t>gasto_area</t>
        </is>
      </c>
      <c r="H175" t="inlineStr">
        <is>
          <t>Comercial</t>
        </is>
      </c>
      <c r="I175" t="n">
        <v>222000000</v>
      </c>
      <c r="J175" t="inlineStr">
        <is>
          <t>COP</t>
        </is>
      </c>
      <c r="L175">
        <f>IFERROR(INDEX(Diccionario!$B:$B,MATCH(F187,Diccionario!$C:$C,0)),"")</f>
        <v/>
      </c>
      <c r="M175">
        <f>IFERROR(INDEX(Diccionario!$H:$H,MATCH(F187,Diccionario!$C:$C,0)),"")</f>
        <v/>
      </c>
      <c r="N175">
        <f>IFERROR(INDEX(Diccionario!$N:$N,MATCH(F187,Diccionario!$C:$C,0)),"")</f>
        <v/>
      </c>
    </row>
    <row r="176" ht="14.25" customHeight="1" s="52">
      <c r="A176" t="inlineStr">
        <is>
          <t>2025-04</t>
        </is>
      </c>
      <c r="B176" t="inlineStr">
        <is>
          <t>Colombia</t>
        </is>
      </c>
      <c r="C176" t="inlineStr">
        <is>
          <t>Coco Colombia</t>
        </is>
      </c>
      <c r="D176" t="inlineStr">
        <is>
          <t>COP</t>
        </is>
      </c>
      <c r="E176" t="inlineStr">
        <is>
          <t>Real</t>
        </is>
      </c>
      <c r="F176" t="inlineStr">
        <is>
          <t>gasto_area</t>
        </is>
      </c>
      <c r="H176" t="inlineStr">
        <is>
          <t>Administración</t>
        </is>
      </c>
      <c r="I176" t="n">
        <v>118000000</v>
      </c>
      <c r="J176" t="inlineStr">
        <is>
          <t>COP</t>
        </is>
      </c>
      <c r="L176">
        <f>IFERROR(INDEX(Diccionario!$B:$B,MATCH(F188,Diccionario!$C:$C,0)),"")</f>
        <v/>
      </c>
      <c r="M176">
        <f>IFERROR(INDEX(Diccionario!$H:$H,MATCH(F188,Diccionario!$C:$C,0)),"")</f>
        <v/>
      </c>
      <c r="N176">
        <f>IFERROR(INDEX(Diccionario!$N:$N,MATCH(F188,Diccionario!$C:$C,0)),"")</f>
        <v/>
      </c>
    </row>
    <row r="177" ht="14.25" customHeight="1" s="52">
      <c r="A177" t="inlineStr">
        <is>
          <t>2025-05</t>
        </is>
      </c>
      <c r="B177" t="inlineStr">
        <is>
          <t>Colombia</t>
        </is>
      </c>
      <c r="C177" t="inlineStr">
        <is>
          <t>Coco Colombia</t>
        </is>
      </c>
      <c r="D177" t="inlineStr">
        <is>
          <t>COP</t>
        </is>
      </c>
      <c r="E177" t="inlineStr">
        <is>
          <t>Real</t>
        </is>
      </c>
      <c r="F177" t="inlineStr">
        <is>
          <t>gasto_area</t>
        </is>
      </c>
      <c r="H177" t="inlineStr">
        <is>
          <t>Financieros</t>
        </is>
      </c>
      <c r="I177" t="n">
        <v>200000</v>
      </c>
      <c r="J177" t="inlineStr">
        <is>
          <t>COP</t>
        </is>
      </c>
      <c r="L177">
        <f>IFERROR(INDEX(Diccionario!$B:$B,MATCH(F189,Diccionario!$C:$C,0)),"")</f>
        <v/>
      </c>
      <c r="M177">
        <f>IFERROR(INDEX(Diccionario!$H:$H,MATCH(F189,Diccionario!$C:$C,0)),"")</f>
        <v/>
      </c>
      <c r="N177">
        <f>IFERROR(INDEX(Diccionario!$N:$N,MATCH(F189,Diccionario!$C:$C,0)),"")</f>
        <v/>
      </c>
    </row>
    <row r="178" ht="14.25" customHeight="1" s="52">
      <c r="A178" t="inlineStr">
        <is>
          <t>2025-05</t>
        </is>
      </c>
      <c r="B178" t="inlineStr">
        <is>
          <t>Colombia</t>
        </is>
      </c>
      <c r="C178" t="inlineStr">
        <is>
          <t>Coco Colombia</t>
        </is>
      </c>
      <c r="D178" t="inlineStr">
        <is>
          <t>COP</t>
        </is>
      </c>
      <c r="E178" t="inlineStr">
        <is>
          <t>Real</t>
        </is>
      </c>
      <c r="F178" t="inlineStr">
        <is>
          <t>gasto_area</t>
        </is>
      </c>
      <c r="H178" t="inlineStr">
        <is>
          <t>TI</t>
        </is>
      </c>
      <c r="I178" t="n">
        <v>255000000</v>
      </c>
      <c r="J178" t="inlineStr">
        <is>
          <t>COP</t>
        </is>
      </c>
      <c r="L178">
        <f>IFERROR(INDEX(Diccionario!$B:$B,MATCH(F190,Diccionario!$C:$C,0)),"")</f>
        <v/>
      </c>
      <c r="M178">
        <f>IFERROR(INDEX(Diccionario!$H:$H,MATCH(F190,Diccionario!$C:$C,0)),"")</f>
        <v/>
      </c>
      <c r="N178">
        <f>IFERROR(INDEX(Diccionario!$N:$N,MATCH(F190,Diccionario!$C:$C,0)),"")</f>
        <v/>
      </c>
    </row>
    <row r="179" ht="14.25" customHeight="1" s="52">
      <c r="A179" t="inlineStr">
        <is>
          <t>2025-05</t>
        </is>
      </c>
      <c r="B179" t="inlineStr">
        <is>
          <t>Colombia</t>
        </is>
      </c>
      <c r="C179" t="inlineStr">
        <is>
          <t>Coco Colombia</t>
        </is>
      </c>
      <c r="D179" t="inlineStr">
        <is>
          <t>COP</t>
        </is>
      </c>
      <c r="E179" t="inlineStr">
        <is>
          <t>Real</t>
        </is>
      </c>
      <c r="F179" t="inlineStr">
        <is>
          <t>gasto_area</t>
        </is>
      </c>
      <c r="H179" t="inlineStr">
        <is>
          <t>Proveedores</t>
        </is>
      </c>
      <c r="I179" t="n">
        <v>157000000</v>
      </c>
      <c r="J179" t="inlineStr">
        <is>
          <t>COP</t>
        </is>
      </c>
      <c r="L179">
        <f>IFERROR(INDEX(Diccionario!$B:$B,MATCH(F191,Diccionario!$C:$C,0)),"")</f>
        <v/>
      </c>
      <c r="M179">
        <f>IFERROR(INDEX(Diccionario!$H:$H,MATCH(F191,Diccionario!$C:$C,0)),"")</f>
        <v/>
      </c>
      <c r="N179">
        <f>IFERROR(INDEX(Diccionario!$N:$N,MATCH(F191,Diccionario!$C:$C,0)),"")</f>
        <v/>
      </c>
    </row>
    <row r="180" ht="14.25" customHeight="1" s="52">
      <c r="A180" t="inlineStr">
        <is>
          <t>2025-05</t>
        </is>
      </c>
      <c r="B180" t="inlineStr">
        <is>
          <t>Colombia</t>
        </is>
      </c>
      <c r="C180" t="inlineStr">
        <is>
          <t>Coco Colombia</t>
        </is>
      </c>
      <c r="D180" t="inlineStr">
        <is>
          <t>COP</t>
        </is>
      </c>
      <c r="E180" t="inlineStr">
        <is>
          <t>Real</t>
        </is>
      </c>
      <c r="F180" t="inlineStr">
        <is>
          <t>gasto_area</t>
        </is>
      </c>
      <c r="H180" t="inlineStr">
        <is>
          <t>Comercial</t>
        </is>
      </c>
      <c r="I180" t="n">
        <v>194000000</v>
      </c>
      <c r="J180" t="inlineStr">
        <is>
          <t>COP</t>
        </is>
      </c>
      <c r="L180">
        <f>IFERROR(INDEX(Diccionario!$B:$B,MATCH(F192,Diccionario!$C:$C,0)),"")</f>
        <v/>
      </c>
      <c r="M180">
        <f>IFERROR(INDEX(Diccionario!$H:$H,MATCH(F192,Diccionario!$C:$C,0)),"")</f>
        <v/>
      </c>
      <c r="N180">
        <f>IFERROR(INDEX(Diccionario!$N:$N,MATCH(F192,Diccionario!$C:$C,0)),"")</f>
        <v/>
      </c>
    </row>
    <row r="181" ht="14.25" customHeight="1" s="52">
      <c r="A181" t="inlineStr">
        <is>
          <t>2025-05</t>
        </is>
      </c>
      <c r="B181" t="inlineStr">
        <is>
          <t>Colombia</t>
        </is>
      </c>
      <c r="C181" t="inlineStr">
        <is>
          <t>Coco Colombia</t>
        </is>
      </c>
      <c r="D181" t="inlineStr">
        <is>
          <t>COP</t>
        </is>
      </c>
      <c r="E181" t="inlineStr">
        <is>
          <t>Real</t>
        </is>
      </c>
      <c r="F181" t="inlineStr">
        <is>
          <t>gasto_area</t>
        </is>
      </c>
      <c r="H181" t="inlineStr">
        <is>
          <t>Administración</t>
        </is>
      </c>
      <c r="I181" t="n">
        <v>121900000</v>
      </c>
      <c r="J181" t="inlineStr">
        <is>
          <t>COP</t>
        </is>
      </c>
      <c r="L181">
        <f>IFERROR(INDEX(Diccionario!$B:$B,MATCH(F193,Diccionario!$C:$C,0)),"")</f>
        <v/>
      </c>
      <c r="M181">
        <f>IFERROR(INDEX(Diccionario!$H:$H,MATCH(F193,Diccionario!$C:$C,0)),"")</f>
        <v/>
      </c>
      <c r="N181">
        <f>IFERROR(INDEX(Diccionario!$N:$N,MATCH(F193,Diccionario!$C:$C,0)),"")</f>
        <v/>
      </c>
    </row>
    <row r="182" ht="14.25" customHeight="1" s="52">
      <c r="A182" t="inlineStr">
        <is>
          <t>2025-06</t>
        </is>
      </c>
      <c r="B182" t="inlineStr">
        <is>
          <t>Colombia</t>
        </is>
      </c>
      <c r="C182" t="inlineStr">
        <is>
          <t>Coco Colombia</t>
        </is>
      </c>
      <c r="D182" t="inlineStr">
        <is>
          <t>COP</t>
        </is>
      </c>
      <c r="E182" t="inlineStr">
        <is>
          <t>Real</t>
        </is>
      </c>
      <c r="F182" t="inlineStr">
        <is>
          <t>gasto_area</t>
        </is>
      </c>
      <c r="H182" t="inlineStr">
        <is>
          <t>Financieros</t>
        </is>
      </c>
      <c r="I182" t="n">
        <v>600000</v>
      </c>
      <c r="J182" t="inlineStr">
        <is>
          <t>COP</t>
        </is>
      </c>
      <c r="L182">
        <f>IFERROR(INDEX(Diccionario!$B:$B,MATCH(F194,Diccionario!$C:$C,0)),"")</f>
        <v/>
      </c>
      <c r="M182">
        <f>IFERROR(INDEX(Diccionario!$H:$H,MATCH(F194,Diccionario!$C:$C,0)),"")</f>
        <v/>
      </c>
      <c r="N182">
        <f>IFERROR(INDEX(Diccionario!$N:$N,MATCH(F194,Diccionario!$C:$C,0)),"")</f>
        <v/>
      </c>
    </row>
    <row r="183" ht="14.25" customHeight="1" s="52">
      <c r="A183" t="inlineStr">
        <is>
          <t>2025-06</t>
        </is>
      </c>
      <c r="B183" t="inlineStr">
        <is>
          <t>Colombia</t>
        </is>
      </c>
      <c r="C183" t="inlineStr">
        <is>
          <t>Coco Colombia</t>
        </is>
      </c>
      <c r="D183" t="inlineStr">
        <is>
          <t>COP</t>
        </is>
      </c>
      <c r="E183" t="inlineStr">
        <is>
          <t>Real</t>
        </is>
      </c>
      <c r="F183" t="inlineStr">
        <is>
          <t>gasto_area</t>
        </is>
      </c>
      <c r="H183" t="inlineStr">
        <is>
          <t>TI</t>
        </is>
      </c>
      <c r="I183" t="n">
        <v>260000000</v>
      </c>
      <c r="J183" t="inlineStr">
        <is>
          <t>COP</t>
        </is>
      </c>
      <c r="L183">
        <f>IFERROR(INDEX(Diccionario!$B:$B,MATCH(F195,Diccionario!$C:$C,0)),"")</f>
        <v/>
      </c>
      <c r="M183">
        <f>IFERROR(INDEX(Diccionario!$H:$H,MATCH(F195,Diccionario!$C:$C,0)),"")</f>
        <v/>
      </c>
      <c r="N183">
        <f>IFERROR(INDEX(Diccionario!$N:$N,MATCH(F195,Diccionario!$C:$C,0)),"")</f>
        <v/>
      </c>
    </row>
    <row r="184" ht="14.25" customHeight="1" s="52">
      <c r="A184" t="inlineStr">
        <is>
          <t>2025-06</t>
        </is>
      </c>
      <c r="B184" t="inlineStr">
        <is>
          <t>Colombia</t>
        </is>
      </c>
      <c r="C184" t="inlineStr">
        <is>
          <t>Coco Colombia</t>
        </is>
      </c>
      <c r="D184" t="inlineStr">
        <is>
          <t>COP</t>
        </is>
      </c>
      <c r="E184" t="inlineStr">
        <is>
          <t>Real</t>
        </is>
      </c>
      <c r="F184" t="inlineStr">
        <is>
          <t>gasto_area</t>
        </is>
      </c>
      <c r="H184" t="inlineStr">
        <is>
          <t>Proveedores</t>
        </is>
      </c>
      <c r="I184" t="n">
        <v>119000000</v>
      </c>
      <c r="J184" t="inlineStr">
        <is>
          <t>COP</t>
        </is>
      </c>
      <c r="L184">
        <f>IFERROR(INDEX(Diccionario!$B:$B,MATCH(F196,Diccionario!$C:$C,0)),"")</f>
        <v/>
      </c>
      <c r="M184">
        <f>IFERROR(INDEX(Diccionario!$H:$H,MATCH(F196,Diccionario!$C:$C,0)),"")</f>
        <v/>
      </c>
      <c r="N184">
        <f>IFERROR(INDEX(Diccionario!$N:$N,MATCH(F196,Diccionario!$C:$C,0)),"")</f>
        <v/>
      </c>
    </row>
    <row r="185" ht="14.25" customHeight="1" s="52">
      <c r="A185" t="inlineStr">
        <is>
          <t>2025-06</t>
        </is>
      </c>
      <c r="B185" t="inlineStr">
        <is>
          <t>Colombia</t>
        </is>
      </c>
      <c r="C185" t="inlineStr">
        <is>
          <t>Coco Colombia</t>
        </is>
      </c>
      <c r="D185" t="inlineStr">
        <is>
          <t>COP</t>
        </is>
      </c>
      <c r="E185" t="inlineStr">
        <is>
          <t>Real</t>
        </is>
      </c>
      <c r="F185" t="inlineStr">
        <is>
          <t>gasto_area</t>
        </is>
      </c>
      <c r="H185" t="inlineStr">
        <is>
          <t>Comercial</t>
        </is>
      </c>
      <c r="I185" t="n">
        <v>226000000</v>
      </c>
      <c r="J185" t="inlineStr">
        <is>
          <t>COP</t>
        </is>
      </c>
      <c r="L185">
        <f>IFERROR(INDEX(Diccionario!$B:$B,MATCH(F197,Diccionario!$C:$C,0)),"")</f>
        <v/>
      </c>
      <c r="M185">
        <f>IFERROR(INDEX(Diccionario!$H:$H,MATCH(F197,Diccionario!$C:$C,0)),"")</f>
        <v/>
      </c>
      <c r="N185">
        <f>IFERROR(INDEX(Diccionario!$N:$N,MATCH(F197,Diccionario!$C:$C,0)),"")</f>
        <v/>
      </c>
    </row>
    <row r="186" ht="14.25" customHeight="1" s="52">
      <c r="A186" t="inlineStr">
        <is>
          <t>2025-06</t>
        </is>
      </c>
      <c r="B186" t="inlineStr">
        <is>
          <t>Colombia</t>
        </is>
      </c>
      <c r="C186" t="inlineStr">
        <is>
          <t>Coco Colombia</t>
        </is>
      </c>
      <c r="D186" t="inlineStr">
        <is>
          <t>COP</t>
        </is>
      </c>
      <c r="E186" t="inlineStr">
        <is>
          <t>Real</t>
        </is>
      </c>
      <c r="F186" t="inlineStr">
        <is>
          <t>gasto_area</t>
        </is>
      </c>
      <c r="H186" t="inlineStr">
        <is>
          <t>Administración</t>
        </is>
      </c>
      <c r="I186" t="n">
        <v>105000000</v>
      </c>
      <c r="J186" t="inlineStr">
        <is>
          <t>COP</t>
        </is>
      </c>
      <c r="L186">
        <f>IFERROR(INDEX(Diccionario!$B:$B,MATCH(F198,Diccionario!$C:$C,0)),"")</f>
        <v/>
      </c>
      <c r="M186">
        <f>IFERROR(INDEX(Diccionario!$H:$H,MATCH(F198,Diccionario!$C:$C,0)),"")</f>
        <v/>
      </c>
      <c r="N186">
        <f>IFERROR(INDEX(Diccionario!$N:$N,MATCH(F198,Diccionario!$C:$C,0)),"")</f>
        <v/>
      </c>
    </row>
    <row r="187" ht="14.25" customHeight="1" s="52">
      <c r="A187" t="inlineStr">
        <is>
          <t>2025-07</t>
        </is>
      </c>
      <c r="B187" t="inlineStr">
        <is>
          <t>Colombia</t>
        </is>
      </c>
      <c r="C187" t="inlineStr">
        <is>
          <t>Coco Colombia</t>
        </is>
      </c>
      <c r="D187" t="inlineStr">
        <is>
          <t>COP</t>
        </is>
      </c>
      <c r="E187" t="inlineStr">
        <is>
          <t>Real</t>
        </is>
      </c>
      <c r="F187" t="inlineStr">
        <is>
          <t>gasto_area</t>
        </is>
      </c>
      <c r="H187" t="inlineStr">
        <is>
          <t>Financieros</t>
        </is>
      </c>
      <c r="I187" t="n">
        <v>1800000</v>
      </c>
      <c r="J187" t="inlineStr">
        <is>
          <t>COP</t>
        </is>
      </c>
      <c r="L187">
        <f>IFERROR(INDEX(Diccionario!$B:$B,MATCH(F199,Diccionario!$C:$C,0)),"")</f>
        <v/>
      </c>
      <c r="M187">
        <f>IFERROR(INDEX(Diccionario!$H:$H,MATCH(F199,Diccionario!$C:$C,0)),"")</f>
        <v/>
      </c>
      <c r="N187">
        <f>IFERROR(INDEX(Diccionario!$N:$N,MATCH(F199,Diccionario!$C:$C,0)),"")</f>
        <v/>
      </c>
    </row>
    <row r="188" ht="14.25" customHeight="1" s="52">
      <c r="A188" t="inlineStr">
        <is>
          <t>2025-07</t>
        </is>
      </c>
      <c r="B188" t="inlineStr">
        <is>
          <t>Colombia</t>
        </is>
      </c>
      <c r="C188" t="inlineStr">
        <is>
          <t>Coco Colombia</t>
        </is>
      </c>
      <c r="D188" t="inlineStr">
        <is>
          <t>COP</t>
        </is>
      </c>
      <c r="E188" t="inlineStr">
        <is>
          <t>Real</t>
        </is>
      </c>
      <c r="F188" t="inlineStr">
        <is>
          <t>gasto_area</t>
        </is>
      </c>
      <c r="H188" t="inlineStr">
        <is>
          <t>TI</t>
        </is>
      </c>
      <c r="I188" t="n">
        <v>230000000</v>
      </c>
      <c r="J188" t="inlineStr">
        <is>
          <t>COP</t>
        </is>
      </c>
      <c r="L188">
        <f>IFERROR(INDEX(Diccionario!$B:$B,MATCH(F200,Diccionario!$C:$C,0)),"")</f>
        <v/>
      </c>
      <c r="M188">
        <f>IFERROR(INDEX(Diccionario!$H:$H,MATCH(F200,Diccionario!$C:$C,0)),"")</f>
        <v/>
      </c>
      <c r="N188">
        <f>IFERROR(INDEX(Diccionario!$N:$N,MATCH(F200,Diccionario!$C:$C,0)),"")</f>
        <v/>
      </c>
    </row>
    <row r="189" ht="14.25" customHeight="1" s="52">
      <c r="A189" t="inlineStr">
        <is>
          <t>2025-07</t>
        </is>
      </c>
      <c r="B189" t="inlineStr">
        <is>
          <t>Colombia</t>
        </is>
      </c>
      <c r="C189" t="inlineStr">
        <is>
          <t>Coco Colombia</t>
        </is>
      </c>
      <c r="D189" t="inlineStr">
        <is>
          <t>COP</t>
        </is>
      </c>
      <c r="E189" t="inlineStr">
        <is>
          <t>Real</t>
        </is>
      </c>
      <c r="F189" t="inlineStr">
        <is>
          <t>gasto_area</t>
        </is>
      </c>
      <c r="H189" t="inlineStr">
        <is>
          <t>Proveedores</t>
        </is>
      </c>
      <c r="I189" t="n">
        <v>302000000</v>
      </c>
      <c r="J189" t="inlineStr">
        <is>
          <t>COP</t>
        </is>
      </c>
      <c r="L189">
        <f>IFERROR(INDEX(Diccionario!$B:$B,MATCH(F201,Diccionario!$C:$C,0)),"")</f>
        <v/>
      </c>
      <c r="M189">
        <f>IFERROR(INDEX(Diccionario!$H:$H,MATCH(F201,Diccionario!$C:$C,0)),"")</f>
        <v/>
      </c>
      <c r="N189">
        <f>IFERROR(INDEX(Diccionario!$N:$N,MATCH(F201,Diccionario!$C:$C,0)),"")</f>
        <v/>
      </c>
    </row>
    <row r="190" ht="14.25" customHeight="1" s="52">
      <c r="A190" t="inlineStr">
        <is>
          <t>2025-07</t>
        </is>
      </c>
      <c r="B190" t="inlineStr">
        <is>
          <t>Colombia</t>
        </is>
      </c>
      <c r="C190" t="inlineStr">
        <is>
          <t>Coco Colombia</t>
        </is>
      </c>
      <c r="D190" t="inlineStr">
        <is>
          <t>COP</t>
        </is>
      </c>
      <c r="E190" t="inlineStr">
        <is>
          <t>Real</t>
        </is>
      </c>
      <c r="F190" t="inlineStr">
        <is>
          <t>gasto_area</t>
        </is>
      </c>
      <c r="H190" t="inlineStr">
        <is>
          <t>Comercial</t>
        </is>
      </c>
      <c r="I190" t="n">
        <v>227000000</v>
      </c>
      <c r="J190" t="inlineStr">
        <is>
          <t>COP</t>
        </is>
      </c>
      <c r="L190">
        <f>IFERROR(INDEX(Diccionario!$B:$B,MATCH(F202,Diccionario!$C:$C,0)),"")</f>
        <v/>
      </c>
      <c r="M190">
        <f>IFERROR(INDEX(Diccionario!$H:$H,MATCH(F202,Diccionario!$C:$C,0)),"")</f>
        <v/>
      </c>
      <c r="N190">
        <f>IFERROR(INDEX(Diccionario!$N:$N,MATCH(F202,Diccionario!$C:$C,0)),"")</f>
        <v/>
      </c>
    </row>
    <row r="191" ht="14.25" customHeight="1" s="52">
      <c r="A191" t="inlineStr">
        <is>
          <t>2025-07</t>
        </is>
      </c>
      <c r="B191" t="inlineStr">
        <is>
          <t>Colombia</t>
        </is>
      </c>
      <c r="C191" t="inlineStr">
        <is>
          <t>Coco Colombia</t>
        </is>
      </c>
      <c r="D191" t="inlineStr">
        <is>
          <t>COP</t>
        </is>
      </c>
      <c r="E191" t="inlineStr">
        <is>
          <t>Real</t>
        </is>
      </c>
      <c r="F191" t="inlineStr">
        <is>
          <t>gasto_area</t>
        </is>
      </c>
      <c r="H191" t="inlineStr">
        <is>
          <t>Administración</t>
        </is>
      </c>
      <c r="I191" t="n">
        <v>122700000</v>
      </c>
      <c r="J191" t="inlineStr">
        <is>
          <t>COP</t>
        </is>
      </c>
      <c r="L191">
        <f>IFERROR(INDEX(Diccionario!$B:$B,MATCH(F203,Diccionario!$C:$C,0)),"")</f>
        <v/>
      </c>
      <c r="M191">
        <f>IFERROR(INDEX(Diccionario!$H:$H,MATCH(F203,Diccionario!$C:$C,0)),"")</f>
        <v/>
      </c>
      <c r="N191">
        <f>IFERROR(INDEX(Diccionario!$N:$N,MATCH(F203,Diccionario!$C:$C,0)),"")</f>
        <v/>
      </c>
    </row>
    <row r="192" ht="14.25" customHeight="1" s="52">
      <c r="A192" t="inlineStr">
        <is>
          <t>2025-08</t>
        </is>
      </c>
      <c r="B192" t="inlineStr">
        <is>
          <t>Colombia</t>
        </is>
      </c>
      <c r="C192" t="inlineStr">
        <is>
          <t>Coco Colombia</t>
        </is>
      </c>
      <c r="D192" t="inlineStr">
        <is>
          <t>COP</t>
        </is>
      </c>
      <c r="E192" t="inlineStr">
        <is>
          <t>Real</t>
        </is>
      </c>
      <c r="F192" t="inlineStr">
        <is>
          <t>gasto_area</t>
        </is>
      </c>
      <c r="H192" t="inlineStr">
        <is>
          <t>Financieros</t>
        </is>
      </c>
      <c r="I192" t="n">
        <v>1400000</v>
      </c>
      <c r="J192" t="inlineStr">
        <is>
          <t>COP</t>
        </is>
      </c>
      <c r="L192">
        <f>IFERROR(INDEX(Diccionario!$B:$B,MATCH(F204,Diccionario!$C:$C,0)),"")</f>
        <v/>
      </c>
      <c r="M192">
        <f>IFERROR(INDEX(Diccionario!$H:$H,MATCH(F204,Diccionario!$C:$C,0)),"")</f>
        <v/>
      </c>
      <c r="N192">
        <f>IFERROR(INDEX(Diccionario!$N:$N,MATCH(F204,Diccionario!$C:$C,0)),"")</f>
        <v/>
      </c>
    </row>
    <row r="193" ht="14.25" customHeight="1" s="52">
      <c r="A193" t="inlineStr">
        <is>
          <t>2025-08</t>
        </is>
      </c>
      <c r="B193" t="inlineStr">
        <is>
          <t>Colombia</t>
        </is>
      </c>
      <c r="C193" t="inlineStr">
        <is>
          <t>Coco Colombia</t>
        </is>
      </c>
      <c r="D193" t="inlineStr">
        <is>
          <t>COP</t>
        </is>
      </c>
      <c r="E193" t="inlineStr">
        <is>
          <t>Real</t>
        </is>
      </c>
      <c r="F193" t="inlineStr">
        <is>
          <t>gasto_area</t>
        </is>
      </c>
      <c r="H193" t="inlineStr">
        <is>
          <t>TI</t>
        </is>
      </c>
      <c r="I193" t="n">
        <v>332000000</v>
      </c>
      <c r="J193" t="inlineStr">
        <is>
          <t>COP</t>
        </is>
      </c>
      <c r="L193">
        <f>IFERROR(INDEX(Diccionario!$B:$B,MATCH(F205,Diccionario!$C:$C,0)),"")</f>
        <v/>
      </c>
      <c r="M193">
        <f>IFERROR(INDEX(Diccionario!$H:$H,MATCH(F205,Diccionario!$C:$C,0)),"")</f>
        <v/>
      </c>
      <c r="N193">
        <f>IFERROR(INDEX(Diccionario!$N:$N,MATCH(F205,Diccionario!$C:$C,0)),"")</f>
        <v/>
      </c>
    </row>
    <row r="194" ht="14.25" customHeight="1" s="52">
      <c r="A194" t="inlineStr">
        <is>
          <t>2025-08</t>
        </is>
      </c>
      <c r="B194" t="inlineStr">
        <is>
          <t>Colombia</t>
        </is>
      </c>
      <c r="C194" t="inlineStr">
        <is>
          <t>Coco Colombia</t>
        </is>
      </c>
      <c r="D194" t="inlineStr">
        <is>
          <t>COP</t>
        </is>
      </c>
      <c r="E194" t="inlineStr">
        <is>
          <t>Real</t>
        </is>
      </c>
      <c r="F194" t="inlineStr">
        <is>
          <t>gasto_area</t>
        </is>
      </c>
      <c r="H194" t="inlineStr">
        <is>
          <t>Proveedores</t>
        </is>
      </c>
      <c r="I194" t="n">
        <v>102000000</v>
      </c>
      <c r="J194" t="inlineStr">
        <is>
          <t>COP</t>
        </is>
      </c>
      <c r="L194">
        <f>IFERROR(INDEX(Diccionario!$B:$B,MATCH(F206,Diccionario!$C:$C,0)),"")</f>
        <v/>
      </c>
      <c r="M194">
        <f>IFERROR(INDEX(Diccionario!$H:$H,MATCH(F206,Diccionario!$C:$C,0)),"")</f>
        <v/>
      </c>
      <c r="N194">
        <f>IFERROR(INDEX(Diccionario!$N:$N,MATCH(F206,Diccionario!$C:$C,0)),"")</f>
        <v/>
      </c>
    </row>
    <row r="195" ht="14.25" customHeight="1" s="52">
      <c r="A195" t="inlineStr">
        <is>
          <t>2025-08</t>
        </is>
      </c>
      <c r="B195" t="inlineStr">
        <is>
          <t>Colombia</t>
        </is>
      </c>
      <c r="C195" t="inlineStr">
        <is>
          <t>Coco Colombia</t>
        </is>
      </c>
      <c r="D195" t="inlineStr">
        <is>
          <t>COP</t>
        </is>
      </c>
      <c r="E195" t="inlineStr">
        <is>
          <t>Real</t>
        </is>
      </c>
      <c r="F195" t="inlineStr">
        <is>
          <t>gasto_area</t>
        </is>
      </c>
      <c r="H195" t="inlineStr">
        <is>
          <t>Comercial</t>
        </is>
      </c>
      <c r="I195" t="n">
        <v>169000000</v>
      </c>
      <c r="J195" t="inlineStr">
        <is>
          <t>COP</t>
        </is>
      </c>
      <c r="L195">
        <f>IFERROR(INDEX(Diccionario!$B:$B,MATCH(F207,Diccionario!$C:$C,0)),"")</f>
        <v/>
      </c>
      <c r="M195">
        <f>IFERROR(INDEX(Diccionario!$H:$H,MATCH(F207,Diccionario!$C:$C,0)),"")</f>
        <v/>
      </c>
      <c r="N195">
        <f>IFERROR(INDEX(Diccionario!$N:$N,MATCH(F207,Diccionario!$C:$C,0)),"")</f>
        <v/>
      </c>
    </row>
    <row r="196" ht="14.25" customHeight="1" s="52">
      <c r="A196" t="inlineStr">
        <is>
          <t>2025-08</t>
        </is>
      </c>
      <c r="B196" t="inlineStr">
        <is>
          <t>Colombia</t>
        </is>
      </c>
      <c r="C196" t="inlineStr">
        <is>
          <t>Coco Colombia</t>
        </is>
      </c>
      <c r="D196" t="inlineStr">
        <is>
          <t>COP</t>
        </is>
      </c>
      <c r="E196" t="inlineStr">
        <is>
          <t>Real</t>
        </is>
      </c>
      <c r="F196" t="inlineStr">
        <is>
          <t>gasto_area</t>
        </is>
      </c>
      <c r="H196" t="inlineStr">
        <is>
          <t>Administración</t>
        </is>
      </c>
      <c r="I196" t="n">
        <v>121000000</v>
      </c>
      <c r="J196" t="inlineStr">
        <is>
          <t>COP</t>
        </is>
      </c>
      <c r="L196">
        <f>IFERROR(INDEX(Diccionario!$B:$B,MATCH(F208,Diccionario!$C:$C,0)),"")</f>
        <v/>
      </c>
      <c r="M196">
        <f>IFERROR(INDEX(Diccionario!$H:$H,MATCH(F208,Diccionario!$C:$C,0)),"")</f>
        <v/>
      </c>
      <c r="N196">
        <f>IFERROR(INDEX(Diccionario!$N:$N,MATCH(F208,Diccionario!$C:$C,0)),"")</f>
        <v/>
      </c>
    </row>
    <row r="197" ht="14.25" customHeight="1" s="52">
      <c r="A197" t="inlineStr">
        <is>
          <t>2025-09</t>
        </is>
      </c>
      <c r="B197" t="inlineStr">
        <is>
          <t>Colombia</t>
        </is>
      </c>
      <c r="C197" t="inlineStr">
        <is>
          <t>Coco Colombia</t>
        </is>
      </c>
      <c r="D197" t="inlineStr">
        <is>
          <t>COP</t>
        </is>
      </c>
      <c r="E197" t="inlineStr">
        <is>
          <t>Real</t>
        </is>
      </c>
      <c r="F197" t="inlineStr">
        <is>
          <t>gasto_area</t>
        </is>
      </c>
      <c r="H197" t="inlineStr">
        <is>
          <t>Financieros</t>
        </is>
      </c>
      <c r="I197" t="n">
        <v>10600000</v>
      </c>
      <c r="J197" t="inlineStr">
        <is>
          <t>COP</t>
        </is>
      </c>
      <c r="L197">
        <f>IFERROR(INDEX(Diccionario!$B:$B,MATCH(F209,Diccionario!$C:$C,0)),"")</f>
        <v/>
      </c>
      <c r="M197">
        <f>IFERROR(INDEX(Diccionario!$H:$H,MATCH(F209,Diccionario!$C:$C,0)),"")</f>
        <v/>
      </c>
      <c r="N197">
        <f>IFERROR(INDEX(Diccionario!$N:$N,MATCH(F209,Diccionario!$C:$C,0)),"")</f>
        <v/>
      </c>
    </row>
    <row r="198" ht="14.25" customHeight="1" s="52">
      <c r="A198" t="inlineStr">
        <is>
          <t>2025-09</t>
        </is>
      </c>
      <c r="B198" t="inlineStr">
        <is>
          <t>Colombia</t>
        </is>
      </c>
      <c r="C198" t="inlineStr">
        <is>
          <t>Coco Colombia</t>
        </is>
      </c>
      <c r="D198" t="inlineStr">
        <is>
          <t>COP</t>
        </is>
      </c>
      <c r="E198" t="inlineStr">
        <is>
          <t>Real</t>
        </is>
      </c>
      <c r="F198" t="inlineStr">
        <is>
          <t>gasto_area</t>
        </is>
      </c>
      <c r="H198" t="inlineStr">
        <is>
          <t>TI</t>
        </is>
      </c>
      <c r="I198" t="n">
        <v>269000000</v>
      </c>
      <c r="J198" t="inlineStr">
        <is>
          <t>COP</t>
        </is>
      </c>
      <c r="L198">
        <f>IFERROR(INDEX(Diccionario!$B:$B,MATCH(F210,Diccionario!$C:$C,0)),"")</f>
        <v/>
      </c>
      <c r="M198">
        <f>IFERROR(INDEX(Diccionario!$H:$H,MATCH(F210,Diccionario!$C:$C,0)),"")</f>
        <v/>
      </c>
      <c r="N198">
        <f>IFERROR(INDEX(Diccionario!$N:$N,MATCH(F210,Diccionario!$C:$C,0)),"")</f>
        <v/>
      </c>
    </row>
    <row r="199" ht="14.25" customHeight="1" s="52">
      <c r="A199" t="inlineStr">
        <is>
          <t>2025-09</t>
        </is>
      </c>
      <c r="B199" t="inlineStr">
        <is>
          <t>Colombia</t>
        </is>
      </c>
      <c r="C199" t="inlineStr">
        <is>
          <t>Coco Colombia</t>
        </is>
      </c>
      <c r="D199" t="inlineStr">
        <is>
          <t>COP</t>
        </is>
      </c>
      <c r="E199" t="inlineStr">
        <is>
          <t>Real</t>
        </is>
      </c>
      <c r="F199" t="inlineStr">
        <is>
          <t>gasto_area</t>
        </is>
      </c>
      <c r="H199" t="inlineStr">
        <is>
          <t>Proveedores</t>
        </is>
      </c>
      <c r="I199" t="n">
        <v>101000000</v>
      </c>
      <c r="J199" t="inlineStr">
        <is>
          <t>COP</t>
        </is>
      </c>
      <c r="L199">
        <f>IFERROR(INDEX(Diccionario!$B:$B,MATCH(F211,Diccionario!$C:$C,0)),"")</f>
        <v/>
      </c>
      <c r="M199">
        <f>IFERROR(INDEX(Diccionario!$H:$H,MATCH(F211,Diccionario!$C:$C,0)),"")</f>
        <v/>
      </c>
      <c r="N199">
        <f>IFERROR(INDEX(Diccionario!$N:$N,MATCH(F211,Diccionario!$C:$C,0)),"")</f>
        <v/>
      </c>
    </row>
    <row r="200" ht="14.25" customHeight="1" s="52">
      <c r="A200" t="inlineStr">
        <is>
          <t>2025-09</t>
        </is>
      </c>
      <c r="B200" t="inlineStr">
        <is>
          <t>Colombia</t>
        </is>
      </c>
      <c r="C200" t="inlineStr">
        <is>
          <t>Coco Colombia</t>
        </is>
      </c>
      <c r="D200" t="inlineStr">
        <is>
          <t>COP</t>
        </is>
      </c>
      <c r="E200" t="inlineStr">
        <is>
          <t>Real</t>
        </is>
      </c>
      <c r="F200" t="inlineStr">
        <is>
          <t>gasto_area</t>
        </is>
      </c>
      <c r="H200" t="inlineStr">
        <is>
          <t>Comercial</t>
        </is>
      </c>
      <c r="I200" t="n">
        <v>184000000</v>
      </c>
      <c r="J200" t="inlineStr">
        <is>
          <t>COP</t>
        </is>
      </c>
      <c r="L200">
        <f>IFERROR(INDEX(Diccionario!$B:$B,MATCH(F212,Diccionario!$C:$C,0)),"")</f>
        <v/>
      </c>
      <c r="M200">
        <f>IFERROR(INDEX(Diccionario!$H:$H,MATCH(F212,Diccionario!$C:$C,0)),"")</f>
        <v/>
      </c>
      <c r="N200">
        <f>IFERROR(INDEX(Diccionario!$N:$N,MATCH(F212,Diccionario!$C:$C,0)),"")</f>
        <v/>
      </c>
    </row>
    <row r="201" ht="14.25" customHeight="1" s="52">
      <c r="A201" t="inlineStr">
        <is>
          <t>2025-09</t>
        </is>
      </c>
      <c r="B201" t="inlineStr">
        <is>
          <t>Colombia</t>
        </is>
      </c>
      <c r="C201" t="inlineStr">
        <is>
          <t>Coco Colombia</t>
        </is>
      </c>
      <c r="D201" t="inlineStr">
        <is>
          <t>COP</t>
        </is>
      </c>
      <c r="E201" t="inlineStr">
        <is>
          <t>Real</t>
        </is>
      </c>
      <c r="F201" t="inlineStr">
        <is>
          <t>gasto_area</t>
        </is>
      </c>
      <c r="H201" t="inlineStr">
        <is>
          <t>Administración</t>
        </is>
      </c>
      <c r="I201" t="n">
        <v>138000000</v>
      </c>
      <c r="J201" t="inlineStr">
        <is>
          <t>COP</t>
        </is>
      </c>
      <c r="L201">
        <f>IFERROR(INDEX(Diccionario!$B:$B,MATCH(F213,Diccionario!$C:$C,0)),"")</f>
        <v/>
      </c>
      <c r="M201">
        <f>IFERROR(INDEX(Diccionario!$H:$H,MATCH(F213,Diccionario!$C:$C,0)),"")</f>
        <v/>
      </c>
      <c r="N201">
        <f>IFERROR(INDEX(Diccionario!$N:$N,MATCH(F213,Diccionario!$C:$C,0)),"")</f>
        <v/>
      </c>
    </row>
    <row r="202" ht="14.25" customHeight="1" s="52">
      <c r="A202" t="inlineStr">
        <is>
          <t>2025-10</t>
        </is>
      </c>
      <c r="B202" t="inlineStr">
        <is>
          <t>Colombia</t>
        </is>
      </c>
      <c r="C202" t="inlineStr">
        <is>
          <t>Coco Colombia</t>
        </is>
      </c>
      <c r="D202" t="inlineStr">
        <is>
          <t>COP</t>
        </is>
      </c>
      <c r="E202" t="inlineStr">
        <is>
          <t>Real</t>
        </is>
      </c>
      <c r="F202" t="inlineStr">
        <is>
          <t>gasto_area</t>
        </is>
      </c>
      <c r="H202" t="inlineStr">
        <is>
          <t>Financieros</t>
        </is>
      </c>
      <c r="I202" t="n">
        <v>10300000</v>
      </c>
      <c r="J202" t="inlineStr">
        <is>
          <t>COP</t>
        </is>
      </c>
      <c r="L202">
        <f>IFERROR(INDEX(Diccionario!$B:$B,MATCH(F214,Diccionario!$C:$C,0)),"")</f>
        <v/>
      </c>
      <c r="M202">
        <f>IFERROR(INDEX(Diccionario!$H:$H,MATCH(F214,Diccionario!$C:$C,0)),"")</f>
        <v/>
      </c>
      <c r="N202">
        <f>IFERROR(INDEX(Diccionario!$N:$N,MATCH(F214,Diccionario!$C:$C,0)),"")</f>
        <v/>
      </c>
    </row>
    <row r="203" ht="14.25" customHeight="1" s="52">
      <c r="A203" t="inlineStr">
        <is>
          <t>2025-10</t>
        </is>
      </c>
      <c r="B203" t="inlineStr">
        <is>
          <t>Colombia</t>
        </is>
      </c>
      <c r="C203" t="inlineStr">
        <is>
          <t>Coco Colombia</t>
        </is>
      </c>
      <c r="D203" t="inlineStr">
        <is>
          <t>COP</t>
        </is>
      </c>
      <c r="E203" t="inlineStr">
        <is>
          <t>Real</t>
        </is>
      </c>
      <c r="F203" t="inlineStr">
        <is>
          <t>gasto_area</t>
        </is>
      </c>
      <c r="H203" t="inlineStr">
        <is>
          <t>TI</t>
        </is>
      </c>
      <c r="I203" t="n">
        <v>301900000</v>
      </c>
      <c r="J203" t="inlineStr">
        <is>
          <t>COP</t>
        </is>
      </c>
      <c r="L203">
        <f>IFERROR(INDEX(Diccionario!$B:$B,MATCH(F215,Diccionario!$C:$C,0)),"")</f>
        <v/>
      </c>
      <c r="M203">
        <f>IFERROR(INDEX(Diccionario!$H:$H,MATCH(F215,Diccionario!$C:$C,0)),"")</f>
        <v/>
      </c>
      <c r="N203">
        <f>IFERROR(INDEX(Diccionario!$N:$N,MATCH(F215,Diccionario!$C:$C,0)),"")</f>
        <v/>
      </c>
    </row>
    <row r="204" ht="14.25" customHeight="1" s="52">
      <c r="A204" t="inlineStr">
        <is>
          <t>2025-10</t>
        </is>
      </c>
      <c r="B204" t="inlineStr">
        <is>
          <t>Colombia</t>
        </is>
      </c>
      <c r="C204" t="inlineStr">
        <is>
          <t>Coco Colombia</t>
        </is>
      </c>
      <c r="D204" t="inlineStr">
        <is>
          <t>COP</t>
        </is>
      </c>
      <c r="E204" t="inlineStr">
        <is>
          <t>Real</t>
        </is>
      </c>
      <c r="F204" t="inlineStr">
        <is>
          <t>gasto_area</t>
        </is>
      </c>
      <c r="H204" t="inlineStr">
        <is>
          <t>Proveedores</t>
        </is>
      </c>
      <c r="I204" t="n">
        <v>173000000</v>
      </c>
      <c r="J204" t="inlineStr">
        <is>
          <t>COP</t>
        </is>
      </c>
      <c r="L204">
        <f>IFERROR(INDEX(Diccionario!$B:$B,MATCH(F216,Diccionario!$C:$C,0)),"")</f>
        <v/>
      </c>
      <c r="M204">
        <f>IFERROR(INDEX(Diccionario!$H:$H,MATCH(F216,Diccionario!$C:$C,0)),"")</f>
        <v/>
      </c>
      <c r="N204">
        <f>IFERROR(INDEX(Diccionario!$N:$N,MATCH(F216,Diccionario!$C:$C,0)),"")</f>
        <v/>
      </c>
    </row>
    <row r="205" ht="14.25" customHeight="1" s="52">
      <c r="A205" t="inlineStr">
        <is>
          <t>2025-10</t>
        </is>
      </c>
      <c r="B205" t="inlineStr">
        <is>
          <t>Colombia</t>
        </is>
      </c>
      <c r="C205" t="inlineStr">
        <is>
          <t>Coco Colombia</t>
        </is>
      </c>
      <c r="D205" t="inlineStr">
        <is>
          <t>COP</t>
        </is>
      </c>
      <c r="E205" t="inlineStr">
        <is>
          <t>Real</t>
        </is>
      </c>
      <c r="F205" t="inlineStr">
        <is>
          <t>gasto_area</t>
        </is>
      </c>
      <c r="H205" t="inlineStr">
        <is>
          <t>Comercial</t>
        </is>
      </c>
      <c r="I205" t="n">
        <v>165000000</v>
      </c>
      <c r="J205" t="inlineStr">
        <is>
          <t>COP</t>
        </is>
      </c>
      <c r="L205">
        <f>IFERROR(INDEX(Diccionario!$B:$B,MATCH(F217,Diccionario!$C:$C,0)),"")</f>
        <v/>
      </c>
      <c r="M205">
        <f>IFERROR(INDEX(Diccionario!$H:$H,MATCH(F217,Diccionario!$C:$C,0)),"")</f>
        <v/>
      </c>
      <c r="N205">
        <f>IFERROR(INDEX(Diccionario!$N:$N,MATCH(F217,Diccionario!$C:$C,0)),"")</f>
        <v/>
      </c>
    </row>
    <row r="206" ht="14.25" customHeight="1" s="52">
      <c r="A206" t="inlineStr">
        <is>
          <t>2025-10</t>
        </is>
      </c>
      <c r="B206" t="inlineStr">
        <is>
          <t>Colombia</t>
        </is>
      </c>
      <c r="C206" t="inlineStr">
        <is>
          <t>Coco Colombia</t>
        </is>
      </c>
      <c r="D206" t="inlineStr">
        <is>
          <t>COP</t>
        </is>
      </c>
      <c r="E206" t="inlineStr">
        <is>
          <t>Real</t>
        </is>
      </c>
      <c r="F206" t="inlineStr">
        <is>
          <t>gasto_area</t>
        </is>
      </c>
      <c r="H206" t="inlineStr">
        <is>
          <t>Administración</t>
        </is>
      </c>
      <c r="I206" t="n">
        <v>127900000</v>
      </c>
      <c r="J206" t="inlineStr">
        <is>
          <t>COP</t>
        </is>
      </c>
      <c r="L206">
        <f>IFERROR(INDEX(Diccionario!$B:$B,MATCH(F218,Diccionario!$C:$C,0)),"")</f>
        <v/>
      </c>
      <c r="M206">
        <f>IFERROR(INDEX(Diccionario!$H:$H,MATCH(F218,Diccionario!$C:$C,0)),"")</f>
        <v/>
      </c>
      <c r="N206">
        <f>IFERROR(INDEX(Diccionario!$N:$N,MATCH(F218,Diccionario!$C:$C,0)),"")</f>
        <v/>
      </c>
    </row>
    <row r="207" ht="14.25" customHeight="1" s="52">
      <c r="A207" t="inlineStr">
        <is>
          <t>2025-11</t>
        </is>
      </c>
      <c r="B207" t="inlineStr">
        <is>
          <t>Colombia</t>
        </is>
      </c>
      <c r="C207" t="inlineStr">
        <is>
          <t>Coco Colombia</t>
        </is>
      </c>
      <c r="D207" t="inlineStr">
        <is>
          <t>COP</t>
        </is>
      </c>
      <c r="E207" t="inlineStr">
        <is>
          <t>Real</t>
        </is>
      </c>
      <c r="F207" t="inlineStr">
        <is>
          <t>gasto_area</t>
        </is>
      </c>
      <c r="H207" t="inlineStr">
        <is>
          <t>Financieros</t>
        </is>
      </c>
      <c r="I207" t="n">
        <v>8200000</v>
      </c>
      <c r="J207" t="inlineStr">
        <is>
          <t>COP</t>
        </is>
      </c>
      <c r="L207">
        <f>IFERROR(INDEX(Diccionario!$B:$B,MATCH(F219,Diccionario!$C:$C,0)),"")</f>
        <v/>
      </c>
      <c r="M207">
        <f>IFERROR(INDEX(Diccionario!$H:$H,MATCH(F219,Diccionario!$C:$C,0)),"")</f>
        <v/>
      </c>
      <c r="N207">
        <f>IFERROR(INDEX(Diccionario!$N:$N,MATCH(F219,Diccionario!$C:$C,0)),"")</f>
        <v/>
      </c>
    </row>
    <row r="208" ht="14.25" customHeight="1" s="52">
      <c r="A208" t="inlineStr">
        <is>
          <t>2025-11</t>
        </is>
      </c>
      <c r="B208" t="inlineStr">
        <is>
          <t>Colombia</t>
        </is>
      </c>
      <c r="C208" t="inlineStr">
        <is>
          <t>Coco Colombia</t>
        </is>
      </c>
      <c r="D208" t="inlineStr">
        <is>
          <t>COP</t>
        </is>
      </c>
      <c r="E208" t="inlineStr">
        <is>
          <t>Real</t>
        </is>
      </c>
      <c r="F208" t="inlineStr">
        <is>
          <t>gasto_area</t>
        </is>
      </c>
      <c r="H208" t="inlineStr">
        <is>
          <t>TI</t>
        </is>
      </c>
      <c r="I208" t="n">
        <v>261900000</v>
      </c>
      <c r="J208" t="inlineStr">
        <is>
          <t>COP</t>
        </is>
      </c>
      <c r="L208">
        <f>IFERROR(INDEX(Diccionario!$B:$B,MATCH(F220,Diccionario!$C:$C,0)),"")</f>
        <v/>
      </c>
      <c r="M208">
        <f>IFERROR(INDEX(Diccionario!$H:$H,MATCH(F220,Diccionario!$C:$C,0)),"")</f>
        <v/>
      </c>
      <c r="N208">
        <f>IFERROR(INDEX(Diccionario!$N:$N,MATCH(F220,Diccionario!$C:$C,0)),"")</f>
        <v/>
      </c>
    </row>
    <row r="209" ht="14.25" customHeight="1" s="52">
      <c r="A209" t="inlineStr">
        <is>
          <t>2025-11</t>
        </is>
      </c>
      <c r="B209" t="inlineStr">
        <is>
          <t>Colombia</t>
        </is>
      </c>
      <c r="C209" t="inlineStr">
        <is>
          <t>Coco Colombia</t>
        </is>
      </c>
      <c r="D209" t="inlineStr">
        <is>
          <t>COP</t>
        </is>
      </c>
      <c r="E209" t="inlineStr">
        <is>
          <t>Real</t>
        </is>
      </c>
      <c r="F209" t="inlineStr">
        <is>
          <t>gasto_area</t>
        </is>
      </c>
      <c r="H209" t="inlineStr">
        <is>
          <t>Proveedores</t>
        </is>
      </c>
      <c r="I209" t="n">
        <v>277900000</v>
      </c>
      <c r="J209" t="inlineStr">
        <is>
          <t>COP</t>
        </is>
      </c>
      <c r="L209">
        <f>IFERROR(INDEX(Diccionario!$B:$B,MATCH(F221,Diccionario!$C:$C,0)),"")</f>
        <v/>
      </c>
      <c r="M209">
        <f>IFERROR(INDEX(Diccionario!$H:$H,MATCH(F221,Diccionario!$C:$C,0)),"")</f>
        <v/>
      </c>
      <c r="N209">
        <f>IFERROR(INDEX(Diccionario!$N:$N,MATCH(F221,Diccionario!$C:$C,0)),"")</f>
        <v/>
      </c>
    </row>
    <row r="210" ht="14.25" customHeight="1" s="52">
      <c r="A210" t="inlineStr">
        <is>
          <t>2025-11</t>
        </is>
      </c>
      <c r="B210" t="inlineStr">
        <is>
          <t>Colombia</t>
        </is>
      </c>
      <c r="C210" t="inlineStr">
        <is>
          <t>Coco Colombia</t>
        </is>
      </c>
      <c r="D210" t="inlineStr">
        <is>
          <t>COP</t>
        </is>
      </c>
      <c r="E210" t="inlineStr">
        <is>
          <t>Real</t>
        </is>
      </c>
      <c r="F210" t="inlineStr">
        <is>
          <t>gasto_area</t>
        </is>
      </c>
      <c r="H210" t="inlineStr">
        <is>
          <t>Comercial</t>
        </is>
      </c>
      <c r="I210" t="n">
        <v>171300000</v>
      </c>
      <c r="J210" t="inlineStr">
        <is>
          <t>COP</t>
        </is>
      </c>
      <c r="L210">
        <f>IFERROR(INDEX(Diccionario!$B:$B,MATCH(F222,Diccionario!$C:$C,0)),"")</f>
        <v/>
      </c>
      <c r="M210">
        <f>IFERROR(INDEX(Diccionario!$H:$H,MATCH(F222,Diccionario!$C:$C,0)),"")</f>
        <v/>
      </c>
      <c r="N210">
        <f>IFERROR(INDEX(Diccionario!$N:$N,MATCH(F222,Diccionario!$C:$C,0)),"")</f>
        <v/>
      </c>
    </row>
    <row r="211" ht="14.25" customHeight="1" s="52">
      <c r="A211" t="inlineStr">
        <is>
          <t>2025-11</t>
        </is>
      </c>
      <c r="B211" t="inlineStr">
        <is>
          <t>Colombia</t>
        </is>
      </c>
      <c r="C211" t="inlineStr">
        <is>
          <t>Coco Colombia</t>
        </is>
      </c>
      <c r="D211" t="inlineStr">
        <is>
          <t>COP</t>
        </is>
      </c>
      <c r="E211" t="inlineStr">
        <is>
          <t>Real</t>
        </is>
      </c>
      <c r="F211" t="inlineStr">
        <is>
          <t>gasto_area</t>
        </is>
      </c>
      <c r="H211" t="inlineStr">
        <is>
          <t>Administración</t>
        </is>
      </c>
      <c r="I211" t="n">
        <v>151500000</v>
      </c>
      <c r="J211" t="inlineStr">
        <is>
          <t>COP</t>
        </is>
      </c>
      <c r="L211">
        <f>IFERROR(INDEX(Diccionario!$B:$B,MATCH(F223,Diccionario!$C:$C,0)),"")</f>
        <v/>
      </c>
      <c r="M211">
        <f>IFERROR(INDEX(Diccionario!$H:$H,MATCH(F223,Diccionario!$C:$C,0)),"")</f>
        <v/>
      </c>
      <c r="N211">
        <f>IFERROR(INDEX(Diccionario!$N:$N,MATCH(F223,Diccionario!$C:$C,0)),"")</f>
        <v/>
      </c>
    </row>
    <row r="212" ht="14.25" customHeight="1" s="52">
      <c r="A212" t="inlineStr">
        <is>
          <t>2025-12</t>
        </is>
      </c>
      <c r="B212" t="inlineStr">
        <is>
          <t>Colombia</t>
        </is>
      </c>
      <c r="C212" t="inlineStr">
        <is>
          <t>Coco Colombia</t>
        </is>
      </c>
      <c r="D212" t="inlineStr">
        <is>
          <t>COP</t>
        </is>
      </c>
      <c r="E212" t="inlineStr">
        <is>
          <t>Real</t>
        </is>
      </c>
      <c r="F212" t="inlineStr">
        <is>
          <t>gasto_area</t>
        </is>
      </c>
      <c r="H212" t="inlineStr">
        <is>
          <t>Financieros</t>
        </is>
      </c>
      <c r="I212" t="n">
        <v>13100000</v>
      </c>
      <c r="J212" t="inlineStr">
        <is>
          <t>COP</t>
        </is>
      </c>
      <c r="L212">
        <f>IFERROR(INDEX(Diccionario!$B:$B,MATCH(F224,Diccionario!$C:$C,0)),"")</f>
        <v/>
      </c>
      <c r="M212">
        <f>IFERROR(INDEX(Diccionario!$H:$H,MATCH(F224,Diccionario!$C:$C,0)),"")</f>
        <v/>
      </c>
      <c r="N212">
        <f>IFERROR(INDEX(Diccionario!$N:$N,MATCH(F224,Diccionario!$C:$C,0)),"")</f>
        <v/>
      </c>
    </row>
    <row r="213" ht="14.25" customHeight="1" s="52">
      <c r="A213" t="inlineStr">
        <is>
          <t>2025-12</t>
        </is>
      </c>
      <c r="B213" t="inlineStr">
        <is>
          <t>Colombia</t>
        </is>
      </c>
      <c r="C213" t="inlineStr">
        <is>
          <t>Coco Colombia</t>
        </is>
      </c>
      <c r="D213" t="inlineStr">
        <is>
          <t>COP</t>
        </is>
      </c>
      <c r="E213" t="inlineStr">
        <is>
          <t>Real</t>
        </is>
      </c>
      <c r="F213" t="inlineStr">
        <is>
          <t>gasto_area</t>
        </is>
      </c>
      <c r="H213" t="inlineStr">
        <is>
          <t>TI</t>
        </is>
      </c>
      <c r="I213" t="n">
        <v>272200000</v>
      </c>
      <c r="J213" t="inlineStr">
        <is>
          <t>COP</t>
        </is>
      </c>
      <c r="L213">
        <f>IFERROR(INDEX(Diccionario!$B:$B,MATCH(F225,Diccionario!$C:$C,0)),"")</f>
        <v/>
      </c>
      <c r="M213">
        <f>IFERROR(INDEX(Diccionario!$H:$H,MATCH(F225,Diccionario!$C:$C,0)),"")</f>
        <v/>
      </c>
      <c r="N213">
        <f>IFERROR(INDEX(Diccionario!$N:$N,MATCH(F225,Diccionario!$C:$C,0)),"")</f>
        <v/>
      </c>
    </row>
    <row r="214" ht="14.25" customHeight="1" s="52">
      <c r="A214" t="inlineStr">
        <is>
          <t>2025-12</t>
        </is>
      </c>
      <c r="B214" t="inlineStr">
        <is>
          <t>Colombia</t>
        </is>
      </c>
      <c r="C214" t="inlineStr">
        <is>
          <t>Coco Colombia</t>
        </is>
      </c>
      <c r="D214" t="inlineStr">
        <is>
          <t>COP</t>
        </is>
      </c>
      <c r="E214" t="inlineStr">
        <is>
          <t>Real</t>
        </is>
      </c>
      <c r="F214" t="inlineStr">
        <is>
          <t>gasto_area</t>
        </is>
      </c>
      <c r="H214" t="inlineStr">
        <is>
          <t>Proveedores</t>
        </is>
      </c>
      <c r="I214" t="n">
        <v>154700000</v>
      </c>
      <c r="J214" t="inlineStr">
        <is>
          <t>COP</t>
        </is>
      </c>
      <c r="L214">
        <f>IFERROR(INDEX(Diccionario!$B:$B,MATCH(F226,Diccionario!$C:$C,0)),"")</f>
        <v/>
      </c>
      <c r="M214">
        <f>IFERROR(INDEX(Diccionario!$H:$H,MATCH(F226,Diccionario!$C:$C,0)),"")</f>
        <v/>
      </c>
      <c r="N214">
        <f>IFERROR(INDEX(Diccionario!$N:$N,MATCH(F226,Diccionario!$C:$C,0)),"")</f>
        <v/>
      </c>
    </row>
    <row r="215" ht="14.25" customHeight="1" s="52">
      <c r="A215" t="inlineStr">
        <is>
          <t>2025-12</t>
        </is>
      </c>
      <c r="B215" t="inlineStr">
        <is>
          <t>Colombia</t>
        </is>
      </c>
      <c r="C215" t="inlineStr">
        <is>
          <t>Coco Colombia</t>
        </is>
      </c>
      <c r="D215" t="inlineStr">
        <is>
          <t>COP</t>
        </is>
      </c>
      <c r="E215" t="inlineStr">
        <is>
          <t>Real</t>
        </is>
      </c>
      <c r="F215" t="inlineStr">
        <is>
          <t>gasto_area</t>
        </is>
      </c>
      <c r="H215" t="inlineStr">
        <is>
          <t>Comercial</t>
        </is>
      </c>
      <c r="I215" t="n">
        <v>194800000</v>
      </c>
      <c r="J215" t="inlineStr">
        <is>
          <t>COP</t>
        </is>
      </c>
      <c r="L215">
        <f>IFERROR(INDEX(Diccionario!$B:$B,MATCH(F227,Diccionario!$C:$C,0)),"")</f>
        <v/>
      </c>
      <c r="M215">
        <f>IFERROR(INDEX(Diccionario!$H:$H,MATCH(F227,Diccionario!$C:$C,0)),"")</f>
        <v/>
      </c>
      <c r="N215">
        <f>IFERROR(INDEX(Diccionario!$N:$N,MATCH(F227,Diccionario!$C:$C,0)),"")</f>
        <v/>
      </c>
    </row>
    <row r="216" ht="14.25" customHeight="1" s="52">
      <c r="A216" t="inlineStr">
        <is>
          <t>2025-12</t>
        </is>
      </c>
      <c r="B216" t="inlineStr">
        <is>
          <t>Colombia</t>
        </is>
      </c>
      <c r="C216" t="inlineStr">
        <is>
          <t>Coco Colombia</t>
        </is>
      </c>
      <c r="D216" t="inlineStr">
        <is>
          <t>COP</t>
        </is>
      </c>
      <c r="E216" t="inlineStr">
        <is>
          <t>Real</t>
        </is>
      </c>
      <c r="F216" t="inlineStr">
        <is>
          <t>gasto_area</t>
        </is>
      </c>
      <c r="H216" t="inlineStr">
        <is>
          <t>Administración</t>
        </is>
      </c>
      <c r="I216" t="n">
        <v>83100000</v>
      </c>
      <c r="J216" t="inlineStr">
        <is>
          <t>COP</t>
        </is>
      </c>
      <c r="L216">
        <f>IFERROR(INDEX(Diccionario!$B:$B,MATCH(F228,Diccionario!$C:$C,0)),"")</f>
        <v/>
      </c>
      <c r="M216">
        <f>IFERROR(INDEX(Diccionario!$H:$H,MATCH(F228,Diccionario!$C:$C,0)),"")</f>
        <v/>
      </c>
      <c r="N216">
        <f>IFERROR(INDEX(Diccionario!$N:$N,MATCH(F228,Diccionario!$C:$C,0)),"")</f>
        <v/>
      </c>
    </row>
    <row r="217" ht="14.25" customHeight="1" s="52">
      <c r="A217" t="inlineStr">
        <is>
          <t>2026-01</t>
        </is>
      </c>
      <c r="B217" t="inlineStr">
        <is>
          <t>Colombia</t>
        </is>
      </c>
      <c r="C217" t="inlineStr">
        <is>
          <t>Coco Colombia</t>
        </is>
      </c>
      <c r="D217" t="inlineStr">
        <is>
          <t>COP</t>
        </is>
      </c>
      <c r="E217" t="inlineStr">
        <is>
          <t>Real</t>
        </is>
      </c>
      <c r="F217" t="inlineStr">
        <is>
          <t>gasto_area</t>
        </is>
      </c>
      <c r="H217" t="inlineStr">
        <is>
          <t>Financieros</t>
        </is>
      </c>
      <c r="I217" t="n">
        <v>7000000</v>
      </c>
      <c r="J217" t="inlineStr">
        <is>
          <t>COP</t>
        </is>
      </c>
      <c r="L217">
        <f>IFERROR(INDEX(Diccionario!$B:$B,MATCH(F229,Diccionario!$C:$C,0)),"")</f>
        <v/>
      </c>
      <c r="M217">
        <f>IFERROR(INDEX(Diccionario!$H:$H,MATCH(F229,Diccionario!$C:$C,0)),"")</f>
        <v/>
      </c>
      <c r="N217">
        <f>IFERROR(INDEX(Diccionario!$N:$N,MATCH(F229,Diccionario!$C:$C,0)),"")</f>
        <v/>
      </c>
    </row>
    <row r="218" ht="14.25" customHeight="1" s="52">
      <c r="A218" t="inlineStr">
        <is>
          <t>2026-01</t>
        </is>
      </c>
      <c r="B218" t="inlineStr">
        <is>
          <t>Colombia</t>
        </is>
      </c>
      <c r="C218" t="inlineStr">
        <is>
          <t>Coco Colombia</t>
        </is>
      </c>
      <c r="D218" t="inlineStr">
        <is>
          <t>COP</t>
        </is>
      </c>
      <c r="E218" t="inlineStr">
        <is>
          <t>Real</t>
        </is>
      </c>
      <c r="F218" t="inlineStr">
        <is>
          <t>gasto_area</t>
        </is>
      </c>
      <c r="H218" t="inlineStr">
        <is>
          <t>TI</t>
        </is>
      </c>
      <c r="I218" t="n">
        <v>244900000</v>
      </c>
      <c r="J218" t="inlineStr">
        <is>
          <t>COP</t>
        </is>
      </c>
      <c r="L218">
        <f>IFERROR(INDEX(Diccionario!$B:$B,MATCH(F230,Diccionario!$C:$C,0)),"")</f>
        <v/>
      </c>
      <c r="M218">
        <f>IFERROR(INDEX(Diccionario!$H:$H,MATCH(F230,Diccionario!$C:$C,0)),"")</f>
        <v/>
      </c>
      <c r="N218">
        <f>IFERROR(INDEX(Diccionario!$N:$N,MATCH(F230,Diccionario!$C:$C,0)),"")</f>
        <v/>
      </c>
    </row>
    <row r="219" ht="14.25" customHeight="1" s="52">
      <c r="A219" t="inlineStr">
        <is>
          <t>2026-01</t>
        </is>
      </c>
      <c r="B219" t="inlineStr">
        <is>
          <t>Colombia</t>
        </is>
      </c>
      <c r="C219" t="inlineStr">
        <is>
          <t>Coco Colombia</t>
        </is>
      </c>
      <c r="D219" t="inlineStr">
        <is>
          <t>COP</t>
        </is>
      </c>
      <c r="E219" t="inlineStr">
        <is>
          <t>Real</t>
        </is>
      </c>
      <c r="F219" t="inlineStr">
        <is>
          <t>gasto_area</t>
        </is>
      </c>
      <c r="H219" t="inlineStr">
        <is>
          <t>Proveedores</t>
        </is>
      </c>
      <c r="I219" t="n">
        <v>66900000</v>
      </c>
      <c r="J219" t="inlineStr">
        <is>
          <t>COP</t>
        </is>
      </c>
      <c r="L219">
        <f>IFERROR(INDEX(Diccionario!$B:$B,MATCH(F231,Diccionario!$C:$C,0)),"")</f>
        <v/>
      </c>
      <c r="M219">
        <f>IFERROR(INDEX(Diccionario!$H:$H,MATCH(F231,Diccionario!$C:$C,0)),"")</f>
        <v/>
      </c>
      <c r="N219">
        <f>IFERROR(INDEX(Diccionario!$N:$N,MATCH(F231,Diccionario!$C:$C,0)),"")</f>
        <v/>
      </c>
    </row>
    <row r="220" ht="14.25" customHeight="1" s="52">
      <c r="A220" t="inlineStr">
        <is>
          <t>2026-01</t>
        </is>
      </c>
      <c r="B220" t="inlineStr">
        <is>
          <t>Colombia</t>
        </is>
      </c>
      <c r="C220" t="inlineStr">
        <is>
          <t>Coco Colombia</t>
        </is>
      </c>
      <c r="D220" t="inlineStr">
        <is>
          <t>COP</t>
        </is>
      </c>
      <c r="E220" t="inlineStr">
        <is>
          <t>Real</t>
        </is>
      </c>
      <c r="F220" t="inlineStr">
        <is>
          <t>gasto_area</t>
        </is>
      </c>
      <c r="H220" t="inlineStr">
        <is>
          <t>Comercial</t>
        </is>
      </c>
      <c r="I220" t="n">
        <v>131600000</v>
      </c>
      <c r="J220" t="inlineStr">
        <is>
          <t>COP</t>
        </is>
      </c>
      <c r="L220">
        <f>IFERROR(INDEX(Diccionario!$B:$B,MATCH(F232,Diccionario!$C:$C,0)),"")</f>
        <v/>
      </c>
      <c r="M220">
        <f>IFERROR(INDEX(Diccionario!$H:$H,MATCH(F232,Diccionario!$C:$C,0)),"")</f>
        <v/>
      </c>
      <c r="N220">
        <f>IFERROR(INDEX(Diccionario!$N:$N,MATCH(F232,Diccionario!$C:$C,0)),"")</f>
        <v/>
      </c>
    </row>
    <row r="221" ht="14.25" customHeight="1" s="52">
      <c r="A221" t="inlineStr">
        <is>
          <t>2026-01</t>
        </is>
      </c>
      <c r="B221" t="inlineStr">
        <is>
          <t>Colombia</t>
        </is>
      </c>
      <c r="C221" t="inlineStr">
        <is>
          <t>Coco Colombia</t>
        </is>
      </c>
      <c r="D221" t="inlineStr">
        <is>
          <t>COP</t>
        </is>
      </c>
      <c r="E221" t="inlineStr">
        <is>
          <t>Real</t>
        </is>
      </c>
      <c r="F221" t="inlineStr">
        <is>
          <t>gasto_area</t>
        </is>
      </c>
      <c r="H221" t="inlineStr">
        <is>
          <t>Administración</t>
        </is>
      </c>
      <c r="I221" t="n">
        <v>98700000</v>
      </c>
      <c r="J221" t="inlineStr">
        <is>
          <t>COP</t>
        </is>
      </c>
      <c r="L221">
        <f>IFERROR(INDEX(Diccionario!$B:$B,MATCH(F233,Diccionario!$C:$C,0)),"")</f>
        <v/>
      </c>
      <c r="M221">
        <f>IFERROR(INDEX(Diccionario!$H:$H,MATCH(F233,Diccionario!$C:$C,0)),"")</f>
        <v/>
      </c>
      <c r="N221">
        <f>IFERROR(INDEX(Diccionario!$N:$N,MATCH(F233,Diccionario!$C:$C,0)),"")</f>
        <v/>
      </c>
    </row>
    <row r="222" ht="14.25" customHeight="1" s="52">
      <c r="A222" t="inlineStr">
        <is>
          <t>2026-02</t>
        </is>
      </c>
      <c r="B222" t="inlineStr">
        <is>
          <t>Colombia</t>
        </is>
      </c>
      <c r="C222" t="inlineStr">
        <is>
          <t>Coco Colombia</t>
        </is>
      </c>
      <c r="D222" t="inlineStr">
        <is>
          <t>COP</t>
        </is>
      </c>
      <c r="E222" t="inlineStr">
        <is>
          <t>Real</t>
        </is>
      </c>
      <c r="F222" t="inlineStr">
        <is>
          <t>gasto_area</t>
        </is>
      </c>
      <c r="H222" t="inlineStr">
        <is>
          <t>Financieros</t>
        </is>
      </c>
      <c r="I222" t="n">
        <v>5500000</v>
      </c>
      <c r="J222" t="inlineStr">
        <is>
          <t>COP</t>
        </is>
      </c>
      <c r="L222">
        <f>IFERROR(INDEX(Diccionario!$B:$B,MATCH(F234,Diccionario!$C:$C,0)),"")</f>
        <v/>
      </c>
      <c r="M222">
        <f>IFERROR(INDEX(Diccionario!$H:$H,MATCH(F234,Diccionario!$C:$C,0)),"")</f>
        <v/>
      </c>
      <c r="N222">
        <f>IFERROR(INDEX(Diccionario!$N:$N,MATCH(F234,Diccionario!$C:$C,0)),"")</f>
        <v/>
      </c>
    </row>
    <row r="223" ht="14.25" customHeight="1" s="52">
      <c r="A223" t="inlineStr">
        <is>
          <t>2026-02</t>
        </is>
      </c>
      <c r="B223" t="inlineStr">
        <is>
          <t>Colombia</t>
        </is>
      </c>
      <c r="C223" t="inlineStr">
        <is>
          <t>Coco Colombia</t>
        </is>
      </c>
      <c r="D223" t="inlineStr">
        <is>
          <t>COP</t>
        </is>
      </c>
      <c r="E223" t="inlineStr">
        <is>
          <t>Real</t>
        </is>
      </c>
      <c r="F223" t="inlineStr">
        <is>
          <t>gasto_area</t>
        </is>
      </c>
      <c r="H223" t="inlineStr">
        <is>
          <t>TI</t>
        </is>
      </c>
      <c r="I223" t="n">
        <v>241100000</v>
      </c>
      <c r="J223" t="inlineStr">
        <is>
          <t>COP</t>
        </is>
      </c>
      <c r="L223">
        <f>IFERROR(INDEX(Diccionario!$B:$B,MATCH(F235,Diccionario!$C:$C,0)),"")</f>
        <v/>
      </c>
      <c r="M223">
        <f>IFERROR(INDEX(Diccionario!$H:$H,MATCH(F235,Diccionario!$C:$C,0)),"")</f>
        <v/>
      </c>
      <c r="N223">
        <f>IFERROR(INDEX(Diccionario!$N:$N,MATCH(F235,Diccionario!$C:$C,0)),"")</f>
        <v/>
      </c>
    </row>
    <row r="224" ht="14.25" customHeight="1" s="52">
      <c r="A224" t="inlineStr">
        <is>
          <t>2026-02</t>
        </is>
      </c>
      <c r="B224" t="inlineStr">
        <is>
          <t>Colombia</t>
        </is>
      </c>
      <c r="C224" t="inlineStr">
        <is>
          <t>Coco Colombia</t>
        </is>
      </c>
      <c r="D224" t="inlineStr">
        <is>
          <t>COP</t>
        </is>
      </c>
      <c r="E224" t="inlineStr">
        <is>
          <t>Real</t>
        </is>
      </c>
      <c r="F224" t="inlineStr">
        <is>
          <t>gasto_area</t>
        </is>
      </c>
      <c r="H224" t="inlineStr">
        <is>
          <t>Proveedores</t>
        </is>
      </c>
      <c r="I224" t="n">
        <v>177700000</v>
      </c>
      <c r="J224" t="inlineStr">
        <is>
          <t>COP</t>
        </is>
      </c>
      <c r="L224">
        <f>IFERROR(INDEX(Diccionario!$B:$B,MATCH(F236,Diccionario!$C:$C,0)),"")</f>
        <v/>
      </c>
      <c r="M224">
        <f>IFERROR(INDEX(Diccionario!$H:$H,MATCH(F236,Diccionario!$C:$C,0)),"")</f>
        <v/>
      </c>
      <c r="N224">
        <f>IFERROR(INDEX(Diccionario!$N:$N,MATCH(F236,Diccionario!$C:$C,0)),"")</f>
        <v/>
      </c>
    </row>
    <row r="225" ht="14.25" customHeight="1" s="52">
      <c r="A225" t="inlineStr">
        <is>
          <t>2026-02</t>
        </is>
      </c>
      <c r="B225" t="inlineStr">
        <is>
          <t>Colombia</t>
        </is>
      </c>
      <c r="C225" t="inlineStr">
        <is>
          <t>Coco Colombia</t>
        </is>
      </c>
      <c r="D225" t="inlineStr">
        <is>
          <t>COP</t>
        </is>
      </c>
      <c r="E225" t="inlineStr">
        <is>
          <t>Real</t>
        </is>
      </c>
      <c r="F225" t="inlineStr">
        <is>
          <t>gasto_area</t>
        </is>
      </c>
      <c r="H225" t="inlineStr">
        <is>
          <t>Comercial</t>
        </is>
      </c>
      <c r="I225" t="n">
        <v>159500000</v>
      </c>
      <c r="J225" t="inlineStr">
        <is>
          <t>COP</t>
        </is>
      </c>
      <c r="L225">
        <f>IFERROR(INDEX(Diccionario!$B:$B,MATCH(F237,Diccionario!$C:$C,0)),"")</f>
        <v/>
      </c>
      <c r="M225">
        <f>IFERROR(INDEX(Diccionario!$H:$H,MATCH(F237,Diccionario!$C:$C,0)),"")</f>
        <v/>
      </c>
      <c r="N225">
        <f>IFERROR(INDEX(Diccionario!$N:$N,MATCH(F237,Diccionario!$C:$C,0)),"")</f>
        <v/>
      </c>
    </row>
    <row r="226" ht="14.25" customHeight="1" s="52">
      <c r="A226" t="inlineStr">
        <is>
          <t>2026-02</t>
        </is>
      </c>
      <c r="B226" t="inlineStr">
        <is>
          <t>Colombia</t>
        </is>
      </c>
      <c r="C226" t="inlineStr">
        <is>
          <t>Coco Colombia</t>
        </is>
      </c>
      <c r="D226" t="inlineStr">
        <is>
          <t>COP</t>
        </is>
      </c>
      <c r="E226" t="inlineStr">
        <is>
          <t>Real</t>
        </is>
      </c>
      <c r="F226" t="inlineStr">
        <is>
          <t>gasto_area</t>
        </is>
      </c>
      <c r="H226" t="inlineStr">
        <is>
          <t>Administración</t>
        </is>
      </c>
      <c r="I226" t="n">
        <v>105600000</v>
      </c>
      <c r="J226" t="inlineStr">
        <is>
          <t>COP</t>
        </is>
      </c>
      <c r="L226">
        <f>IFERROR(INDEX(Diccionario!$B:$B,MATCH(F238,Diccionario!$C:$C,0)),"")</f>
        <v/>
      </c>
      <c r="M226">
        <f>IFERROR(INDEX(Diccionario!$H:$H,MATCH(F238,Diccionario!$C:$C,0)),"")</f>
        <v/>
      </c>
      <c r="N226">
        <f>IFERROR(INDEX(Diccionario!$N:$N,MATCH(F238,Diccionario!$C:$C,0)),"")</f>
        <v/>
      </c>
    </row>
    <row r="227" ht="14.25" customHeight="1" s="52">
      <c r="A227" t="inlineStr">
        <is>
          <t>2026-03</t>
        </is>
      </c>
      <c r="B227" t="inlineStr">
        <is>
          <t>Colombia</t>
        </is>
      </c>
      <c r="C227" t="inlineStr">
        <is>
          <t>Coco Colombia</t>
        </is>
      </c>
      <c r="D227" t="inlineStr">
        <is>
          <t>COP</t>
        </is>
      </c>
      <c r="E227" t="inlineStr">
        <is>
          <t>Real</t>
        </is>
      </c>
      <c r="F227" t="inlineStr">
        <is>
          <t>gasto_area</t>
        </is>
      </c>
      <c r="H227" t="inlineStr">
        <is>
          <t>Financieros</t>
        </is>
      </c>
      <c r="I227" t="n">
        <v>5400000</v>
      </c>
      <c r="J227" t="inlineStr">
        <is>
          <t>COP</t>
        </is>
      </c>
      <c r="L227">
        <f>IFERROR(INDEX(Diccionario!$B:$B,MATCH(F239,Diccionario!$C:$C,0)),"")</f>
        <v/>
      </c>
      <c r="M227">
        <f>IFERROR(INDEX(Diccionario!$H:$H,MATCH(F239,Diccionario!$C:$C,0)),"")</f>
        <v/>
      </c>
      <c r="N227">
        <f>IFERROR(INDEX(Diccionario!$N:$N,MATCH(F239,Diccionario!$C:$C,0)),"")</f>
        <v/>
      </c>
    </row>
    <row r="228" ht="14.25" customHeight="1" s="52">
      <c r="A228" t="inlineStr">
        <is>
          <t>2026-03</t>
        </is>
      </c>
      <c r="B228" t="inlineStr">
        <is>
          <t>Colombia</t>
        </is>
      </c>
      <c r="C228" t="inlineStr">
        <is>
          <t>Coco Colombia</t>
        </is>
      </c>
      <c r="D228" t="inlineStr">
        <is>
          <t>COP</t>
        </is>
      </c>
      <c r="E228" t="inlineStr">
        <is>
          <t>Real</t>
        </is>
      </c>
      <c r="F228" t="inlineStr">
        <is>
          <t>gasto_area</t>
        </is>
      </c>
      <c r="H228" t="inlineStr">
        <is>
          <t>TI</t>
        </is>
      </c>
      <c r="I228" t="n">
        <v>248000000</v>
      </c>
      <c r="J228" t="inlineStr">
        <is>
          <t>COP</t>
        </is>
      </c>
      <c r="L228">
        <f>IFERROR(INDEX(Diccionario!$B:$B,MATCH(F240,Diccionario!$C:$C,0)),"")</f>
        <v/>
      </c>
      <c r="M228">
        <f>IFERROR(INDEX(Diccionario!$H:$H,MATCH(F240,Diccionario!$C:$C,0)),"")</f>
        <v/>
      </c>
      <c r="N228">
        <f>IFERROR(INDEX(Diccionario!$N:$N,MATCH(F240,Diccionario!$C:$C,0)),"")</f>
        <v/>
      </c>
    </row>
    <row r="229" ht="14.25" customHeight="1" s="52">
      <c r="A229" t="inlineStr">
        <is>
          <t>2026-03</t>
        </is>
      </c>
      <c r="B229" t="inlineStr">
        <is>
          <t>Colombia</t>
        </is>
      </c>
      <c r="C229" t="inlineStr">
        <is>
          <t>Coco Colombia</t>
        </is>
      </c>
      <c r="D229" t="inlineStr">
        <is>
          <t>COP</t>
        </is>
      </c>
      <c r="E229" t="inlineStr">
        <is>
          <t>Real</t>
        </is>
      </c>
      <c r="F229" t="inlineStr">
        <is>
          <t>gasto_area</t>
        </is>
      </c>
      <c r="H229" t="inlineStr">
        <is>
          <t>Proveedores</t>
        </is>
      </c>
      <c r="I229" t="n">
        <v>274600000</v>
      </c>
      <c r="J229" t="inlineStr">
        <is>
          <t>COP</t>
        </is>
      </c>
      <c r="L229">
        <f>IFERROR(INDEX(Diccionario!$B:$B,MATCH(F241,Diccionario!$C:$C,0)),"")</f>
        <v/>
      </c>
      <c r="M229">
        <f>IFERROR(INDEX(Diccionario!$H:$H,MATCH(F241,Diccionario!$C:$C,0)),"")</f>
        <v/>
      </c>
      <c r="N229">
        <f>IFERROR(INDEX(Diccionario!$N:$N,MATCH(F241,Diccionario!$C:$C,0)),"")</f>
        <v/>
      </c>
    </row>
    <row r="230" ht="14.25" customHeight="1" s="52">
      <c r="A230" t="inlineStr">
        <is>
          <t>2026-03</t>
        </is>
      </c>
      <c r="B230" t="inlineStr">
        <is>
          <t>Colombia</t>
        </is>
      </c>
      <c r="C230" t="inlineStr">
        <is>
          <t>Coco Colombia</t>
        </is>
      </c>
      <c r="D230" t="inlineStr">
        <is>
          <t>COP</t>
        </is>
      </c>
      <c r="E230" t="inlineStr">
        <is>
          <t>Real</t>
        </is>
      </c>
      <c r="F230" t="inlineStr">
        <is>
          <t>gasto_area</t>
        </is>
      </c>
      <c r="H230" t="inlineStr">
        <is>
          <t>Comercial</t>
        </is>
      </c>
      <c r="I230" t="n">
        <v>144000000</v>
      </c>
      <c r="J230" t="inlineStr">
        <is>
          <t>COP</t>
        </is>
      </c>
      <c r="L230">
        <f>IFERROR(INDEX(Diccionario!$B:$B,MATCH(F242,Diccionario!$C:$C,0)),"")</f>
        <v/>
      </c>
      <c r="M230">
        <f>IFERROR(INDEX(Diccionario!$H:$H,MATCH(F242,Diccionario!$C:$C,0)),"")</f>
        <v/>
      </c>
      <c r="N230">
        <f>IFERROR(INDEX(Diccionario!$N:$N,MATCH(F242,Diccionario!$C:$C,0)),"")</f>
        <v/>
      </c>
    </row>
    <row r="231" ht="14.25" customHeight="1" s="52">
      <c r="A231" t="inlineStr">
        <is>
          <t>2026-03</t>
        </is>
      </c>
      <c r="B231" t="inlineStr">
        <is>
          <t>Colombia</t>
        </is>
      </c>
      <c r="C231" t="inlineStr">
        <is>
          <t>Coco Colombia</t>
        </is>
      </c>
      <c r="D231" t="inlineStr">
        <is>
          <t>COP</t>
        </is>
      </c>
      <c r="E231" t="inlineStr">
        <is>
          <t>Real</t>
        </is>
      </c>
      <c r="F231" t="inlineStr">
        <is>
          <t>gasto_area</t>
        </is>
      </c>
      <c r="H231" t="inlineStr">
        <is>
          <t>Administración</t>
        </is>
      </c>
      <c r="I231" t="n">
        <v>134400000</v>
      </c>
      <c r="J231" t="inlineStr">
        <is>
          <t>COP</t>
        </is>
      </c>
      <c r="L231">
        <f>IFERROR(INDEX(Diccionario!$B:$B,MATCH(F243,Diccionario!$C:$C,0)),"")</f>
        <v/>
      </c>
      <c r="M231">
        <f>IFERROR(INDEX(Diccionario!$H:$H,MATCH(F243,Diccionario!$C:$C,0)),"")</f>
        <v/>
      </c>
      <c r="N231">
        <f>IFERROR(INDEX(Diccionario!$N:$N,MATCH(F243,Diccionario!$C:$C,0)),"")</f>
        <v/>
      </c>
    </row>
    <row r="232" ht="14.25" customHeight="1" s="52">
      <c r="A232" t="inlineStr">
        <is>
          <t>2026-04</t>
        </is>
      </c>
      <c r="B232" t="inlineStr">
        <is>
          <t>Colombia</t>
        </is>
      </c>
      <c r="C232" t="inlineStr">
        <is>
          <t>Coco Colombia</t>
        </is>
      </c>
      <c r="D232" t="inlineStr">
        <is>
          <t>COP</t>
        </is>
      </c>
      <c r="E232" t="inlineStr">
        <is>
          <t>Real</t>
        </is>
      </c>
      <c r="F232" t="inlineStr">
        <is>
          <t>gasto_area</t>
        </is>
      </c>
      <c r="H232" t="inlineStr">
        <is>
          <t>Financieros</t>
        </is>
      </c>
      <c r="I232" t="n">
        <v>5000000</v>
      </c>
      <c r="J232" t="inlineStr">
        <is>
          <t>COP</t>
        </is>
      </c>
      <c r="L232">
        <f>IFERROR(INDEX(Diccionario!$B:$B,MATCH(F244,Diccionario!$C:$C,0)),"")</f>
        <v/>
      </c>
      <c r="M232">
        <f>IFERROR(INDEX(Diccionario!$H:$H,MATCH(F244,Diccionario!$C:$C,0)),"")</f>
        <v/>
      </c>
      <c r="N232">
        <f>IFERROR(INDEX(Diccionario!$N:$N,MATCH(F244,Diccionario!$C:$C,0)),"")</f>
        <v/>
      </c>
    </row>
    <row r="233" ht="14.25" customHeight="1" s="52">
      <c r="A233" t="inlineStr">
        <is>
          <t>2026-04</t>
        </is>
      </c>
      <c r="B233" t="inlineStr">
        <is>
          <t>Colombia</t>
        </is>
      </c>
      <c r="C233" t="inlineStr">
        <is>
          <t>Coco Colombia</t>
        </is>
      </c>
      <c r="D233" t="inlineStr">
        <is>
          <t>COP</t>
        </is>
      </c>
      <c r="E233" t="inlineStr">
        <is>
          <t>Real</t>
        </is>
      </c>
      <c r="F233" t="inlineStr">
        <is>
          <t>gasto_area</t>
        </is>
      </c>
      <c r="H233" t="inlineStr">
        <is>
          <t>TI</t>
        </is>
      </c>
      <c r="I233" t="n">
        <v>311400000</v>
      </c>
      <c r="J233" t="inlineStr">
        <is>
          <t>COP</t>
        </is>
      </c>
      <c r="L233">
        <f>IFERROR(INDEX(Diccionario!$B:$B,MATCH(F245,Diccionario!$C:$C,0)),"")</f>
        <v/>
      </c>
      <c r="M233">
        <f>IFERROR(INDEX(Diccionario!$H:$H,MATCH(F245,Diccionario!$C:$C,0)),"")</f>
        <v/>
      </c>
      <c r="N233">
        <f>IFERROR(INDEX(Diccionario!$N:$N,MATCH(F245,Diccionario!$C:$C,0)),"")</f>
        <v/>
      </c>
    </row>
    <row r="234" ht="14.25" customHeight="1" s="52">
      <c r="A234" t="inlineStr">
        <is>
          <t>2026-04</t>
        </is>
      </c>
      <c r="B234" t="inlineStr">
        <is>
          <t>Colombia</t>
        </is>
      </c>
      <c r="C234" t="inlineStr">
        <is>
          <t>Coco Colombia</t>
        </is>
      </c>
      <c r="D234" t="inlineStr">
        <is>
          <t>COP</t>
        </is>
      </c>
      <c r="E234" t="inlineStr">
        <is>
          <t>Real</t>
        </is>
      </c>
      <c r="F234" t="inlineStr">
        <is>
          <t>gasto_area</t>
        </is>
      </c>
      <c r="H234" t="inlineStr">
        <is>
          <t>Proveedores</t>
        </is>
      </c>
      <c r="I234" t="n">
        <v>194000000</v>
      </c>
      <c r="J234" t="inlineStr">
        <is>
          <t>COP</t>
        </is>
      </c>
      <c r="L234">
        <f>IFERROR(INDEX(Diccionario!$B:$B,MATCH(F246,Diccionario!$C:$C,0)),"")</f>
        <v/>
      </c>
      <c r="M234">
        <f>IFERROR(INDEX(Diccionario!$H:$H,MATCH(F246,Diccionario!$C:$C,0)),"")</f>
        <v/>
      </c>
      <c r="N234">
        <f>IFERROR(INDEX(Diccionario!$N:$N,MATCH(F246,Diccionario!$C:$C,0)),"")</f>
        <v/>
      </c>
    </row>
    <row r="235" ht="14.25" customHeight="1" s="52">
      <c r="A235" t="inlineStr">
        <is>
          <t>2026-04</t>
        </is>
      </c>
      <c r="B235" t="inlineStr">
        <is>
          <t>Colombia</t>
        </is>
      </c>
      <c r="C235" t="inlineStr">
        <is>
          <t>Coco Colombia</t>
        </is>
      </c>
      <c r="D235" t="inlineStr">
        <is>
          <t>COP</t>
        </is>
      </c>
      <c r="E235" t="inlineStr">
        <is>
          <t>Real</t>
        </is>
      </c>
      <c r="F235" t="inlineStr">
        <is>
          <t>gasto_area</t>
        </is>
      </c>
      <c r="H235" t="inlineStr">
        <is>
          <t>Comercial</t>
        </is>
      </c>
      <c r="I235" t="n">
        <v>130200000</v>
      </c>
      <c r="J235" t="inlineStr">
        <is>
          <t>COP</t>
        </is>
      </c>
      <c r="L235">
        <f>IFERROR(INDEX(Diccionario!$B:$B,MATCH(F247,Diccionario!$C:$C,0)),"")</f>
        <v/>
      </c>
      <c r="M235">
        <f>IFERROR(INDEX(Diccionario!$H:$H,MATCH(F247,Diccionario!$C:$C,0)),"")</f>
        <v/>
      </c>
      <c r="N235">
        <f>IFERROR(INDEX(Diccionario!$N:$N,MATCH(F247,Diccionario!$C:$C,0)),"")</f>
        <v/>
      </c>
    </row>
    <row r="236" ht="14.25" customHeight="1" s="52">
      <c r="A236" t="inlineStr">
        <is>
          <t>2026-04</t>
        </is>
      </c>
      <c r="B236" t="inlineStr">
        <is>
          <t>Colombia</t>
        </is>
      </c>
      <c r="C236" t="inlineStr">
        <is>
          <t>Coco Colombia</t>
        </is>
      </c>
      <c r="D236" t="inlineStr">
        <is>
          <t>COP</t>
        </is>
      </c>
      <c r="E236" t="inlineStr">
        <is>
          <t>Real</t>
        </is>
      </c>
      <c r="F236" t="inlineStr">
        <is>
          <t>gasto_area</t>
        </is>
      </c>
      <c r="H236" t="inlineStr">
        <is>
          <t>Administración</t>
        </is>
      </c>
      <c r="I236" t="n">
        <v>114200000</v>
      </c>
      <c r="J236" t="inlineStr">
        <is>
          <t>COP</t>
        </is>
      </c>
      <c r="L236">
        <f>IFERROR(INDEX(Diccionario!$B:$B,MATCH(F248,Diccionario!$C:$C,0)),"")</f>
        <v/>
      </c>
      <c r="M236">
        <f>IFERROR(INDEX(Diccionario!$H:$H,MATCH(F248,Diccionario!$C:$C,0)),"")</f>
        <v/>
      </c>
      <c r="N236">
        <f>IFERROR(INDEX(Diccionario!$N:$N,MATCH(F248,Diccionario!$C:$C,0)),"")</f>
        <v/>
      </c>
    </row>
    <row r="237" ht="14.25" customHeight="1" s="52">
      <c r="A237" t="inlineStr">
        <is>
          <t>2026-05</t>
        </is>
      </c>
      <c r="B237" t="inlineStr">
        <is>
          <t>Colombia</t>
        </is>
      </c>
      <c r="C237" t="inlineStr">
        <is>
          <t>Coco Colombia</t>
        </is>
      </c>
      <c r="D237" t="inlineStr">
        <is>
          <t>COP</t>
        </is>
      </c>
      <c r="E237" t="inlineStr">
        <is>
          <t>Real</t>
        </is>
      </c>
      <c r="F237" t="inlineStr">
        <is>
          <t>gasto_area</t>
        </is>
      </c>
      <c r="H237" t="inlineStr">
        <is>
          <t>Financieros</t>
        </is>
      </c>
      <c r="I237" t="n">
        <v>6000000</v>
      </c>
      <c r="J237" t="inlineStr">
        <is>
          <t>COP</t>
        </is>
      </c>
      <c r="L237">
        <f>IFERROR(INDEX(Diccionario!$B:$B,MATCH(F249,Diccionario!$C:$C,0)),"")</f>
        <v/>
      </c>
      <c r="M237">
        <f>IFERROR(INDEX(Diccionario!$H:$H,MATCH(F249,Diccionario!$C:$C,0)),"")</f>
        <v/>
      </c>
      <c r="N237">
        <f>IFERROR(INDEX(Diccionario!$N:$N,MATCH(F249,Diccionario!$C:$C,0)),"")</f>
        <v/>
      </c>
    </row>
    <row r="238" ht="14.25" customHeight="1" s="52">
      <c r="A238" t="inlineStr">
        <is>
          <t>2026-05</t>
        </is>
      </c>
      <c r="B238" t="inlineStr">
        <is>
          <t>Colombia</t>
        </is>
      </c>
      <c r="C238" t="inlineStr">
        <is>
          <t>Coco Colombia</t>
        </is>
      </c>
      <c r="D238" t="inlineStr">
        <is>
          <t>COP</t>
        </is>
      </c>
      <c r="E238" t="inlineStr">
        <is>
          <t>Real</t>
        </is>
      </c>
      <c r="F238" t="inlineStr">
        <is>
          <t>gasto_area</t>
        </is>
      </c>
      <c r="H238" t="inlineStr">
        <is>
          <t>TI</t>
        </is>
      </c>
      <c r="I238" t="n">
        <v>289900000</v>
      </c>
      <c r="J238" t="inlineStr">
        <is>
          <t>COP</t>
        </is>
      </c>
      <c r="L238">
        <f>IFERROR(INDEX(Diccionario!$B:$B,MATCH(F250,Diccionario!$C:$C,0)),"")</f>
        <v/>
      </c>
      <c r="M238">
        <f>IFERROR(INDEX(Diccionario!$H:$H,MATCH(F250,Diccionario!$C:$C,0)),"")</f>
        <v/>
      </c>
      <c r="N238">
        <f>IFERROR(INDEX(Diccionario!$N:$N,MATCH(F250,Diccionario!$C:$C,0)),"")</f>
        <v/>
      </c>
    </row>
    <row r="239" ht="14.25" customHeight="1" s="52">
      <c r="A239" t="inlineStr">
        <is>
          <t>2026-05</t>
        </is>
      </c>
      <c r="B239" t="inlineStr">
        <is>
          <t>Colombia</t>
        </is>
      </c>
      <c r="C239" t="inlineStr">
        <is>
          <t>Coco Colombia</t>
        </is>
      </c>
      <c r="D239" t="inlineStr">
        <is>
          <t>COP</t>
        </is>
      </c>
      <c r="E239" t="inlineStr">
        <is>
          <t>Real</t>
        </is>
      </c>
      <c r="F239" t="inlineStr">
        <is>
          <t>gasto_area</t>
        </is>
      </c>
      <c r="H239" t="inlineStr">
        <is>
          <t>Proveedores</t>
        </is>
      </c>
      <c r="I239" t="n">
        <v>186500000</v>
      </c>
      <c r="J239" t="inlineStr">
        <is>
          <t>COP</t>
        </is>
      </c>
      <c r="L239">
        <f>IFERROR(INDEX(Diccionario!$B:$B,MATCH(F251,Diccionario!$C:$C,0)),"")</f>
        <v/>
      </c>
      <c r="M239">
        <f>IFERROR(INDEX(Diccionario!$H:$H,MATCH(F251,Diccionario!$C:$C,0)),"")</f>
        <v/>
      </c>
      <c r="N239">
        <f>IFERROR(INDEX(Diccionario!$N:$N,MATCH(F251,Diccionario!$C:$C,0)),"")</f>
        <v/>
      </c>
    </row>
    <row r="240" ht="14.25" customHeight="1" s="52">
      <c r="A240" t="inlineStr">
        <is>
          <t>2026-05</t>
        </is>
      </c>
      <c r="B240" t="inlineStr">
        <is>
          <t>Colombia</t>
        </is>
      </c>
      <c r="C240" t="inlineStr">
        <is>
          <t>Coco Colombia</t>
        </is>
      </c>
      <c r="D240" t="inlineStr">
        <is>
          <t>COP</t>
        </is>
      </c>
      <c r="E240" t="inlineStr">
        <is>
          <t>Real</t>
        </is>
      </c>
      <c r="F240" t="inlineStr">
        <is>
          <t>gasto_area</t>
        </is>
      </c>
      <c r="H240" t="inlineStr">
        <is>
          <t>Comercial</t>
        </is>
      </c>
      <c r="I240" t="n">
        <v>120200000</v>
      </c>
      <c r="J240" t="inlineStr">
        <is>
          <t>COP</t>
        </is>
      </c>
      <c r="L240">
        <f>IFERROR(INDEX(Diccionario!$B:$B,MATCH(F252,Diccionario!$C:$C,0)),"")</f>
        <v/>
      </c>
      <c r="M240">
        <f>IFERROR(INDEX(Diccionario!$H:$H,MATCH(F252,Diccionario!$C:$C,0)),"")</f>
        <v/>
      </c>
      <c r="N240">
        <f>IFERROR(INDEX(Diccionario!$N:$N,MATCH(F252,Diccionario!$C:$C,0)),"")</f>
        <v/>
      </c>
    </row>
    <row r="241" ht="14.25" customHeight="1" s="52">
      <c r="A241" t="inlineStr">
        <is>
          <t>2026-05</t>
        </is>
      </c>
      <c r="B241" t="inlineStr">
        <is>
          <t>Colombia</t>
        </is>
      </c>
      <c r="C241" t="inlineStr">
        <is>
          <t>Coco Colombia</t>
        </is>
      </c>
      <c r="D241" t="inlineStr">
        <is>
          <t>COP</t>
        </is>
      </c>
      <c r="E241" t="inlineStr">
        <is>
          <t>Real</t>
        </is>
      </c>
      <c r="F241" t="inlineStr">
        <is>
          <t>gasto_area</t>
        </is>
      </c>
      <c r="H241" t="inlineStr">
        <is>
          <t>Administración</t>
        </is>
      </c>
      <c r="I241" t="n">
        <v>116800000</v>
      </c>
      <c r="J241" t="inlineStr">
        <is>
          <t>COP</t>
        </is>
      </c>
      <c r="L241">
        <f>IFERROR(INDEX(Diccionario!$B:$B,MATCH(F253,Diccionario!$C:$C,0)),"")</f>
        <v/>
      </c>
      <c r="M241">
        <f>IFERROR(INDEX(Diccionario!$H:$H,MATCH(F253,Diccionario!$C:$C,0)),"")</f>
        <v/>
      </c>
      <c r="N241">
        <f>IFERROR(INDEX(Diccionario!$N:$N,MATCH(F253,Diccionario!$C:$C,0)),"")</f>
        <v/>
      </c>
    </row>
    <row r="242" ht="14.25" customHeight="1" s="52">
      <c r="A242" t="inlineStr">
        <is>
          <t>2024-01</t>
        </is>
      </c>
      <c r="B242" t="inlineStr">
        <is>
          <t>Colombia</t>
        </is>
      </c>
      <c r="C242" t="inlineStr">
        <is>
          <t>Coco Colombia</t>
        </is>
      </c>
      <c r="D242" t="inlineStr">
        <is>
          <t>COP</t>
        </is>
      </c>
      <c r="E242" t="inlineStr">
        <is>
          <t>Real</t>
        </is>
      </c>
      <c r="F242" t="inlineStr">
        <is>
          <t>gasto_admin</t>
        </is>
      </c>
      <c r="H242" t="inlineStr">
        <is>
          <t>Personal</t>
        </is>
      </c>
      <c r="I242" t="n">
        <v>43000000</v>
      </c>
      <c r="J242" t="inlineStr">
        <is>
          <t>COP</t>
        </is>
      </c>
      <c r="L242">
        <f>IFERROR(INDEX(Diccionario!$B:$B,MATCH(F254,Diccionario!$C:$C,0)),"")</f>
        <v/>
      </c>
      <c r="M242">
        <f>IFERROR(INDEX(Diccionario!$H:$H,MATCH(F254,Diccionario!$C:$C,0)),"")</f>
        <v/>
      </c>
      <c r="N242">
        <f>IFERROR(INDEX(Diccionario!$N:$N,MATCH(F254,Diccionario!$C:$C,0)),"")</f>
        <v/>
      </c>
    </row>
    <row r="243" ht="14.25" customHeight="1" s="52">
      <c r="A243" t="inlineStr">
        <is>
          <t>2024-01</t>
        </is>
      </c>
      <c r="B243" t="inlineStr">
        <is>
          <t>Colombia</t>
        </is>
      </c>
      <c r="C243" t="inlineStr">
        <is>
          <t>Coco Colombia</t>
        </is>
      </c>
      <c r="D243" t="inlineStr">
        <is>
          <t>COP</t>
        </is>
      </c>
      <c r="E243" t="inlineStr">
        <is>
          <t>Real</t>
        </is>
      </c>
      <c r="F243" t="inlineStr">
        <is>
          <t>gasto_admin</t>
        </is>
      </c>
      <c r="H243" t="inlineStr">
        <is>
          <t>Honorarios</t>
        </is>
      </c>
      <c r="I243" t="n">
        <v>14000000</v>
      </c>
      <c r="J243" t="inlineStr">
        <is>
          <t>COP</t>
        </is>
      </c>
      <c r="L243">
        <f>IFERROR(INDEX(Diccionario!$B:$B,MATCH(F255,Diccionario!$C:$C,0)),"")</f>
        <v/>
      </c>
      <c r="M243">
        <f>IFERROR(INDEX(Diccionario!$H:$H,MATCH(F255,Diccionario!$C:$C,0)),"")</f>
        <v/>
      </c>
      <c r="N243">
        <f>IFERROR(INDEX(Diccionario!$N:$N,MATCH(F255,Diccionario!$C:$C,0)),"")</f>
        <v/>
      </c>
    </row>
    <row r="244" ht="14.25" customHeight="1" s="52">
      <c r="A244" t="inlineStr">
        <is>
          <t>2024-01</t>
        </is>
      </c>
      <c r="B244" t="inlineStr">
        <is>
          <t>Colombia</t>
        </is>
      </c>
      <c r="C244" t="inlineStr">
        <is>
          <t>Coco Colombia</t>
        </is>
      </c>
      <c r="D244" t="inlineStr">
        <is>
          <t>COP</t>
        </is>
      </c>
      <c r="E244" t="inlineStr">
        <is>
          <t>Real</t>
        </is>
      </c>
      <c r="F244" t="inlineStr">
        <is>
          <t>gasto_admin</t>
        </is>
      </c>
      <c r="H244" t="inlineStr">
        <is>
          <t>Arrendamiento</t>
        </is>
      </c>
      <c r="I244" t="n">
        <v>22000000</v>
      </c>
      <c r="J244" t="inlineStr">
        <is>
          <t>COP</t>
        </is>
      </c>
      <c r="L244">
        <f>IFERROR(INDEX(Diccionario!$B:$B,MATCH(F256,Diccionario!$C:$C,0)),"")</f>
        <v/>
      </c>
      <c r="M244">
        <f>IFERROR(INDEX(Diccionario!$H:$H,MATCH(F256,Diccionario!$C:$C,0)),"")</f>
        <v/>
      </c>
      <c r="N244">
        <f>IFERROR(INDEX(Diccionario!$N:$N,MATCH(F256,Diccionario!$C:$C,0)),"")</f>
        <v/>
      </c>
    </row>
    <row r="245" ht="14.25" customHeight="1" s="52">
      <c r="A245" t="inlineStr">
        <is>
          <t>2024-01</t>
        </is>
      </c>
      <c r="B245" t="inlineStr">
        <is>
          <t>Colombia</t>
        </is>
      </c>
      <c r="C245" t="inlineStr">
        <is>
          <t>Coco Colombia</t>
        </is>
      </c>
      <c r="D245" t="inlineStr">
        <is>
          <t>COP</t>
        </is>
      </c>
      <c r="E245" t="inlineStr">
        <is>
          <t>Real</t>
        </is>
      </c>
      <c r="F245" t="inlineStr">
        <is>
          <t>gasto_admin</t>
        </is>
      </c>
      <c r="H245" t="inlineStr">
        <is>
          <t>Seguros</t>
        </is>
      </c>
      <c r="I245" t="n">
        <v>3000000</v>
      </c>
      <c r="J245" t="inlineStr">
        <is>
          <t>COP</t>
        </is>
      </c>
      <c r="L245">
        <f>IFERROR(INDEX(Diccionario!$B:$B,MATCH(F257,Diccionario!$C:$C,0)),"")</f>
        <v/>
      </c>
      <c r="M245">
        <f>IFERROR(INDEX(Diccionario!$H:$H,MATCH(F257,Diccionario!$C:$C,0)),"")</f>
        <v/>
      </c>
      <c r="N245">
        <f>IFERROR(INDEX(Diccionario!$N:$N,MATCH(F257,Diccionario!$C:$C,0)),"")</f>
        <v/>
      </c>
    </row>
    <row r="246" ht="14.25" customHeight="1" s="52">
      <c r="A246" t="inlineStr">
        <is>
          <t>2024-01</t>
        </is>
      </c>
      <c r="B246" t="inlineStr">
        <is>
          <t>Colombia</t>
        </is>
      </c>
      <c r="C246" t="inlineStr">
        <is>
          <t>Coco Colombia</t>
        </is>
      </c>
      <c r="D246" t="inlineStr">
        <is>
          <t>COP</t>
        </is>
      </c>
      <c r="E246" t="inlineStr">
        <is>
          <t>Real</t>
        </is>
      </c>
      <c r="F246" t="inlineStr">
        <is>
          <t>gasto_admin</t>
        </is>
      </c>
      <c r="H246" t="inlineStr">
        <is>
          <t>Servicios</t>
        </is>
      </c>
      <c r="I246" t="n">
        <v>6000000</v>
      </c>
      <c r="J246" t="inlineStr">
        <is>
          <t>COP</t>
        </is>
      </c>
      <c r="L246">
        <f>IFERROR(INDEX(Diccionario!$B:$B,MATCH(F258,Diccionario!$C:$C,0)),"")</f>
        <v/>
      </c>
      <c r="M246">
        <f>IFERROR(INDEX(Diccionario!$H:$H,MATCH(F258,Diccionario!$C:$C,0)),"")</f>
        <v/>
      </c>
      <c r="N246">
        <f>IFERROR(INDEX(Diccionario!$N:$N,MATCH(F258,Diccionario!$C:$C,0)),"")</f>
        <v/>
      </c>
    </row>
    <row r="247" ht="14.25" customHeight="1" s="52">
      <c r="A247" t="inlineStr">
        <is>
          <t>2024-01</t>
        </is>
      </c>
      <c r="B247" t="inlineStr">
        <is>
          <t>Colombia</t>
        </is>
      </c>
      <c r="C247" t="inlineStr">
        <is>
          <t>Coco Colombia</t>
        </is>
      </c>
      <c r="D247" t="inlineStr">
        <is>
          <t>COP</t>
        </is>
      </c>
      <c r="E247" t="inlineStr">
        <is>
          <t>Real</t>
        </is>
      </c>
      <c r="F247" t="inlineStr">
        <is>
          <t>gasto_admin</t>
        </is>
      </c>
      <c r="H247" t="inlineStr">
        <is>
          <t>Viajes</t>
        </is>
      </c>
      <c r="I247" t="n">
        <v>20000000</v>
      </c>
      <c r="J247" t="inlineStr">
        <is>
          <t>COP</t>
        </is>
      </c>
      <c r="L247">
        <f>IFERROR(INDEX(Diccionario!$B:$B,MATCH(F259,Diccionario!$C:$C,0)),"")</f>
        <v/>
      </c>
      <c r="M247">
        <f>IFERROR(INDEX(Diccionario!$H:$H,MATCH(F259,Diccionario!$C:$C,0)),"")</f>
        <v/>
      </c>
      <c r="N247">
        <f>IFERROR(INDEX(Diccionario!$N:$N,MATCH(F259,Diccionario!$C:$C,0)),"")</f>
        <v/>
      </c>
    </row>
    <row r="248" ht="14.25" customHeight="1" s="52">
      <c r="A248" t="inlineStr">
        <is>
          <t>2024-01</t>
        </is>
      </c>
      <c r="B248" t="inlineStr">
        <is>
          <t>Colombia</t>
        </is>
      </c>
      <c r="C248" t="inlineStr">
        <is>
          <t>Coco Colombia</t>
        </is>
      </c>
      <c r="D248" t="inlineStr">
        <is>
          <t>COP</t>
        </is>
      </c>
      <c r="E248" t="inlineStr">
        <is>
          <t>Real</t>
        </is>
      </c>
      <c r="F248" t="inlineStr">
        <is>
          <t>gasto_admin</t>
        </is>
      </c>
      <c r="H248" t="inlineStr">
        <is>
          <t>Diversos</t>
        </is>
      </c>
      <c r="I248" t="n">
        <v>3000000</v>
      </c>
      <c r="J248" t="inlineStr">
        <is>
          <t>COP</t>
        </is>
      </c>
      <c r="L248">
        <f>IFERROR(INDEX(Diccionario!$B:$B,MATCH(F260,Diccionario!$C:$C,0)),"")</f>
        <v/>
      </c>
      <c r="M248">
        <f>IFERROR(INDEX(Diccionario!$H:$H,MATCH(F260,Diccionario!$C:$C,0)),"")</f>
        <v/>
      </c>
      <c r="N248">
        <f>IFERROR(INDEX(Diccionario!$N:$N,MATCH(F260,Diccionario!$C:$C,0)),"")</f>
        <v/>
      </c>
    </row>
    <row r="249" ht="14.25" customHeight="1" s="52">
      <c r="A249" t="inlineStr">
        <is>
          <t>2024-02</t>
        </is>
      </c>
      <c r="B249" t="inlineStr">
        <is>
          <t>Colombia</t>
        </is>
      </c>
      <c r="C249" t="inlineStr">
        <is>
          <t>Coco Colombia</t>
        </is>
      </c>
      <c r="D249" t="inlineStr">
        <is>
          <t>COP</t>
        </is>
      </c>
      <c r="E249" t="inlineStr">
        <is>
          <t>Real</t>
        </is>
      </c>
      <c r="F249" t="inlineStr">
        <is>
          <t>gasto_admin</t>
        </is>
      </c>
      <c r="H249" t="inlineStr">
        <is>
          <t>Personal</t>
        </is>
      </c>
      <c r="I249" t="n">
        <v>44000000</v>
      </c>
      <c r="J249" t="inlineStr">
        <is>
          <t>COP</t>
        </is>
      </c>
      <c r="L249">
        <f>IFERROR(INDEX(Diccionario!$B:$B,MATCH(F261,Diccionario!$C:$C,0)),"")</f>
        <v/>
      </c>
      <c r="M249">
        <f>IFERROR(INDEX(Diccionario!$H:$H,MATCH(F261,Diccionario!$C:$C,0)),"")</f>
        <v/>
      </c>
      <c r="N249">
        <f>IFERROR(INDEX(Diccionario!$N:$N,MATCH(F261,Diccionario!$C:$C,0)),"")</f>
        <v/>
      </c>
    </row>
    <row r="250" ht="14.25" customHeight="1" s="52">
      <c r="A250" t="inlineStr">
        <is>
          <t>2024-02</t>
        </is>
      </c>
      <c r="B250" t="inlineStr">
        <is>
          <t>Colombia</t>
        </is>
      </c>
      <c r="C250" t="inlineStr">
        <is>
          <t>Coco Colombia</t>
        </is>
      </c>
      <c r="D250" t="inlineStr">
        <is>
          <t>COP</t>
        </is>
      </c>
      <c r="E250" t="inlineStr">
        <is>
          <t>Real</t>
        </is>
      </c>
      <c r="F250" t="inlineStr">
        <is>
          <t>gasto_admin</t>
        </is>
      </c>
      <c r="H250" t="inlineStr">
        <is>
          <t>Honorarios</t>
        </is>
      </c>
      <c r="I250" t="n">
        <v>16000000</v>
      </c>
      <c r="J250" t="inlineStr">
        <is>
          <t>COP</t>
        </is>
      </c>
      <c r="L250">
        <f>IFERROR(INDEX(Diccionario!$B:$B,MATCH(F262,Diccionario!$C:$C,0)),"")</f>
        <v/>
      </c>
      <c r="M250">
        <f>IFERROR(INDEX(Diccionario!$H:$H,MATCH(F262,Diccionario!$C:$C,0)),"")</f>
        <v/>
      </c>
      <c r="N250">
        <f>IFERROR(INDEX(Diccionario!$N:$N,MATCH(F262,Diccionario!$C:$C,0)),"")</f>
        <v/>
      </c>
    </row>
    <row r="251" ht="14.25" customHeight="1" s="52">
      <c r="A251" t="inlineStr">
        <is>
          <t>2024-02</t>
        </is>
      </c>
      <c r="B251" t="inlineStr">
        <is>
          <t>Colombia</t>
        </is>
      </c>
      <c r="C251" t="inlineStr">
        <is>
          <t>Coco Colombia</t>
        </is>
      </c>
      <c r="D251" t="inlineStr">
        <is>
          <t>COP</t>
        </is>
      </c>
      <c r="E251" t="inlineStr">
        <is>
          <t>Real</t>
        </is>
      </c>
      <c r="F251" t="inlineStr">
        <is>
          <t>gasto_admin</t>
        </is>
      </c>
      <c r="H251" t="inlineStr">
        <is>
          <t>Arrendamiento</t>
        </is>
      </c>
      <c r="I251" t="n">
        <v>22000000</v>
      </c>
      <c r="J251" t="inlineStr">
        <is>
          <t>COP</t>
        </is>
      </c>
      <c r="L251">
        <f>IFERROR(INDEX(Diccionario!$B:$B,MATCH(F263,Diccionario!$C:$C,0)),"")</f>
        <v/>
      </c>
      <c r="M251">
        <f>IFERROR(INDEX(Diccionario!$H:$H,MATCH(F263,Diccionario!$C:$C,0)),"")</f>
        <v/>
      </c>
      <c r="N251">
        <f>IFERROR(INDEX(Diccionario!$N:$N,MATCH(F263,Diccionario!$C:$C,0)),"")</f>
        <v/>
      </c>
    </row>
    <row r="252" ht="14.25" customHeight="1" s="52">
      <c r="A252" t="inlineStr">
        <is>
          <t>2024-02</t>
        </is>
      </c>
      <c r="B252" t="inlineStr">
        <is>
          <t>Colombia</t>
        </is>
      </c>
      <c r="C252" t="inlineStr">
        <is>
          <t>Coco Colombia</t>
        </is>
      </c>
      <c r="D252" t="inlineStr">
        <is>
          <t>COP</t>
        </is>
      </c>
      <c r="E252" t="inlineStr">
        <is>
          <t>Real</t>
        </is>
      </c>
      <c r="F252" t="inlineStr">
        <is>
          <t>gasto_admin</t>
        </is>
      </c>
      <c r="H252" t="inlineStr">
        <is>
          <t>Seguros</t>
        </is>
      </c>
      <c r="I252" t="n">
        <v>2000000</v>
      </c>
      <c r="J252" t="inlineStr">
        <is>
          <t>COP</t>
        </is>
      </c>
      <c r="L252">
        <f>IFERROR(INDEX(Diccionario!$B:$B,MATCH(F264,Diccionario!$C:$C,0)),"")</f>
        <v/>
      </c>
      <c r="M252">
        <f>IFERROR(INDEX(Diccionario!$H:$H,MATCH(F264,Diccionario!$C:$C,0)),"")</f>
        <v/>
      </c>
      <c r="N252">
        <f>IFERROR(INDEX(Diccionario!$N:$N,MATCH(F264,Diccionario!$C:$C,0)),"")</f>
        <v/>
      </c>
    </row>
    <row r="253" ht="14.25" customHeight="1" s="52">
      <c r="A253" t="inlineStr">
        <is>
          <t>2024-02</t>
        </is>
      </c>
      <c r="B253" t="inlineStr">
        <is>
          <t>Colombia</t>
        </is>
      </c>
      <c r="C253" t="inlineStr">
        <is>
          <t>Coco Colombia</t>
        </is>
      </c>
      <c r="D253" t="inlineStr">
        <is>
          <t>COP</t>
        </is>
      </c>
      <c r="E253" t="inlineStr">
        <is>
          <t>Real</t>
        </is>
      </c>
      <c r="F253" t="inlineStr">
        <is>
          <t>gasto_admin</t>
        </is>
      </c>
      <c r="H253" t="inlineStr">
        <is>
          <t>Servicios</t>
        </is>
      </c>
      <c r="I253" t="n">
        <v>6000000</v>
      </c>
      <c r="J253" t="inlineStr">
        <is>
          <t>COP</t>
        </is>
      </c>
      <c r="L253">
        <f>IFERROR(INDEX(Diccionario!$B:$B,MATCH(F265,Diccionario!$C:$C,0)),"")</f>
        <v/>
      </c>
      <c r="M253">
        <f>IFERROR(INDEX(Diccionario!$H:$H,MATCH(F265,Diccionario!$C:$C,0)),"")</f>
        <v/>
      </c>
      <c r="N253">
        <f>IFERROR(INDEX(Diccionario!$N:$N,MATCH(F265,Diccionario!$C:$C,0)),"")</f>
        <v/>
      </c>
    </row>
    <row r="254" ht="14.25" customHeight="1" s="52">
      <c r="A254" t="inlineStr">
        <is>
          <t>2024-02</t>
        </is>
      </c>
      <c r="B254" t="inlineStr">
        <is>
          <t>Colombia</t>
        </is>
      </c>
      <c r="C254" t="inlineStr">
        <is>
          <t>Coco Colombia</t>
        </is>
      </c>
      <c r="D254" t="inlineStr">
        <is>
          <t>COP</t>
        </is>
      </c>
      <c r="E254" t="inlineStr">
        <is>
          <t>Real</t>
        </is>
      </c>
      <c r="F254" t="inlineStr">
        <is>
          <t>gasto_admin</t>
        </is>
      </c>
      <c r="H254" t="inlineStr">
        <is>
          <t>Viajes</t>
        </is>
      </c>
      <c r="I254" t="n">
        <v>24000000</v>
      </c>
      <c r="J254" t="inlineStr">
        <is>
          <t>COP</t>
        </is>
      </c>
      <c r="L254">
        <f>IFERROR(INDEX(Diccionario!$B:$B,MATCH(F266,Diccionario!$C:$C,0)),"")</f>
        <v/>
      </c>
      <c r="M254">
        <f>IFERROR(INDEX(Diccionario!$H:$H,MATCH(F266,Diccionario!$C:$C,0)),"")</f>
        <v/>
      </c>
      <c r="N254">
        <f>IFERROR(INDEX(Diccionario!$N:$N,MATCH(F266,Diccionario!$C:$C,0)),"")</f>
        <v/>
      </c>
    </row>
    <row r="255" ht="14.25" customHeight="1" s="52">
      <c r="A255" t="inlineStr">
        <is>
          <t>2024-02</t>
        </is>
      </c>
      <c r="B255" t="inlineStr">
        <is>
          <t>Colombia</t>
        </is>
      </c>
      <c r="C255" t="inlineStr">
        <is>
          <t>Coco Colombia</t>
        </is>
      </c>
      <c r="D255" t="inlineStr">
        <is>
          <t>COP</t>
        </is>
      </c>
      <c r="E255" t="inlineStr">
        <is>
          <t>Real</t>
        </is>
      </c>
      <c r="F255" t="inlineStr">
        <is>
          <t>gasto_admin</t>
        </is>
      </c>
      <c r="H255" t="inlineStr">
        <is>
          <t>Diversos</t>
        </is>
      </c>
      <c r="I255" t="n">
        <v>2000000</v>
      </c>
      <c r="J255" t="inlineStr">
        <is>
          <t>COP</t>
        </is>
      </c>
      <c r="L255">
        <f>IFERROR(INDEX(Diccionario!$B:$B,MATCH(F267,Diccionario!$C:$C,0)),"")</f>
        <v/>
      </c>
      <c r="M255">
        <f>IFERROR(INDEX(Diccionario!$H:$H,MATCH(F267,Diccionario!$C:$C,0)),"")</f>
        <v/>
      </c>
      <c r="N255">
        <f>IFERROR(INDEX(Diccionario!$N:$N,MATCH(F267,Diccionario!$C:$C,0)),"")</f>
        <v/>
      </c>
    </row>
    <row r="256" ht="14.25" customHeight="1" s="52">
      <c r="A256" t="inlineStr">
        <is>
          <t>2024-03</t>
        </is>
      </c>
      <c r="B256" t="inlineStr">
        <is>
          <t>Colombia</t>
        </is>
      </c>
      <c r="C256" t="inlineStr">
        <is>
          <t>Coco Colombia</t>
        </is>
      </c>
      <c r="D256" t="inlineStr">
        <is>
          <t>COP</t>
        </is>
      </c>
      <c r="E256" t="inlineStr">
        <is>
          <t>Real</t>
        </is>
      </c>
      <c r="F256" t="inlineStr">
        <is>
          <t>gasto_admin</t>
        </is>
      </c>
      <c r="H256" t="inlineStr">
        <is>
          <t>Personal</t>
        </is>
      </c>
      <c r="I256" t="n">
        <v>69000000</v>
      </c>
      <c r="J256" t="inlineStr">
        <is>
          <t>COP</t>
        </is>
      </c>
      <c r="L256">
        <f>IFERROR(INDEX(Diccionario!$B:$B,MATCH(F268,Diccionario!$C:$C,0)),"")</f>
        <v/>
      </c>
      <c r="M256">
        <f>IFERROR(INDEX(Diccionario!$H:$H,MATCH(F268,Diccionario!$C:$C,0)),"")</f>
        <v/>
      </c>
      <c r="N256">
        <f>IFERROR(INDEX(Diccionario!$N:$N,MATCH(F268,Diccionario!$C:$C,0)),"")</f>
        <v/>
      </c>
    </row>
    <row r="257" ht="14.25" customHeight="1" s="52">
      <c r="A257" t="inlineStr">
        <is>
          <t>2024-03</t>
        </is>
      </c>
      <c r="B257" t="inlineStr">
        <is>
          <t>Colombia</t>
        </is>
      </c>
      <c r="C257" t="inlineStr">
        <is>
          <t>Coco Colombia</t>
        </is>
      </c>
      <c r="D257" t="inlineStr">
        <is>
          <t>COP</t>
        </is>
      </c>
      <c r="E257" t="inlineStr">
        <is>
          <t>Real</t>
        </is>
      </c>
      <c r="F257" t="inlineStr">
        <is>
          <t>gasto_admin</t>
        </is>
      </c>
      <c r="H257" t="inlineStr">
        <is>
          <t>Honorarios</t>
        </is>
      </c>
      <c r="I257" t="n">
        <v>18000000</v>
      </c>
      <c r="J257" t="inlineStr">
        <is>
          <t>COP</t>
        </is>
      </c>
      <c r="L257">
        <f>IFERROR(INDEX(Diccionario!$B:$B,MATCH(F269,Diccionario!$C:$C,0)),"")</f>
        <v/>
      </c>
      <c r="M257">
        <f>IFERROR(INDEX(Diccionario!$H:$H,MATCH(F269,Diccionario!$C:$C,0)),"")</f>
        <v/>
      </c>
      <c r="N257">
        <f>IFERROR(INDEX(Diccionario!$N:$N,MATCH(F269,Diccionario!$C:$C,0)),"")</f>
        <v/>
      </c>
    </row>
    <row r="258" ht="14.25" customHeight="1" s="52">
      <c r="A258" t="inlineStr">
        <is>
          <t>2024-03</t>
        </is>
      </c>
      <c r="B258" t="inlineStr">
        <is>
          <t>Colombia</t>
        </is>
      </c>
      <c r="C258" t="inlineStr">
        <is>
          <t>Coco Colombia</t>
        </is>
      </c>
      <c r="D258" t="inlineStr">
        <is>
          <t>COP</t>
        </is>
      </c>
      <c r="E258" t="inlineStr">
        <is>
          <t>Real</t>
        </is>
      </c>
      <c r="F258" t="inlineStr">
        <is>
          <t>gasto_admin</t>
        </is>
      </c>
      <c r="H258" t="inlineStr">
        <is>
          <t>Arrendamiento</t>
        </is>
      </c>
      <c r="I258" t="n">
        <v>19000000</v>
      </c>
      <c r="J258" t="inlineStr">
        <is>
          <t>COP</t>
        </is>
      </c>
      <c r="L258">
        <f>IFERROR(INDEX(Diccionario!$B:$B,MATCH(F270,Diccionario!$C:$C,0)),"")</f>
        <v/>
      </c>
      <c r="M258">
        <f>IFERROR(INDEX(Diccionario!$H:$H,MATCH(F270,Diccionario!$C:$C,0)),"")</f>
        <v/>
      </c>
      <c r="N258">
        <f>IFERROR(INDEX(Diccionario!$N:$N,MATCH(F270,Diccionario!$C:$C,0)),"")</f>
        <v/>
      </c>
    </row>
    <row r="259" ht="14.25" customHeight="1" s="52">
      <c r="A259" t="inlineStr">
        <is>
          <t>2024-03</t>
        </is>
      </c>
      <c r="B259" t="inlineStr">
        <is>
          <t>Colombia</t>
        </is>
      </c>
      <c r="C259" t="inlineStr">
        <is>
          <t>Coco Colombia</t>
        </is>
      </c>
      <c r="D259" t="inlineStr">
        <is>
          <t>COP</t>
        </is>
      </c>
      <c r="E259" t="inlineStr">
        <is>
          <t>Real</t>
        </is>
      </c>
      <c r="F259" t="inlineStr">
        <is>
          <t>gasto_admin</t>
        </is>
      </c>
      <c r="H259" t="inlineStr">
        <is>
          <t>Seguros</t>
        </is>
      </c>
      <c r="I259" t="n">
        <v>2000000</v>
      </c>
      <c r="J259" t="inlineStr">
        <is>
          <t>COP</t>
        </is>
      </c>
      <c r="L259">
        <f>IFERROR(INDEX(Diccionario!$B:$B,MATCH(F271,Diccionario!$C:$C,0)),"")</f>
        <v/>
      </c>
      <c r="M259">
        <f>IFERROR(INDEX(Diccionario!$H:$H,MATCH(F271,Diccionario!$C:$C,0)),"")</f>
        <v/>
      </c>
      <c r="N259">
        <f>IFERROR(INDEX(Diccionario!$N:$N,MATCH(F271,Diccionario!$C:$C,0)),"")</f>
        <v/>
      </c>
    </row>
    <row r="260" ht="14.25" customHeight="1" s="52">
      <c r="A260" t="inlineStr">
        <is>
          <t>2024-03</t>
        </is>
      </c>
      <c r="B260" t="inlineStr">
        <is>
          <t>Colombia</t>
        </is>
      </c>
      <c r="C260" t="inlineStr">
        <is>
          <t>Coco Colombia</t>
        </is>
      </c>
      <c r="D260" t="inlineStr">
        <is>
          <t>COP</t>
        </is>
      </c>
      <c r="E260" t="inlineStr">
        <is>
          <t>Real</t>
        </is>
      </c>
      <c r="F260" t="inlineStr">
        <is>
          <t>gasto_admin</t>
        </is>
      </c>
      <c r="H260" t="inlineStr">
        <is>
          <t>Servicios</t>
        </is>
      </c>
      <c r="I260" t="n">
        <v>1000000</v>
      </c>
      <c r="J260" t="inlineStr">
        <is>
          <t>COP</t>
        </is>
      </c>
      <c r="L260">
        <f>IFERROR(INDEX(Diccionario!$B:$B,MATCH(F272,Diccionario!$C:$C,0)),"")</f>
        <v/>
      </c>
      <c r="M260">
        <f>IFERROR(INDEX(Diccionario!$H:$H,MATCH(F272,Diccionario!$C:$C,0)),"")</f>
        <v/>
      </c>
      <c r="N260">
        <f>IFERROR(INDEX(Diccionario!$N:$N,MATCH(F272,Diccionario!$C:$C,0)),"")</f>
        <v/>
      </c>
    </row>
    <row r="261" ht="14.25" customHeight="1" s="52">
      <c r="A261" t="inlineStr">
        <is>
          <t>2024-03</t>
        </is>
      </c>
      <c r="B261" t="inlineStr">
        <is>
          <t>Colombia</t>
        </is>
      </c>
      <c r="C261" t="inlineStr">
        <is>
          <t>Coco Colombia</t>
        </is>
      </c>
      <c r="D261" t="inlineStr">
        <is>
          <t>COP</t>
        </is>
      </c>
      <c r="E261" t="inlineStr">
        <is>
          <t>Real</t>
        </is>
      </c>
      <c r="F261" t="inlineStr">
        <is>
          <t>gasto_admin</t>
        </is>
      </c>
      <c r="H261" t="inlineStr">
        <is>
          <t>Viajes</t>
        </is>
      </c>
      <c r="I261" t="n">
        <v>7000000</v>
      </c>
      <c r="J261" t="inlineStr">
        <is>
          <t>COP</t>
        </is>
      </c>
      <c r="L261">
        <f>IFERROR(INDEX(Diccionario!$B:$B,MATCH(F273,Diccionario!$C:$C,0)),"")</f>
        <v/>
      </c>
      <c r="M261">
        <f>IFERROR(INDEX(Diccionario!$H:$H,MATCH(F273,Diccionario!$C:$C,0)),"")</f>
        <v/>
      </c>
      <c r="N261">
        <f>IFERROR(INDEX(Diccionario!$N:$N,MATCH(F273,Diccionario!$C:$C,0)),"")</f>
        <v/>
      </c>
    </row>
    <row r="262" ht="14.25" customHeight="1" s="52">
      <c r="A262" t="inlineStr">
        <is>
          <t>2024-03</t>
        </is>
      </c>
      <c r="B262" t="inlineStr">
        <is>
          <t>Colombia</t>
        </is>
      </c>
      <c r="C262" t="inlineStr">
        <is>
          <t>Coco Colombia</t>
        </is>
      </c>
      <c r="D262" t="inlineStr">
        <is>
          <t>COP</t>
        </is>
      </c>
      <c r="E262" t="inlineStr">
        <is>
          <t>Real</t>
        </is>
      </c>
      <c r="F262" t="inlineStr">
        <is>
          <t>gasto_admin</t>
        </is>
      </c>
      <c r="H262" t="inlineStr">
        <is>
          <t>Diversos</t>
        </is>
      </c>
      <c r="I262" t="n">
        <v>6000000</v>
      </c>
      <c r="J262" t="inlineStr">
        <is>
          <t>COP</t>
        </is>
      </c>
      <c r="L262">
        <f>IFERROR(INDEX(Diccionario!$B:$B,MATCH(F274,Diccionario!$C:$C,0)),"")</f>
        <v/>
      </c>
      <c r="M262">
        <f>IFERROR(INDEX(Diccionario!$H:$H,MATCH(F274,Diccionario!$C:$C,0)),"")</f>
        <v/>
      </c>
      <c r="N262">
        <f>IFERROR(INDEX(Diccionario!$N:$N,MATCH(F274,Diccionario!$C:$C,0)),"")</f>
        <v/>
      </c>
    </row>
    <row r="263" ht="14.25" customHeight="1" s="52">
      <c r="A263" t="inlineStr">
        <is>
          <t>2024-04</t>
        </is>
      </c>
      <c r="B263" t="inlineStr">
        <is>
          <t>Colombia</t>
        </is>
      </c>
      <c r="C263" t="inlineStr">
        <is>
          <t>Coco Colombia</t>
        </is>
      </c>
      <c r="D263" t="inlineStr">
        <is>
          <t>COP</t>
        </is>
      </c>
      <c r="E263" t="inlineStr">
        <is>
          <t>Real</t>
        </is>
      </c>
      <c r="F263" t="inlineStr">
        <is>
          <t>gasto_admin</t>
        </is>
      </c>
      <c r="H263" t="inlineStr">
        <is>
          <t>Personal</t>
        </is>
      </c>
      <c r="I263" t="n">
        <v>48000000</v>
      </c>
      <c r="J263" t="inlineStr">
        <is>
          <t>COP</t>
        </is>
      </c>
      <c r="L263">
        <f>IFERROR(INDEX(Diccionario!$B:$B,MATCH(F275,Diccionario!$C:$C,0)),"")</f>
        <v/>
      </c>
      <c r="M263">
        <f>IFERROR(INDEX(Diccionario!$H:$H,MATCH(F275,Diccionario!$C:$C,0)),"")</f>
        <v/>
      </c>
      <c r="N263">
        <f>IFERROR(INDEX(Diccionario!$N:$N,MATCH(F275,Diccionario!$C:$C,0)),"")</f>
        <v/>
      </c>
    </row>
    <row r="264" ht="14.25" customHeight="1" s="52">
      <c r="A264" t="inlineStr">
        <is>
          <t>2024-04</t>
        </is>
      </c>
      <c r="B264" t="inlineStr">
        <is>
          <t>Colombia</t>
        </is>
      </c>
      <c r="C264" t="inlineStr">
        <is>
          <t>Coco Colombia</t>
        </is>
      </c>
      <c r="D264" t="inlineStr">
        <is>
          <t>COP</t>
        </is>
      </c>
      <c r="E264" t="inlineStr">
        <is>
          <t>Real</t>
        </is>
      </c>
      <c r="F264" t="inlineStr">
        <is>
          <t>gasto_admin</t>
        </is>
      </c>
      <c r="H264" t="inlineStr">
        <is>
          <t>Honorarios</t>
        </is>
      </c>
      <c r="I264" t="n">
        <v>6000000</v>
      </c>
      <c r="J264" t="inlineStr">
        <is>
          <t>COP</t>
        </is>
      </c>
      <c r="L264">
        <f>IFERROR(INDEX(Diccionario!$B:$B,MATCH(F276,Diccionario!$C:$C,0)),"")</f>
        <v/>
      </c>
      <c r="M264">
        <f>IFERROR(INDEX(Diccionario!$H:$H,MATCH(F276,Diccionario!$C:$C,0)),"")</f>
        <v/>
      </c>
      <c r="N264">
        <f>IFERROR(INDEX(Diccionario!$N:$N,MATCH(F276,Diccionario!$C:$C,0)),"")</f>
        <v/>
      </c>
    </row>
    <row r="265" ht="14.25" customHeight="1" s="52">
      <c r="A265" t="inlineStr">
        <is>
          <t>2024-04</t>
        </is>
      </c>
      <c r="B265" t="inlineStr">
        <is>
          <t>Colombia</t>
        </is>
      </c>
      <c r="C265" t="inlineStr">
        <is>
          <t>Coco Colombia</t>
        </is>
      </c>
      <c r="D265" t="inlineStr">
        <is>
          <t>COP</t>
        </is>
      </c>
      <c r="E265" t="inlineStr">
        <is>
          <t>Real</t>
        </is>
      </c>
      <c r="F265" t="inlineStr">
        <is>
          <t>gasto_admin</t>
        </is>
      </c>
      <c r="H265" t="inlineStr">
        <is>
          <t>Arrendamiento</t>
        </is>
      </c>
      <c r="I265" t="n">
        <v>22000000</v>
      </c>
      <c r="J265" t="inlineStr">
        <is>
          <t>COP</t>
        </is>
      </c>
      <c r="L265">
        <f>IFERROR(INDEX(Diccionario!$B:$B,MATCH(F277,Diccionario!$C:$C,0)),"")</f>
        <v/>
      </c>
      <c r="M265">
        <f>IFERROR(INDEX(Diccionario!$H:$H,MATCH(F277,Diccionario!$C:$C,0)),"")</f>
        <v/>
      </c>
      <c r="N265">
        <f>IFERROR(INDEX(Diccionario!$N:$N,MATCH(F277,Diccionario!$C:$C,0)),"")</f>
        <v/>
      </c>
    </row>
    <row r="266" ht="14.25" customHeight="1" s="52">
      <c r="A266" t="inlineStr">
        <is>
          <t>2024-04</t>
        </is>
      </c>
      <c r="B266" t="inlineStr">
        <is>
          <t>Colombia</t>
        </is>
      </c>
      <c r="C266" t="inlineStr">
        <is>
          <t>Coco Colombia</t>
        </is>
      </c>
      <c r="D266" t="inlineStr">
        <is>
          <t>COP</t>
        </is>
      </c>
      <c r="E266" t="inlineStr">
        <is>
          <t>Real</t>
        </is>
      </c>
      <c r="F266" t="inlineStr">
        <is>
          <t>gasto_admin</t>
        </is>
      </c>
      <c r="H266" t="inlineStr">
        <is>
          <t>Seguros</t>
        </is>
      </c>
      <c r="I266" t="n">
        <v>5000000</v>
      </c>
      <c r="J266" t="inlineStr">
        <is>
          <t>COP</t>
        </is>
      </c>
      <c r="L266">
        <f>IFERROR(INDEX(Diccionario!$B:$B,MATCH(F278,Diccionario!$C:$C,0)),"")</f>
        <v/>
      </c>
      <c r="M266">
        <f>IFERROR(INDEX(Diccionario!$H:$H,MATCH(F278,Diccionario!$C:$C,0)),"")</f>
        <v/>
      </c>
      <c r="N266">
        <f>IFERROR(INDEX(Diccionario!$N:$N,MATCH(F278,Diccionario!$C:$C,0)),"")</f>
        <v/>
      </c>
    </row>
    <row r="267" ht="14.25" customHeight="1" s="52">
      <c r="A267" t="inlineStr">
        <is>
          <t>2024-04</t>
        </is>
      </c>
      <c r="B267" t="inlineStr">
        <is>
          <t>Colombia</t>
        </is>
      </c>
      <c r="C267" t="inlineStr">
        <is>
          <t>Coco Colombia</t>
        </is>
      </c>
      <c r="D267" t="inlineStr">
        <is>
          <t>COP</t>
        </is>
      </c>
      <c r="E267" t="inlineStr">
        <is>
          <t>Real</t>
        </is>
      </c>
      <c r="F267" t="inlineStr">
        <is>
          <t>gasto_admin</t>
        </is>
      </c>
      <c r="H267" t="inlineStr">
        <is>
          <t>Servicios</t>
        </is>
      </c>
      <c r="I267" t="n">
        <v>7000000</v>
      </c>
      <c r="J267" t="inlineStr">
        <is>
          <t>COP</t>
        </is>
      </c>
      <c r="L267">
        <f>IFERROR(INDEX(Diccionario!$B:$B,MATCH(F279,Diccionario!$C:$C,0)),"")</f>
        <v/>
      </c>
      <c r="M267">
        <f>IFERROR(INDEX(Diccionario!$H:$H,MATCH(F279,Diccionario!$C:$C,0)),"")</f>
        <v/>
      </c>
      <c r="N267">
        <f>IFERROR(INDEX(Diccionario!$N:$N,MATCH(F279,Diccionario!$C:$C,0)),"")</f>
        <v/>
      </c>
    </row>
    <row r="268" ht="14.25" customHeight="1" s="52">
      <c r="A268" t="inlineStr">
        <is>
          <t>2024-04</t>
        </is>
      </c>
      <c r="B268" t="inlineStr">
        <is>
          <t>Colombia</t>
        </is>
      </c>
      <c r="C268" t="inlineStr">
        <is>
          <t>Coco Colombia</t>
        </is>
      </c>
      <c r="D268" t="inlineStr">
        <is>
          <t>COP</t>
        </is>
      </c>
      <c r="E268" t="inlineStr">
        <is>
          <t>Real</t>
        </is>
      </c>
      <c r="F268" t="inlineStr">
        <is>
          <t>gasto_admin</t>
        </is>
      </c>
      <c r="H268" t="inlineStr">
        <is>
          <t>Viajes</t>
        </is>
      </c>
      <c r="I268" t="n">
        <v>4000000</v>
      </c>
      <c r="J268" t="inlineStr">
        <is>
          <t>COP</t>
        </is>
      </c>
      <c r="L268">
        <f>IFERROR(INDEX(Diccionario!$B:$B,MATCH(F280,Diccionario!$C:$C,0)),"")</f>
        <v/>
      </c>
      <c r="M268">
        <f>IFERROR(INDEX(Diccionario!$H:$H,MATCH(F280,Diccionario!$C:$C,0)),"")</f>
        <v/>
      </c>
      <c r="N268">
        <f>IFERROR(INDEX(Diccionario!$N:$N,MATCH(F280,Diccionario!$C:$C,0)),"")</f>
        <v/>
      </c>
    </row>
    <row r="269" ht="14.25" customHeight="1" s="52">
      <c r="A269" t="inlineStr">
        <is>
          <t>2024-04</t>
        </is>
      </c>
      <c r="B269" t="inlineStr">
        <is>
          <t>Colombia</t>
        </is>
      </c>
      <c r="C269" t="inlineStr">
        <is>
          <t>Coco Colombia</t>
        </is>
      </c>
      <c r="D269" t="inlineStr">
        <is>
          <t>COP</t>
        </is>
      </c>
      <c r="E269" t="inlineStr">
        <is>
          <t>Real</t>
        </is>
      </c>
      <c r="F269" t="inlineStr">
        <is>
          <t>gasto_admin</t>
        </is>
      </c>
      <c r="H269" t="inlineStr">
        <is>
          <t>Diversos</t>
        </is>
      </c>
      <c r="I269" t="n">
        <v>2000000</v>
      </c>
      <c r="J269" t="inlineStr">
        <is>
          <t>COP</t>
        </is>
      </c>
      <c r="L269">
        <f>IFERROR(INDEX(Diccionario!$B:$B,MATCH(F281,Diccionario!$C:$C,0)),"")</f>
        <v/>
      </c>
      <c r="M269">
        <f>IFERROR(INDEX(Diccionario!$H:$H,MATCH(F281,Diccionario!$C:$C,0)),"")</f>
        <v/>
      </c>
      <c r="N269">
        <f>IFERROR(INDEX(Diccionario!$N:$N,MATCH(F281,Diccionario!$C:$C,0)),"")</f>
        <v/>
      </c>
    </row>
    <row r="270" ht="14.25" customHeight="1" s="52">
      <c r="A270" t="inlineStr">
        <is>
          <t>2024-05</t>
        </is>
      </c>
      <c r="B270" t="inlineStr">
        <is>
          <t>Colombia</t>
        </is>
      </c>
      <c r="C270" t="inlineStr">
        <is>
          <t>Coco Colombia</t>
        </is>
      </c>
      <c r="D270" t="inlineStr">
        <is>
          <t>COP</t>
        </is>
      </c>
      <c r="E270" t="inlineStr">
        <is>
          <t>Real</t>
        </is>
      </c>
      <c r="F270" t="inlineStr">
        <is>
          <t>gasto_admin</t>
        </is>
      </c>
      <c r="H270" t="inlineStr">
        <is>
          <t>Personal</t>
        </is>
      </c>
      <c r="I270" t="n">
        <v>46000000</v>
      </c>
      <c r="J270" t="inlineStr">
        <is>
          <t>COP</t>
        </is>
      </c>
      <c r="L270">
        <f>IFERROR(INDEX(Diccionario!$B:$B,MATCH(F282,Diccionario!$C:$C,0)),"")</f>
        <v/>
      </c>
      <c r="M270">
        <f>IFERROR(INDEX(Diccionario!$H:$H,MATCH(F282,Diccionario!$C:$C,0)),"")</f>
        <v/>
      </c>
      <c r="N270">
        <f>IFERROR(INDEX(Diccionario!$N:$N,MATCH(F282,Diccionario!$C:$C,0)),"")</f>
        <v/>
      </c>
    </row>
    <row r="271" ht="14.25" customHeight="1" s="52">
      <c r="A271" t="inlineStr">
        <is>
          <t>2024-05</t>
        </is>
      </c>
      <c r="B271" t="inlineStr">
        <is>
          <t>Colombia</t>
        </is>
      </c>
      <c r="C271" t="inlineStr">
        <is>
          <t>Coco Colombia</t>
        </is>
      </c>
      <c r="D271" t="inlineStr">
        <is>
          <t>COP</t>
        </is>
      </c>
      <c r="E271" t="inlineStr">
        <is>
          <t>Real</t>
        </is>
      </c>
      <c r="F271" t="inlineStr">
        <is>
          <t>gasto_admin</t>
        </is>
      </c>
      <c r="H271" t="inlineStr">
        <is>
          <t>Honorarios</t>
        </is>
      </c>
      <c r="I271" t="n">
        <v>13000000</v>
      </c>
      <c r="J271" t="inlineStr">
        <is>
          <t>COP</t>
        </is>
      </c>
      <c r="L271">
        <f>IFERROR(INDEX(Diccionario!$B:$B,MATCH(F283,Diccionario!$C:$C,0)),"")</f>
        <v/>
      </c>
      <c r="M271">
        <f>IFERROR(INDEX(Diccionario!$H:$H,MATCH(F283,Diccionario!$C:$C,0)),"")</f>
        <v/>
      </c>
      <c r="N271">
        <f>IFERROR(INDEX(Diccionario!$N:$N,MATCH(F283,Diccionario!$C:$C,0)),"")</f>
        <v/>
      </c>
    </row>
    <row r="272" ht="14.25" customHeight="1" s="52">
      <c r="A272" t="inlineStr">
        <is>
          <t>2024-05</t>
        </is>
      </c>
      <c r="B272" t="inlineStr">
        <is>
          <t>Colombia</t>
        </is>
      </c>
      <c r="C272" t="inlineStr">
        <is>
          <t>Coco Colombia</t>
        </is>
      </c>
      <c r="D272" t="inlineStr">
        <is>
          <t>COP</t>
        </is>
      </c>
      <c r="E272" t="inlineStr">
        <is>
          <t>Real</t>
        </is>
      </c>
      <c r="F272" t="inlineStr">
        <is>
          <t>gasto_admin</t>
        </is>
      </c>
      <c r="H272" t="inlineStr">
        <is>
          <t>Arrendamiento</t>
        </is>
      </c>
      <c r="I272" t="n">
        <v>23000000</v>
      </c>
      <c r="J272" t="inlineStr">
        <is>
          <t>COP</t>
        </is>
      </c>
      <c r="L272">
        <f>IFERROR(INDEX(Diccionario!$B:$B,MATCH(F284,Diccionario!$C:$C,0)),"")</f>
        <v/>
      </c>
      <c r="M272">
        <f>IFERROR(INDEX(Diccionario!$H:$H,MATCH(F284,Diccionario!$C:$C,0)),"")</f>
        <v/>
      </c>
      <c r="N272">
        <f>IFERROR(INDEX(Diccionario!$N:$N,MATCH(F284,Diccionario!$C:$C,0)),"")</f>
        <v/>
      </c>
    </row>
    <row r="273" ht="14.25" customHeight="1" s="52">
      <c r="A273" t="inlineStr">
        <is>
          <t>2024-05</t>
        </is>
      </c>
      <c r="B273" t="inlineStr">
        <is>
          <t>Colombia</t>
        </is>
      </c>
      <c r="C273" t="inlineStr">
        <is>
          <t>Coco Colombia</t>
        </is>
      </c>
      <c r="D273" t="inlineStr">
        <is>
          <t>COP</t>
        </is>
      </c>
      <c r="E273" t="inlineStr">
        <is>
          <t>Real</t>
        </is>
      </c>
      <c r="F273" t="inlineStr">
        <is>
          <t>gasto_admin</t>
        </is>
      </c>
      <c r="H273" t="inlineStr">
        <is>
          <t>Seguros</t>
        </is>
      </c>
      <c r="I273" t="n">
        <v>4000000</v>
      </c>
      <c r="J273" t="inlineStr">
        <is>
          <t>COP</t>
        </is>
      </c>
      <c r="L273">
        <f>IFERROR(INDEX(Diccionario!$B:$B,MATCH(F285,Diccionario!$C:$C,0)),"")</f>
        <v/>
      </c>
      <c r="M273">
        <f>IFERROR(INDEX(Diccionario!$H:$H,MATCH(F285,Diccionario!$C:$C,0)),"")</f>
        <v/>
      </c>
      <c r="N273">
        <f>IFERROR(INDEX(Diccionario!$N:$N,MATCH(F285,Diccionario!$C:$C,0)),"")</f>
        <v/>
      </c>
    </row>
    <row r="274" ht="14.25" customHeight="1" s="52">
      <c r="A274" t="inlineStr">
        <is>
          <t>2024-05</t>
        </is>
      </c>
      <c r="B274" t="inlineStr">
        <is>
          <t>Colombia</t>
        </is>
      </c>
      <c r="C274" t="inlineStr">
        <is>
          <t>Coco Colombia</t>
        </is>
      </c>
      <c r="D274" t="inlineStr">
        <is>
          <t>COP</t>
        </is>
      </c>
      <c r="E274" t="inlineStr">
        <is>
          <t>Real</t>
        </is>
      </c>
      <c r="F274" t="inlineStr">
        <is>
          <t>gasto_admin</t>
        </is>
      </c>
      <c r="H274" t="inlineStr">
        <is>
          <t>Servicios</t>
        </is>
      </c>
      <c r="I274" t="n">
        <v>7000000</v>
      </c>
      <c r="J274" t="inlineStr">
        <is>
          <t>COP</t>
        </is>
      </c>
      <c r="L274">
        <f>IFERROR(INDEX(Diccionario!$B:$B,MATCH(F286,Diccionario!$C:$C,0)),"")</f>
        <v/>
      </c>
      <c r="M274">
        <f>IFERROR(INDEX(Diccionario!$H:$H,MATCH(F286,Diccionario!$C:$C,0)),"")</f>
        <v/>
      </c>
      <c r="N274">
        <f>IFERROR(INDEX(Diccionario!$N:$N,MATCH(F286,Diccionario!$C:$C,0)),"")</f>
        <v/>
      </c>
    </row>
    <row r="275" ht="14.25" customHeight="1" s="52">
      <c r="A275" t="inlineStr">
        <is>
          <t>2024-05</t>
        </is>
      </c>
      <c r="B275" t="inlineStr">
        <is>
          <t>Colombia</t>
        </is>
      </c>
      <c r="C275" t="inlineStr">
        <is>
          <t>Coco Colombia</t>
        </is>
      </c>
      <c r="D275" t="inlineStr">
        <is>
          <t>COP</t>
        </is>
      </c>
      <c r="E275" t="inlineStr">
        <is>
          <t>Real</t>
        </is>
      </c>
      <c r="F275" t="inlineStr">
        <is>
          <t>gasto_admin</t>
        </is>
      </c>
      <c r="H275" t="inlineStr">
        <is>
          <t>Viajes</t>
        </is>
      </c>
      <c r="I275" t="n">
        <v>2000000</v>
      </c>
      <c r="J275" t="inlineStr">
        <is>
          <t>COP</t>
        </is>
      </c>
      <c r="L275">
        <f>IFERROR(INDEX(Diccionario!$B:$B,MATCH(F287,Diccionario!$C:$C,0)),"")</f>
        <v/>
      </c>
      <c r="M275">
        <f>IFERROR(INDEX(Diccionario!$H:$H,MATCH(F287,Diccionario!$C:$C,0)),"")</f>
        <v/>
      </c>
      <c r="N275">
        <f>IFERROR(INDEX(Diccionario!$N:$N,MATCH(F287,Diccionario!$C:$C,0)),"")</f>
        <v/>
      </c>
    </row>
    <row r="276" ht="14.25" customHeight="1" s="52">
      <c r="A276" t="inlineStr">
        <is>
          <t>2024-05</t>
        </is>
      </c>
      <c r="B276" t="inlineStr">
        <is>
          <t>Colombia</t>
        </is>
      </c>
      <c r="C276" t="inlineStr">
        <is>
          <t>Coco Colombia</t>
        </is>
      </c>
      <c r="D276" t="inlineStr">
        <is>
          <t>COP</t>
        </is>
      </c>
      <c r="E276" t="inlineStr">
        <is>
          <t>Real</t>
        </is>
      </c>
      <c r="F276" t="inlineStr">
        <is>
          <t>gasto_admin</t>
        </is>
      </c>
      <c r="H276" t="inlineStr">
        <is>
          <t>Diversos</t>
        </is>
      </c>
      <c r="I276" t="n">
        <v>1000000</v>
      </c>
      <c r="J276" t="inlineStr">
        <is>
          <t>COP</t>
        </is>
      </c>
      <c r="L276">
        <f>IFERROR(INDEX(Diccionario!$B:$B,MATCH(F288,Diccionario!$C:$C,0)),"")</f>
        <v/>
      </c>
      <c r="M276">
        <f>IFERROR(INDEX(Diccionario!$H:$H,MATCH(F288,Diccionario!$C:$C,0)),"")</f>
        <v/>
      </c>
      <c r="N276">
        <f>IFERROR(INDEX(Diccionario!$N:$N,MATCH(F288,Diccionario!$C:$C,0)),"")</f>
        <v/>
      </c>
    </row>
    <row r="277" ht="14.25" customHeight="1" s="52">
      <c r="A277" t="inlineStr">
        <is>
          <t>2024-06</t>
        </is>
      </c>
      <c r="B277" t="inlineStr">
        <is>
          <t>Colombia</t>
        </is>
      </c>
      <c r="C277" t="inlineStr">
        <is>
          <t>Coco Colombia</t>
        </is>
      </c>
      <c r="D277" t="inlineStr">
        <is>
          <t>COP</t>
        </is>
      </c>
      <c r="E277" t="inlineStr">
        <is>
          <t>Real</t>
        </is>
      </c>
      <c r="F277" t="inlineStr">
        <is>
          <t>gasto_admin</t>
        </is>
      </c>
      <c r="H277" t="inlineStr">
        <is>
          <t>Personal</t>
        </is>
      </c>
      <c r="I277" t="n">
        <v>44000000</v>
      </c>
      <c r="J277" t="inlineStr">
        <is>
          <t>COP</t>
        </is>
      </c>
      <c r="L277">
        <f>IFERROR(INDEX(Diccionario!$B:$B,MATCH(F289,Diccionario!$C:$C,0)),"")</f>
        <v/>
      </c>
      <c r="M277">
        <f>IFERROR(INDEX(Diccionario!$H:$H,MATCH(F289,Diccionario!$C:$C,0)),"")</f>
        <v/>
      </c>
      <c r="N277">
        <f>IFERROR(INDEX(Diccionario!$N:$N,MATCH(F289,Diccionario!$C:$C,0)),"")</f>
        <v/>
      </c>
    </row>
    <row r="278" ht="14.25" customHeight="1" s="52">
      <c r="A278" t="inlineStr">
        <is>
          <t>2024-06</t>
        </is>
      </c>
      <c r="B278" t="inlineStr">
        <is>
          <t>Colombia</t>
        </is>
      </c>
      <c r="C278" t="inlineStr">
        <is>
          <t>Coco Colombia</t>
        </is>
      </c>
      <c r="D278" t="inlineStr">
        <is>
          <t>COP</t>
        </is>
      </c>
      <c r="E278" t="inlineStr">
        <is>
          <t>Real</t>
        </is>
      </c>
      <c r="F278" t="inlineStr">
        <is>
          <t>gasto_admin</t>
        </is>
      </c>
      <c r="H278" t="inlineStr">
        <is>
          <t>Honorarios</t>
        </is>
      </c>
      <c r="I278" t="n">
        <v>8000000</v>
      </c>
      <c r="J278" t="inlineStr">
        <is>
          <t>COP</t>
        </is>
      </c>
      <c r="L278">
        <f>IFERROR(INDEX(Diccionario!$B:$B,MATCH(F290,Diccionario!$C:$C,0)),"")</f>
        <v/>
      </c>
      <c r="M278">
        <f>IFERROR(INDEX(Diccionario!$H:$H,MATCH(F290,Diccionario!$C:$C,0)),"")</f>
        <v/>
      </c>
      <c r="N278">
        <f>IFERROR(INDEX(Diccionario!$N:$N,MATCH(F290,Diccionario!$C:$C,0)),"")</f>
        <v/>
      </c>
    </row>
    <row r="279" ht="14.25" customHeight="1" s="52">
      <c r="A279" t="inlineStr">
        <is>
          <t>2024-06</t>
        </is>
      </c>
      <c r="B279" t="inlineStr">
        <is>
          <t>Colombia</t>
        </is>
      </c>
      <c r="C279" t="inlineStr">
        <is>
          <t>Coco Colombia</t>
        </is>
      </c>
      <c r="D279" t="inlineStr">
        <is>
          <t>COP</t>
        </is>
      </c>
      <c r="E279" t="inlineStr">
        <is>
          <t>Real</t>
        </is>
      </c>
      <c r="F279" t="inlineStr">
        <is>
          <t>gasto_admin</t>
        </is>
      </c>
      <c r="H279" t="inlineStr">
        <is>
          <t>Arrendamiento</t>
        </is>
      </c>
      <c r="I279" t="n">
        <v>23000000</v>
      </c>
      <c r="J279" t="inlineStr">
        <is>
          <t>COP</t>
        </is>
      </c>
      <c r="L279">
        <f>IFERROR(INDEX(Diccionario!$B:$B,MATCH(F291,Diccionario!$C:$C,0)),"")</f>
        <v/>
      </c>
      <c r="M279">
        <f>IFERROR(INDEX(Diccionario!$H:$H,MATCH(F291,Diccionario!$C:$C,0)),"")</f>
        <v/>
      </c>
      <c r="N279">
        <f>IFERROR(INDEX(Diccionario!$N:$N,MATCH(F291,Diccionario!$C:$C,0)),"")</f>
        <v/>
      </c>
    </row>
    <row r="280" ht="14.25" customHeight="1" s="52">
      <c r="A280" t="inlineStr">
        <is>
          <t>2024-06</t>
        </is>
      </c>
      <c r="B280" t="inlineStr">
        <is>
          <t>Colombia</t>
        </is>
      </c>
      <c r="C280" t="inlineStr">
        <is>
          <t>Coco Colombia</t>
        </is>
      </c>
      <c r="D280" t="inlineStr">
        <is>
          <t>COP</t>
        </is>
      </c>
      <c r="E280" t="inlineStr">
        <is>
          <t>Real</t>
        </is>
      </c>
      <c r="F280" t="inlineStr">
        <is>
          <t>gasto_admin</t>
        </is>
      </c>
      <c r="H280" t="inlineStr">
        <is>
          <t>Seguros</t>
        </is>
      </c>
      <c r="I280" t="n">
        <v>4000000</v>
      </c>
      <c r="J280" t="inlineStr">
        <is>
          <t>COP</t>
        </is>
      </c>
      <c r="L280">
        <f>IFERROR(INDEX(Diccionario!$B:$B,MATCH(F292,Diccionario!$C:$C,0)),"")</f>
        <v/>
      </c>
      <c r="M280">
        <f>IFERROR(INDEX(Diccionario!$H:$H,MATCH(F292,Diccionario!$C:$C,0)),"")</f>
        <v/>
      </c>
      <c r="N280">
        <f>IFERROR(INDEX(Diccionario!$N:$N,MATCH(F292,Diccionario!$C:$C,0)),"")</f>
        <v/>
      </c>
    </row>
    <row r="281" ht="14.25" customHeight="1" s="52">
      <c r="A281" t="inlineStr">
        <is>
          <t>2024-06</t>
        </is>
      </c>
      <c r="B281" t="inlineStr">
        <is>
          <t>Colombia</t>
        </is>
      </c>
      <c r="C281" t="inlineStr">
        <is>
          <t>Coco Colombia</t>
        </is>
      </c>
      <c r="D281" t="inlineStr">
        <is>
          <t>COP</t>
        </is>
      </c>
      <c r="E281" t="inlineStr">
        <is>
          <t>Real</t>
        </is>
      </c>
      <c r="F281" t="inlineStr">
        <is>
          <t>gasto_admin</t>
        </is>
      </c>
      <c r="H281" t="inlineStr">
        <is>
          <t>Servicios</t>
        </is>
      </c>
      <c r="I281" t="n">
        <v>5000000</v>
      </c>
      <c r="J281" t="inlineStr">
        <is>
          <t>COP</t>
        </is>
      </c>
      <c r="L281">
        <f>IFERROR(INDEX(Diccionario!$B:$B,MATCH(F293,Diccionario!$C:$C,0)),"")</f>
        <v/>
      </c>
      <c r="M281">
        <f>IFERROR(INDEX(Diccionario!$H:$H,MATCH(F293,Diccionario!$C:$C,0)),"")</f>
        <v/>
      </c>
      <c r="N281">
        <f>IFERROR(INDEX(Diccionario!$N:$N,MATCH(F293,Diccionario!$C:$C,0)),"")</f>
        <v/>
      </c>
    </row>
    <row r="282" ht="14.25" customHeight="1" s="52">
      <c r="A282" t="inlineStr">
        <is>
          <t>2024-06</t>
        </is>
      </c>
      <c r="B282" t="inlineStr">
        <is>
          <t>Colombia</t>
        </is>
      </c>
      <c r="C282" t="inlineStr">
        <is>
          <t>Coco Colombia</t>
        </is>
      </c>
      <c r="D282" t="inlineStr">
        <is>
          <t>COP</t>
        </is>
      </c>
      <c r="E282" t="inlineStr">
        <is>
          <t>Real</t>
        </is>
      </c>
      <c r="F282" t="inlineStr">
        <is>
          <t>gasto_admin</t>
        </is>
      </c>
      <c r="H282" t="inlineStr">
        <is>
          <t>Viajes</t>
        </is>
      </c>
      <c r="I282" t="n">
        <v>8000000</v>
      </c>
      <c r="J282" t="inlineStr">
        <is>
          <t>COP</t>
        </is>
      </c>
      <c r="L282">
        <f>IFERROR(INDEX(Diccionario!$B:$B,MATCH(F294,Diccionario!$C:$C,0)),"")</f>
        <v/>
      </c>
      <c r="M282">
        <f>IFERROR(INDEX(Diccionario!$H:$H,MATCH(F294,Diccionario!$C:$C,0)),"")</f>
        <v/>
      </c>
      <c r="N282">
        <f>IFERROR(INDEX(Diccionario!$N:$N,MATCH(F294,Diccionario!$C:$C,0)),"")</f>
        <v/>
      </c>
    </row>
    <row r="283" ht="14.25" customHeight="1" s="52">
      <c r="A283" t="inlineStr">
        <is>
          <t>2024-06</t>
        </is>
      </c>
      <c r="B283" t="inlineStr">
        <is>
          <t>Colombia</t>
        </is>
      </c>
      <c r="C283" t="inlineStr">
        <is>
          <t>Coco Colombia</t>
        </is>
      </c>
      <c r="D283" t="inlineStr">
        <is>
          <t>COP</t>
        </is>
      </c>
      <c r="E283" t="inlineStr">
        <is>
          <t>Real</t>
        </is>
      </c>
      <c r="F283" t="inlineStr">
        <is>
          <t>gasto_admin</t>
        </is>
      </c>
      <c r="H283" t="inlineStr">
        <is>
          <t>Diversos</t>
        </is>
      </c>
      <c r="I283" t="n">
        <v>4000000</v>
      </c>
      <c r="J283" t="inlineStr">
        <is>
          <t>COP</t>
        </is>
      </c>
      <c r="L283">
        <f>IFERROR(INDEX(Diccionario!$B:$B,MATCH(F295,Diccionario!$C:$C,0)),"")</f>
        <v/>
      </c>
      <c r="M283">
        <f>IFERROR(INDEX(Diccionario!$H:$H,MATCH(F295,Diccionario!$C:$C,0)),"")</f>
        <v/>
      </c>
      <c r="N283">
        <f>IFERROR(INDEX(Diccionario!$N:$N,MATCH(F295,Diccionario!$C:$C,0)),"")</f>
        <v/>
      </c>
    </row>
    <row r="284" ht="14.25" customHeight="1" s="52">
      <c r="A284" t="inlineStr">
        <is>
          <t>2024-07</t>
        </is>
      </c>
      <c r="B284" t="inlineStr">
        <is>
          <t>Colombia</t>
        </is>
      </c>
      <c r="C284" t="inlineStr">
        <is>
          <t>Coco Colombia</t>
        </is>
      </c>
      <c r="D284" t="inlineStr">
        <is>
          <t>COP</t>
        </is>
      </c>
      <c r="E284" t="inlineStr">
        <is>
          <t>Real</t>
        </is>
      </c>
      <c r="F284" t="inlineStr">
        <is>
          <t>gasto_admin</t>
        </is>
      </c>
      <c r="H284" t="inlineStr">
        <is>
          <t>Personal</t>
        </is>
      </c>
      <c r="I284" t="n">
        <v>50000000</v>
      </c>
      <c r="J284" t="inlineStr">
        <is>
          <t>COP</t>
        </is>
      </c>
      <c r="L284">
        <f>IFERROR(INDEX(Diccionario!$B:$B,MATCH(F296,Diccionario!$C:$C,0)),"")</f>
        <v/>
      </c>
      <c r="M284">
        <f>IFERROR(INDEX(Diccionario!$H:$H,MATCH(F296,Diccionario!$C:$C,0)),"")</f>
        <v/>
      </c>
      <c r="N284">
        <f>IFERROR(INDEX(Diccionario!$N:$N,MATCH(F296,Diccionario!$C:$C,0)),"")</f>
        <v/>
      </c>
    </row>
    <row r="285" ht="14.25" customHeight="1" s="52">
      <c r="A285" t="inlineStr">
        <is>
          <t>2024-07</t>
        </is>
      </c>
      <c r="B285" t="inlineStr">
        <is>
          <t>Colombia</t>
        </is>
      </c>
      <c r="C285" t="inlineStr">
        <is>
          <t>Coco Colombia</t>
        </is>
      </c>
      <c r="D285" t="inlineStr">
        <is>
          <t>COP</t>
        </is>
      </c>
      <c r="E285" t="inlineStr">
        <is>
          <t>Real</t>
        </is>
      </c>
      <c r="F285" t="inlineStr">
        <is>
          <t>gasto_admin</t>
        </is>
      </c>
      <c r="H285" t="inlineStr">
        <is>
          <t>Honorarios</t>
        </is>
      </c>
      <c r="I285" t="n">
        <v>7000000</v>
      </c>
      <c r="J285" t="inlineStr">
        <is>
          <t>COP</t>
        </is>
      </c>
      <c r="L285">
        <f>IFERROR(INDEX(Diccionario!$B:$B,MATCH(F297,Diccionario!$C:$C,0)),"")</f>
        <v/>
      </c>
      <c r="M285">
        <f>IFERROR(INDEX(Diccionario!$H:$H,MATCH(F297,Diccionario!$C:$C,0)),"")</f>
        <v/>
      </c>
      <c r="N285">
        <f>IFERROR(INDEX(Diccionario!$N:$N,MATCH(F297,Diccionario!$C:$C,0)),"")</f>
        <v/>
      </c>
    </row>
    <row r="286" ht="14.25" customHeight="1" s="52">
      <c r="A286" t="inlineStr">
        <is>
          <t>2024-07</t>
        </is>
      </c>
      <c r="B286" t="inlineStr">
        <is>
          <t>Colombia</t>
        </is>
      </c>
      <c r="C286" t="inlineStr">
        <is>
          <t>Coco Colombia</t>
        </is>
      </c>
      <c r="D286" t="inlineStr">
        <is>
          <t>COP</t>
        </is>
      </c>
      <c r="E286" t="inlineStr">
        <is>
          <t>Real</t>
        </is>
      </c>
      <c r="F286" t="inlineStr">
        <is>
          <t>gasto_admin</t>
        </is>
      </c>
      <c r="H286" t="inlineStr">
        <is>
          <t>Arrendamiento</t>
        </is>
      </c>
      <c r="I286" t="n">
        <v>23000000</v>
      </c>
      <c r="J286" t="inlineStr">
        <is>
          <t>COP</t>
        </is>
      </c>
      <c r="L286">
        <f>IFERROR(INDEX(Diccionario!$B:$B,MATCH(F298,Diccionario!$C:$C,0)),"")</f>
        <v/>
      </c>
      <c r="M286">
        <f>IFERROR(INDEX(Diccionario!$H:$H,MATCH(F298,Diccionario!$C:$C,0)),"")</f>
        <v/>
      </c>
      <c r="N286">
        <f>IFERROR(INDEX(Diccionario!$N:$N,MATCH(F298,Diccionario!$C:$C,0)),"")</f>
        <v/>
      </c>
    </row>
    <row r="287" ht="14.25" customHeight="1" s="52">
      <c r="A287" t="inlineStr">
        <is>
          <t>2024-07</t>
        </is>
      </c>
      <c r="B287" t="inlineStr">
        <is>
          <t>Colombia</t>
        </is>
      </c>
      <c r="C287" t="inlineStr">
        <is>
          <t>Coco Colombia</t>
        </is>
      </c>
      <c r="D287" t="inlineStr">
        <is>
          <t>COP</t>
        </is>
      </c>
      <c r="E287" t="inlineStr">
        <is>
          <t>Real</t>
        </is>
      </c>
      <c r="F287" t="inlineStr">
        <is>
          <t>gasto_admin</t>
        </is>
      </c>
      <c r="H287" t="inlineStr">
        <is>
          <t>Seguros</t>
        </is>
      </c>
      <c r="I287" t="n">
        <v>4000000</v>
      </c>
      <c r="J287" t="inlineStr">
        <is>
          <t>COP</t>
        </is>
      </c>
      <c r="L287">
        <f>IFERROR(INDEX(Diccionario!$B:$B,MATCH(F299,Diccionario!$C:$C,0)),"")</f>
        <v/>
      </c>
      <c r="M287">
        <f>IFERROR(INDEX(Diccionario!$H:$H,MATCH(F299,Diccionario!$C:$C,0)),"")</f>
        <v/>
      </c>
      <c r="N287">
        <f>IFERROR(INDEX(Diccionario!$N:$N,MATCH(F299,Diccionario!$C:$C,0)),"")</f>
        <v/>
      </c>
    </row>
    <row r="288" ht="14.25" customHeight="1" s="52">
      <c r="A288" t="inlineStr">
        <is>
          <t>2024-07</t>
        </is>
      </c>
      <c r="B288" t="inlineStr">
        <is>
          <t>Colombia</t>
        </is>
      </c>
      <c r="C288" t="inlineStr">
        <is>
          <t>Coco Colombia</t>
        </is>
      </c>
      <c r="D288" t="inlineStr">
        <is>
          <t>COP</t>
        </is>
      </c>
      <c r="E288" t="inlineStr">
        <is>
          <t>Real</t>
        </is>
      </c>
      <c r="F288" t="inlineStr">
        <is>
          <t>gasto_admin</t>
        </is>
      </c>
      <c r="H288" t="inlineStr">
        <is>
          <t>Servicios</t>
        </is>
      </c>
      <c r="I288" t="n">
        <v>6000000</v>
      </c>
      <c r="J288" t="inlineStr">
        <is>
          <t>COP</t>
        </is>
      </c>
      <c r="L288">
        <f>IFERROR(INDEX(Diccionario!$B:$B,MATCH(F300,Diccionario!$C:$C,0)),"")</f>
        <v/>
      </c>
      <c r="M288">
        <f>IFERROR(INDEX(Diccionario!$H:$H,MATCH(F300,Diccionario!$C:$C,0)),"")</f>
        <v/>
      </c>
      <c r="N288">
        <f>IFERROR(INDEX(Diccionario!$N:$N,MATCH(F300,Diccionario!$C:$C,0)),"")</f>
        <v/>
      </c>
    </row>
    <row r="289" ht="14.25" customHeight="1" s="52">
      <c r="A289" t="inlineStr">
        <is>
          <t>2024-07</t>
        </is>
      </c>
      <c r="B289" t="inlineStr">
        <is>
          <t>Colombia</t>
        </is>
      </c>
      <c r="C289" t="inlineStr">
        <is>
          <t>Coco Colombia</t>
        </is>
      </c>
      <c r="D289" t="inlineStr">
        <is>
          <t>COP</t>
        </is>
      </c>
      <c r="E289" t="inlineStr">
        <is>
          <t>Real</t>
        </is>
      </c>
      <c r="F289" t="inlineStr">
        <is>
          <t>gasto_admin</t>
        </is>
      </c>
      <c r="H289" t="inlineStr">
        <is>
          <t>Viajes</t>
        </is>
      </c>
      <c r="I289" t="n">
        <v>17000000</v>
      </c>
      <c r="J289" t="inlineStr">
        <is>
          <t>COP</t>
        </is>
      </c>
      <c r="L289">
        <f>IFERROR(INDEX(Diccionario!$B:$B,MATCH(F301,Diccionario!$C:$C,0)),"")</f>
        <v/>
      </c>
      <c r="M289">
        <f>IFERROR(INDEX(Diccionario!$H:$H,MATCH(F301,Diccionario!$C:$C,0)),"")</f>
        <v/>
      </c>
      <c r="N289">
        <f>IFERROR(INDEX(Diccionario!$N:$N,MATCH(F301,Diccionario!$C:$C,0)),"")</f>
        <v/>
      </c>
    </row>
    <row r="290" ht="14.25" customHeight="1" s="52">
      <c r="A290" t="inlineStr">
        <is>
          <t>2024-07</t>
        </is>
      </c>
      <c r="B290" t="inlineStr">
        <is>
          <t>Colombia</t>
        </is>
      </c>
      <c r="C290" t="inlineStr">
        <is>
          <t>Coco Colombia</t>
        </is>
      </c>
      <c r="D290" t="inlineStr">
        <is>
          <t>COP</t>
        </is>
      </c>
      <c r="E290" t="inlineStr">
        <is>
          <t>Real</t>
        </is>
      </c>
      <c r="F290" t="inlineStr">
        <is>
          <t>gasto_admin</t>
        </is>
      </c>
      <c r="H290" t="inlineStr">
        <is>
          <t>Diversos</t>
        </is>
      </c>
      <c r="I290" t="n">
        <v>1000000</v>
      </c>
      <c r="J290" t="inlineStr">
        <is>
          <t>COP</t>
        </is>
      </c>
      <c r="L290">
        <f>IFERROR(INDEX(Diccionario!$B:$B,MATCH(F302,Diccionario!$C:$C,0)),"")</f>
        <v/>
      </c>
      <c r="M290">
        <f>IFERROR(INDEX(Diccionario!$H:$H,MATCH(F302,Diccionario!$C:$C,0)),"")</f>
        <v/>
      </c>
      <c r="N290">
        <f>IFERROR(INDEX(Diccionario!$N:$N,MATCH(F302,Diccionario!$C:$C,0)),"")</f>
        <v/>
      </c>
    </row>
    <row r="291" ht="14.25" customHeight="1" s="52">
      <c r="A291" t="inlineStr">
        <is>
          <t>2024-08</t>
        </is>
      </c>
      <c r="B291" t="inlineStr">
        <is>
          <t>Colombia</t>
        </is>
      </c>
      <c r="C291" t="inlineStr">
        <is>
          <t>Coco Colombia</t>
        </is>
      </c>
      <c r="D291" t="inlineStr">
        <is>
          <t>COP</t>
        </is>
      </c>
      <c r="E291" t="inlineStr">
        <is>
          <t>Real</t>
        </is>
      </c>
      <c r="F291" t="inlineStr">
        <is>
          <t>gasto_admin</t>
        </is>
      </c>
      <c r="H291" t="inlineStr">
        <is>
          <t>Personal</t>
        </is>
      </c>
      <c r="I291" t="n">
        <v>52000000</v>
      </c>
      <c r="J291" t="inlineStr">
        <is>
          <t>COP</t>
        </is>
      </c>
      <c r="L291">
        <f>IFERROR(INDEX(Diccionario!$B:$B,MATCH(F303,Diccionario!$C:$C,0)),"")</f>
        <v/>
      </c>
      <c r="M291">
        <f>IFERROR(INDEX(Diccionario!$H:$H,MATCH(F303,Diccionario!$C:$C,0)),"")</f>
        <v/>
      </c>
      <c r="N291">
        <f>IFERROR(INDEX(Diccionario!$N:$N,MATCH(F303,Diccionario!$C:$C,0)),"")</f>
        <v/>
      </c>
    </row>
    <row r="292" ht="14.25" customHeight="1" s="52">
      <c r="A292" t="inlineStr">
        <is>
          <t>2024-08</t>
        </is>
      </c>
      <c r="B292" t="inlineStr">
        <is>
          <t>Colombia</t>
        </is>
      </c>
      <c r="C292" t="inlineStr">
        <is>
          <t>Coco Colombia</t>
        </is>
      </c>
      <c r="D292" t="inlineStr">
        <is>
          <t>COP</t>
        </is>
      </c>
      <c r="E292" t="inlineStr">
        <is>
          <t>Real</t>
        </is>
      </c>
      <c r="F292" t="inlineStr">
        <is>
          <t>gasto_admin</t>
        </is>
      </c>
      <c r="H292" t="inlineStr">
        <is>
          <t>Honorarios</t>
        </is>
      </c>
      <c r="I292" t="n">
        <v>33000000</v>
      </c>
      <c r="J292" t="inlineStr">
        <is>
          <t>COP</t>
        </is>
      </c>
      <c r="L292">
        <f>IFERROR(INDEX(Diccionario!$B:$B,MATCH(F304,Diccionario!$C:$C,0)),"")</f>
        <v/>
      </c>
      <c r="M292">
        <f>IFERROR(INDEX(Diccionario!$H:$H,MATCH(F304,Diccionario!$C:$C,0)),"")</f>
        <v/>
      </c>
      <c r="N292">
        <f>IFERROR(INDEX(Diccionario!$N:$N,MATCH(F304,Diccionario!$C:$C,0)),"")</f>
        <v/>
      </c>
    </row>
    <row r="293" ht="14.25" customHeight="1" s="52">
      <c r="A293" t="inlineStr">
        <is>
          <t>2024-08</t>
        </is>
      </c>
      <c r="B293" t="inlineStr">
        <is>
          <t>Colombia</t>
        </is>
      </c>
      <c r="C293" t="inlineStr">
        <is>
          <t>Coco Colombia</t>
        </is>
      </c>
      <c r="D293" t="inlineStr">
        <is>
          <t>COP</t>
        </is>
      </c>
      <c r="E293" t="inlineStr">
        <is>
          <t>Real</t>
        </is>
      </c>
      <c r="F293" t="inlineStr">
        <is>
          <t>gasto_admin</t>
        </is>
      </c>
      <c r="H293" t="inlineStr">
        <is>
          <t>Arrendamiento</t>
        </is>
      </c>
      <c r="I293" t="n">
        <v>23000000</v>
      </c>
      <c r="J293" t="inlineStr">
        <is>
          <t>COP</t>
        </is>
      </c>
      <c r="L293">
        <f>IFERROR(INDEX(Diccionario!$B:$B,MATCH(F305,Diccionario!$C:$C,0)),"")</f>
        <v/>
      </c>
      <c r="M293">
        <f>IFERROR(INDEX(Diccionario!$H:$H,MATCH(F305,Diccionario!$C:$C,0)),"")</f>
        <v/>
      </c>
      <c r="N293">
        <f>IFERROR(INDEX(Diccionario!$N:$N,MATCH(F305,Diccionario!$C:$C,0)),"")</f>
        <v/>
      </c>
    </row>
    <row r="294" ht="14.25" customHeight="1" s="52">
      <c r="A294" t="inlineStr">
        <is>
          <t>2024-08</t>
        </is>
      </c>
      <c r="B294" t="inlineStr">
        <is>
          <t>Colombia</t>
        </is>
      </c>
      <c r="C294" t="inlineStr">
        <is>
          <t>Coco Colombia</t>
        </is>
      </c>
      <c r="D294" t="inlineStr">
        <is>
          <t>COP</t>
        </is>
      </c>
      <c r="E294" t="inlineStr">
        <is>
          <t>Real</t>
        </is>
      </c>
      <c r="F294" t="inlineStr">
        <is>
          <t>gasto_admin</t>
        </is>
      </c>
      <c r="H294" t="inlineStr">
        <is>
          <t>Seguros</t>
        </is>
      </c>
      <c r="I294" t="n">
        <v>4000000</v>
      </c>
      <c r="J294" t="inlineStr">
        <is>
          <t>COP</t>
        </is>
      </c>
      <c r="L294">
        <f>IFERROR(INDEX(Diccionario!$B:$B,MATCH(F306,Diccionario!$C:$C,0)),"")</f>
        <v/>
      </c>
      <c r="M294">
        <f>IFERROR(INDEX(Diccionario!$H:$H,MATCH(F306,Diccionario!$C:$C,0)),"")</f>
        <v/>
      </c>
      <c r="N294">
        <f>IFERROR(INDEX(Diccionario!$N:$N,MATCH(F306,Diccionario!$C:$C,0)),"")</f>
        <v/>
      </c>
    </row>
    <row r="295" ht="14.25" customHeight="1" s="52">
      <c r="A295" t="inlineStr">
        <is>
          <t>2024-08</t>
        </is>
      </c>
      <c r="B295" t="inlineStr">
        <is>
          <t>Colombia</t>
        </is>
      </c>
      <c r="C295" t="inlineStr">
        <is>
          <t>Coco Colombia</t>
        </is>
      </c>
      <c r="D295" t="inlineStr">
        <is>
          <t>COP</t>
        </is>
      </c>
      <c r="E295" t="inlineStr">
        <is>
          <t>Real</t>
        </is>
      </c>
      <c r="F295" t="inlineStr">
        <is>
          <t>gasto_admin</t>
        </is>
      </c>
      <c r="H295" t="inlineStr">
        <is>
          <t>Servicios</t>
        </is>
      </c>
      <c r="I295" t="n">
        <v>6000000</v>
      </c>
      <c r="J295" t="inlineStr">
        <is>
          <t>COP</t>
        </is>
      </c>
      <c r="L295">
        <f>IFERROR(INDEX(Diccionario!$B:$B,MATCH(F307,Diccionario!$C:$C,0)),"")</f>
        <v/>
      </c>
      <c r="M295">
        <f>IFERROR(INDEX(Diccionario!$H:$H,MATCH(F307,Diccionario!$C:$C,0)),"")</f>
        <v/>
      </c>
      <c r="N295">
        <f>IFERROR(INDEX(Diccionario!$N:$N,MATCH(F307,Diccionario!$C:$C,0)),"")</f>
        <v/>
      </c>
    </row>
    <row r="296" ht="14.25" customHeight="1" s="52">
      <c r="A296" t="inlineStr">
        <is>
          <t>2024-08</t>
        </is>
      </c>
      <c r="B296" t="inlineStr">
        <is>
          <t>Colombia</t>
        </is>
      </c>
      <c r="C296" t="inlineStr">
        <is>
          <t>Coco Colombia</t>
        </is>
      </c>
      <c r="D296" t="inlineStr">
        <is>
          <t>COP</t>
        </is>
      </c>
      <c r="E296" t="inlineStr">
        <is>
          <t>Real</t>
        </is>
      </c>
      <c r="F296" t="inlineStr">
        <is>
          <t>gasto_admin</t>
        </is>
      </c>
      <c r="H296" t="inlineStr">
        <is>
          <t>Viajes</t>
        </is>
      </c>
      <c r="I296" t="n">
        <v>10000000</v>
      </c>
      <c r="J296" t="inlineStr">
        <is>
          <t>COP</t>
        </is>
      </c>
      <c r="L296">
        <f>IFERROR(INDEX(Diccionario!$B:$B,MATCH(F308,Diccionario!$C:$C,0)),"")</f>
        <v/>
      </c>
      <c r="M296">
        <f>IFERROR(INDEX(Diccionario!$H:$H,MATCH(F308,Diccionario!$C:$C,0)),"")</f>
        <v/>
      </c>
      <c r="N296">
        <f>IFERROR(INDEX(Diccionario!$N:$N,MATCH(F308,Diccionario!$C:$C,0)),"")</f>
        <v/>
      </c>
    </row>
    <row r="297" ht="14.25" customHeight="1" s="52">
      <c r="A297" t="inlineStr">
        <is>
          <t>2024-08</t>
        </is>
      </c>
      <c r="B297" t="inlineStr">
        <is>
          <t>Colombia</t>
        </is>
      </c>
      <c r="C297" t="inlineStr">
        <is>
          <t>Coco Colombia</t>
        </is>
      </c>
      <c r="D297" t="inlineStr">
        <is>
          <t>COP</t>
        </is>
      </c>
      <c r="E297" t="inlineStr">
        <is>
          <t>Real</t>
        </is>
      </c>
      <c r="F297" t="inlineStr">
        <is>
          <t>gasto_admin</t>
        </is>
      </c>
      <c r="H297" t="inlineStr">
        <is>
          <t>Diversos</t>
        </is>
      </c>
      <c r="I297" t="n">
        <v>1000000</v>
      </c>
      <c r="J297" t="inlineStr">
        <is>
          <t>COP</t>
        </is>
      </c>
      <c r="L297">
        <f>IFERROR(INDEX(Diccionario!$B:$B,MATCH(F309,Diccionario!$C:$C,0)),"")</f>
        <v/>
      </c>
      <c r="M297">
        <f>IFERROR(INDEX(Diccionario!$H:$H,MATCH(F309,Diccionario!$C:$C,0)),"")</f>
        <v/>
      </c>
      <c r="N297">
        <f>IFERROR(INDEX(Diccionario!$N:$N,MATCH(F309,Diccionario!$C:$C,0)),"")</f>
        <v/>
      </c>
    </row>
    <row r="298" ht="14.25" customHeight="1" s="52">
      <c r="A298" t="inlineStr">
        <is>
          <t>2024-09</t>
        </is>
      </c>
      <c r="B298" t="inlineStr">
        <is>
          <t>Colombia</t>
        </is>
      </c>
      <c r="C298" t="inlineStr">
        <is>
          <t>Coco Colombia</t>
        </is>
      </c>
      <c r="D298" t="inlineStr">
        <is>
          <t>COP</t>
        </is>
      </c>
      <c r="E298" t="inlineStr">
        <is>
          <t>Real</t>
        </is>
      </c>
      <c r="F298" t="inlineStr">
        <is>
          <t>gasto_admin</t>
        </is>
      </c>
      <c r="H298" t="inlineStr">
        <is>
          <t>Personal</t>
        </is>
      </c>
      <c r="I298" t="n">
        <v>58000000</v>
      </c>
      <c r="J298" t="inlineStr">
        <is>
          <t>COP</t>
        </is>
      </c>
      <c r="L298">
        <f>IFERROR(INDEX(Diccionario!$B:$B,MATCH(F310,Diccionario!$C:$C,0)),"")</f>
        <v/>
      </c>
      <c r="M298">
        <f>IFERROR(INDEX(Diccionario!$H:$H,MATCH(F310,Diccionario!$C:$C,0)),"")</f>
        <v/>
      </c>
      <c r="N298">
        <f>IFERROR(INDEX(Diccionario!$N:$N,MATCH(F310,Diccionario!$C:$C,0)),"")</f>
        <v/>
      </c>
    </row>
    <row r="299" ht="14.25" customHeight="1" s="52">
      <c r="A299" t="inlineStr">
        <is>
          <t>2024-09</t>
        </is>
      </c>
      <c r="B299" t="inlineStr">
        <is>
          <t>Colombia</t>
        </is>
      </c>
      <c r="C299" t="inlineStr">
        <is>
          <t>Coco Colombia</t>
        </is>
      </c>
      <c r="D299" t="inlineStr">
        <is>
          <t>COP</t>
        </is>
      </c>
      <c r="E299" t="inlineStr">
        <is>
          <t>Real</t>
        </is>
      </c>
      <c r="F299" t="inlineStr">
        <is>
          <t>gasto_admin</t>
        </is>
      </c>
      <c r="H299" t="inlineStr">
        <is>
          <t>Honorarios</t>
        </is>
      </c>
      <c r="I299" t="n">
        <v>9000000</v>
      </c>
      <c r="J299" t="inlineStr">
        <is>
          <t>COP</t>
        </is>
      </c>
      <c r="L299">
        <f>IFERROR(INDEX(Diccionario!$B:$B,MATCH(F311,Diccionario!$C:$C,0)),"")</f>
        <v/>
      </c>
      <c r="M299">
        <f>IFERROR(INDEX(Diccionario!$H:$H,MATCH(F311,Diccionario!$C:$C,0)),"")</f>
        <v/>
      </c>
      <c r="N299">
        <f>IFERROR(INDEX(Diccionario!$N:$N,MATCH(F311,Diccionario!$C:$C,0)),"")</f>
        <v/>
      </c>
    </row>
    <row r="300" ht="14.25" customHeight="1" s="52">
      <c r="A300" t="inlineStr">
        <is>
          <t>2024-09</t>
        </is>
      </c>
      <c r="B300" t="inlineStr">
        <is>
          <t>Colombia</t>
        </is>
      </c>
      <c r="C300" t="inlineStr">
        <is>
          <t>Coco Colombia</t>
        </is>
      </c>
      <c r="D300" t="inlineStr">
        <is>
          <t>COP</t>
        </is>
      </c>
      <c r="E300" t="inlineStr">
        <is>
          <t>Real</t>
        </is>
      </c>
      <c r="F300" t="inlineStr">
        <is>
          <t>gasto_admin</t>
        </is>
      </c>
      <c r="H300" t="inlineStr">
        <is>
          <t>Arrendamiento</t>
        </is>
      </c>
      <c r="I300" t="n">
        <v>25000000</v>
      </c>
      <c r="J300" t="inlineStr">
        <is>
          <t>COP</t>
        </is>
      </c>
      <c r="L300">
        <f>IFERROR(INDEX(Diccionario!$B:$B,MATCH(F312,Diccionario!$C:$C,0)),"")</f>
        <v/>
      </c>
      <c r="M300">
        <f>IFERROR(INDEX(Diccionario!$H:$H,MATCH(F312,Diccionario!$C:$C,0)),"")</f>
        <v/>
      </c>
      <c r="N300">
        <f>IFERROR(INDEX(Diccionario!$N:$N,MATCH(F312,Diccionario!$C:$C,0)),"")</f>
        <v/>
      </c>
    </row>
    <row r="301" ht="14.25" customHeight="1" s="52">
      <c r="A301" t="inlineStr">
        <is>
          <t>2024-09</t>
        </is>
      </c>
      <c r="B301" t="inlineStr">
        <is>
          <t>Colombia</t>
        </is>
      </c>
      <c r="C301" t="inlineStr">
        <is>
          <t>Coco Colombia</t>
        </is>
      </c>
      <c r="D301" t="inlineStr">
        <is>
          <t>COP</t>
        </is>
      </c>
      <c r="E301" t="inlineStr">
        <is>
          <t>Real</t>
        </is>
      </c>
      <c r="F301" t="inlineStr">
        <is>
          <t>gasto_admin</t>
        </is>
      </c>
      <c r="H301" t="inlineStr">
        <is>
          <t>Seguros</t>
        </is>
      </c>
      <c r="I301" t="n">
        <v>3000000</v>
      </c>
      <c r="J301" t="inlineStr">
        <is>
          <t>COP</t>
        </is>
      </c>
      <c r="L301">
        <f>IFERROR(INDEX(Diccionario!$B:$B,MATCH(F313,Diccionario!$C:$C,0)),"")</f>
        <v/>
      </c>
      <c r="M301">
        <f>IFERROR(INDEX(Diccionario!$H:$H,MATCH(F313,Diccionario!$C:$C,0)),"")</f>
        <v/>
      </c>
      <c r="N301">
        <f>IFERROR(INDEX(Diccionario!$N:$N,MATCH(F313,Diccionario!$C:$C,0)),"")</f>
        <v/>
      </c>
    </row>
    <row r="302" ht="14.25" customHeight="1" s="52">
      <c r="A302" t="inlineStr">
        <is>
          <t>2024-09</t>
        </is>
      </c>
      <c r="B302" t="inlineStr">
        <is>
          <t>Colombia</t>
        </is>
      </c>
      <c r="C302" t="inlineStr">
        <is>
          <t>Coco Colombia</t>
        </is>
      </c>
      <c r="D302" t="inlineStr">
        <is>
          <t>COP</t>
        </is>
      </c>
      <c r="E302" t="inlineStr">
        <is>
          <t>Real</t>
        </is>
      </c>
      <c r="F302" t="inlineStr">
        <is>
          <t>gasto_admin</t>
        </is>
      </c>
      <c r="H302" t="inlineStr">
        <is>
          <t>Servicios</t>
        </is>
      </c>
      <c r="I302" t="n">
        <v>4000000</v>
      </c>
      <c r="J302" t="inlineStr">
        <is>
          <t>COP</t>
        </is>
      </c>
      <c r="L302">
        <f>IFERROR(INDEX(Diccionario!$B:$B,MATCH(F314,Diccionario!$C:$C,0)),"")</f>
        <v/>
      </c>
      <c r="M302">
        <f>IFERROR(INDEX(Diccionario!$H:$H,MATCH(F314,Diccionario!$C:$C,0)),"")</f>
        <v/>
      </c>
      <c r="N302">
        <f>IFERROR(INDEX(Diccionario!$N:$N,MATCH(F314,Diccionario!$C:$C,0)),"")</f>
        <v/>
      </c>
    </row>
    <row r="303" ht="14.25" customHeight="1" s="52">
      <c r="A303" t="inlineStr">
        <is>
          <t>2024-09</t>
        </is>
      </c>
      <c r="B303" t="inlineStr">
        <is>
          <t>Colombia</t>
        </is>
      </c>
      <c r="C303" t="inlineStr">
        <is>
          <t>Coco Colombia</t>
        </is>
      </c>
      <c r="D303" t="inlineStr">
        <is>
          <t>COP</t>
        </is>
      </c>
      <c r="E303" t="inlineStr">
        <is>
          <t>Real</t>
        </is>
      </c>
      <c r="F303" t="inlineStr">
        <is>
          <t>gasto_admin</t>
        </is>
      </c>
      <c r="H303" t="inlineStr">
        <is>
          <t>Viajes</t>
        </is>
      </c>
      <c r="I303" t="n">
        <v>5000000</v>
      </c>
      <c r="J303" t="inlineStr">
        <is>
          <t>COP</t>
        </is>
      </c>
      <c r="L303">
        <f>IFERROR(INDEX(Diccionario!$B:$B,MATCH(F315,Diccionario!$C:$C,0)),"")</f>
        <v/>
      </c>
      <c r="M303">
        <f>IFERROR(INDEX(Diccionario!$H:$H,MATCH(F315,Diccionario!$C:$C,0)),"")</f>
        <v/>
      </c>
      <c r="N303">
        <f>IFERROR(INDEX(Diccionario!$N:$N,MATCH(F315,Diccionario!$C:$C,0)),"")</f>
        <v/>
      </c>
    </row>
    <row r="304" ht="14.25" customHeight="1" s="52">
      <c r="A304" t="inlineStr">
        <is>
          <t>2024-09</t>
        </is>
      </c>
      <c r="B304" t="inlineStr">
        <is>
          <t>Colombia</t>
        </is>
      </c>
      <c r="C304" t="inlineStr">
        <is>
          <t>Coco Colombia</t>
        </is>
      </c>
      <c r="D304" t="inlineStr">
        <is>
          <t>COP</t>
        </is>
      </c>
      <c r="E304" t="inlineStr">
        <is>
          <t>Real</t>
        </is>
      </c>
      <c r="F304" t="inlineStr">
        <is>
          <t>gasto_admin</t>
        </is>
      </c>
      <c r="H304" t="inlineStr">
        <is>
          <t>Diversos</t>
        </is>
      </c>
      <c r="I304" t="n">
        <v>0</v>
      </c>
      <c r="J304" t="inlineStr">
        <is>
          <t>COP</t>
        </is>
      </c>
      <c r="L304">
        <f>IFERROR(INDEX(Diccionario!$B:$B,MATCH(F316,Diccionario!$C:$C,0)),"")</f>
        <v/>
      </c>
      <c r="M304">
        <f>IFERROR(INDEX(Diccionario!$H:$H,MATCH(F316,Diccionario!$C:$C,0)),"")</f>
        <v/>
      </c>
      <c r="N304">
        <f>IFERROR(INDEX(Diccionario!$N:$N,MATCH(F316,Diccionario!$C:$C,0)),"")</f>
        <v/>
      </c>
    </row>
    <row r="305" ht="14.25" customHeight="1" s="52">
      <c r="A305" t="inlineStr">
        <is>
          <t>2024-10</t>
        </is>
      </c>
      <c r="B305" t="inlineStr">
        <is>
          <t>Colombia</t>
        </is>
      </c>
      <c r="C305" t="inlineStr">
        <is>
          <t>Coco Colombia</t>
        </is>
      </c>
      <c r="D305" t="inlineStr">
        <is>
          <t>COP</t>
        </is>
      </c>
      <c r="E305" t="inlineStr">
        <is>
          <t>Real</t>
        </is>
      </c>
      <c r="F305" t="inlineStr">
        <is>
          <t>gasto_admin</t>
        </is>
      </c>
      <c r="H305" t="inlineStr">
        <is>
          <t>Personal</t>
        </is>
      </c>
      <c r="I305" t="n">
        <v>64000000</v>
      </c>
      <c r="J305" t="inlineStr">
        <is>
          <t>COP</t>
        </is>
      </c>
      <c r="L305">
        <f>IFERROR(INDEX(Diccionario!$B:$B,MATCH(F317,Diccionario!$C:$C,0)),"")</f>
        <v/>
      </c>
      <c r="M305">
        <f>IFERROR(INDEX(Diccionario!$H:$H,MATCH(F317,Diccionario!$C:$C,0)),"")</f>
        <v/>
      </c>
      <c r="N305">
        <f>IFERROR(INDEX(Diccionario!$N:$N,MATCH(F317,Diccionario!$C:$C,0)),"")</f>
        <v/>
      </c>
    </row>
    <row r="306" ht="14.25" customHeight="1" s="52">
      <c r="A306" t="inlineStr">
        <is>
          <t>2024-10</t>
        </is>
      </c>
      <c r="B306" t="inlineStr">
        <is>
          <t>Colombia</t>
        </is>
      </c>
      <c r="C306" t="inlineStr">
        <is>
          <t>Coco Colombia</t>
        </is>
      </c>
      <c r="D306" t="inlineStr">
        <is>
          <t>COP</t>
        </is>
      </c>
      <c r="E306" t="inlineStr">
        <is>
          <t>Real</t>
        </is>
      </c>
      <c r="F306" t="inlineStr">
        <is>
          <t>gasto_admin</t>
        </is>
      </c>
      <c r="H306" t="inlineStr">
        <is>
          <t>Honorarios</t>
        </is>
      </c>
      <c r="I306" t="n">
        <v>16000000</v>
      </c>
      <c r="J306" t="inlineStr">
        <is>
          <t>COP</t>
        </is>
      </c>
      <c r="L306">
        <f>IFERROR(INDEX(Diccionario!$B:$B,MATCH(F318,Diccionario!$C:$C,0)),"")</f>
        <v/>
      </c>
      <c r="M306">
        <f>IFERROR(INDEX(Diccionario!$H:$H,MATCH(F318,Diccionario!$C:$C,0)),"")</f>
        <v/>
      </c>
      <c r="N306">
        <f>IFERROR(INDEX(Diccionario!$N:$N,MATCH(F318,Diccionario!$C:$C,0)),"")</f>
        <v/>
      </c>
    </row>
    <row r="307" ht="14.25" customHeight="1" s="52">
      <c r="A307" t="inlineStr">
        <is>
          <t>2024-10</t>
        </is>
      </c>
      <c r="B307" t="inlineStr">
        <is>
          <t>Colombia</t>
        </is>
      </c>
      <c r="C307" t="inlineStr">
        <is>
          <t>Coco Colombia</t>
        </is>
      </c>
      <c r="D307" t="inlineStr">
        <is>
          <t>COP</t>
        </is>
      </c>
      <c r="E307" t="inlineStr">
        <is>
          <t>Real</t>
        </is>
      </c>
      <c r="F307" t="inlineStr">
        <is>
          <t>gasto_admin</t>
        </is>
      </c>
      <c r="H307" t="inlineStr">
        <is>
          <t>Arrendamiento</t>
        </is>
      </c>
      <c r="I307" t="n">
        <v>25000000</v>
      </c>
      <c r="J307" t="inlineStr">
        <is>
          <t>COP</t>
        </is>
      </c>
      <c r="L307">
        <f>IFERROR(INDEX(Diccionario!$B:$B,MATCH(F319,Diccionario!$C:$C,0)),"")</f>
        <v/>
      </c>
      <c r="M307">
        <f>IFERROR(INDEX(Diccionario!$H:$H,MATCH(F319,Diccionario!$C:$C,0)),"")</f>
        <v/>
      </c>
      <c r="N307">
        <f>IFERROR(INDEX(Diccionario!$N:$N,MATCH(F319,Diccionario!$C:$C,0)),"")</f>
        <v/>
      </c>
    </row>
    <row r="308" ht="14.25" customHeight="1" s="52">
      <c r="A308" t="inlineStr">
        <is>
          <t>2024-10</t>
        </is>
      </c>
      <c r="B308" t="inlineStr">
        <is>
          <t>Colombia</t>
        </is>
      </c>
      <c r="C308" t="inlineStr">
        <is>
          <t>Coco Colombia</t>
        </is>
      </c>
      <c r="D308" t="inlineStr">
        <is>
          <t>COP</t>
        </is>
      </c>
      <c r="E308" t="inlineStr">
        <is>
          <t>Real</t>
        </is>
      </c>
      <c r="F308" t="inlineStr">
        <is>
          <t>gasto_admin</t>
        </is>
      </c>
      <c r="H308" t="inlineStr">
        <is>
          <t>Seguros</t>
        </is>
      </c>
      <c r="I308" t="n">
        <v>2000000</v>
      </c>
      <c r="J308" t="inlineStr">
        <is>
          <t>COP</t>
        </is>
      </c>
      <c r="L308">
        <f>IFERROR(INDEX(Diccionario!$B:$B,MATCH(F320,Diccionario!$C:$C,0)),"")</f>
        <v/>
      </c>
      <c r="M308">
        <f>IFERROR(INDEX(Diccionario!$H:$H,MATCH(F320,Diccionario!$C:$C,0)),"")</f>
        <v/>
      </c>
      <c r="N308">
        <f>IFERROR(INDEX(Diccionario!$N:$N,MATCH(F320,Diccionario!$C:$C,0)),"")</f>
        <v/>
      </c>
    </row>
    <row r="309" ht="14.25" customHeight="1" s="52">
      <c r="A309" t="inlineStr">
        <is>
          <t>2024-10</t>
        </is>
      </c>
      <c r="B309" t="inlineStr">
        <is>
          <t>Colombia</t>
        </is>
      </c>
      <c r="C309" t="inlineStr">
        <is>
          <t>Coco Colombia</t>
        </is>
      </c>
      <c r="D309" t="inlineStr">
        <is>
          <t>COP</t>
        </is>
      </c>
      <c r="E309" t="inlineStr">
        <is>
          <t>Real</t>
        </is>
      </c>
      <c r="F309" t="inlineStr">
        <is>
          <t>gasto_admin</t>
        </is>
      </c>
      <c r="H309" t="inlineStr">
        <is>
          <t>Servicios</t>
        </is>
      </c>
      <c r="I309" t="n">
        <v>6000000</v>
      </c>
      <c r="J309" t="inlineStr">
        <is>
          <t>COP</t>
        </is>
      </c>
      <c r="L309">
        <f>IFERROR(INDEX(Diccionario!$B:$B,MATCH(F321,Diccionario!$C:$C,0)),"")</f>
        <v/>
      </c>
      <c r="M309">
        <f>IFERROR(INDEX(Diccionario!$H:$H,MATCH(F321,Diccionario!$C:$C,0)),"")</f>
        <v/>
      </c>
      <c r="N309">
        <f>IFERROR(INDEX(Diccionario!$N:$N,MATCH(F321,Diccionario!$C:$C,0)),"")</f>
        <v/>
      </c>
    </row>
    <row r="310" ht="14.25" customHeight="1" s="52">
      <c r="A310" t="inlineStr">
        <is>
          <t>2024-10</t>
        </is>
      </c>
      <c r="B310" t="inlineStr">
        <is>
          <t>Colombia</t>
        </is>
      </c>
      <c r="C310" t="inlineStr">
        <is>
          <t>Coco Colombia</t>
        </is>
      </c>
      <c r="D310" t="inlineStr">
        <is>
          <t>COP</t>
        </is>
      </c>
      <c r="E310" t="inlineStr">
        <is>
          <t>Real</t>
        </is>
      </c>
      <c r="F310" t="inlineStr">
        <is>
          <t>gasto_admin</t>
        </is>
      </c>
      <c r="H310" t="inlineStr">
        <is>
          <t>Viajes</t>
        </is>
      </c>
      <c r="I310" t="n">
        <v>15000000</v>
      </c>
      <c r="J310" t="inlineStr">
        <is>
          <t>COP</t>
        </is>
      </c>
      <c r="L310">
        <f>IFERROR(INDEX(Diccionario!$B:$B,MATCH(F322,Diccionario!$C:$C,0)),"")</f>
        <v/>
      </c>
      <c r="M310">
        <f>IFERROR(INDEX(Diccionario!$H:$H,MATCH(F322,Diccionario!$C:$C,0)),"")</f>
        <v/>
      </c>
      <c r="N310">
        <f>IFERROR(INDEX(Diccionario!$N:$N,MATCH(F322,Diccionario!$C:$C,0)),"")</f>
        <v/>
      </c>
    </row>
    <row r="311" ht="14.25" customHeight="1" s="52">
      <c r="A311" t="inlineStr">
        <is>
          <t>2024-10</t>
        </is>
      </c>
      <c r="B311" t="inlineStr">
        <is>
          <t>Colombia</t>
        </is>
      </c>
      <c r="C311" t="inlineStr">
        <is>
          <t>Coco Colombia</t>
        </is>
      </c>
      <c r="D311" t="inlineStr">
        <is>
          <t>COP</t>
        </is>
      </c>
      <c r="E311" t="inlineStr">
        <is>
          <t>Real</t>
        </is>
      </c>
      <c r="F311" t="inlineStr">
        <is>
          <t>gasto_admin</t>
        </is>
      </c>
      <c r="H311" t="inlineStr">
        <is>
          <t>Diversos</t>
        </is>
      </c>
      <c r="I311" t="n">
        <v>1000000</v>
      </c>
      <c r="J311" t="inlineStr">
        <is>
          <t>COP</t>
        </is>
      </c>
      <c r="L311">
        <f>IFERROR(INDEX(Diccionario!$B:$B,MATCH(F323,Diccionario!$C:$C,0)),"")</f>
        <v/>
      </c>
      <c r="M311">
        <f>IFERROR(INDEX(Diccionario!$H:$H,MATCH(F323,Diccionario!$C:$C,0)),"")</f>
        <v/>
      </c>
      <c r="N311">
        <f>IFERROR(INDEX(Diccionario!$N:$N,MATCH(F323,Diccionario!$C:$C,0)),"")</f>
        <v/>
      </c>
    </row>
    <row r="312" ht="14.25" customHeight="1" s="52">
      <c r="A312" t="inlineStr">
        <is>
          <t>2024-11</t>
        </is>
      </c>
      <c r="B312" t="inlineStr">
        <is>
          <t>Colombia</t>
        </is>
      </c>
      <c r="C312" t="inlineStr">
        <is>
          <t>Coco Colombia</t>
        </is>
      </c>
      <c r="D312" t="inlineStr">
        <is>
          <t>COP</t>
        </is>
      </c>
      <c r="E312" t="inlineStr">
        <is>
          <t>Real</t>
        </is>
      </c>
      <c r="F312" t="inlineStr">
        <is>
          <t>gasto_admin</t>
        </is>
      </c>
      <c r="H312" t="inlineStr">
        <is>
          <t>Personal</t>
        </is>
      </c>
      <c r="I312" t="n">
        <v>73000000</v>
      </c>
      <c r="J312" t="inlineStr">
        <is>
          <t>COP</t>
        </is>
      </c>
      <c r="L312">
        <f>IFERROR(INDEX(Diccionario!$B:$B,MATCH(F324,Diccionario!$C:$C,0)),"")</f>
        <v/>
      </c>
      <c r="M312">
        <f>IFERROR(INDEX(Diccionario!$H:$H,MATCH(F324,Diccionario!$C:$C,0)),"")</f>
        <v/>
      </c>
      <c r="N312">
        <f>IFERROR(INDEX(Diccionario!$N:$N,MATCH(F324,Diccionario!$C:$C,0)),"")</f>
        <v/>
      </c>
    </row>
    <row r="313" ht="14.25" customHeight="1" s="52">
      <c r="A313" t="inlineStr">
        <is>
          <t>2024-11</t>
        </is>
      </c>
      <c r="B313" t="inlineStr">
        <is>
          <t>Colombia</t>
        </is>
      </c>
      <c r="C313" t="inlineStr">
        <is>
          <t>Coco Colombia</t>
        </is>
      </c>
      <c r="D313" t="inlineStr">
        <is>
          <t>COP</t>
        </is>
      </c>
      <c r="E313" t="inlineStr">
        <is>
          <t>Real</t>
        </is>
      </c>
      <c r="F313" t="inlineStr">
        <is>
          <t>gasto_admin</t>
        </is>
      </c>
      <c r="H313" t="inlineStr">
        <is>
          <t>Honorarios</t>
        </is>
      </c>
      <c r="I313" t="n">
        <v>8000000</v>
      </c>
      <c r="J313" t="inlineStr">
        <is>
          <t>COP</t>
        </is>
      </c>
      <c r="L313">
        <f>IFERROR(INDEX(Diccionario!$B:$B,MATCH(F325,Diccionario!$C:$C,0)),"")</f>
        <v/>
      </c>
      <c r="M313">
        <f>IFERROR(INDEX(Diccionario!$H:$H,MATCH(F325,Diccionario!$C:$C,0)),"")</f>
        <v/>
      </c>
      <c r="N313">
        <f>IFERROR(INDEX(Diccionario!$N:$N,MATCH(F325,Diccionario!$C:$C,0)),"")</f>
        <v/>
      </c>
    </row>
    <row r="314" ht="14.25" customHeight="1" s="52">
      <c r="A314" t="inlineStr">
        <is>
          <t>2024-11</t>
        </is>
      </c>
      <c r="B314" t="inlineStr">
        <is>
          <t>Colombia</t>
        </is>
      </c>
      <c r="C314" t="inlineStr">
        <is>
          <t>Coco Colombia</t>
        </is>
      </c>
      <c r="D314" t="inlineStr">
        <is>
          <t>COP</t>
        </is>
      </c>
      <c r="E314" t="inlineStr">
        <is>
          <t>Real</t>
        </is>
      </c>
      <c r="F314" t="inlineStr">
        <is>
          <t>gasto_admin</t>
        </is>
      </c>
      <c r="H314" t="inlineStr">
        <is>
          <t>Arrendamiento</t>
        </is>
      </c>
      <c r="I314" t="n">
        <v>25000000</v>
      </c>
      <c r="J314" t="inlineStr">
        <is>
          <t>COP</t>
        </is>
      </c>
      <c r="L314">
        <f>IFERROR(INDEX(Diccionario!$B:$B,MATCH(F326,Diccionario!$C:$C,0)),"")</f>
        <v/>
      </c>
      <c r="M314">
        <f>IFERROR(INDEX(Diccionario!$H:$H,MATCH(F326,Diccionario!$C:$C,0)),"")</f>
        <v/>
      </c>
      <c r="N314">
        <f>IFERROR(INDEX(Diccionario!$N:$N,MATCH(F326,Diccionario!$C:$C,0)),"")</f>
        <v/>
      </c>
    </row>
    <row r="315" ht="14.25" customHeight="1" s="52">
      <c r="A315" t="inlineStr">
        <is>
          <t>2024-11</t>
        </is>
      </c>
      <c r="B315" t="inlineStr">
        <is>
          <t>Colombia</t>
        </is>
      </c>
      <c r="C315" t="inlineStr">
        <is>
          <t>Coco Colombia</t>
        </is>
      </c>
      <c r="D315" t="inlineStr">
        <is>
          <t>COP</t>
        </is>
      </c>
      <c r="E315" t="inlineStr">
        <is>
          <t>Real</t>
        </is>
      </c>
      <c r="F315" t="inlineStr">
        <is>
          <t>gasto_admin</t>
        </is>
      </c>
      <c r="H315" t="inlineStr">
        <is>
          <t>Seguros</t>
        </is>
      </c>
      <c r="I315" t="n">
        <v>4000000</v>
      </c>
      <c r="J315" t="inlineStr">
        <is>
          <t>COP</t>
        </is>
      </c>
      <c r="L315">
        <f>IFERROR(INDEX(Diccionario!$B:$B,MATCH(F327,Diccionario!$C:$C,0)),"")</f>
        <v/>
      </c>
      <c r="M315">
        <f>IFERROR(INDEX(Diccionario!$H:$H,MATCH(F327,Diccionario!$C:$C,0)),"")</f>
        <v/>
      </c>
      <c r="N315">
        <f>IFERROR(INDEX(Diccionario!$N:$N,MATCH(F327,Diccionario!$C:$C,0)),"")</f>
        <v/>
      </c>
    </row>
    <row r="316" ht="14.25" customHeight="1" s="52">
      <c r="A316" t="inlineStr">
        <is>
          <t>2024-11</t>
        </is>
      </c>
      <c r="B316" t="inlineStr">
        <is>
          <t>Colombia</t>
        </is>
      </c>
      <c r="C316" t="inlineStr">
        <is>
          <t>Coco Colombia</t>
        </is>
      </c>
      <c r="D316" t="inlineStr">
        <is>
          <t>COP</t>
        </is>
      </c>
      <c r="E316" t="inlineStr">
        <is>
          <t>Real</t>
        </is>
      </c>
      <c r="F316" t="inlineStr">
        <is>
          <t>gasto_admin</t>
        </is>
      </c>
      <c r="H316" t="inlineStr">
        <is>
          <t>Servicios</t>
        </is>
      </c>
      <c r="I316" t="n">
        <v>6000000</v>
      </c>
      <c r="J316" t="inlineStr">
        <is>
          <t>COP</t>
        </is>
      </c>
      <c r="L316">
        <f>IFERROR(INDEX(Diccionario!$B:$B,MATCH(F328,Diccionario!$C:$C,0)),"")</f>
        <v/>
      </c>
      <c r="M316">
        <f>IFERROR(INDEX(Diccionario!$H:$H,MATCH(F328,Diccionario!$C:$C,0)),"")</f>
        <v/>
      </c>
      <c r="N316">
        <f>IFERROR(INDEX(Diccionario!$N:$N,MATCH(F328,Diccionario!$C:$C,0)),"")</f>
        <v/>
      </c>
    </row>
    <row r="317" ht="14.25" customHeight="1" s="52">
      <c r="A317" t="inlineStr">
        <is>
          <t>2024-11</t>
        </is>
      </c>
      <c r="B317" t="inlineStr">
        <is>
          <t>Colombia</t>
        </is>
      </c>
      <c r="C317" t="inlineStr">
        <is>
          <t>Coco Colombia</t>
        </is>
      </c>
      <c r="D317" t="inlineStr">
        <is>
          <t>COP</t>
        </is>
      </c>
      <c r="E317" t="inlineStr">
        <is>
          <t>Real</t>
        </is>
      </c>
      <c r="F317" t="inlineStr">
        <is>
          <t>gasto_admin</t>
        </is>
      </c>
      <c r="H317" t="inlineStr">
        <is>
          <t>Viajes</t>
        </is>
      </c>
      <c r="I317" t="n">
        <v>28000000</v>
      </c>
      <c r="J317" t="inlineStr">
        <is>
          <t>COP</t>
        </is>
      </c>
      <c r="L317">
        <f>IFERROR(INDEX(Diccionario!$B:$B,MATCH(F329,Diccionario!$C:$C,0)),"")</f>
        <v/>
      </c>
      <c r="M317">
        <f>IFERROR(INDEX(Diccionario!$H:$H,MATCH(F329,Diccionario!$C:$C,0)),"")</f>
        <v/>
      </c>
      <c r="N317">
        <f>IFERROR(INDEX(Diccionario!$N:$N,MATCH(F329,Diccionario!$C:$C,0)),"")</f>
        <v/>
      </c>
    </row>
    <row r="318" ht="14.25" customHeight="1" s="52">
      <c r="A318" t="inlineStr">
        <is>
          <t>2024-11</t>
        </is>
      </c>
      <c r="B318" t="inlineStr">
        <is>
          <t>Colombia</t>
        </is>
      </c>
      <c r="C318" t="inlineStr">
        <is>
          <t>Coco Colombia</t>
        </is>
      </c>
      <c r="D318" t="inlineStr">
        <is>
          <t>COP</t>
        </is>
      </c>
      <c r="E318" t="inlineStr">
        <is>
          <t>Real</t>
        </is>
      </c>
      <c r="F318" t="inlineStr">
        <is>
          <t>gasto_admin</t>
        </is>
      </c>
      <c r="H318" t="inlineStr">
        <is>
          <t>Diversos</t>
        </is>
      </c>
      <c r="I318" t="n">
        <v>0</v>
      </c>
      <c r="J318" t="inlineStr">
        <is>
          <t>COP</t>
        </is>
      </c>
      <c r="L318">
        <f>IFERROR(INDEX(Diccionario!$B:$B,MATCH(F330,Diccionario!$C:$C,0)),"")</f>
        <v/>
      </c>
      <c r="M318">
        <f>IFERROR(INDEX(Diccionario!$H:$H,MATCH(F330,Diccionario!$C:$C,0)),"")</f>
        <v/>
      </c>
      <c r="N318">
        <f>IFERROR(INDEX(Diccionario!$N:$N,MATCH(F330,Diccionario!$C:$C,0)),"")</f>
        <v/>
      </c>
    </row>
    <row r="319" ht="14.25" customHeight="1" s="52">
      <c r="A319" t="inlineStr">
        <is>
          <t>2024-12</t>
        </is>
      </c>
      <c r="B319" t="inlineStr">
        <is>
          <t>Colombia</t>
        </is>
      </c>
      <c r="C319" t="inlineStr">
        <is>
          <t>Coco Colombia</t>
        </is>
      </c>
      <c r="D319" t="inlineStr">
        <is>
          <t>COP</t>
        </is>
      </c>
      <c r="E319" t="inlineStr">
        <is>
          <t>Real</t>
        </is>
      </c>
      <c r="F319" t="inlineStr">
        <is>
          <t>gasto_admin</t>
        </is>
      </c>
      <c r="H319" t="inlineStr">
        <is>
          <t>Personal</t>
        </is>
      </c>
      <c r="I319" t="n">
        <v>60600000</v>
      </c>
      <c r="J319" t="inlineStr">
        <is>
          <t>COP</t>
        </is>
      </c>
      <c r="L319">
        <f>IFERROR(INDEX(Diccionario!$B:$B,MATCH(F331,Diccionario!$C:$C,0)),"")</f>
        <v/>
      </c>
      <c r="M319">
        <f>IFERROR(INDEX(Diccionario!$H:$H,MATCH(F331,Diccionario!$C:$C,0)),"")</f>
        <v/>
      </c>
      <c r="N319">
        <f>IFERROR(INDEX(Diccionario!$N:$N,MATCH(F331,Diccionario!$C:$C,0)),"")</f>
        <v/>
      </c>
    </row>
    <row r="320" ht="14.25" customHeight="1" s="52">
      <c r="A320" t="inlineStr">
        <is>
          <t>2024-12</t>
        </is>
      </c>
      <c r="B320" t="inlineStr">
        <is>
          <t>Colombia</t>
        </is>
      </c>
      <c r="C320" t="inlineStr">
        <is>
          <t>Coco Colombia</t>
        </is>
      </c>
      <c r="D320" t="inlineStr">
        <is>
          <t>COP</t>
        </is>
      </c>
      <c r="E320" t="inlineStr">
        <is>
          <t>Real</t>
        </is>
      </c>
      <c r="F320" t="inlineStr">
        <is>
          <t>gasto_admin</t>
        </is>
      </c>
      <c r="H320" t="inlineStr">
        <is>
          <t>Honorarios</t>
        </is>
      </c>
      <c r="I320" t="n">
        <v>103400000</v>
      </c>
      <c r="J320" t="inlineStr">
        <is>
          <t>COP</t>
        </is>
      </c>
      <c r="L320">
        <f>IFERROR(INDEX(Diccionario!$B:$B,MATCH(F332,Diccionario!$C:$C,0)),"")</f>
        <v/>
      </c>
      <c r="M320">
        <f>IFERROR(INDEX(Diccionario!$H:$H,MATCH(F332,Diccionario!$C:$C,0)),"")</f>
        <v/>
      </c>
      <c r="N320">
        <f>IFERROR(INDEX(Diccionario!$N:$N,MATCH(F332,Diccionario!$C:$C,0)),"")</f>
        <v/>
      </c>
    </row>
    <row r="321" ht="14.25" customHeight="1" s="52">
      <c r="A321" t="inlineStr">
        <is>
          <t>2024-12</t>
        </is>
      </c>
      <c r="B321" t="inlineStr">
        <is>
          <t>Colombia</t>
        </is>
      </c>
      <c r="C321" t="inlineStr">
        <is>
          <t>Coco Colombia</t>
        </is>
      </c>
      <c r="D321" t="inlineStr">
        <is>
          <t>COP</t>
        </is>
      </c>
      <c r="E321" t="inlineStr">
        <is>
          <t>Real</t>
        </is>
      </c>
      <c r="F321" t="inlineStr">
        <is>
          <t>gasto_admin</t>
        </is>
      </c>
      <c r="H321" t="inlineStr">
        <is>
          <t>Arrendamiento</t>
        </is>
      </c>
      <c r="I321" t="n">
        <v>26300000</v>
      </c>
      <c r="J321" t="inlineStr">
        <is>
          <t>COP</t>
        </is>
      </c>
      <c r="L321">
        <f>IFERROR(INDEX(Diccionario!$B:$B,MATCH(F333,Diccionario!$C:$C,0)),"")</f>
        <v/>
      </c>
      <c r="M321">
        <f>IFERROR(INDEX(Diccionario!$H:$H,MATCH(F333,Diccionario!$C:$C,0)),"")</f>
        <v/>
      </c>
      <c r="N321">
        <f>IFERROR(INDEX(Diccionario!$N:$N,MATCH(F333,Diccionario!$C:$C,0)),"")</f>
        <v/>
      </c>
    </row>
    <row r="322" ht="14.25" customHeight="1" s="52">
      <c r="A322" t="inlineStr">
        <is>
          <t>2024-12</t>
        </is>
      </c>
      <c r="B322" t="inlineStr">
        <is>
          <t>Colombia</t>
        </is>
      </c>
      <c r="C322" t="inlineStr">
        <is>
          <t>Coco Colombia</t>
        </is>
      </c>
      <c r="D322" t="inlineStr">
        <is>
          <t>COP</t>
        </is>
      </c>
      <c r="E322" t="inlineStr">
        <is>
          <t>Real</t>
        </is>
      </c>
      <c r="F322" t="inlineStr">
        <is>
          <t>gasto_admin</t>
        </is>
      </c>
      <c r="H322" t="inlineStr">
        <is>
          <t>Seguros</t>
        </is>
      </c>
      <c r="I322" t="n">
        <v>9400000</v>
      </c>
      <c r="J322" t="inlineStr">
        <is>
          <t>COP</t>
        </is>
      </c>
      <c r="L322">
        <f>IFERROR(INDEX(Diccionario!$B:$B,MATCH(F334,Diccionario!$C:$C,0)),"")</f>
        <v/>
      </c>
      <c r="M322">
        <f>IFERROR(INDEX(Diccionario!$H:$H,MATCH(F334,Diccionario!$C:$C,0)),"")</f>
        <v/>
      </c>
      <c r="N322">
        <f>IFERROR(INDEX(Diccionario!$N:$N,MATCH(F334,Diccionario!$C:$C,0)),"")</f>
        <v/>
      </c>
    </row>
    <row r="323" ht="14.25" customHeight="1" s="52">
      <c r="A323" t="inlineStr">
        <is>
          <t>2024-12</t>
        </is>
      </c>
      <c r="B323" t="inlineStr">
        <is>
          <t>Colombia</t>
        </is>
      </c>
      <c r="C323" t="inlineStr">
        <is>
          <t>Coco Colombia</t>
        </is>
      </c>
      <c r="D323" t="inlineStr">
        <is>
          <t>COP</t>
        </is>
      </c>
      <c r="E323" t="inlineStr">
        <is>
          <t>Real</t>
        </is>
      </c>
      <c r="F323" t="inlineStr">
        <is>
          <t>gasto_admin</t>
        </is>
      </c>
      <c r="H323" t="inlineStr">
        <is>
          <t>Servicios</t>
        </is>
      </c>
      <c r="I323" t="n">
        <v>15000000</v>
      </c>
      <c r="J323" t="inlineStr">
        <is>
          <t>COP</t>
        </is>
      </c>
      <c r="L323">
        <f>IFERROR(INDEX(Diccionario!$B:$B,MATCH(F335,Diccionario!$C:$C,0)),"")</f>
        <v/>
      </c>
      <c r="M323">
        <f>IFERROR(INDEX(Diccionario!$H:$H,MATCH(F335,Diccionario!$C:$C,0)),"")</f>
        <v/>
      </c>
      <c r="N323">
        <f>IFERROR(INDEX(Diccionario!$N:$N,MATCH(F335,Diccionario!$C:$C,0)),"")</f>
        <v/>
      </c>
    </row>
    <row r="324" ht="14.25" customHeight="1" s="52">
      <c r="A324" t="inlineStr">
        <is>
          <t>2024-12</t>
        </is>
      </c>
      <c r="B324" t="inlineStr">
        <is>
          <t>Colombia</t>
        </is>
      </c>
      <c r="C324" t="inlineStr">
        <is>
          <t>Coco Colombia</t>
        </is>
      </c>
      <c r="D324" t="inlineStr">
        <is>
          <t>COP</t>
        </is>
      </c>
      <c r="E324" t="inlineStr">
        <is>
          <t>Real</t>
        </is>
      </c>
      <c r="F324" t="inlineStr">
        <is>
          <t>gasto_admin</t>
        </is>
      </c>
      <c r="H324" t="inlineStr">
        <is>
          <t>Viajes</t>
        </is>
      </c>
      <c r="I324" t="n">
        <v>8000000</v>
      </c>
      <c r="J324" t="inlineStr">
        <is>
          <t>COP</t>
        </is>
      </c>
      <c r="L324">
        <f>IFERROR(INDEX(Diccionario!$B:$B,MATCH(F336,Diccionario!$C:$C,0)),"")</f>
        <v/>
      </c>
      <c r="M324">
        <f>IFERROR(INDEX(Diccionario!$H:$H,MATCH(F336,Diccionario!$C:$C,0)),"")</f>
        <v/>
      </c>
      <c r="N324">
        <f>IFERROR(INDEX(Diccionario!$N:$N,MATCH(F336,Diccionario!$C:$C,0)),"")</f>
        <v/>
      </c>
    </row>
    <row r="325" ht="14.25" customHeight="1" s="52">
      <c r="A325" t="inlineStr">
        <is>
          <t>2024-12</t>
        </is>
      </c>
      <c r="B325" t="inlineStr">
        <is>
          <t>Colombia</t>
        </is>
      </c>
      <c r="C325" t="inlineStr">
        <is>
          <t>Coco Colombia</t>
        </is>
      </c>
      <c r="D325" t="inlineStr">
        <is>
          <t>COP</t>
        </is>
      </c>
      <c r="E325" t="inlineStr">
        <is>
          <t>Real</t>
        </is>
      </c>
      <c r="F325" t="inlineStr">
        <is>
          <t>gasto_admin</t>
        </is>
      </c>
      <c r="H325" t="inlineStr">
        <is>
          <t>Diversos</t>
        </is>
      </c>
      <c r="I325" t="n">
        <v>6000000</v>
      </c>
      <c r="J325" t="inlineStr">
        <is>
          <t>COP</t>
        </is>
      </c>
      <c r="L325">
        <f>IFERROR(INDEX(Diccionario!$B:$B,MATCH(F337,Diccionario!$C:$C,0)),"")</f>
        <v/>
      </c>
      <c r="M325">
        <f>IFERROR(INDEX(Diccionario!$H:$H,MATCH(F337,Diccionario!$C:$C,0)),"")</f>
        <v/>
      </c>
      <c r="N325">
        <f>IFERROR(INDEX(Diccionario!$N:$N,MATCH(F337,Diccionario!$C:$C,0)),"")</f>
        <v/>
      </c>
    </row>
    <row r="326" ht="14.25" customHeight="1" s="52">
      <c r="A326" t="inlineStr">
        <is>
          <t>2025-01</t>
        </is>
      </c>
      <c r="B326" t="inlineStr">
        <is>
          <t>Colombia</t>
        </is>
      </c>
      <c r="C326" t="inlineStr">
        <is>
          <t>Coco Colombia</t>
        </is>
      </c>
      <c r="D326" t="inlineStr">
        <is>
          <t>COP</t>
        </is>
      </c>
      <c r="E326" t="inlineStr">
        <is>
          <t>Real</t>
        </is>
      </c>
      <c r="F326" t="inlineStr">
        <is>
          <t>gasto_admin</t>
        </is>
      </c>
      <c r="H326" t="inlineStr">
        <is>
          <t>Personal</t>
        </is>
      </c>
      <c r="I326" t="n">
        <v>60300000</v>
      </c>
      <c r="J326" t="inlineStr">
        <is>
          <t>COP</t>
        </is>
      </c>
      <c r="L326">
        <f>IFERROR(INDEX(Diccionario!$B:$B,MATCH(F338,Diccionario!$C:$C,0)),"")</f>
        <v/>
      </c>
      <c r="M326">
        <f>IFERROR(INDEX(Diccionario!$H:$H,MATCH(F338,Diccionario!$C:$C,0)),"")</f>
        <v/>
      </c>
      <c r="N326">
        <f>IFERROR(INDEX(Diccionario!$N:$N,MATCH(F338,Diccionario!$C:$C,0)),"")</f>
        <v/>
      </c>
    </row>
    <row r="327" ht="14.25" customHeight="1" s="52">
      <c r="A327" t="inlineStr">
        <is>
          <t>2025-01</t>
        </is>
      </c>
      <c r="B327" t="inlineStr">
        <is>
          <t>Colombia</t>
        </is>
      </c>
      <c r="C327" t="inlineStr">
        <is>
          <t>Coco Colombia</t>
        </is>
      </c>
      <c r="D327" t="inlineStr">
        <is>
          <t>COP</t>
        </is>
      </c>
      <c r="E327" t="inlineStr">
        <is>
          <t>Real</t>
        </is>
      </c>
      <c r="F327" t="inlineStr">
        <is>
          <t>gasto_admin</t>
        </is>
      </c>
      <c r="H327" t="inlineStr">
        <is>
          <t>Honorarios</t>
        </is>
      </c>
      <c r="I327" t="n">
        <v>37400000</v>
      </c>
      <c r="J327" t="inlineStr">
        <is>
          <t>COP</t>
        </is>
      </c>
      <c r="L327">
        <f>IFERROR(INDEX(Diccionario!$B:$B,MATCH(F339,Diccionario!$C:$C,0)),"")</f>
        <v/>
      </c>
      <c r="M327">
        <f>IFERROR(INDEX(Diccionario!$H:$H,MATCH(F339,Diccionario!$C:$C,0)),"")</f>
        <v/>
      </c>
      <c r="N327">
        <f>IFERROR(INDEX(Diccionario!$N:$N,MATCH(F339,Diccionario!$C:$C,0)),"")</f>
        <v/>
      </c>
    </row>
    <row r="328" ht="14.25" customHeight="1" s="52">
      <c r="A328" t="inlineStr">
        <is>
          <t>2025-01</t>
        </is>
      </c>
      <c r="B328" t="inlineStr">
        <is>
          <t>Colombia</t>
        </is>
      </c>
      <c r="C328" t="inlineStr">
        <is>
          <t>Coco Colombia</t>
        </is>
      </c>
      <c r="D328" t="inlineStr">
        <is>
          <t>COP</t>
        </is>
      </c>
      <c r="E328" t="inlineStr">
        <is>
          <t>Real</t>
        </is>
      </c>
      <c r="F328" t="inlineStr">
        <is>
          <t>gasto_admin</t>
        </is>
      </c>
      <c r="H328" t="inlineStr">
        <is>
          <t>Arrendamiento</t>
        </is>
      </c>
      <c r="I328" t="n">
        <v>7900000</v>
      </c>
      <c r="J328" t="inlineStr">
        <is>
          <t>COP</t>
        </is>
      </c>
      <c r="L328">
        <f>IFERROR(INDEX(Diccionario!$B:$B,MATCH(F340,Diccionario!$C:$C,0)),"")</f>
        <v/>
      </c>
      <c r="M328">
        <f>IFERROR(INDEX(Diccionario!$H:$H,MATCH(F340,Diccionario!$C:$C,0)),"")</f>
        <v/>
      </c>
      <c r="N328">
        <f>IFERROR(INDEX(Diccionario!$N:$N,MATCH(F340,Diccionario!$C:$C,0)),"")</f>
        <v/>
      </c>
    </row>
    <row r="329" ht="14.25" customHeight="1" s="52">
      <c r="A329" t="inlineStr">
        <is>
          <t>2025-01</t>
        </is>
      </c>
      <c r="B329" t="inlineStr">
        <is>
          <t>Colombia</t>
        </is>
      </c>
      <c r="C329" t="inlineStr">
        <is>
          <t>Coco Colombia</t>
        </is>
      </c>
      <c r="D329" t="inlineStr">
        <is>
          <t>COP</t>
        </is>
      </c>
      <c r="E329" t="inlineStr">
        <is>
          <t>Real</t>
        </is>
      </c>
      <c r="F329" t="inlineStr">
        <is>
          <t>gasto_admin</t>
        </is>
      </c>
      <c r="H329" t="inlineStr">
        <is>
          <t>Seguros</t>
        </is>
      </c>
      <c r="I329" t="n">
        <v>4200000</v>
      </c>
      <c r="J329" t="inlineStr">
        <is>
          <t>COP</t>
        </is>
      </c>
      <c r="L329">
        <f>IFERROR(INDEX(Diccionario!$B:$B,MATCH(F341,Diccionario!$C:$C,0)),"")</f>
        <v/>
      </c>
      <c r="M329">
        <f>IFERROR(INDEX(Diccionario!$H:$H,MATCH(F341,Diccionario!$C:$C,0)),"")</f>
        <v/>
      </c>
      <c r="N329">
        <f>IFERROR(INDEX(Diccionario!$N:$N,MATCH(F341,Diccionario!$C:$C,0)),"")</f>
        <v/>
      </c>
    </row>
    <row r="330" ht="14.25" customHeight="1" s="52">
      <c r="A330" t="inlineStr">
        <is>
          <t>2025-01</t>
        </is>
      </c>
      <c r="B330" t="inlineStr">
        <is>
          <t>Colombia</t>
        </is>
      </c>
      <c r="C330" t="inlineStr">
        <is>
          <t>Coco Colombia</t>
        </is>
      </c>
      <c r="D330" t="inlineStr">
        <is>
          <t>COP</t>
        </is>
      </c>
      <c r="E330" t="inlineStr">
        <is>
          <t>Real</t>
        </is>
      </c>
      <c r="F330" t="inlineStr">
        <is>
          <t>gasto_admin</t>
        </is>
      </c>
      <c r="H330" t="inlineStr">
        <is>
          <t>Servicios</t>
        </is>
      </c>
      <c r="I330" t="n">
        <v>20000000</v>
      </c>
      <c r="J330" t="inlineStr">
        <is>
          <t>COP</t>
        </is>
      </c>
      <c r="L330">
        <f>IFERROR(INDEX(Diccionario!$B:$B,MATCH(F342,Diccionario!$C:$C,0)),"")</f>
        <v/>
      </c>
      <c r="M330">
        <f>IFERROR(INDEX(Diccionario!$H:$H,MATCH(F342,Diccionario!$C:$C,0)),"")</f>
        <v/>
      </c>
      <c r="N330">
        <f>IFERROR(INDEX(Diccionario!$N:$N,MATCH(F342,Diccionario!$C:$C,0)),"")</f>
        <v/>
      </c>
    </row>
    <row r="331" ht="14.25" customHeight="1" s="52">
      <c r="A331" t="inlineStr">
        <is>
          <t>2025-01</t>
        </is>
      </c>
      <c r="B331" t="inlineStr">
        <is>
          <t>Colombia</t>
        </is>
      </c>
      <c r="C331" t="inlineStr">
        <is>
          <t>Coco Colombia</t>
        </is>
      </c>
      <c r="D331" t="inlineStr">
        <is>
          <t>COP</t>
        </is>
      </c>
      <c r="E331" t="inlineStr">
        <is>
          <t>Real</t>
        </is>
      </c>
      <c r="F331" t="inlineStr">
        <is>
          <t>gasto_admin</t>
        </is>
      </c>
      <c r="H331" t="inlineStr">
        <is>
          <t>Viajes</t>
        </is>
      </c>
      <c r="I331" t="n">
        <v>28000000</v>
      </c>
      <c r="J331" t="inlineStr">
        <is>
          <t>COP</t>
        </is>
      </c>
      <c r="L331">
        <f>IFERROR(INDEX(Diccionario!$B:$B,MATCH(F343,Diccionario!$C:$C,0)),"")</f>
        <v/>
      </c>
      <c r="M331">
        <f>IFERROR(INDEX(Diccionario!$H:$H,MATCH(F343,Diccionario!$C:$C,0)),"")</f>
        <v/>
      </c>
      <c r="N331">
        <f>IFERROR(INDEX(Diccionario!$N:$N,MATCH(F343,Diccionario!$C:$C,0)),"")</f>
        <v/>
      </c>
    </row>
    <row r="332" ht="14.25" customHeight="1" s="52">
      <c r="A332" t="inlineStr">
        <is>
          <t>2025-01</t>
        </is>
      </c>
      <c r="B332" t="inlineStr">
        <is>
          <t>Colombia</t>
        </is>
      </c>
      <c r="C332" t="inlineStr">
        <is>
          <t>Coco Colombia</t>
        </is>
      </c>
      <c r="D332" t="inlineStr">
        <is>
          <t>COP</t>
        </is>
      </c>
      <c r="E332" t="inlineStr">
        <is>
          <t>Real</t>
        </is>
      </c>
      <c r="F332" t="inlineStr">
        <is>
          <t>gasto_admin</t>
        </is>
      </c>
      <c r="H332" t="inlineStr">
        <is>
          <t>Diversos</t>
        </is>
      </c>
      <c r="I332" t="n">
        <v>500000</v>
      </c>
      <c r="J332" t="inlineStr">
        <is>
          <t>COP</t>
        </is>
      </c>
      <c r="L332">
        <f>IFERROR(INDEX(Diccionario!$B:$B,MATCH(F344,Diccionario!$C:$C,0)),"")</f>
        <v/>
      </c>
      <c r="M332">
        <f>IFERROR(INDEX(Diccionario!$H:$H,MATCH(F344,Diccionario!$C:$C,0)),"")</f>
        <v/>
      </c>
      <c r="N332">
        <f>IFERROR(INDEX(Diccionario!$N:$N,MATCH(F344,Diccionario!$C:$C,0)),"")</f>
        <v/>
      </c>
    </row>
    <row r="333" ht="14.25" customHeight="1" s="52">
      <c r="A333" t="inlineStr">
        <is>
          <t>2025-02</t>
        </is>
      </c>
      <c r="B333" t="inlineStr">
        <is>
          <t>Colombia</t>
        </is>
      </c>
      <c r="C333" t="inlineStr">
        <is>
          <t>Coco Colombia</t>
        </is>
      </c>
      <c r="D333" t="inlineStr">
        <is>
          <t>COP</t>
        </is>
      </c>
      <c r="E333" t="inlineStr">
        <is>
          <t>Real</t>
        </is>
      </c>
      <c r="F333" t="inlineStr">
        <is>
          <t>gasto_admin</t>
        </is>
      </c>
      <c r="H333" t="inlineStr">
        <is>
          <t>Personal</t>
        </is>
      </c>
      <c r="I333" t="n">
        <v>81000000</v>
      </c>
      <c r="J333" t="inlineStr">
        <is>
          <t>COP</t>
        </is>
      </c>
      <c r="L333">
        <f>IFERROR(INDEX(Diccionario!$B:$B,MATCH(F345,Diccionario!$C:$C,0)),"")</f>
        <v/>
      </c>
      <c r="M333">
        <f>IFERROR(INDEX(Diccionario!$H:$H,MATCH(F345,Diccionario!$C:$C,0)),"")</f>
        <v/>
      </c>
      <c r="N333">
        <f>IFERROR(INDEX(Diccionario!$N:$N,MATCH(F345,Diccionario!$C:$C,0)),"")</f>
        <v/>
      </c>
    </row>
    <row r="334" ht="14.25" customHeight="1" s="52">
      <c r="A334" t="inlineStr">
        <is>
          <t>2025-02</t>
        </is>
      </c>
      <c r="B334" t="inlineStr">
        <is>
          <t>Colombia</t>
        </is>
      </c>
      <c r="C334" t="inlineStr">
        <is>
          <t>Coco Colombia</t>
        </is>
      </c>
      <c r="D334" t="inlineStr">
        <is>
          <t>COP</t>
        </is>
      </c>
      <c r="E334" t="inlineStr">
        <is>
          <t>Real</t>
        </is>
      </c>
      <c r="F334" t="inlineStr">
        <is>
          <t>gasto_admin</t>
        </is>
      </c>
      <c r="H334" t="inlineStr">
        <is>
          <t>Honorarios</t>
        </is>
      </c>
      <c r="I334" t="n">
        <v>4200000</v>
      </c>
      <c r="J334" t="inlineStr">
        <is>
          <t>COP</t>
        </is>
      </c>
      <c r="L334">
        <f>IFERROR(INDEX(Diccionario!$B:$B,MATCH(F346,Diccionario!$C:$C,0)),"")</f>
        <v/>
      </c>
      <c r="M334">
        <f>IFERROR(INDEX(Diccionario!$H:$H,MATCH(F346,Diccionario!$C:$C,0)),"")</f>
        <v/>
      </c>
      <c r="N334">
        <f>IFERROR(INDEX(Diccionario!$N:$N,MATCH(F346,Diccionario!$C:$C,0)),"")</f>
        <v/>
      </c>
    </row>
    <row r="335" ht="14.25" customHeight="1" s="52">
      <c r="A335" t="inlineStr">
        <is>
          <t>2025-02</t>
        </is>
      </c>
      <c r="B335" t="inlineStr">
        <is>
          <t>Colombia</t>
        </is>
      </c>
      <c r="C335" t="inlineStr">
        <is>
          <t>Coco Colombia</t>
        </is>
      </c>
      <c r="D335" t="inlineStr">
        <is>
          <t>COP</t>
        </is>
      </c>
      <c r="E335" t="inlineStr">
        <is>
          <t>Real</t>
        </is>
      </c>
      <c r="F335" t="inlineStr">
        <is>
          <t>gasto_admin</t>
        </is>
      </c>
      <c r="H335" t="inlineStr">
        <is>
          <t>Arrendamiento</t>
        </is>
      </c>
      <c r="I335" t="n">
        <v>9100000</v>
      </c>
      <c r="J335" t="inlineStr">
        <is>
          <t>COP</t>
        </is>
      </c>
      <c r="L335">
        <f>IFERROR(INDEX(Diccionario!$B:$B,MATCH(F347,Diccionario!$C:$C,0)),"")</f>
        <v/>
      </c>
      <c r="M335">
        <f>IFERROR(INDEX(Diccionario!$H:$H,MATCH(F347,Diccionario!$C:$C,0)),"")</f>
        <v/>
      </c>
      <c r="N335">
        <f>IFERROR(INDEX(Diccionario!$N:$N,MATCH(F347,Diccionario!$C:$C,0)),"")</f>
        <v/>
      </c>
    </row>
    <row r="336" ht="14.25" customHeight="1" s="52">
      <c r="A336" t="inlineStr">
        <is>
          <t>2025-02</t>
        </is>
      </c>
      <c r="B336" t="inlineStr">
        <is>
          <t>Colombia</t>
        </is>
      </c>
      <c r="C336" t="inlineStr">
        <is>
          <t>Coco Colombia</t>
        </is>
      </c>
      <c r="D336" t="inlineStr">
        <is>
          <t>COP</t>
        </is>
      </c>
      <c r="E336" t="inlineStr">
        <is>
          <t>Real</t>
        </is>
      </c>
      <c r="F336" t="inlineStr">
        <is>
          <t>gasto_admin</t>
        </is>
      </c>
      <c r="H336" t="inlineStr">
        <is>
          <t>Seguros</t>
        </is>
      </c>
      <c r="I336" t="n">
        <v>3600000</v>
      </c>
      <c r="J336" t="inlineStr">
        <is>
          <t>COP</t>
        </is>
      </c>
      <c r="L336">
        <f>IFERROR(INDEX(Diccionario!$B:$B,MATCH(F348,Diccionario!$C:$C,0)),"")</f>
        <v/>
      </c>
      <c r="M336">
        <f>IFERROR(INDEX(Diccionario!$H:$H,MATCH(F348,Diccionario!$C:$C,0)),"")</f>
        <v/>
      </c>
      <c r="N336">
        <f>IFERROR(INDEX(Diccionario!$N:$N,MATCH(F348,Diccionario!$C:$C,0)),"")</f>
        <v/>
      </c>
    </row>
    <row r="337" ht="14.25" customHeight="1" s="52">
      <c r="A337" t="inlineStr">
        <is>
          <t>2025-02</t>
        </is>
      </c>
      <c r="B337" t="inlineStr">
        <is>
          <t>Colombia</t>
        </is>
      </c>
      <c r="C337" t="inlineStr">
        <is>
          <t>Coco Colombia</t>
        </is>
      </c>
      <c r="D337" t="inlineStr">
        <is>
          <t>COP</t>
        </is>
      </c>
      <c r="E337" t="inlineStr">
        <is>
          <t>Real</t>
        </is>
      </c>
      <c r="F337" t="inlineStr">
        <is>
          <t>gasto_admin</t>
        </is>
      </c>
      <c r="H337" t="inlineStr">
        <is>
          <t>Servicios</t>
        </is>
      </c>
      <c r="I337" t="n">
        <v>11700000</v>
      </c>
      <c r="J337" t="inlineStr">
        <is>
          <t>COP</t>
        </is>
      </c>
      <c r="L337">
        <f>IFERROR(INDEX(Diccionario!$B:$B,MATCH(F349,Diccionario!$C:$C,0)),"")</f>
        <v/>
      </c>
      <c r="M337">
        <f>IFERROR(INDEX(Diccionario!$H:$H,MATCH(F349,Diccionario!$C:$C,0)),"")</f>
        <v/>
      </c>
      <c r="N337">
        <f>IFERROR(INDEX(Diccionario!$N:$N,MATCH(F349,Diccionario!$C:$C,0)),"")</f>
        <v/>
      </c>
    </row>
    <row r="338" ht="14.25" customHeight="1" s="52">
      <c r="A338" t="inlineStr">
        <is>
          <t>2025-02</t>
        </is>
      </c>
      <c r="B338" t="inlineStr">
        <is>
          <t>Colombia</t>
        </is>
      </c>
      <c r="C338" t="inlineStr">
        <is>
          <t>Coco Colombia</t>
        </is>
      </c>
      <c r="D338" t="inlineStr">
        <is>
          <t>COP</t>
        </is>
      </c>
      <c r="E338" t="inlineStr">
        <is>
          <t>Real</t>
        </is>
      </c>
      <c r="F338" t="inlineStr">
        <is>
          <t>gasto_admin</t>
        </is>
      </c>
      <c r="H338" t="inlineStr">
        <is>
          <t>Viajes</t>
        </is>
      </c>
      <c r="I338" t="n">
        <v>30000000</v>
      </c>
      <c r="J338" t="inlineStr">
        <is>
          <t>COP</t>
        </is>
      </c>
      <c r="L338">
        <f>IFERROR(INDEX(Diccionario!$B:$B,MATCH(F350,Diccionario!$C:$C,0)),"")</f>
        <v/>
      </c>
      <c r="M338">
        <f>IFERROR(INDEX(Diccionario!$H:$H,MATCH(F350,Diccionario!$C:$C,0)),"")</f>
        <v/>
      </c>
      <c r="N338">
        <f>IFERROR(INDEX(Diccionario!$N:$N,MATCH(F350,Diccionario!$C:$C,0)),"")</f>
        <v/>
      </c>
    </row>
    <row r="339" ht="14.25" customHeight="1" s="52">
      <c r="A339" t="inlineStr">
        <is>
          <t>2025-03</t>
        </is>
      </c>
      <c r="B339" t="inlineStr">
        <is>
          <t>Colombia</t>
        </is>
      </c>
      <c r="C339" t="inlineStr">
        <is>
          <t>Coco Colombia</t>
        </is>
      </c>
      <c r="D339" t="inlineStr">
        <is>
          <t>COP</t>
        </is>
      </c>
      <c r="E339" t="inlineStr">
        <is>
          <t>Real</t>
        </is>
      </c>
      <c r="F339" t="inlineStr">
        <is>
          <t>gasto_admin</t>
        </is>
      </c>
      <c r="H339" t="inlineStr">
        <is>
          <t>Personal</t>
        </is>
      </c>
      <c r="I339" t="n">
        <v>58800000</v>
      </c>
      <c r="J339" t="inlineStr">
        <is>
          <t>COP</t>
        </is>
      </c>
      <c r="L339">
        <f>IFERROR(INDEX(Diccionario!$B:$B,MATCH(F351,Diccionario!$C:$C,0)),"")</f>
        <v/>
      </c>
      <c r="M339">
        <f>IFERROR(INDEX(Diccionario!$H:$H,MATCH(F351,Diccionario!$C:$C,0)),"")</f>
        <v/>
      </c>
      <c r="N339">
        <f>IFERROR(INDEX(Diccionario!$N:$N,MATCH(F351,Diccionario!$C:$C,0)),"")</f>
        <v/>
      </c>
    </row>
    <row r="340" ht="14.25" customHeight="1" s="52">
      <c r="A340" t="inlineStr">
        <is>
          <t>2025-03</t>
        </is>
      </c>
      <c r="B340" t="inlineStr">
        <is>
          <t>Colombia</t>
        </is>
      </c>
      <c r="C340" t="inlineStr">
        <is>
          <t>Coco Colombia</t>
        </is>
      </c>
      <c r="D340" t="inlineStr">
        <is>
          <t>COP</t>
        </is>
      </c>
      <c r="E340" t="inlineStr">
        <is>
          <t>Real</t>
        </is>
      </c>
      <c r="F340" t="inlineStr">
        <is>
          <t>gasto_admin</t>
        </is>
      </c>
      <c r="H340" t="inlineStr">
        <is>
          <t>Honorarios</t>
        </is>
      </c>
      <c r="I340" t="n">
        <v>9800000</v>
      </c>
      <c r="J340" t="inlineStr">
        <is>
          <t>COP</t>
        </is>
      </c>
      <c r="L340">
        <f>IFERROR(INDEX(Diccionario!$B:$B,MATCH(F352,Diccionario!$C:$C,0)),"")</f>
        <v/>
      </c>
      <c r="M340">
        <f>IFERROR(INDEX(Diccionario!$H:$H,MATCH(F352,Diccionario!$C:$C,0)),"")</f>
        <v/>
      </c>
      <c r="N340">
        <f>IFERROR(INDEX(Diccionario!$N:$N,MATCH(F352,Diccionario!$C:$C,0)),"")</f>
        <v/>
      </c>
    </row>
    <row r="341" ht="14.25" customHeight="1" s="52">
      <c r="A341" t="inlineStr">
        <is>
          <t>2025-03</t>
        </is>
      </c>
      <c r="B341" t="inlineStr">
        <is>
          <t>Colombia</t>
        </is>
      </c>
      <c r="C341" t="inlineStr">
        <is>
          <t>Coco Colombia</t>
        </is>
      </c>
      <c r="D341" t="inlineStr">
        <is>
          <t>COP</t>
        </is>
      </c>
      <c r="E341" t="inlineStr">
        <is>
          <t>Real</t>
        </is>
      </c>
      <c r="F341" t="inlineStr">
        <is>
          <t>gasto_admin</t>
        </is>
      </c>
      <c r="H341" t="inlineStr">
        <is>
          <t>Arrendamiento</t>
        </is>
      </c>
      <c r="I341" t="n">
        <v>7900000</v>
      </c>
      <c r="J341" t="inlineStr">
        <is>
          <t>COP</t>
        </is>
      </c>
      <c r="L341">
        <f>IFERROR(INDEX(Diccionario!$B:$B,MATCH(F353,Diccionario!$C:$C,0)),"")</f>
        <v/>
      </c>
      <c r="M341">
        <f>IFERROR(INDEX(Diccionario!$H:$H,MATCH(F353,Diccionario!$C:$C,0)),"")</f>
        <v/>
      </c>
      <c r="N341">
        <f>IFERROR(INDEX(Diccionario!$N:$N,MATCH(F353,Diccionario!$C:$C,0)),"")</f>
        <v/>
      </c>
    </row>
    <row r="342" ht="14.25" customHeight="1" s="52">
      <c r="A342" t="inlineStr">
        <is>
          <t>2025-03</t>
        </is>
      </c>
      <c r="B342" t="inlineStr">
        <is>
          <t>Colombia</t>
        </is>
      </c>
      <c r="C342" t="inlineStr">
        <is>
          <t>Coco Colombia</t>
        </is>
      </c>
      <c r="D342" t="inlineStr">
        <is>
          <t>COP</t>
        </is>
      </c>
      <c r="E342" t="inlineStr">
        <is>
          <t>Real</t>
        </is>
      </c>
      <c r="F342" t="inlineStr">
        <is>
          <t>gasto_admin</t>
        </is>
      </c>
      <c r="H342" t="inlineStr">
        <is>
          <t>Seguros</t>
        </is>
      </c>
      <c r="I342" t="n">
        <v>2900000</v>
      </c>
      <c r="J342" t="inlineStr">
        <is>
          <t>COP</t>
        </is>
      </c>
      <c r="L342">
        <f>IFERROR(INDEX(Diccionario!$B:$B,MATCH(F354,Diccionario!$C:$C,0)),"")</f>
        <v/>
      </c>
      <c r="M342">
        <f>IFERROR(INDEX(Diccionario!$H:$H,MATCH(F354,Diccionario!$C:$C,0)),"")</f>
        <v/>
      </c>
      <c r="N342">
        <f>IFERROR(INDEX(Diccionario!$N:$N,MATCH(F354,Diccionario!$C:$C,0)),"")</f>
        <v/>
      </c>
    </row>
    <row r="343" ht="14.25" customHeight="1" s="52">
      <c r="A343" t="inlineStr">
        <is>
          <t>2025-03</t>
        </is>
      </c>
      <c r="B343" t="inlineStr">
        <is>
          <t>Colombia</t>
        </is>
      </c>
      <c r="C343" t="inlineStr">
        <is>
          <t>Coco Colombia</t>
        </is>
      </c>
      <c r="D343" t="inlineStr">
        <is>
          <t>COP</t>
        </is>
      </c>
      <c r="E343" t="inlineStr">
        <is>
          <t>Real</t>
        </is>
      </c>
      <c r="F343" t="inlineStr">
        <is>
          <t>gasto_admin</t>
        </is>
      </c>
      <c r="H343" t="inlineStr">
        <is>
          <t>Servicios</t>
        </is>
      </c>
      <c r="I343" t="n">
        <v>20700000</v>
      </c>
      <c r="J343" t="inlineStr">
        <is>
          <t>COP</t>
        </is>
      </c>
      <c r="L343">
        <f>IFERROR(INDEX(Diccionario!$B:$B,MATCH(F355,Diccionario!$C:$C,0)),"")</f>
        <v/>
      </c>
      <c r="M343">
        <f>IFERROR(INDEX(Diccionario!$H:$H,MATCH(F355,Diccionario!$C:$C,0)),"")</f>
        <v/>
      </c>
      <c r="N343">
        <f>IFERROR(INDEX(Diccionario!$N:$N,MATCH(F355,Diccionario!$C:$C,0)),"")</f>
        <v/>
      </c>
    </row>
    <row r="344" ht="14.25" customHeight="1" s="52">
      <c r="A344" t="inlineStr">
        <is>
          <t>2025-03</t>
        </is>
      </c>
      <c r="B344" t="inlineStr">
        <is>
          <t>Colombia</t>
        </is>
      </c>
      <c r="C344" t="inlineStr">
        <is>
          <t>Coco Colombia</t>
        </is>
      </c>
      <c r="D344" t="inlineStr">
        <is>
          <t>COP</t>
        </is>
      </c>
      <c r="E344" t="inlineStr">
        <is>
          <t>Real</t>
        </is>
      </c>
      <c r="F344" t="inlineStr">
        <is>
          <t>gasto_admin</t>
        </is>
      </c>
      <c r="H344" t="inlineStr">
        <is>
          <t>Viajes</t>
        </is>
      </c>
      <c r="I344" t="n">
        <v>33500000</v>
      </c>
      <c r="J344" t="inlineStr">
        <is>
          <t>COP</t>
        </is>
      </c>
      <c r="L344">
        <f>IFERROR(INDEX(Diccionario!$B:$B,MATCH(F356,Diccionario!$C:$C,0)),"")</f>
        <v/>
      </c>
      <c r="M344">
        <f>IFERROR(INDEX(Diccionario!$H:$H,MATCH(F356,Diccionario!$C:$C,0)),"")</f>
        <v/>
      </c>
      <c r="N344">
        <f>IFERROR(INDEX(Diccionario!$N:$N,MATCH(F356,Diccionario!$C:$C,0)),"")</f>
        <v/>
      </c>
    </row>
    <row r="345" ht="14.25" customHeight="1" s="52">
      <c r="A345" t="inlineStr">
        <is>
          <t>2025-03</t>
        </is>
      </c>
      <c r="B345" t="inlineStr">
        <is>
          <t>Colombia</t>
        </is>
      </c>
      <c r="C345" t="inlineStr">
        <is>
          <t>Coco Colombia</t>
        </is>
      </c>
      <c r="D345" t="inlineStr">
        <is>
          <t>COP</t>
        </is>
      </c>
      <c r="E345" t="inlineStr">
        <is>
          <t>Real</t>
        </is>
      </c>
      <c r="F345" t="inlineStr">
        <is>
          <t>gasto_admin</t>
        </is>
      </c>
      <c r="H345" t="inlineStr">
        <is>
          <t>Diversos</t>
        </is>
      </c>
      <c r="I345" t="n">
        <v>7100000</v>
      </c>
      <c r="J345" t="inlineStr">
        <is>
          <t>COP</t>
        </is>
      </c>
      <c r="L345">
        <f>IFERROR(INDEX(Diccionario!$B:$B,MATCH(F357,Diccionario!$C:$C,0)),"")</f>
        <v/>
      </c>
      <c r="M345">
        <f>IFERROR(INDEX(Diccionario!$H:$H,MATCH(F357,Diccionario!$C:$C,0)),"")</f>
        <v/>
      </c>
      <c r="N345">
        <f>IFERROR(INDEX(Diccionario!$N:$N,MATCH(F357,Diccionario!$C:$C,0)),"")</f>
        <v/>
      </c>
    </row>
    <row r="346" ht="14.25" customHeight="1" s="52">
      <c r="A346" t="inlineStr">
        <is>
          <t>2025-04</t>
        </is>
      </c>
      <c r="B346" t="inlineStr">
        <is>
          <t>Colombia</t>
        </is>
      </c>
      <c r="C346" t="inlineStr">
        <is>
          <t>Coco Colombia</t>
        </is>
      </c>
      <c r="D346" t="inlineStr">
        <is>
          <t>COP</t>
        </is>
      </c>
      <c r="E346" t="inlineStr">
        <is>
          <t>Real</t>
        </is>
      </c>
      <c r="F346" t="inlineStr">
        <is>
          <t>gasto_admin</t>
        </is>
      </c>
      <c r="H346" t="inlineStr">
        <is>
          <t>Personal</t>
        </is>
      </c>
      <c r="I346" t="n">
        <v>58800000</v>
      </c>
      <c r="J346" t="inlineStr">
        <is>
          <t>COP</t>
        </is>
      </c>
      <c r="L346">
        <f>IFERROR(INDEX(Diccionario!$B:$B,MATCH(F358,Diccionario!$C:$C,0)),"")</f>
        <v/>
      </c>
      <c r="M346">
        <f>IFERROR(INDEX(Diccionario!$H:$H,MATCH(F358,Diccionario!$C:$C,0)),"")</f>
        <v/>
      </c>
      <c r="N346">
        <f>IFERROR(INDEX(Diccionario!$N:$N,MATCH(F358,Diccionario!$C:$C,0)),"")</f>
        <v/>
      </c>
    </row>
    <row r="347" ht="14.25" customHeight="1" s="52">
      <c r="A347" t="inlineStr">
        <is>
          <t>2025-04</t>
        </is>
      </c>
      <c r="B347" t="inlineStr">
        <is>
          <t>Colombia</t>
        </is>
      </c>
      <c r="C347" t="inlineStr">
        <is>
          <t>Coco Colombia</t>
        </is>
      </c>
      <c r="D347" t="inlineStr">
        <is>
          <t>COP</t>
        </is>
      </c>
      <c r="E347" t="inlineStr">
        <is>
          <t>Real</t>
        </is>
      </c>
      <c r="F347" t="inlineStr">
        <is>
          <t>gasto_admin</t>
        </is>
      </c>
      <c r="H347" t="inlineStr">
        <is>
          <t>Honorarios</t>
        </is>
      </c>
      <c r="I347" t="n">
        <v>6150000</v>
      </c>
      <c r="J347" t="inlineStr">
        <is>
          <t>COP</t>
        </is>
      </c>
      <c r="L347">
        <f>IFERROR(INDEX(Diccionario!$B:$B,MATCH(F359,Diccionario!$C:$C,0)),"")</f>
        <v/>
      </c>
      <c r="M347">
        <f>IFERROR(INDEX(Diccionario!$H:$H,MATCH(F359,Diccionario!$C:$C,0)),"")</f>
        <v/>
      </c>
      <c r="N347">
        <f>IFERROR(INDEX(Diccionario!$N:$N,MATCH(F359,Diccionario!$C:$C,0)),"")</f>
        <v/>
      </c>
    </row>
    <row r="348" ht="14.25" customHeight="1" s="52">
      <c r="A348" t="inlineStr">
        <is>
          <t>2025-04</t>
        </is>
      </c>
      <c r="B348" t="inlineStr">
        <is>
          <t>Colombia</t>
        </is>
      </c>
      <c r="C348" t="inlineStr">
        <is>
          <t>Coco Colombia</t>
        </is>
      </c>
      <c r="D348" t="inlineStr">
        <is>
          <t>COP</t>
        </is>
      </c>
      <c r="E348" t="inlineStr">
        <is>
          <t>Real</t>
        </is>
      </c>
      <c r="F348" t="inlineStr">
        <is>
          <t>gasto_admin</t>
        </is>
      </c>
      <c r="H348" t="inlineStr">
        <is>
          <t>Arrendamiento</t>
        </is>
      </c>
      <c r="I348" t="n">
        <v>9100000</v>
      </c>
      <c r="J348" t="inlineStr">
        <is>
          <t>COP</t>
        </is>
      </c>
      <c r="L348">
        <f>IFERROR(INDEX(Diccionario!$B:$B,MATCH(F360,Diccionario!$C:$C,0)),"")</f>
        <v/>
      </c>
      <c r="M348">
        <f>IFERROR(INDEX(Diccionario!$H:$H,MATCH(F360,Diccionario!$C:$C,0)),"")</f>
        <v/>
      </c>
      <c r="N348">
        <f>IFERROR(INDEX(Diccionario!$N:$N,MATCH(F360,Diccionario!$C:$C,0)),"")</f>
        <v/>
      </c>
    </row>
    <row r="349" ht="14.25" customHeight="1" s="52">
      <c r="A349" t="inlineStr">
        <is>
          <t>2025-04</t>
        </is>
      </c>
      <c r="B349" t="inlineStr">
        <is>
          <t>Colombia</t>
        </is>
      </c>
      <c r="C349" t="inlineStr">
        <is>
          <t>Coco Colombia</t>
        </is>
      </c>
      <c r="D349" t="inlineStr">
        <is>
          <t>COP</t>
        </is>
      </c>
      <c r="E349" t="inlineStr">
        <is>
          <t>Real</t>
        </is>
      </c>
      <c r="F349" t="inlineStr">
        <is>
          <t>gasto_admin</t>
        </is>
      </c>
      <c r="H349" t="inlineStr">
        <is>
          <t>Seguros</t>
        </is>
      </c>
      <c r="I349" t="n">
        <v>3400000</v>
      </c>
      <c r="J349" t="inlineStr">
        <is>
          <t>COP</t>
        </is>
      </c>
      <c r="L349">
        <f>IFERROR(INDEX(Diccionario!$B:$B,MATCH(F361,Diccionario!$C:$C,0)),"")</f>
        <v/>
      </c>
      <c r="M349">
        <f>IFERROR(INDEX(Diccionario!$H:$H,MATCH(F361,Diccionario!$C:$C,0)),"")</f>
        <v/>
      </c>
      <c r="N349">
        <f>IFERROR(INDEX(Diccionario!$N:$N,MATCH(F361,Diccionario!$C:$C,0)),"")</f>
        <v/>
      </c>
    </row>
    <row r="350" ht="14.25" customHeight="1" s="52">
      <c r="A350" t="inlineStr">
        <is>
          <t>2025-04</t>
        </is>
      </c>
      <c r="B350" t="inlineStr">
        <is>
          <t>Colombia</t>
        </is>
      </c>
      <c r="C350" t="inlineStr">
        <is>
          <t>Coco Colombia</t>
        </is>
      </c>
      <c r="D350" t="inlineStr">
        <is>
          <t>COP</t>
        </is>
      </c>
      <c r="E350" t="inlineStr">
        <is>
          <t>Real</t>
        </is>
      </c>
      <c r="F350" t="inlineStr">
        <is>
          <t>gasto_admin</t>
        </is>
      </c>
      <c r="H350" t="inlineStr">
        <is>
          <t>Servicios</t>
        </is>
      </c>
      <c r="I350" t="n">
        <v>6400000</v>
      </c>
      <c r="J350" t="inlineStr">
        <is>
          <t>COP</t>
        </is>
      </c>
      <c r="L350">
        <f>IFERROR(INDEX(Diccionario!$B:$B,MATCH(F362,Diccionario!$C:$C,0)),"")</f>
        <v/>
      </c>
      <c r="M350">
        <f>IFERROR(INDEX(Diccionario!$H:$H,MATCH(F362,Diccionario!$C:$C,0)),"")</f>
        <v/>
      </c>
      <c r="N350">
        <f>IFERROR(INDEX(Diccionario!$N:$N,MATCH(F362,Diccionario!$C:$C,0)),"")</f>
        <v/>
      </c>
    </row>
    <row r="351" ht="14.25" customHeight="1" s="52">
      <c r="A351" t="inlineStr">
        <is>
          <t>2025-04</t>
        </is>
      </c>
      <c r="B351" t="inlineStr">
        <is>
          <t>Colombia</t>
        </is>
      </c>
      <c r="C351" t="inlineStr">
        <is>
          <t>Coco Colombia</t>
        </is>
      </c>
      <c r="D351" t="inlineStr">
        <is>
          <t>COP</t>
        </is>
      </c>
      <c r="E351" t="inlineStr">
        <is>
          <t>Real</t>
        </is>
      </c>
      <c r="F351" t="inlineStr">
        <is>
          <t>gasto_admin</t>
        </is>
      </c>
      <c r="H351" t="inlineStr">
        <is>
          <t>Viajes</t>
        </is>
      </c>
      <c r="I351" t="n">
        <v>31100000</v>
      </c>
      <c r="J351" t="inlineStr">
        <is>
          <t>COP</t>
        </is>
      </c>
      <c r="L351">
        <f>IFERROR(INDEX(Diccionario!$B:$B,MATCH(F363,Diccionario!$C:$C,0)),"")</f>
        <v/>
      </c>
      <c r="M351">
        <f>IFERROR(INDEX(Diccionario!$H:$H,MATCH(F363,Diccionario!$C:$C,0)),"")</f>
        <v/>
      </c>
      <c r="N351">
        <f>IFERROR(INDEX(Diccionario!$N:$N,MATCH(F363,Diccionario!$C:$C,0)),"")</f>
        <v/>
      </c>
    </row>
    <row r="352" ht="14.25" customHeight="1" s="52">
      <c r="A352" t="inlineStr">
        <is>
          <t>2025-04</t>
        </is>
      </c>
      <c r="B352" t="inlineStr">
        <is>
          <t>Colombia</t>
        </is>
      </c>
      <c r="C352" t="inlineStr">
        <is>
          <t>Coco Colombia</t>
        </is>
      </c>
      <c r="D352" t="inlineStr">
        <is>
          <t>COP</t>
        </is>
      </c>
      <c r="E352" t="inlineStr">
        <is>
          <t>Real</t>
        </is>
      </c>
      <c r="F352" t="inlineStr">
        <is>
          <t>gasto_admin</t>
        </is>
      </c>
      <c r="H352" t="inlineStr">
        <is>
          <t>Diversos</t>
        </is>
      </c>
      <c r="I352" t="n">
        <v>2850000</v>
      </c>
      <c r="J352" t="inlineStr">
        <is>
          <t>COP</t>
        </is>
      </c>
      <c r="L352">
        <f>IFERROR(INDEX(Diccionario!$B:$B,MATCH(F364,Diccionario!$C:$C,0)),"")</f>
        <v/>
      </c>
      <c r="M352">
        <f>IFERROR(INDEX(Diccionario!$H:$H,MATCH(F364,Diccionario!$C:$C,0)),"")</f>
        <v/>
      </c>
      <c r="N352">
        <f>IFERROR(INDEX(Diccionario!$N:$N,MATCH(F364,Diccionario!$C:$C,0)),"")</f>
        <v/>
      </c>
    </row>
    <row r="353" ht="14.25" customHeight="1" s="52">
      <c r="A353" t="inlineStr">
        <is>
          <t>2025-05</t>
        </is>
      </c>
      <c r="B353" t="inlineStr">
        <is>
          <t>Colombia</t>
        </is>
      </c>
      <c r="C353" t="inlineStr">
        <is>
          <t>Coco Colombia</t>
        </is>
      </c>
      <c r="D353" t="inlineStr">
        <is>
          <t>COP</t>
        </is>
      </c>
      <c r="E353" t="inlineStr">
        <is>
          <t>Real</t>
        </is>
      </c>
      <c r="F353" t="inlineStr">
        <is>
          <t>gasto_admin</t>
        </is>
      </c>
      <c r="H353" t="inlineStr">
        <is>
          <t>Personal</t>
        </is>
      </c>
      <c r="I353" t="n">
        <v>60500000</v>
      </c>
      <c r="J353" t="inlineStr">
        <is>
          <t>COP</t>
        </is>
      </c>
      <c r="L353">
        <f>IFERROR(INDEX(Diccionario!$B:$B,MATCH(F365,Diccionario!$C:$C,0)),"")</f>
        <v/>
      </c>
      <c r="M353">
        <f>IFERROR(INDEX(Diccionario!$H:$H,MATCH(F365,Diccionario!$C:$C,0)),"")</f>
        <v/>
      </c>
      <c r="N353">
        <f>IFERROR(INDEX(Diccionario!$N:$N,MATCH(F365,Diccionario!$C:$C,0)),"")</f>
        <v/>
      </c>
    </row>
    <row r="354" ht="14.25" customHeight="1" s="52">
      <c r="A354" t="inlineStr">
        <is>
          <t>2025-05</t>
        </is>
      </c>
      <c r="B354" t="inlineStr">
        <is>
          <t>Colombia</t>
        </is>
      </c>
      <c r="C354" t="inlineStr">
        <is>
          <t>Coco Colombia</t>
        </is>
      </c>
      <c r="D354" t="inlineStr">
        <is>
          <t>COP</t>
        </is>
      </c>
      <c r="E354" t="inlineStr">
        <is>
          <t>Real</t>
        </is>
      </c>
      <c r="F354" t="inlineStr">
        <is>
          <t>gasto_admin</t>
        </is>
      </c>
      <c r="H354" t="inlineStr">
        <is>
          <t>Honorarios</t>
        </is>
      </c>
      <c r="I354" t="n">
        <v>16000000</v>
      </c>
      <c r="J354" t="inlineStr">
        <is>
          <t>COP</t>
        </is>
      </c>
      <c r="L354">
        <f>IFERROR(INDEX(Diccionario!$B:$B,MATCH(F366,Diccionario!$C:$C,0)),"")</f>
        <v/>
      </c>
      <c r="M354">
        <f>IFERROR(INDEX(Diccionario!$H:$H,MATCH(F366,Diccionario!$C:$C,0)),"")</f>
        <v/>
      </c>
      <c r="N354">
        <f>IFERROR(INDEX(Diccionario!$N:$N,MATCH(F366,Diccionario!$C:$C,0)),"")</f>
        <v/>
      </c>
    </row>
    <row r="355" ht="14.25" customHeight="1" s="52">
      <c r="A355" t="inlineStr">
        <is>
          <t>2025-05</t>
        </is>
      </c>
      <c r="B355" t="inlineStr">
        <is>
          <t>Colombia</t>
        </is>
      </c>
      <c r="C355" t="inlineStr">
        <is>
          <t>Coco Colombia</t>
        </is>
      </c>
      <c r="D355" t="inlineStr">
        <is>
          <t>COP</t>
        </is>
      </c>
      <c r="E355" t="inlineStr">
        <is>
          <t>Real</t>
        </is>
      </c>
      <c r="F355" t="inlineStr">
        <is>
          <t>gasto_admin</t>
        </is>
      </c>
      <c r="H355" t="inlineStr">
        <is>
          <t>Arrendamiento</t>
        </is>
      </c>
      <c r="I355" t="n">
        <v>17400000</v>
      </c>
      <c r="J355" t="inlineStr">
        <is>
          <t>COP</t>
        </is>
      </c>
      <c r="L355">
        <f>IFERROR(INDEX(Diccionario!$B:$B,MATCH(F367,Diccionario!$C:$C,0)),"")</f>
        <v/>
      </c>
      <c r="M355">
        <f>IFERROR(INDEX(Diccionario!$H:$H,MATCH(F367,Diccionario!$C:$C,0)),"")</f>
        <v/>
      </c>
      <c r="N355">
        <f>IFERROR(INDEX(Diccionario!$N:$N,MATCH(F367,Diccionario!$C:$C,0)),"")</f>
        <v/>
      </c>
    </row>
    <row r="356" ht="14.25" customHeight="1" s="52">
      <c r="A356" t="inlineStr">
        <is>
          <t>2025-05</t>
        </is>
      </c>
      <c r="B356" t="inlineStr">
        <is>
          <t>Colombia</t>
        </is>
      </c>
      <c r="C356" t="inlineStr">
        <is>
          <t>Coco Colombia</t>
        </is>
      </c>
      <c r="D356" t="inlineStr">
        <is>
          <t>COP</t>
        </is>
      </c>
      <c r="E356" t="inlineStr">
        <is>
          <t>Real</t>
        </is>
      </c>
      <c r="F356" t="inlineStr">
        <is>
          <t>gasto_admin</t>
        </is>
      </c>
      <c r="H356" t="inlineStr">
        <is>
          <t>Seguros</t>
        </is>
      </c>
      <c r="I356" t="n">
        <v>3400000</v>
      </c>
      <c r="J356" t="inlineStr">
        <is>
          <t>COP</t>
        </is>
      </c>
      <c r="L356">
        <f>IFERROR(INDEX(Diccionario!$B:$B,MATCH(F368,Diccionario!$C:$C,0)),"")</f>
        <v/>
      </c>
      <c r="M356">
        <f>IFERROR(INDEX(Diccionario!$H:$H,MATCH(F368,Diccionario!$C:$C,0)),"")</f>
        <v/>
      </c>
      <c r="N356">
        <f>IFERROR(INDEX(Diccionario!$N:$N,MATCH(F368,Diccionario!$C:$C,0)),"")</f>
        <v/>
      </c>
    </row>
    <row r="357" ht="14.25" customHeight="1" s="52">
      <c r="A357" t="inlineStr">
        <is>
          <t>2025-05</t>
        </is>
      </c>
      <c r="B357" t="inlineStr">
        <is>
          <t>Colombia</t>
        </is>
      </c>
      <c r="C357" t="inlineStr">
        <is>
          <t>Coco Colombia</t>
        </is>
      </c>
      <c r="D357" t="inlineStr">
        <is>
          <t>COP</t>
        </is>
      </c>
      <c r="E357" t="inlineStr">
        <is>
          <t>Real</t>
        </is>
      </c>
      <c r="F357" t="inlineStr">
        <is>
          <t>gasto_admin</t>
        </is>
      </c>
      <c r="H357" t="inlineStr">
        <is>
          <t>Servicios</t>
        </is>
      </c>
      <c r="I357" t="n">
        <v>2100000</v>
      </c>
      <c r="J357" t="inlineStr">
        <is>
          <t>COP</t>
        </is>
      </c>
      <c r="L357">
        <f>IFERROR(INDEX(Diccionario!$B:$B,MATCH(F369,Diccionario!$C:$C,0)),"")</f>
        <v/>
      </c>
      <c r="M357">
        <f>IFERROR(INDEX(Diccionario!$H:$H,MATCH(F369,Diccionario!$C:$C,0)),"")</f>
        <v/>
      </c>
      <c r="N357">
        <f>IFERROR(INDEX(Diccionario!$N:$N,MATCH(F369,Diccionario!$C:$C,0)),"")</f>
        <v/>
      </c>
    </row>
    <row r="358" ht="14.25" customHeight="1" s="52">
      <c r="A358" t="inlineStr">
        <is>
          <t>2025-05</t>
        </is>
      </c>
      <c r="B358" t="inlineStr">
        <is>
          <t>Colombia</t>
        </is>
      </c>
      <c r="C358" t="inlineStr">
        <is>
          <t>Coco Colombia</t>
        </is>
      </c>
      <c r="D358" t="inlineStr">
        <is>
          <t>COP</t>
        </is>
      </c>
      <c r="E358" t="inlineStr">
        <is>
          <t>Real</t>
        </is>
      </c>
      <c r="F358" t="inlineStr">
        <is>
          <t>gasto_admin</t>
        </is>
      </c>
      <c r="H358" t="inlineStr">
        <is>
          <t>Viajes</t>
        </is>
      </c>
      <c r="I358" t="n">
        <v>20300000</v>
      </c>
      <c r="J358" t="inlineStr">
        <is>
          <t>COP</t>
        </is>
      </c>
      <c r="L358">
        <f>IFERROR(INDEX(Diccionario!$B:$B,MATCH(F370,Diccionario!$C:$C,0)),"")</f>
        <v/>
      </c>
      <c r="M358">
        <f>IFERROR(INDEX(Diccionario!$H:$H,MATCH(F370,Diccionario!$C:$C,0)),"")</f>
        <v/>
      </c>
      <c r="N358">
        <f>IFERROR(INDEX(Diccionario!$N:$N,MATCH(F370,Diccionario!$C:$C,0)),"")</f>
        <v/>
      </c>
    </row>
    <row r="359" ht="14.25" customHeight="1" s="52">
      <c r="A359" t="inlineStr">
        <is>
          <t>2025-05</t>
        </is>
      </c>
      <c r="B359" t="inlineStr">
        <is>
          <t>Colombia</t>
        </is>
      </c>
      <c r="C359" t="inlineStr">
        <is>
          <t>Coco Colombia</t>
        </is>
      </c>
      <c r="D359" t="inlineStr">
        <is>
          <t>COP</t>
        </is>
      </c>
      <c r="E359" t="inlineStr">
        <is>
          <t>Real</t>
        </is>
      </c>
      <c r="F359" t="inlineStr">
        <is>
          <t>gasto_admin</t>
        </is>
      </c>
      <c r="H359" t="inlineStr">
        <is>
          <t>Diversos</t>
        </is>
      </c>
      <c r="I359" t="n">
        <v>1700000</v>
      </c>
      <c r="J359" t="inlineStr">
        <is>
          <t>COP</t>
        </is>
      </c>
      <c r="L359">
        <f>IFERROR(INDEX(Diccionario!$B:$B,MATCH(F371,Diccionario!$C:$C,0)),"")</f>
        <v/>
      </c>
      <c r="M359">
        <f>IFERROR(INDEX(Diccionario!$H:$H,MATCH(F371,Diccionario!$C:$C,0)),"")</f>
        <v/>
      </c>
      <c r="N359">
        <f>IFERROR(INDEX(Diccionario!$N:$N,MATCH(F371,Diccionario!$C:$C,0)),"")</f>
        <v/>
      </c>
    </row>
    <row r="360" ht="14.25" customHeight="1" s="52">
      <c r="A360" t="inlineStr">
        <is>
          <t>2025-06</t>
        </is>
      </c>
      <c r="B360" t="inlineStr">
        <is>
          <t>Colombia</t>
        </is>
      </c>
      <c r="C360" t="inlineStr">
        <is>
          <t>Coco Colombia</t>
        </is>
      </c>
      <c r="D360" t="inlineStr">
        <is>
          <t>COP</t>
        </is>
      </c>
      <c r="E360" t="inlineStr">
        <is>
          <t>Real</t>
        </is>
      </c>
      <c r="F360" t="inlineStr">
        <is>
          <t>gasto_admin</t>
        </is>
      </c>
      <c r="H360" t="inlineStr">
        <is>
          <t>Personal</t>
        </is>
      </c>
      <c r="I360" t="n">
        <v>60000000</v>
      </c>
      <c r="J360" t="inlineStr">
        <is>
          <t>COP</t>
        </is>
      </c>
      <c r="L360">
        <f>IFERROR(INDEX(Diccionario!$B:$B,MATCH(F372,Diccionario!$C:$C,0)),"")</f>
        <v/>
      </c>
      <c r="M360">
        <f>IFERROR(INDEX(Diccionario!$H:$H,MATCH(F372,Diccionario!$C:$C,0)),"")</f>
        <v/>
      </c>
      <c r="N360">
        <f>IFERROR(INDEX(Diccionario!$N:$N,MATCH(F372,Diccionario!$C:$C,0)),"")</f>
        <v/>
      </c>
    </row>
    <row r="361" ht="14.25" customHeight="1" s="52">
      <c r="A361" t="inlineStr">
        <is>
          <t>2025-06</t>
        </is>
      </c>
      <c r="B361" t="inlineStr">
        <is>
          <t>Colombia</t>
        </is>
      </c>
      <c r="C361" t="inlineStr">
        <is>
          <t>Coco Colombia</t>
        </is>
      </c>
      <c r="D361" t="inlineStr">
        <is>
          <t>COP</t>
        </is>
      </c>
      <c r="E361" t="inlineStr">
        <is>
          <t>Real</t>
        </is>
      </c>
      <c r="F361" t="inlineStr">
        <is>
          <t>gasto_admin</t>
        </is>
      </c>
      <c r="H361" t="inlineStr">
        <is>
          <t>Honorarios</t>
        </is>
      </c>
      <c r="I361" t="n">
        <v>9900000</v>
      </c>
      <c r="J361" t="inlineStr">
        <is>
          <t>COP</t>
        </is>
      </c>
      <c r="L361">
        <f>IFERROR(INDEX(Diccionario!$B:$B,MATCH(F373,Diccionario!$C:$C,0)),"")</f>
        <v/>
      </c>
      <c r="M361">
        <f>IFERROR(INDEX(Diccionario!$H:$H,MATCH(F373,Diccionario!$C:$C,0)),"")</f>
        <v/>
      </c>
      <c r="N361">
        <f>IFERROR(INDEX(Diccionario!$N:$N,MATCH(F373,Diccionario!$C:$C,0)),"")</f>
        <v/>
      </c>
    </row>
    <row r="362" ht="14.25" customHeight="1" s="52">
      <c r="A362" t="inlineStr">
        <is>
          <t>2025-06</t>
        </is>
      </c>
      <c r="B362" t="inlineStr">
        <is>
          <t>Colombia</t>
        </is>
      </c>
      <c r="C362" t="inlineStr">
        <is>
          <t>Coco Colombia</t>
        </is>
      </c>
      <c r="D362" t="inlineStr">
        <is>
          <t>COP</t>
        </is>
      </c>
      <c r="E362" t="inlineStr">
        <is>
          <t>Real</t>
        </is>
      </c>
      <c r="F362" t="inlineStr">
        <is>
          <t>gasto_admin</t>
        </is>
      </c>
      <c r="H362" t="inlineStr">
        <is>
          <t>Arrendamiento</t>
        </is>
      </c>
      <c r="I362" t="n">
        <v>1300000</v>
      </c>
      <c r="J362" t="inlineStr">
        <is>
          <t>COP</t>
        </is>
      </c>
      <c r="L362">
        <f>IFERROR(INDEX(Diccionario!$B:$B,MATCH(F374,Diccionario!$C:$C,0)),"")</f>
        <v/>
      </c>
      <c r="M362">
        <f>IFERROR(INDEX(Diccionario!$H:$H,MATCH(F374,Diccionario!$C:$C,0)),"")</f>
        <v/>
      </c>
      <c r="N362">
        <f>IFERROR(INDEX(Diccionario!$N:$N,MATCH(F374,Diccionario!$C:$C,0)),"")</f>
        <v/>
      </c>
    </row>
    <row r="363" ht="14.25" customHeight="1" s="52">
      <c r="A363" t="inlineStr">
        <is>
          <t>2025-06</t>
        </is>
      </c>
      <c r="B363" t="inlineStr">
        <is>
          <t>Colombia</t>
        </is>
      </c>
      <c r="C363" t="inlineStr">
        <is>
          <t>Coco Colombia</t>
        </is>
      </c>
      <c r="D363" t="inlineStr">
        <is>
          <t>COP</t>
        </is>
      </c>
      <c r="E363" t="inlineStr">
        <is>
          <t>Real</t>
        </is>
      </c>
      <c r="F363" t="inlineStr">
        <is>
          <t>gasto_admin</t>
        </is>
      </c>
      <c r="H363" t="inlineStr">
        <is>
          <t>Seguros</t>
        </is>
      </c>
      <c r="I363" t="n">
        <v>4200000</v>
      </c>
      <c r="J363" t="inlineStr">
        <is>
          <t>COP</t>
        </is>
      </c>
      <c r="L363">
        <f>IFERROR(INDEX(Diccionario!$B:$B,MATCH(F375,Diccionario!$C:$C,0)),"")</f>
        <v/>
      </c>
      <c r="M363">
        <f>IFERROR(INDEX(Diccionario!$H:$H,MATCH(F375,Diccionario!$C:$C,0)),"")</f>
        <v/>
      </c>
      <c r="N363">
        <f>IFERROR(INDEX(Diccionario!$N:$N,MATCH(F375,Diccionario!$C:$C,0)),"")</f>
        <v/>
      </c>
    </row>
    <row r="364" ht="14.25" customHeight="1" s="52">
      <c r="A364" t="inlineStr">
        <is>
          <t>2025-06</t>
        </is>
      </c>
      <c r="B364" t="inlineStr">
        <is>
          <t>Colombia</t>
        </is>
      </c>
      <c r="C364" t="inlineStr">
        <is>
          <t>Coco Colombia</t>
        </is>
      </c>
      <c r="D364" t="inlineStr">
        <is>
          <t>COP</t>
        </is>
      </c>
      <c r="E364" t="inlineStr">
        <is>
          <t>Real</t>
        </is>
      </c>
      <c r="F364" t="inlineStr">
        <is>
          <t>gasto_admin</t>
        </is>
      </c>
      <c r="H364" t="inlineStr">
        <is>
          <t>Servicios</t>
        </is>
      </c>
      <c r="I364" t="n">
        <v>17800000</v>
      </c>
      <c r="J364" t="inlineStr">
        <is>
          <t>COP</t>
        </is>
      </c>
      <c r="L364">
        <f>IFERROR(INDEX(Diccionario!$B:$B,MATCH(F376,Diccionario!$C:$C,0)),"")</f>
        <v/>
      </c>
      <c r="M364">
        <f>IFERROR(INDEX(Diccionario!$H:$H,MATCH(F376,Diccionario!$C:$C,0)),"")</f>
        <v/>
      </c>
      <c r="N364">
        <f>IFERROR(INDEX(Diccionario!$N:$N,MATCH(F376,Diccionario!$C:$C,0)),"")</f>
        <v/>
      </c>
    </row>
    <row r="365" ht="14.25" customHeight="1" s="52">
      <c r="A365" t="inlineStr">
        <is>
          <t>2025-06</t>
        </is>
      </c>
      <c r="B365" t="inlineStr">
        <is>
          <t>Colombia</t>
        </is>
      </c>
      <c r="C365" t="inlineStr">
        <is>
          <t>Coco Colombia</t>
        </is>
      </c>
      <c r="D365" t="inlineStr">
        <is>
          <t>COP</t>
        </is>
      </c>
      <c r="E365" t="inlineStr">
        <is>
          <t>Real</t>
        </is>
      </c>
      <c r="F365" t="inlineStr">
        <is>
          <t>gasto_admin</t>
        </is>
      </c>
      <c r="H365" t="inlineStr">
        <is>
          <t>Viajes</t>
        </is>
      </c>
      <c r="I365" t="n">
        <v>1100000</v>
      </c>
      <c r="J365" t="inlineStr">
        <is>
          <t>COP</t>
        </is>
      </c>
      <c r="L365">
        <f>IFERROR(INDEX(Diccionario!$B:$B,MATCH(F377,Diccionario!$C:$C,0)),"")</f>
        <v/>
      </c>
      <c r="M365">
        <f>IFERROR(INDEX(Diccionario!$H:$H,MATCH(F377,Diccionario!$C:$C,0)),"")</f>
        <v/>
      </c>
      <c r="N365">
        <f>IFERROR(INDEX(Diccionario!$N:$N,MATCH(F377,Diccionario!$C:$C,0)),"")</f>
        <v/>
      </c>
    </row>
    <row r="366" ht="14.25" customHeight="1" s="52">
      <c r="A366" t="inlineStr">
        <is>
          <t>2025-06</t>
        </is>
      </c>
      <c r="B366" t="inlineStr">
        <is>
          <t>Colombia</t>
        </is>
      </c>
      <c r="C366" t="inlineStr">
        <is>
          <t>Coco Colombia</t>
        </is>
      </c>
      <c r="D366" t="inlineStr">
        <is>
          <t>COP</t>
        </is>
      </c>
      <c r="E366" t="inlineStr">
        <is>
          <t>Real</t>
        </is>
      </c>
      <c r="F366" t="inlineStr">
        <is>
          <t>gasto_admin</t>
        </is>
      </c>
      <c r="H366" t="inlineStr">
        <is>
          <t>Diversos</t>
        </is>
      </c>
      <c r="I366" t="n">
        <v>2440000</v>
      </c>
      <c r="J366" t="inlineStr">
        <is>
          <t>COP</t>
        </is>
      </c>
      <c r="L366">
        <f>IFERROR(INDEX(Diccionario!$B:$B,MATCH(F378,Diccionario!$C:$C,0)),"")</f>
        <v/>
      </c>
      <c r="M366">
        <f>IFERROR(INDEX(Diccionario!$H:$H,MATCH(F378,Diccionario!$C:$C,0)),"")</f>
        <v/>
      </c>
      <c r="N366">
        <f>IFERROR(INDEX(Diccionario!$N:$N,MATCH(F378,Diccionario!$C:$C,0)),"")</f>
        <v/>
      </c>
    </row>
    <row r="367" ht="14.25" customHeight="1" s="52">
      <c r="A367" t="inlineStr">
        <is>
          <t>2025-07</t>
        </is>
      </c>
      <c r="B367" t="inlineStr">
        <is>
          <t>Colombia</t>
        </is>
      </c>
      <c r="C367" t="inlineStr">
        <is>
          <t>Coco Colombia</t>
        </is>
      </c>
      <c r="D367" t="inlineStr">
        <is>
          <t>COP</t>
        </is>
      </c>
      <c r="E367" t="inlineStr">
        <is>
          <t>Real</t>
        </is>
      </c>
      <c r="F367" t="inlineStr">
        <is>
          <t>gasto_admin</t>
        </is>
      </c>
      <c r="H367" t="inlineStr">
        <is>
          <t>Personal</t>
        </is>
      </c>
      <c r="I367" t="n">
        <v>60600000</v>
      </c>
      <c r="J367" t="inlineStr">
        <is>
          <t>COP</t>
        </is>
      </c>
      <c r="L367">
        <f>IFERROR(INDEX(Diccionario!$B:$B,MATCH(F379,Diccionario!$C:$C,0)),"")</f>
        <v/>
      </c>
      <c r="M367">
        <f>IFERROR(INDEX(Diccionario!$H:$H,MATCH(F379,Diccionario!$C:$C,0)),"")</f>
        <v/>
      </c>
      <c r="N367">
        <f>IFERROR(INDEX(Diccionario!$N:$N,MATCH(F379,Diccionario!$C:$C,0)),"")</f>
        <v/>
      </c>
    </row>
    <row r="368" ht="14.25" customHeight="1" s="52">
      <c r="A368" t="inlineStr">
        <is>
          <t>2025-07</t>
        </is>
      </c>
      <c r="B368" t="inlineStr">
        <is>
          <t>Colombia</t>
        </is>
      </c>
      <c r="C368" t="inlineStr">
        <is>
          <t>Coco Colombia</t>
        </is>
      </c>
      <c r="D368" t="inlineStr">
        <is>
          <t>COP</t>
        </is>
      </c>
      <c r="E368" t="inlineStr">
        <is>
          <t>Real</t>
        </is>
      </c>
      <c r="F368" t="inlineStr">
        <is>
          <t>gasto_admin</t>
        </is>
      </c>
      <c r="H368" t="inlineStr">
        <is>
          <t>Honorarios</t>
        </is>
      </c>
      <c r="I368" t="n">
        <v>16000000</v>
      </c>
      <c r="J368" t="inlineStr">
        <is>
          <t>COP</t>
        </is>
      </c>
      <c r="L368">
        <f>IFERROR(INDEX(Diccionario!$B:$B,MATCH(F380,Diccionario!$C:$C,0)),"")</f>
        <v/>
      </c>
      <c r="M368">
        <f>IFERROR(INDEX(Diccionario!$H:$H,MATCH(F380,Diccionario!$C:$C,0)),"")</f>
        <v/>
      </c>
      <c r="N368">
        <f>IFERROR(INDEX(Diccionario!$N:$N,MATCH(F380,Diccionario!$C:$C,0)),"")</f>
        <v/>
      </c>
    </row>
    <row r="369" ht="14.25" customHeight="1" s="52">
      <c r="A369" t="inlineStr">
        <is>
          <t>2025-07</t>
        </is>
      </c>
      <c r="B369" t="inlineStr">
        <is>
          <t>Colombia</t>
        </is>
      </c>
      <c r="C369" t="inlineStr">
        <is>
          <t>Coco Colombia</t>
        </is>
      </c>
      <c r="D369" t="inlineStr">
        <is>
          <t>COP</t>
        </is>
      </c>
      <c r="E369" t="inlineStr">
        <is>
          <t>Real</t>
        </is>
      </c>
      <c r="F369" t="inlineStr">
        <is>
          <t>gasto_admin</t>
        </is>
      </c>
      <c r="H369" t="inlineStr">
        <is>
          <t>Arrendamiento</t>
        </is>
      </c>
      <c r="I369" t="n">
        <v>16300000</v>
      </c>
      <c r="J369" t="inlineStr">
        <is>
          <t>COP</t>
        </is>
      </c>
      <c r="L369">
        <f>IFERROR(INDEX(Diccionario!$B:$B,MATCH(F381,Diccionario!$C:$C,0)),"")</f>
        <v/>
      </c>
      <c r="M369">
        <f>IFERROR(INDEX(Diccionario!$H:$H,MATCH(F381,Diccionario!$C:$C,0)),"")</f>
        <v/>
      </c>
      <c r="N369">
        <f>IFERROR(INDEX(Diccionario!$N:$N,MATCH(F381,Diccionario!$C:$C,0)),"")</f>
        <v/>
      </c>
    </row>
    <row r="370" ht="14.25" customHeight="1" s="52">
      <c r="A370" t="inlineStr">
        <is>
          <t>2025-07</t>
        </is>
      </c>
      <c r="B370" t="inlineStr">
        <is>
          <t>Colombia</t>
        </is>
      </c>
      <c r="C370" t="inlineStr">
        <is>
          <t>Coco Colombia</t>
        </is>
      </c>
      <c r="D370" t="inlineStr">
        <is>
          <t>COP</t>
        </is>
      </c>
      <c r="E370" t="inlineStr">
        <is>
          <t>Real</t>
        </is>
      </c>
      <c r="F370" t="inlineStr">
        <is>
          <t>gasto_admin</t>
        </is>
      </c>
      <c r="H370" t="inlineStr">
        <is>
          <t>Seguros</t>
        </is>
      </c>
      <c r="I370" t="n">
        <v>3400000</v>
      </c>
      <c r="J370" t="inlineStr">
        <is>
          <t>COP</t>
        </is>
      </c>
      <c r="L370">
        <f>IFERROR(INDEX(Diccionario!$B:$B,MATCH(F382,Diccionario!$C:$C,0)),"")</f>
        <v/>
      </c>
      <c r="M370">
        <f>IFERROR(INDEX(Diccionario!$H:$H,MATCH(F382,Diccionario!$C:$C,0)),"")</f>
        <v/>
      </c>
      <c r="N370">
        <f>IFERROR(INDEX(Diccionario!$N:$N,MATCH(F382,Diccionario!$C:$C,0)),"")</f>
        <v/>
      </c>
    </row>
    <row r="371" ht="14.25" customHeight="1" s="52">
      <c r="A371" t="inlineStr">
        <is>
          <t>2025-07</t>
        </is>
      </c>
      <c r="B371" t="inlineStr">
        <is>
          <t>Colombia</t>
        </is>
      </c>
      <c r="C371" t="inlineStr">
        <is>
          <t>Coco Colombia</t>
        </is>
      </c>
      <c r="D371" t="inlineStr">
        <is>
          <t>COP</t>
        </is>
      </c>
      <c r="E371" t="inlineStr">
        <is>
          <t>Real</t>
        </is>
      </c>
      <c r="F371" t="inlineStr">
        <is>
          <t>gasto_admin</t>
        </is>
      </c>
      <c r="H371" t="inlineStr">
        <is>
          <t>Servicios</t>
        </is>
      </c>
      <c r="I371" t="n">
        <v>9800000</v>
      </c>
      <c r="J371" t="inlineStr">
        <is>
          <t>COP</t>
        </is>
      </c>
      <c r="L371">
        <f>IFERROR(INDEX(Diccionario!$B:$B,MATCH(F383,Diccionario!$C:$C,0)),"")</f>
        <v/>
      </c>
      <c r="M371">
        <f>IFERROR(INDEX(Diccionario!$H:$H,MATCH(F383,Diccionario!$C:$C,0)),"")</f>
        <v/>
      </c>
      <c r="N371">
        <f>IFERROR(INDEX(Diccionario!$N:$N,MATCH(F383,Diccionario!$C:$C,0)),"")</f>
        <v/>
      </c>
    </row>
    <row r="372" ht="14.25" customHeight="1" s="52">
      <c r="A372" t="inlineStr">
        <is>
          <t>2025-07</t>
        </is>
      </c>
      <c r="B372" t="inlineStr">
        <is>
          <t>Colombia</t>
        </is>
      </c>
      <c r="C372" t="inlineStr">
        <is>
          <t>Coco Colombia</t>
        </is>
      </c>
      <c r="D372" t="inlineStr">
        <is>
          <t>COP</t>
        </is>
      </c>
      <c r="E372" t="inlineStr">
        <is>
          <t>Real</t>
        </is>
      </c>
      <c r="F372" t="inlineStr">
        <is>
          <t>gasto_admin</t>
        </is>
      </c>
      <c r="H372" t="inlineStr">
        <is>
          <t>Viajes</t>
        </is>
      </c>
      <c r="I372" t="n">
        <v>3100000</v>
      </c>
      <c r="J372" t="inlineStr">
        <is>
          <t>COP</t>
        </is>
      </c>
      <c r="L372">
        <f>IFERROR(INDEX(Diccionario!$B:$B,MATCH(F384,Diccionario!$C:$C,0)),"")</f>
        <v/>
      </c>
      <c r="M372">
        <f>IFERROR(INDEX(Diccionario!$H:$H,MATCH(F384,Diccionario!$C:$C,0)),"")</f>
        <v/>
      </c>
      <c r="N372">
        <f>IFERROR(INDEX(Diccionario!$N:$N,MATCH(F384,Diccionario!$C:$C,0)),"")</f>
        <v/>
      </c>
    </row>
    <row r="373" ht="14.25" customHeight="1" s="52">
      <c r="A373" t="inlineStr">
        <is>
          <t>2025-07</t>
        </is>
      </c>
      <c r="B373" t="inlineStr">
        <is>
          <t>Colombia</t>
        </is>
      </c>
      <c r="C373" t="inlineStr">
        <is>
          <t>Coco Colombia</t>
        </is>
      </c>
      <c r="D373" t="inlineStr">
        <is>
          <t>COP</t>
        </is>
      </c>
      <c r="E373" t="inlineStr">
        <is>
          <t>Real</t>
        </is>
      </c>
      <c r="F373" t="inlineStr">
        <is>
          <t>gasto_admin</t>
        </is>
      </c>
      <c r="H373" t="inlineStr">
        <is>
          <t>Diversos</t>
        </is>
      </c>
      <c r="I373" t="n">
        <v>8900000</v>
      </c>
      <c r="J373" t="inlineStr">
        <is>
          <t>COP</t>
        </is>
      </c>
      <c r="L373">
        <f>IFERROR(INDEX(Diccionario!$B:$B,MATCH(F385,Diccionario!$C:$C,0)),"")</f>
        <v/>
      </c>
      <c r="M373">
        <f>IFERROR(INDEX(Diccionario!$H:$H,MATCH(F385,Diccionario!$C:$C,0)),"")</f>
        <v/>
      </c>
      <c r="N373">
        <f>IFERROR(INDEX(Diccionario!$N:$N,MATCH(F385,Diccionario!$C:$C,0)),"")</f>
        <v/>
      </c>
    </row>
    <row r="374" ht="14.25" customHeight="1" s="52">
      <c r="A374" t="inlineStr">
        <is>
          <t>2025-08</t>
        </is>
      </c>
      <c r="B374" t="inlineStr">
        <is>
          <t>Colombia</t>
        </is>
      </c>
      <c r="C374" t="inlineStr">
        <is>
          <t>Coco Colombia</t>
        </is>
      </c>
      <c r="D374" t="inlineStr">
        <is>
          <t>COP</t>
        </is>
      </c>
      <c r="E374" t="inlineStr">
        <is>
          <t>Real</t>
        </is>
      </c>
      <c r="F374" t="inlineStr">
        <is>
          <t>gasto_admin</t>
        </is>
      </c>
      <c r="H374" t="inlineStr">
        <is>
          <t>Personal</t>
        </is>
      </c>
      <c r="I374" t="n">
        <v>62400000</v>
      </c>
      <c r="J374" t="inlineStr">
        <is>
          <t>COP</t>
        </is>
      </c>
      <c r="L374">
        <f>IFERROR(INDEX(Diccionario!$B:$B,MATCH(F386,Diccionario!$C:$C,0)),"")</f>
        <v/>
      </c>
      <c r="M374">
        <f>IFERROR(INDEX(Diccionario!$H:$H,MATCH(F386,Diccionario!$C:$C,0)),"")</f>
        <v/>
      </c>
      <c r="N374">
        <f>IFERROR(INDEX(Diccionario!$N:$N,MATCH(F386,Diccionario!$C:$C,0)),"")</f>
        <v/>
      </c>
    </row>
    <row r="375" ht="14.25" customHeight="1" s="52">
      <c r="A375" t="inlineStr">
        <is>
          <t>2025-08</t>
        </is>
      </c>
      <c r="B375" t="inlineStr">
        <is>
          <t>Colombia</t>
        </is>
      </c>
      <c r="C375" t="inlineStr">
        <is>
          <t>Coco Colombia</t>
        </is>
      </c>
      <c r="D375" t="inlineStr">
        <is>
          <t>COP</t>
        </is>
      </c>
      <c r="E375" t="inlineStr">
        <is>
          <t>Real</t>
        </is>
      </c>
      <c r="F375" t="inlineStr">
        <is>
          <t>gasto_admin</t>
        </is>
      </c>
      <c r="H375" t="inlineStr">
        <is>
          <t>Honorarios</t>
        </is>
      </c>
      <c r="I375" t="n">
        <v>6100000</v>
      </c>
      <c r="J375" t="inlineStr">
        <is>
          <t>COP</t>
        </is>
      </c>
      <c r="L375">
        <f>IFERROR(INDEX(Diccionario!$B:$B,MATCH(F387,Diccionario!$C:$C,0)),"")</f>
        <v/>
      </c>
      <c r="M375">
        <f>IFERROR(INDEX(Diccionario!$H:$H,MATCH(F387,Diccionario!$C:$C,0)),"")</f>
        <v/>
      </c>
      <c r="N375">
        <f>IFERROR(INDEX(Diccionario!$N:$N,MATCH(F387,Diccionario!$C:$C,0)),"")</f>
        <v/>
      </c>
    </row>
    <row r="376" ht="14.25" customHeight="1" s="52">
      <c r="A376" t="inlineStr">
        <is>
          <t>2025-08</t>
        </is>
      </c>
      <c r="B376" t="inlineStr">
        <is>
          <t>Colombia</t>
        </is>
      </c>
      <c r="C376" t="inlineStr">
        <is>
          <t>Coco Colombia</t>
        </is>
      </c>
      <c r="D376" t="inlineStr">
        <is>
          <t>COP</t>
        </is>
      </c>
      <c r="E376" t="inlineStr">
        <is>
          <t>Real</t>
        </is>
      </c>
      <c r="F376" t="inlineStr">
        <is>
          <t>gasto_admin</t>
        </is>
      </c>
      <c r="H376" t="inlineStr">
        <is>
          <t>Arrendamiento</t>
        </is>
      </c>
      <c r="I376" t="n">
        <v>16100000</v>
      </c>
      <c r="J376" t="inlineStr">
        <is>
          <t>COP</t>
        </is>
      </c>
      <c r="L376">
        <f>IFERROR(INDEX(Diccionario!$B:$B,MATCH(F388,Diccionario!$C:$C,0)),"")</f>
        <v/>
      </c>
      <c r="M376">
        <f>IFERROR(INDEX(Diccionario!$H:$H,MATCH(F388,Diccionario!$C:$C,0)),"")</f>
        <v/>
      </c>
      <c r="N376">
        <f>IFERROR(INDEX(Diccionario!$N:$N,MATCH(F388,Diccionario!$C:$C,0)),"")</f>
        <v/>
      </c>
    </row>
    <row r="377" ht="14.25" customHeight="1" s="52">
      <c r="A377" t="inlineStr">
        <is>
          <t>2025-08</t>
        </is>
      </c>
      <c r="B377" t="inlineStr">
        <is>
          <t>Colombia</t>
        </is>
      </c>
      <c r="C377" t="inlineStr">
        <is>
          <t>Coco Colombia</t>
        </is>
      </c>
      <c r="D377" t="inlineStr">
        <is>
          <t>COP</t>
        </is>
      </c>
      <c r="E377" t="inlineStr">
        <is>
          <t>Real</t>
        </is>
      </c>
      <c r="F377" t="inlineStr">
        <is>
          <t>gasto_admin</t>
        </is>
      </c>
      <c r="H377" t="inlineStr">
        <is>
          <t>Seguros</t>
        </is>
      </c>
      <c r="I377" t="n">
        <v>1800000</v>
      </c>
      <c r="J377" t="inlineStr">
        <is>
          <t>COP</t>
        </is>
      </c>
      <c r="L377">
        <f>IFERROR(INDEX(Diccionario!$B:$B,MATCH(F389,Diccionario!$C:$C,0)),"")</f>
        <v/>
      </c>
      <c r="M377">
        <f>IFERROR(INDEX(Diccionario!$H:$H,MATCH(F389,Diccionario!$C:$C,0)),"")</f>
        <v/>
      </c>
      <c r="N377">
        <f>IFERROR(INDEX(Diccionario!$N:$N,MATCH(F389,Diccionario!$C:$C,0)),"")</f>
        <v/>
      </c>
    </row>
    <row r="378" ht="14.25" customHeight="1" s="52">
      <c r="A378" t="inlineStr">
        <is>
          <t>2025-08</t>
        </is>
      </c>
      <c r="B378" t="inlineStr">
        <is>
          <t>Colombia</t>
        </is>
      </c>
      <c r="C378" t="inlineStr">
        <is>
          <t>Coco Colombia</t>
        </is>
      </c>
      <c r="D378" t="inlineStr">
        <is>
          <t>COP</t>
        </is>
      </c>
      <c r="E378" t="inlineStr">
        <is>
          <t>Real</t>
        </is>
      </c>
      <c r="F378" t="inlineStr">
        <is>
          <t>gasto_admin</t>
        </is>
      </c>
      <c r="H378" t="inlineStr">
        <is>
          <t>Servicios</t>
        </is>
      </c>
      <c r="I378" t="n">
        <v>3000000</v>
      </c>
      <c r="J378" t="inlineStr">
        <is>
          <t>COP</t>
        </is>
      </c>
      <c r="L378">
        <f>IFERROR(INDEX(Diccionario!$B:$B,MATCH(F390,Diccionario!$C:$C,0)),"")</f>
        <v/>
      </c>
      <c r="M378">
        <f>IFERROR(INDEX(Diccionario!$H:$H,MATCH(F390,Diccionario!$C:$C,0)),"")</f>
        <v/>
      </c>
      <c r="N378">
        <f>IFERROR(INDEX(Diccionario!$N:$N,MATCH(F390,Diccionario!$C:$C,0)),"")</f>
        <v/>
      </c>
    </row>
    <row r="379" ht="14.25" customHeight="1" s="52">
      <c r="A379" t="inlineStr">
        <is>
          <t>2025-08</t>
        </is>
      </c>
      <c r="B379" t="inlineStr">
        <is>
          <t>Colombia</t>
        </is>
      </c>
      <c r="C379" t="inlineStr">
        <is>
          <t>Coco Colombia</t>
        </is>
      </c>
      <c r="D379" t="inlineStr">
        <is>
          <t>COP</t>
        </is>
      </c>
      <c r="E379" t="inlineStr">
        <is>
          <t>Real</t>
        </is>
      </c>
      <c r="F379" t="inlineStr">
        <is>
          <t>gasto_admin</t>
        </is>
      </c>
      <c r="H379" t="inlineStr">
        <is>
          <t>Viajes</t>
        </is>
      </c>
      <c r="I379" t="n">
        <v>4300000</v>
      </c>
      <c r="J379" t="inlineStr">
        <is>
          <t>COP</t>
        </is>
      </c>
      <c r="L379">
        <f>IFERROR(INDEX(Diccionario!$B:$B,MATCH(F391,Diccionario!$C:$C,0)),"")</f>
        <v/>
      </c>
      <c r="M379">
        <f>IFERROR(INDEX(Diccionario!$H:$H,MATCH(F391,Diccionario!$C:$C,0)),"")</f>
        <v/>
      </c>
      <c r="N379">
        <f>IFERROR(INDEX(Diccionario!$N:$N,MATCH(F391,Diccionario!$C:$C,0)),"")</f>
        <v/>
      </c>
    </row>
    <row r="380" ht="14.25" customHeight="1" s="52">
      <c r="A380" t="inlineStr">
        <is>
          <t>2025-08</t>
        </is>
      </c>
      <c r="B380" t="inlineStr">
        <is>
          <t>Colombia</t>
        </is>
      </c>
      <c r="C380" t="inlineStr">
        <is>
          <t>Coco Colombia</t>
        </is>
      </c>
      <c r="D380" t="inlineStr">
        <is>
          <t>COP</t>
        </is>
      </c>
      <c r="E380" t="inlineStr">
        <is>
          <t>Real</t>
        </is>
      </c>
      <c r="F380" t="inlineStr">
        <is>
          <t>gasto_admin</t>
        </is>
      </c>
      <c r="H380" t="inlineStr">
        <is>
          <t>Diversos</t>
        </is>
      </c>
      <c r="I380" t="n">
        <v>27200000</v>
      </c>
      <c r="J380" t="inlineStr">
        <is>
          <t>COP</t>
        </is>
      </c>
      <c r="L380">
        <f>IFERROR(INDEX(Diccionario!$B:$B,MATCH(F392,Diccionario!$C:$C,0)),"")</f>
        <v/>
      </c>
      <c r="M380">
        <f>IFERROR(INDEX(Diccionario!$H:$H,MATCH(F392,Diccionario!$C:$C,0)),"")</f>
        <v/>
      </c>
      <c r="N380">
        <f>IFERROR(INDEX(Diccionario!$N:$N,MATCH(F392,Diccionario!$C:$C,0)),"")</f>
        <v/>
      </c>
    </row>
    <row r="381" ht="14.25" customHeight="1" s="52">
      <c r="A381" t="inlineStr">
        <is>
          <t>2025-09</t>
        </is>
      </c>
      <c r="B381" t="inlineStr">
        <is>
          <t>Colombia</t>
        </is>
      </c>
      <c r="C381" t="inlineStr">
        <is>
          <t>Coco Colombia</t>
        </is>
      </c>
      <c r="D381" t="inlineStr">
        <is>
          <t>COP</t>
        </is>
      </c>
      <c r="E381" t="inlineStr">
        <is>
          <t>Real</t>
        </is>
      </c>
      <c r="F381" t="inlineStr">
        <is>
          <t>gasto_admin</t>
        </is>
      </c>
      <c r="H381" t="inlineStr">
        <is>
          <t>Personal</t>
        </is>
      </c>
      <c r="I381" t="n">
        <v>66300000</v>
      </c>
      <c r="J381" t="inlineStr">
        <is>
          <t>COP</t>
        </is>
      </c>
      <c r="L381">
        <f>IFERROR(INDEX(Diccionario!$B:$B,MATCH(F393,Diccionario!$C:$C,0)),"")</f>
        <v/>
      </c>
      <c r="M381">
        <f>IFERROR(INDEX(Diccionario!$H:$H,MATCH(F393,Diccionario!$C:$C,0)),"")</f>
        <v/>
      </c>
      <c r="N381">
        <f>IFERROR(INDEX(Diccionario!$N:$N,MATCH(F393,Diccionario!$C:$C,0)),"")</f>
        <v/>
      </c>
    </row>
    <row r="382" ht="14.25" customHeight="1" s="52">
      <c r="A382" t="inlineStr">
        <is>
          <t>2025-09</t>
        </is>
      </c>
      <c r="B382" t="inlineStr">
        <is>
          <t>Colombia</t>
        </is>
      </c>
      <c r="C382" t="inlineStr">
        <is>
          <t>Coco Colombia</t>
        </is>
      </c>
      <c r="D382" t="inlineStr">
        <is>
          <t>COP</t>
        </is>
      </c>
      <c r="E382" t="inlineStr">
        <is>
          <t>Real</t>
        </is>
      </c>
      <c r="F382" t="inlineStr">
        <is>
          <t>gasto_admin</t>
        </is>
      </c>
      <c r="H382" t="inlineStr">
        <is>
          <t>Honorarios</t>
        </is>
      </c>
      <c r="I382" t="n">
        <v>20100000</v>
      </c>
      <c r="J382" t="inlineStr">
        <is>
          <t>COP</t>
        </is>
      </c>
      <c r="L382">
        <f>IFERROR(INDEX(Diccionario!$B:$B,MATCH(F394,Diccionario!$C:$C,0)),"")</f>
        <v/>
      </c>
      <c r="M382">
        <f>IFERROR(INDEX(Diccionario!$H:$H,MATCH(F394,Diccionario!$C:$C,0)),"")</f>
        <v/>
      </c>
      <c r="N382">
        <f>IFERROR(INDEX(Diccionario!$N:$N,MATCH(F394,Diccionario!$C:$C,0)),"")</f>
        <v/>
      </c>
    </row>
    <row r="383" ht="14.25" customHeight="1" s="52">
      <c r="A383" t="inlineStr">
        <is>
          <t>2025-09</t>
        </is>
      </c>
      <c r="B383" t="inlineStr">
        <is>
          <t>Colombia</t>
        </is>
      </c>
      <c r="C383" t="inlineStr">
        <is>
          <t>Coco Colombia</t>
        </is>
      </c>
      <c r="D383" t="inlineStr">
        <is>
          <t>COP</t>
        </is>
      </c>
      <c r="E383" t="inlineStr">
        <is>
          <t>Real</t>
        </is>
      </c>
      <c r="F383" t="inlineStr">
        <is>
          <t>gasto_admin</t>
        </is>
      </c>
      <c r="H383" t="inlineStr">
        <is>
          <t>Arrendamiento</t>
        </is>
      </c>
      <c r="I383" t="n">
        <v>12700000</v>
      </c>
      <c r="J383" t="inlineStr">
        <is>
          <t>COP</t>
        </is>
      </c>
      <c r="L383">
        <f>IFERROR(INDEX(Diccionario!$B:$B,MATCH(F395,Diccionario!$C:$C,0)),"")</f>
        <v/>
      </c>
      <c r="M383">
        <f>IFERROR(INDEX(Diccionario!$H:$H,MATCH(F395,Diccionario!$C:$C,0)),"")</f>
        <v/>
      </c>
      <c r="N383">
        <f>IFERROR(INDEX(Diccionario!$N:$N,MATCH(F395,Diccionario!$C:$C,0)),"")</f>
        <v/>
      </c>
    </row>
    <row r="384" ht="14.25" customHeight="1" s="52">
      <c r="A384" t="inlineStr">
        <is>
          <t>2025-09</t>
        </is>
      </c>
      <c r="B384" t="inlineStr">
        <is>
          <t>Colombia</t>
        </is>
      </c>
      <c r="C384" t="inlineStr">
        <is>
          <t>Coco Colombia</t>
        </is>
      </c>
      <c r="D384" t="inlineStr">
        <is>
          <t>COP</t>
        </is>
      </c>
      <c r="E384" t="inlineStr">
        <is>
          <t>Real</t>
        </is>
      </c>
      <c r="F384" t="inlineStr">
        <is>
          <t>gasto_admin</t>
        </is>
      </c>
      <c r="H384" t="inlineStr">
        <is>
          <t>Seguros</t>
        </is>
      </c>
      <c r="I384" t="n">
        <v>5800000</v>
      </c>
      <c r="J384" t="inlineStr">
        <is>
          <t>COP</t>
        </is>
      </c>
      <c r="L384">
        <f>IFERROR(INDEX(Diccionario!$B:$B,MATCH(F396,Diccionario!$C:$C,0)),"")</f>
        <v/>
      </c>
      <c r="M384">
        <f>IFERROR(INDEX(Diccionario!$H:$H,MATCH(F396,Diccionario!$C:$C,0)),"")</f>
        <v/>
      </c>
      <c r="N384">
        <f>IFERROR(INDEX(Diccionario!$N:$N,MATCH(F396,Diccionario!$C:$C,0)),"")</f>
        <v/>
      </c>
    </row>
    <row r="385" ht="14.25" customHeight="1" s="52">
      <c r="A385" t="inlineStr">
        <is>
          <t>2025-09</t>
        </is>
      </c>
      <c r="B385" t="inlineStr">
        <is>
          <t>Colombia</t>
        </is>
      </c>
      <c r="C385" t="inlineStr">
        <is>
          <t>Coco Colombia</t>
        </is>
      </c>
      <c r="D385" t="inlineStr">
        <is>
          <t>COP</t>
        </is>
      </c>
      <c r="E385" t="inlineStr">
        <is>
          <t>Real</t>
        </is>
      </c>
      <c r="F385" t="inlineStr">
        <is>
          <t>gasto_admin</t>
        </is>
      </c>
      <c r="H385" t="inlineStr">
        <is>
          <t>Servicios</t>
        </is>
      </c>
      <c r="I385" t="n">
        <v>6500000</v>
      </c>
      <c r="J385" t="inlineStr">
        <is>
          <t>COP</t>
        </is>
      </c>
      <c r="L385">
        <f>IFERROR(INDEX(Diccionario!$B:$B,MATCH(F397,Diccionario!$C:$C,0)),"")</f>
        <v/>
      </c>
      <c r="M385">
        <f>IFERROR(INDEX(Diccionario!$H:$H,MATCH(F397,Diccionario!$C:$C,0)),"")</f>
        <v/>
      </c>
      <c r="N385">
        <f>IFERROR(INDEX(Diccionario!$N:$N,MATCH(F397,Diccionario!$C:$C,0)),"")</f>
        <v/>
      </c>
    </row>
    <row r="386" ht="14.25" customHeight="1" s="52">
      <c r="A386" t="inlineStr">
        <is>
          <t>2025-09</t>
        </is>
      </c>
      <c r="B386" t="inlineStr">
        <is>
          <t>Colombia</t>
        </is>
      </c>
      <c r="C386" t="inlineStr">
        <is>
          <t>Coco Colombia</t>
        </is>
      </c>
      <c r="D386" t="inlineStr">
        <is>
          <t>COP</t>
        </is>
      </c>
      <c r="E386" t="inlineStr">
        <is>
          <t>Real</t>
        </is>
      </c>
      <c r="F386" t="inlineStr">
        <is>
          <t>gasto_admin</t>
        </is>
      </c>
      <c r="H386" t="inlineStr">
        <is>
          <t>Viajes</t>
        </is>
      </c>
      <c r="I386" t="n">
        <v>15100000</v>
      </c>
      <c r="J386" t="inlineStr">
        <is>
          <t>COP</t>
        </is>
      </c>
      <c r="L386">
        <f>IFERROR(INDEX(Diccionario!$B:$B,MATCH(F398,Diccionario!$C:$C,0)),"")</f>
        <v/>
      </c>
      <c r="M386">
        <f>IFERROR(INDEX(Diccionario!$H:$H,MATCH(F398,Diccionario!$C:$C,0)),"")</f>
        <v/>
      </c>
      <c r="N386">
        <f>IFERROR(INDEX(Diccionario!$N:$N,MATCH(F398,Diccionario!$C:$C,0)),"")</f>
        <v/>
      </c>
    </row>
    <row r="387" ht="14.25" customHeight="1" s="52">
      <c r="A387" t="inlineStr">
        <is>
          <t>2025-09</t>
        </is>
      </c>
      <c r="B387" t="inlineStr">
        <is>
          <t>Colombia</t>
        </is>
      </c>
      <c r="C387" t="inlineStr">
        <is>
          <t>Coco Colombia</t>
        </is>
      </c>
      <c r="D387" t="inlineStr">
        <is>
          <t>COP</t>
        </is>
      </c>
      <c r="E387" t="inlineStr">
        <is>
          <t>Real</t>
        </is>
      </c>
      <c r="F387" t="inlineStr">
        <is>
          <t>gasto_admin</t>
        </is>
      </c>
      <c r="H387" t="inlineStr">
        <is>
          <t>Diversos</t>
        </is>
      </c>
      <c r="I387" t="n">
        <v>8000000</v>
      </c>
      <c r="J387" t="inlineStr">
        <is>
          <t>COP</t>
        </is>
      </c>
      <c r="L387">
        <f>IFERROR(INDEX(Diccionario!$B:$B,MATCH(F399,Diccionario!$C:$C,0)),"")</f>
        <v/>
      </c>
      <c r="M387">
        <f>IFERROR(INDEX(Diccionario!$H:$H,MATCH(F399,Diccionario!$C:$C,0)),"")</f>
        <v/>
      </c>
      <c r="N387">
        <f>IFERROR(INDEX(Diccionario!$N:$N,MATCH(F399,Diccionario!$C:$C,0)),"")</f>
        <v/>
      </c>
    </row>
    <row r="388" ht="14.25" customHeight="1" s="52">
      <c r="A388" t="inlineStr">
        <is>
          <t>2025-10</t>
        </is>
      </c>
      <c r="B388" t="inlineStr">
        <is>
          <t>Colombia</t>
        </is>
      </c>
      <c r="C388" t="inlineStr">
        <is>
          <t>Coco Colombia</t>
        </is>
      </c>
      <c r="D388" t="inlineStr">
        <is>
          <t>COP</t>
        </is>
      </c>
      <c r="E388" t="inlineStr">
        <is>
          <t>Real</t>
        </is>
      </c>
      <c r="F388" t="inlineStr">
        <is>
          <t>gasto_admin</t>
        </is>
      </c>
      <c r="H388" t="inlineStr">
        <is>
          <t>Personal</t>
        </is>
      </c>
      <c r="I388" t="n">
        <v>59600000</v>
      </c>
      <c r="J388" t="inlineStr">
        <is>
          <t>COP</t>
        </is>
      </c>
      <c r="L388">
        <f>IFERROR(INDEX(Diccionario!$B:$B,MATCH(F400,Diccionario!$C:$C,0)),"")</f>
        <v/>
      </c>
      <c r="M388">
        <f>IFERROR(INDEX(Diccionario!$H:$H,MATCH(F400,Diccionario!$C:$C,0)),"")</f>
        <v/>
      </c>
      <c r="N388">
        <f>IFERROR(INDEX(Diccionario!$N:$N,MATCH(F400,Diccionario!$C:$C,0)),"")</f>
        <v/>
      </c>
    </row>
    <row r="389" ht="14.25" customHeight="1" s="52">
      <c r="A389" t="inlineStr">
        <is>
          <t>2025-10</t>
        </is>
      </c>
      <c r="B389" t="inlineStr">
        <is>
          <t>Colombia</t>
        </is>
      </c>
      <c r="C389" t="inlineStr">
        <is>
          <t>Coco Colombia</t>
        </is>
      </c>
      <c r="D389" t="inlineStr">
        <is>
          <t>COP</t>
        </is>
      </c>
      <c r="E389" t="inlineStr">
        <is>
          <t>Real</t>
        </is>
      </c>
      <c r="F389" t="inlineStr">
        <is>
          <t>gasto_admin</t>
        </is>
      </c>
      <c r="H389" t="inlineStr">
        <is>
          <t>Honorarios</t>
        </is>
      </c>
      <c r="I389" t="n">
        <v>9700000</v>
      </c>
      <c r="J389" t="inlineStr">
        <is>
          <t>COP</t>
        </is>
      </c>
      <c r="L389">
        <f>IFERROR(INDEX(Diccionario!$B:$B,MATCH(F401,Diccionario!$C:$C,0)),"")</f>
        <v/>
      </c>
      <c r="M389">
        <f>IFERROR(INDEX(Diccionario!$H:$H,MATCH(F401,Diccionario!$C:$C,0)),"")</f>
        <v/>
      </c>
      <c r="N389">
        <f>IFERROR(INDEX(Diccionario!$N:$N,MATCH(F401,Diccionario!$C:$C,0)),"")</f>
        <v/>
      </c>
    </row>
    <row r="390" ht="14.25" customHeight="1" s="52">
      <c r="A390" t="inlineStr">
        <is>
          <t>2025-10</t>
        </is>
      </c>
      <c r="B390" t="inlineStr">
        <is>
          <t>Colombia</t>
        </is>
      </c>
      <c r="C390" t="inlineStr">
        <is>
          <t>Coco Colombia</t>
        </is>
      </c>
      <c r="D390" t="inlineStr">
        <is>
          <t>COP</t>
        </is>
      </c>
      <c r="E390" t="inlineStr">
        <is>
          <t>Real</t>
        </is>
      </c>
      <c r="F390" t="inlineStr">
        <is>
          <t>gasto_admin</t>
        </is>
      </c>
      <c r="H390" t="inlineStr">
        <is>
          <t>Arrendamiento</t>
        </is>
      </c>
      <c r="I390" t="n">
        <v>4600000</v>
      </c>
      <c r="J390" t="inlineStr">
        <is>
          <t>COP</t>
        </is>
      </c>
      <c r="L390">
        <f>IFERROR(INDEX(Diccionario!$B:$B,MATCH(F402,Diccionario!$C:$C,0)),"")</f>
        <v/>
      </c>
      <c r="M390">
        <f>IFERROR(INDEX(Diccionario!$H:$H,MATCH(F402,Diccionario!$C:$C,0)),"")</f>
        <v/>
      </c>
      <c r="N390">
        <f>IFERROR(INDEX(Diccionario!$N:$N,MATCH(F402,Diccionario!$C:$C,0)),"")</f>
        <v/>
      </c>
    </row>
    <row r="391" ht="14.25" customHeight="1" s="52">
      <c r="A391" t="inlineStr">
        <is>
          <t>2025-10</t>
        </is>
      </c>
      <c r="B391" t="inlineStr">
        <is>
          <t>Colombia</t>
        </is>
      </c>
      <c r="C391" t="inlineStr">
        <is>
          <t>Coco Colombia</t>
        </is>
      </c>
      <c r="D391" t="inlineStr">
        <is>
          <t>COP</t>
        </is>
      </c>
      <c r="E391" t="inlineStr">
        <is>
          <t>Real</t>
        </is>
      </c>
      <c r="F391" t="inlineStr">
        <is>
          <t>gasto_admin</t>
        </is>
      </c>
      <c r="H391" t="inlineStr">
        <is>
          <t>Seguros</t>
        </is>
      </c>
      <c r="I391" t="n">
        <v>2800000</v>
      </c>
      <c r="J391" t="inlineStr">
        <is>
          <t>COP</t>
        </is>
      </c>
      <c r="L391">
        <f>IFERROR(INDEX(Diccionario!$B:$B,MATCH(F403,Diccionario!$C:$C,0)),"")</f>
        <v/>
      </c>
      <c r="M391">
        <f>IFERROR(INDEX(Diccionario!$H:$H,MATCH(F403,Diccionario!$C:$C,0)),"")</f>
        <v/>
      </c>
      <c r="N391">
        <f>IFERROR(INDEX(Diccionario!$N:$N,MATCH(F403,Diccionario!$C:$C,0)),"")</f>
        <v/>
      </c>
    </row>
    <row r="392" ht="14.25" customHeight="1" s="52">
      <c r="A392" t="inlineStr">
        <is>
          <t>2025-10</t>
        </is>
      </c>
      <c r="B392" t="inlineStr">
        <is>
          <t>Colombia</t>
        </is>
      </c>
      <c r="C392" t="inlineStr">
        <is>
          <t>Coco Colombia</t>
        </is>
      </c>
      <c r="D392" t="inlineStr">
        <is>
          <t>COP</t>
        </is>
      </c>
      <c r="E392" t="inlineStr">
        <is>
          <t>Real</t>
        </is>
      </c>
      <c r="F392" t="inlineStr">
        <is>
          <t>gasto_admin</t>
        </is>
      </c>
      <c r="H392" t="inlineStr">
        <is>
          <t>Servicios</t>
        </is>
      </c>
      <c r="I392" t="n">
        <v>7600000</v>
      </c>
      <c r="J392" t="inlineStr">
        <is>
          <t>COP</t>
        </is>
      </c>
      <c r="L392">
        <f>IFERROR(INDEX(Diccionario!$B:$B,MATCH(F404,Diccionario!$C:$C,0)),"")</f>
        <v/>
      </c>
      <c r="M392">
        <f>IFERROR(INDEX(Diccionario!$H:$H,MATCH(F404,Diccionario!$C:$C,0)),"")</f>
        <v/>
      </c>
      <c r="N392">
        <f>IFERROR(INDEX(Diccionario!$N:$N,MATCH(F404,Diccionario!$C:$C,0)),"")</f>
        <v/>
      </c>
    </row>
    <row r="393" ht="14.25" customHeight="1" s="52">
      <c r="A393" t="inlineStr">
        <is>
          <t>2025-10</t>
        </is>
      </c>
      <c r="B393" t="inlineStr">
        <is>
          <t>Colombia</t>
        </is>
      </c>
      <c r="C393" t="inlineStr">
        <is>
          <t>Coco Colombia</t>
        </is>
      </c>
      <c r="D393" t="inlineStr">
        <is>
          <t>COP</t>
        </is>
      </c>
      <c r="E393" t="inlineStr">
        <is>
          <t>Real</t>
        </is>
      </c>
      <c r="F393" t="inlineStr">
        <is>
          <t>gasto_admin</t>
        </is>
      </c>
      <c r="H393" t="inlineStr">
        <is>
          <t>Viajes</t>
        </is>
      </c>
      <c r="I393" t="n">
        <v>11500000</v>
      </c>
      <c r="J393" t="inlineStr">
        <is>
          <t>COP</t>
        </is>
      </c>
      <c r="L393">
        <f>IFERROR(INDEX(Diccionario!$B:$B,MATCH(F405,Diccionario!$C:$C,0)),"")</f>
        <v/>
      </c>
      <c r="M393">
        <f>IFERROR(INDEX(Diccionario!$H:$H,MATCH(F405,Diccionario!$C:$C,0)),"")</f>
        <v/>
      </c>
      <c r="N393">
        <f>IFERROR(INDEX(Diccionario!$N:$N,MATCH(F405,Diccionario!$C:$C,0)),"")</f>
        <v/>
      </c>
    </row>
    <row r="394" ht="14.25" customHeight="1" s="52">
      <c r="A394" t="inlineStr">
        <is>
          <t>2025-10</t>
        </is>
      </c>
      <c r="B394" t="inlineStr">
        <is>
          <t>Colombia</t>
        </is>
      </c>
      <c r="C394" t="inlineStr">
        <is>
          <t>Coco Colombia</t>
        </is>
      </c>
      <c r="D394" t="inlineStr">
        <is>
          <t>COP</t>
        </is>
      </c>
      <c r="E394" t="inlineStr">
        <is>
          <t>Real</t>
        </is>
      </c>
      <c r="F394" t="inlineStr">
        <is>
          <t>gasto_admin</t>
        </is>
      </c>
      <c r="H394" t="inlineStr">
        <is>
          <t>Diversos</t>
        </is>
      </c>
      <c r="I394" t="n">
        <v>33100000</v>
      </c>
      <c r="J394" t="inlineStr">
        <is>
          <t>COP</t>
        </is>
      </c>
      <c r="L394">
        <f>IFERROR(INDEX(Diccionario!$B:$B,MATCH(F406,Diccionario!$C:$C,0)),"")</f>
        <v/>
      </c>
      <c r="M394">
        <f>IFERROR(INDEX(Diccionario!$H:$H,MATCH(F406,Diccionario!$C:$C,0)),"")</f>
        <v/>
      </c>
      <c r="N394">
        <f>IFERROR(INDEX(Diccionario!$N:$N,MATCH(F406,Diccionario!$C:$C,0)),"")</f>
        <v/>
      </c>
    </row>
    <row r="395" ht="14.25" customHeight="1" s="52">
      <c r="A395" t="inlineStr">
        <is>
          <t>2025-11</t>
        </is>
      </c>
      <c r="B395" t="inlineStr">
        <is>
          <t>Colombia</t>
        </is>
      </c>
      <c r="C395" t="inlineStr">
        <is>
          <t>Coco Colombia</t>
        </is>
      </c>
      <c r="D395" t="inlineStr">
        <is>
          <t>COP</t>
        </is>
      </c>
      <c r="E395" t="inlineStr">
        <is>
          <t>Real</t>
        </is>
      </c>
      <c r="F395" t="inlineStr">
        <is>
          <t>gasto_admin</t>
        </is>
      </c>
      <c r="H395" t="inlineStr">
        <is>
          <t>Personal</t>
        </is>
      </c>
      <c r="I395" t="n">
        <v>55000000</v>
      </c>
      <c r="J395" t="inlineStr">
        <is>
          <t>COP</t>
        </is>
      </c>
      <c r="L395">
        <f>IFERROR(INDEX(Diccionario!$B:$B,MATCH(F407,Diccionario!$C:$C,0)),"")</f>
        <v/>
      </c>
      <c r="M395">
        <f>IFERROR(INDEX(Diccionario!$H:$H,MATCH(F407,Diccionario!$C:$C,0)),"")</f>
        <v/>
      </c>
      <c r="N395">
        <f>IFERROR(INDEX(Diccionario!$N:$N,MATCH(F407,Diccionario!$C:$C,0)),"")</f>
        <v/>
      </c>
    </row>
    <row r="396" ht="14.25" customHeight="1" s="52">
      <c r="A396" t="inlineStr">
        <is>
          <t>2025-11</t>
        </is>
      </c>
      <c r="B396" t="inlineStr">
        <is>
          <t>Colombia</t>
        </is>
      </c>
      <c r="C396" t="inlineStr">
        <is>
          <t>Coco Colombia</t>
        </is>
      </c>
      <c r="D396" t="inlineStr">
        <is>
          <t>COP</t>
        </is>
      </c>
      <c r="E396" t="inlineStr">
        <is>
          <t>Real</t>
        </is>
      </c>
      <c r="F396" t="inlineStr">
        <is>
          <t>gasto_admin</t>
        </is>
      </c>
      <c r="H396" t="inlineStr">
        <is>
          <t>Honorarios</t>
        </is>
      </c>
      <c r="I396" t="n">
        <v>2500000</v>
      </c>
      <c r="J396" t="inlineStr">
        <is>
          <t>COP</t>
        </is>
      </c>
      <c r="L396">
        <f>IFERROR(INDEX(Diccionario!$B:$B,MATCH(F408,Diccionario!$C:$C,0)),"")</f>
        <v/>
      </c>
      <c r="M396">
        <f>IFERROR(INDEX(Diccionario!$H:$H,MATCH(F408,Diccionario!$C:$C,0)),"")</f>
        <v/>
      </c>
      <c r="N396">
        <f>IFERROR(INDEX(Diccionario!$N:$N,MATCH(F408,Diccionario!$C:$C,0)),"")</f>
        <v/>
      </c>
    </row>
    <row r="397" ht="14.25" customHeight="1" s="52">
      <c r="A397" t="inlineStr">
        <is>
          <t>2025-11</t>
        </is>
      </c>
      <c r="B397" t="inlineStr">
        <is>
          <t>Colombia</t>
        </is>
      </c>
      <c r="C397" t="inlineStr">
        <is>
          <t>Coco Colombia</t>
        </is>
      </c>
      <c r="D397" t="inlineStr">
        <is>
          <t>COP</t>
        </is>
      </c>
      <c r="E397" t="inlineStr">
        <is>
          <t>Real</t>
        </is>
      </c>
      <c r="F397" t="inlineStr">
        <is>
          <t>gasto_admin</t>
        </is>
      </c>
      <c r="H397" t="inlineStr">
        <is>
          <t>Arrendamiento</t>
        </is>
      </c>
      <c r="I397" t="n">
        <v>12700000</v>
      </c>
      <c r="J397" t="inlineStr">
        <is>
          <t>COP</t>
        </is>
      </c>
      <c r="L397">
        <f>IFERROR(INDEX(Diccionario!$B:$B,MATCH(F409,Diccionario!$C:$C,0)),"")</f>
        <v/>
      </c>
      <c r="M397">
        <f>IFERROR(INDEX(Diccionario!$H:$H,MATCH(F409,Diccionario!$C:$C,0)),"")</f>
        <v/>
      </c>
      <c r="N397">
        <f>IFERROR(INDEX(Diccionario!$N:$N,MATCH(F409,Diccionario!$C:$C,0)),"")</f>
        <v/>
      </c>
    </row>
    <row r="398" ht="14.25" customHeight="1" s="52">
      <c r="A398" t="inlineStr">
        <is>
          <t>2025-11</t>
        </is>
      </c>
      <c r="B398" t="inlineStr">
        <is>
          <t>Colombia</t>
        </is>
      </c>
      <c r="C398" t="inlineStr">
        <is>
          <t>Coco Colombia</t>
        </is>
      </c>
      <c r="D398" t="inlineStr">
        <is>
          <t>COP</t>
        </is>
      </c>
      <c r="E398" t="inlineStr">
        <is>
          <t>Real</t>
        </is>
      </c>
      <c r="F398" t="inlineStr">
        <is>
          <t>gasto_admin</t>
        </is>
      </c>
      <c r="H398" t="inlineStr">
        <is>
          <t>Seguros</t>
        </is>
      </c>
      <c r="I398" t="n">
        <v>1500000</v>
      </c>
      <c r="J398" t="inlineStr">
        <is>
          <t>COP</t>
        </is>
      </c>
      <c r="L398">
        <f>IFERROR(INDEX(Diccionario!$B:$B,MATCH(F410,Diccionario!$C:$C,0)),"")</f>
        <v/>
      </c>
      <c r="M398">
        <f>IFERROR(INDEX(Diccionario!$H:$H,MATCH(F410,Diccionario!$C:$C,0)),"")</f>
        <v/>
      </c>
      <c r="N398">
        <f>IFERROR(INDEX(Diccionario!$N:$N,MATCH(F410,Diccionario!$C:$C,0)),"")</f>
        <v/>
      </c>
    </row>
    <row r="399" ht="14.25" customHeight="1" s="52">
      <c r="A399" t="inlineStr">
        <is>
          <t>2025-11</t>
        </is>
      </c>
      <c r="B399" t="inlineStr">
        <is>
          <t>Colombia</t>
        </is>
      </c>
      <c r="C399" t="inlineStr">
        <is>
          <t>Coco Colombia</t>
        </is>
      </c>
      <c r="D399" t="inlineStr">
        <is>
          <t>COP</t>
        </is>
      </c>
      <c r="E399" t="inlineStr">
        <is>
          <t>Real</t>
        </is>
      </c>
      <c r="F399" t="inlineStr">
        <is>
          <t>gasto_admin</t>
        </is>
      </c>
      <c r="H399" t="inlineStr">
        <is>
          <t>Servicios</t>
        </is>
      </c>
      <c r="I399" t="n">
        <v>4100000</v>
      </c>
      <c r="J399" t="inlineStr">
        <is>
          <t>COP</t>
        </is>
      </c>
      <c r="L399">
        <f>IFERROR(INDEX(Diccionario!$B:$B,MATCH(F411,Diccionario!$C:$C,0)),"")</f>
        <v/>
      </c>
      <c r="M399">
        <f>IFERROR(INDEX(Diccionario!$H:$H,MATCH(F411,Diccionario!$C:$C,0)),"")</f>
        <v/>
      </c>
      <c r="N399">
        <f>IFERROR(INDEX(Diccionario!$N:$N,MATCH(F411,Diccionario!$C:$C,0)),"")</f>
        <v/>
      </c>
    </row>
    <row r="400" ht="14.25" customHeight="1" s="52">
      <c r="A400" t="inlineStr">
        <is>
          <t>2025-11</t>
        </is>
      </c>
      <c r="B400" t="inlineStr">
        <is>
          <t>Colombia</t>
        </is>
      </c>
      <c r="C400" t="inlineStr">
        <is>
          <t>Coco Colombia</t>
        </is>
      </c>
      <c r="D400" t="inlineStr">
        <is>
          <t>COP</t>
        </is>
      </c>
      <c r="E400" t="inlineStr">
        <is>
          <t>Real</t>
        </is>
      </c>
      <c r="F400" t="inlineStr">
        <is>
          <t>gasto_admin</t>
        </is>
      </c>
      <c r="H400" t="inlineStr">
        <is>
          <t>Viajes</t>
        </is>
      </c>
      <c r="I400" t="n">
        <v>16600000</v>
      </c>
      <c r="J400" t="inlineStr">
        <is>
          <t>COP</t>
        </is>
      </c>
      <c r="L400">
        <f>IFERROR(INDEX(Diccionario!$B:$B,MATCH(F412,Diccionario!$C:$C,0)),"")</f>
        <v/>
      </c>
      <c r="M400">
        <f>IFERROR(INDEX(Diccionario!$H:$H,MATCH(F412,Diccionario!$C:$C,0)),"")</f>
        <v/>
      </c>
      <c r="N400">
        <f>IFERROR(INDEX(Diccionario!$N:$N,MATCH(F412,Diccionario!$C:$C,0)),"")</f>
        <v/>
      </c>
    </row>
    <row r="401" ht="14.25" customHeight="1" s="52">
      <c r="A401" t="inlineStr">
        <is>
          <t>2025-11</t>
        </is>
      </c>
      <c r="B401" t="inlineStr">
        <is>
          <t>Colombia</t>
        </is>
      </c>
      <c r="C401" t="inlineStr">
        <is>
          <t>Coco Colombia</t>
        </is>
      </c>
      <c r="D401" t="inlineStr">
        <is>
          <t>COP</t>
        </is>
      </c>
      <c r="E401" t="inlineStr">
        <is>
          <t>Real</t>
        </is>
      </c>
      <c r="F401" t="inlineStr">
        <is>
          <t>gasto_admin</t>
        </is>
      </c>
      <c r="H401" t="inlineStr">
        <is>
          <t>Diversos</t>
        </is>
      </c>
      <c r="I401" t="n">
        <v>53200000</v>
      </c>
      <c r="J401" t="inlineStr">
        <is>
          <t>COP</t>
        </is>
      </c>
      <c r="L401">
        <f>IFERROR(INDEX(Diccionario!$B:$B,MATCH(F413,Diccionario!$C:$C,0)),"")</f>
        <v/>
      </c>
      <c r="M401">
        <f>IFERROR(INDEX(Diccionario!$H:$H,MATCH(F413,Diccionario!$C:$C,0)),"")</f>
        <v/>
      </c>
      <c r="N401">
        <f>IFERROR(INDEX(Diccionario!$N:$N,MATCH(F413,Diccionario!$C:$C,0)),"")</f>
        <v/>
      </c>
    </row>
    <row r="402" ht="14.25" customHeight="1" s="52">
      <c r="A402" t="inlineStr">
        <is>
          <t>2025-12</t>
        </is>
      </c>
      <c r="B402" t="inlineStr">
        <is>
          <t>Colombia</t>
        </is>
      </c>
      <c r="C402" t="inlineStr">
        <is>
          <t>Coco Colombia</t>
        </is>
      </c>
      <c r="D402" t="inlineStr">
        <is>
          <t>COP</t>
        </is>
      </c>
      <c r="E402" t="inlineStr">
        <is>
          <t>Real</t>
        </is>
      </c>
      <c r="F402" t="inlineStr">
        <is>
          <t>gasto_admin</t>
        </is>
      </c>
      <c r="H402" t="inlineStr">
        <is>
          <t>Personal</t>
        </is>
      </c>
      <c r="I402" t="n">
        <v>40100000</v>
      </c>
      <c r="J402" t="inlineStr">
        <is>
          <t>COP</t>
        </is>
      </c>
      <c r="L402">
        <f>IFERROR(INDEX(Diccionario!$B:$B,MATCH(F414,Diccionario!$C:$C,0)),"")</f>
        <v/>
      </c>
      <c r="M402">
        <f>IFERROR(INDEX(Diccionario!$H:$H,MATCH(F414,Diccionario!$C:$C,0)),"")</f>
        <v/>
      </c>
      <c r="N402">
        <f>IFERROR(INDEX(Diccionario!$N:$N,MATCH(F414,Diccionario!$C:$C,0)),"")</f>
        <v/>
      </c>
    </row>
    <row r="403" ht="14.25" customHeight="1" s="52">
      <c r="A403" t="inlineStr">
        <is>
          <t>2025-12</t>
        </is>
      </c>
      <c r="B403" t="inlineStr">
        <is>
          <t>Colombia</t>
        </is>
      </c>
      <c r="C403" t="inlineStr">
        <is>
          <t>Coco Colombia</t>
        </is>
      </c>
      <c r="D403" t="inlineStr">
        <is>
          <t>COP</t>
        </is>
      </c>
      <c r="E403" t="inlineStr">
        <is>
          <t>Real</t>
        </is>
      </c>
      <c r="F403" t="inlineStr">
        <is>
          <t>gasto_admin</t>
        </is>
      </c>
      <c r="H403" t="inlineStr">
        <is>
          <t>Honorarios</t>
        </is>
      </c>
      <c r="I403" t="n">
        <v>9200000</v>
      </c>
      <c r="J403" t="inlineStr">
        <is>
          <t>COP</t>
        </is>
      </c>
      <c r="L403">
        <f>IFERROR(INDEX(Diccionario!$B:$B,MATCH(F415,Diccionario!$C:$C,0)),"")</f>
        <v/>
      </c>
      <c r="M403">
        <f>IFERROR(INDEX(Diccionario!$H:$H,MATCH(F415,Diccionario!$C:$C,0)),"")</f>
        <v/>
      </c>
      <c r="N403">
        <f>IFERROR(INDEX(Diccionario!$N:$N,MATCH(F415,Diccionario!$C:$C,0)),"")</f>
        <v/>
      </c>
    </row>
    <row r="404" ht="14.25" customHeight="1" s="52">
      <c r="A404" t="inlineStr">
        <is>
          <t>2025-12</t>
        </is>
      </c>
      <c r="B404" t="inlineStr">
        <is>
          <t>Colombia</t>
        </is>
      </c>
      <c r="C404" t="inlineStr">
        <is>
          <t>Coco Colombia</t>
        </is>
      </c>
      <c r="D404" t="inlineStr">
        <is>
          <t>COP</t>
        </is>
      </c>
      <c r="E404" t="inlineStr">
        <is>
          <t>Real</t>
        </is>
      </c>
      <c r="F404" t="inlineStr">
        <is>
          <t>gasto_admin</t>
        </is>
      </c>
      <c r="H404" t="inlineStr">
        <is>
          <t>Arrendamiento</t>
        </is>
      </c>
      <c r="I404" t="n">
        <v>12400000</v>
      </c>
      <c r="J404" t="inlineStr">
        <is>
          <t>COP</t>
        </is>
      </c>
      <c r="L404">
        <f>IFERROR(INDEX(Diccionario!$B:$B,MATCH(F416,Diccionario!$C:$C,0)),"")</f>
        <v/>
      </c>
      <c r="M404">
        <f>IFERROR(INDEX(Diccionario!$H:$H,MATCH(F416,Diccionario!$C:$C,0)),"")</f>
        <v/>
      </c>
      <c r="N404">
        <f>IFERROR(INDEX(Diccionario!$N:$N,MATCH(F416,Diccionario!$C:$C,0)),"")</f>
        <v/>
      </c>
    </row>
    <row r="405" ht="14.25" customHeight="1" s="52">
      <c r="A405" t="inlineStr">
        <is>
          <t>2025-12</t>
        </is>
      </c>
      <c r="B405" t="inlineStr">
        <is>
          <t>Colombia</t>
        </is>
      </c>
      <c r="C405" t="inlineStr">
        <is>
          <t>Coco Colombia</t>
        </is>
      </c>
      <c r="D405" t="inlineStr">
        <is>
          <t>COP</t>
        </is>
      </c>
      <c r="E405" t="inlineStr">
        <is>
          <t>Real</t>
        </is>
      </c>
      <c r="F405" t="inlineStr">
        <is>
          <t>gasto_admin</t>
        </is>
      </c>
      <c r="H405" t="inlineStr">
        <is>
          <t>Seguros</t>
        </is>
      </c>
      <c r="I405" t="n">
        <v>3000000</v>
      </c>
      <c r="J405" t="inlineStr">
        <is>
          <t>COP</t>
        </is>
      </c>
      <c r="L405">
        <f>IFERROR(INDEX(Diccionario!$B:$B,MATCH(F417,Diccionario!$C:$C,0)),"")</f>
        <v/>
      </c>
      <c r="M405">
        <f>IFERROR(INDEX(Diccionario!$H:$H,MATCH(F417,Diccionario!$C:$C,0)),"")</f>
        <v/>
      </c>
      <c r="N405">
        <f>IFERROR(INDEX(Diccionario!$N:$N,MATCH(F417,Diccionario!$C:$C,0)),"")</f>
        <v/>
      </c>
    </row>
    <row r="406" ht="14.25" customHeight="1" s="52">
      <c r="A406" t="inlineStr">
        <is>
          <t>2025-12</t>
        </is>
      </c>
      <c r="B406" t="inlineStr">
        <is>
          <t>Colombia</t>
        </is>
      </c>
      <c r="C406" t="inlineStr">
        <is>
          <t>Coco Colombia</t>
        </is>
      </c>
      <c r="D406" t="inlineStr">
        <is>
          <t>COP</t>
        </is>
      </c>
      <c r="E406" t="inlineStr">
        <is>
          <t>Real</t>
        </is>
      </c>
      <c r="F406" t="inlineStr">
        <is>
          <t>gasto_admin</t>
        </is>
      </c>
      <c r="H406" t="inlineStr">
        <is>
          <t>Servicios</t>
        </is>
      </c>
      <c r="I406" t="n">
        <v>5700000</v>
      </c>
      <c r="J406" t="inlineStr">
        <is>
          <t>COP</t>
        </is>
      </c>
      <c r="L406">
        <f>IFERROR(INDEX(Diccionario!$B:$B,MATCH(F418,Diccionario!$C:$C,0)),"")</f>
        <v/>
      </c>
      <c r="M406">
        <f>IFERROR(INDEX(Diccionario!$H:$H,MATCH(F418,Diccionario!$C:$C,0)),"")</f>
        <v/>
      </c>
      <c r="N406">
        <f>IFERROR(INDEX(Diccionario!$N:$N,MATCH(F418,Diccionario!$C:$C,0)),"")</f>
        <v/>
      </c>
    </row>
    <row r="407" ht="14.25" customHeight="1" s="52">
      <c r="A407" t="inlineStr">
        <is>
          <t>2025-12</t>
        </is>
      </c>
      <c r="B407" t="inlineStr">
        <is>
          <t>Colombia</t>
        </is>
      </c>
      <c r="C407" t="inlineStr">
        <is>
          <t>Coco Colombia</t>
        </is>
      </c>
      <c r="D407" t="inlineStr">
        <is>
          <t>COP</t>
        </is>
      </c>
      <c r="E407" t="inlineStr">
        <is>
          <t>Real</t>
        </is>
      </c>
      <c r="F407" t="inlineStr">
        <is>
          <t>gasto_admin</t>
        </is>
      </c>
      <c r="H407" t="inlineStr">
        <is>
          <t>Viajes</t>
        </is>
      </c>
      <c r="I407" t="n">
        <v>2900000</v>
      </c>
      <c r="J407" t="inlineStr">
        <is>
          <t>COP</t>
        </is>
      </c>
      <c r="L407">
        <f>IFERROR(INDEX(Diccionario!$B:$B,MATCH(F419,Diccionario!$C:$C,0)),"")</f>
        <v/>
      </c>
      <c r="M407">
        <f>IFERROR(INDEX(Diccionario!$H:$H,MATCH(F419,Diccionario!$C:$C,0)),"")</f>
        <v/>
      </c>
      <c r="N407">
        <f>IFERROR(INDEX(Diccionario!$N:$N,MATCH(F419,Diccionario!$C:$C,0)),"")</f>
        <v/>
      </c>
    </row>
    <row r="408" ht="14.25" customHeight="1" s="52">
      <c r="A408" t="inlineStr">
        <is>
          <t>2025-12</t>
        </is>
      </c>
      <c r="B408" t="inlineStr">
        <is>
          <t>Colombia</t>
        </is>
      </c>
      <c r="C408" t="inlineStr">
        <is>
          <t>Coco Colombia</t>
        </is>
      </c>
      <c r="D408" t="inlineStr">
        <is>
          <t>COP</t>
        </is>
      </c>
      <c r="E408" t="inlineStr">
        <is>
          <t>Real</t>
        </is>
      </c>
      <c r="F408" t="inlineStr">
        <is>
          <t>gasto_admin</t>
        </is>
      </c>
      <c r="H408" t="inlineStr">
        <is>
          <t>Diversos</t>
        </is>
      </c>
      <c r="I408" t="n">
        <v>9400000</v>
      </c>
      <c r="J408" t="inlineStr">
        <is>
          <t>COP</t>
        </is>
      </c>
      <c r="L408">
        <f>IFERROR(INDEX(Diccionario!$B:$B,MATCH(F420,Diccionario!$C:$C,0)),"")</f>
        <v/>
      </c>
      <c r="M408">
        <f>IFERROR(INDEX(Diccionario!$H:$H,MATCH(F420,Diccionario!$C:$C,0)),"")</f>
        <v/>
      </c>
      <c r="N408">
        <f>IFERROR(INDEX(Diccionario!$N:$N,MATCH(F420,Diccionario!$C:$C,0)),"")</f>
        <v/>
      </c>
    </row>
    <row r="409" ht="14.25" customHeight="1" s="52">
      <c r="A409" t="inlineStr">
        <is>
          <t>2026-01</t>
        </is>
      </c>
      <c r="B409" t="inlineStr">
        <is>
          <t>Colombia</t>
        </is>
      </c>
      <c r="C409" t="inlineStr">
        <is>
          <t>Coco Colombia</t>
        </is>
      </c>
      <c r="D409" t="inlineStr">
        <is>
          <t>COP</t>
        </is>
      </c>
      <c r="E409" t="inlineStr">
        <is>
          <t>Real</t>
        </is>
      </c>
      <c r="F409" t="inlineStr">
        <is>
          <t>gasto_admin</t>
        </is>
      </c>
      <c r="H409" t="inlineStr">
        <is>
          <t>Personal</t>
        </is>
      </c>
      <c r="I409" t="n">
        <v>58300000</v>
      </c>
      <c r="J409" t="inlineStr">
        <is>
          <t>COP</t>
        </is>
      </c>
      <c r="L409">
        <f>IFERROR(INDEX(Diccionario!$B:$B,MATCH(F421,Diccionario!$C:$C,0)),"")</f>
        <v/>
      </c>
      <c r="M409">
        <f>IFERROR(INDEX(Diccionario!$H:$H,MATCH(F421,Diccionario!$C:$C,0)),"")</f>
        <v/>
      </c>
      <c r="N409">
        <f>IFERROR(INDEX(Diccionario!$N:$N,MATCH(F421,Diccionario!$C:$C,0)),"")</f>
        <v/>
      </c>
    </row>
    <row r="410" ht="14.25" customHeight="1" s="52">
      <c r="A410" t="inlineStr">
        <is>
          <t>2026-01</t>
        </is>
      </c>
      <c r="B410" t="inlineStr">
        <is>
          <t>Colombia</t>
        </is>
      </c>
      <c r="C410" t="inlineStr">
        <is>
          <t>Coco Colombia</t>
        </is>
      </c>
      <c r="D410" t="inlineStr">
        <is>
          <t>COP</t>
        </is>
      </c>
      <c r="E410" t="inlineStr">
        <is>
          <t>Real</t>
        </is>
      </c>
      <c r="F410" t="inlineStr">
        <is>
          <t>gasto_admin</t>
        </is>
      </c>
      <c r="H410" t="inlineStr">
        <is>
          <t>Honorarios</t>
        </is>
      </c>
      <c r="I410" t="n">
        <v>6900000</v>
      </c>
      <c r="J410" t="inlineStr">
        <is>
          <t>COP</t>
        </is>
      </c>
      <c r="L410">
        <f>IFERROR(INDEX(Diccionario!$B:$B,MATCH(F422,Diccionario!$C:$C,0)),"")</f>
        <v/>
      </c>
      <c r="M410">
        <f>IFERROR(INDEX(Diccionario!$H:$H,MATCH(F422,Diccionario!$C:$C,0)),"")</f>
        <v/>
      </c>
      <c r="N410">
        <f>IFERROR(INDEX(Diccionario!$N:$N,MATCH(F422,Diccionario!$C:$C,0)),"")</f>
        <v/>
      </c>
    </row>
    <row r="411" ht="14.25" customHeight="1" s="52">
      <c r="A411" t="inlineStr">
        <is>
          <t>2026-01</t>
        </is>
      </c>
      <c r="B411" t="inlineStr">
        <is>
          <t>Colombia</t>
        </is>
      </c>
      <c r="C411" t="inlineStr">
        <is>
          <t>Coco Colombia</t>
        </is>
      </c>
      <c r="D411" t="inlineStr">
        <is>
          <t>COP</t>
        </is>
      </c>
      <c r="E411" t="inlineStr">
        <is>
          <t>Real</t>
        </is>
      </c>
      <c r="F411" t="inlineStr">
        <is>
          <t>gasto_admin</t>
        </is>
      </c>
      <c r="H411" t="inlineStr">
        <is>
          <t>Arrendamiento</t>
        </is>
      </c>
      <c r="I411" t="n">
        <v>12200000</v>
      </c>
      <c r="J411" t="inlineStr">
        <is>
          <t>COP</t>
        </is>
      </c>
      <c r="L411">
        <f>IFERROR(INDEX(Diccionario!$B:$B,MATCH(F423,Diccionario!$C:$C,0)),"")</f>
        <v/>
      </c>
      <c r="M411">
        <f>IFERROR(INDEX(Diccionario!$H:$H,MATCH(F423,Diccionario!$C:$C,0)),"")</f>
        <v/>
      </c>
      <c r="N411">
        <f>IFERROR(INDEX(Diccionario!$N:$N,MATCH(F423,Diccionario!$C:$C,0)),"")</f>
        <v/>
      </c>
    </row>
    <row r="412" ht="14.25" customHeight="1" s="52">
      <c r="A412" t="inlineStr">
        <is>
          <t>2026-01</t>
        </is>
      </c>
      <c r="B412" t="inlineStr">
        <is>
          <t>Colombia</t>
        </is>
      </c>
      <c r="C412" t="inlineStr">
        <is>
          <t>Coco Colombia</t>
        </is>
      </c>
      <c r="D412" t="inlineStr">
        <is>
          <t>COP</t>
        </is>
      </c>
      <c r="E412" t="inlineStr">
        <is>
          <t>Real</t>
        </is>
      </c>
      <c r="F412" t="inlineStr">
        <is>
          <t>gasto_admin</t>
        </is>
      </c>
      <c r="H412" t="inlineStr">
        <is>
          <t>Seguros</t>
        </is>
      </c>
      <c r="I412" t="n">
        <v>3500000</v>
      </c>
      <c r="J412" t="inlineStr">
        <is>
          <t>COP</t>
        </is>
      </c>
      <c r="L412">
        <f>IFERROR(INDEX(Diccionario!$B:$B,MATCH(F424,Diccionario!$C:$C,0)),"")</f>
        <v/>
      </c>
      <c r="M412">
        <f>IFERROR(INDEX(Diccionario!$H:$H,MATCH(F424,Diccionario!$C:$C,0)),"")</f>
        <v/>
      </c>
      <c r="N412">
        <f>IFERROR(INDEX(Diccionario!$N:$N,MATCH(F424,Diccionario!$C:$C,0)),"")</f>
        <v/>
      </c>
    </row>
    <row r="413" ht="14.25" customHeight="1" s="52">
      <c r="A413" t="inlineStr">
        <is>
          <t>2026-01</t>
        </is>
      </c>
      <c r="B413" t="inlineStr">
        <is>
          <t>Colombia</t>
        </is>
      </c>
      <c r="C413" t="inlineStr">
        <is>
          <t>Coco Colombia</t>
        </is>
      </c>
      <c r="D413" t="inlineStr">
        <is>
          <t>COP</t>
        </is>
      </c>
      <c r="E413" t="inlineStr">
        <is>
          <t>Real</t>
        </is>
      </c>
      <c r="F413" t="inlineStr">
        <is>
          <t>gasto_admin</t>
        </is>
      </c>
      <c r="H413" t="inlineStr">
        <is>
          <t>Servicios</t>
        </is>
      </c>
      <c r="I413" t="n">
        <v>6600000</v>
      </c>
      <c r="J413" t="inlineStr">
        <is>
          <t>COP</t>
        </is>
      </c>
      <c r="L413">
        <f>IFERROR(INDEX(Diccionario!$B:$B,MATCH(F425,Diccionario!$C:$C,0)),"")</f>
        <v/>
      </c>
      <c r="M413">
        <f>IFERROR(INDEX(Diccionario!$H:$H,MATCH(F425,Diccionario!$C:$C,0)),"")</f>
        <v/>
      </c>
      <c r="N413">
        <f>IFERROR(INDEX(Diccionario!$N:$N,MATCH(F425,Diccionario!$C:$C,0)),"")</f>
        <v/>
      </c>
    </row>
    <row r="414" ht="14.25" customHeight="1" s="52">
      <c r="A414" t="inlineStr">
        <is>
          <t>2026-01</t>
        </is>
      </c>
      <c r="B414" t="inlineStr">
        <is>
          <t>Colombia</t>
        </is>
      </c>
      <c r="C414" t="inlineStr">
        <is>
          <t>Coco Colombia</t>
        </is>
      </c>
      <c r="D414" t="inlineStr">
        <is>
          <t>COP</t>
        </is>
      </c>
      <c r="E414" t="inlineStr">
        <is>
          <t>Real</t>
        </is>
      </c>
      <c r="F414" t="inlineStr">
        <is>
          <t>gasto_admin</t>
        </is>
      </c>
      <c r="H414" t="inlineStr">
        <is>
          <t>Viajes</t>
        </is>
      </c>
      <c r="I414" t="n">
        <v>4200000</v>
      </c>
      <c r="J414" t="inlineStr">
        <is>
          <t>COP</t>
        </is>
      </c>
      <c r="L414">
        <f>IFERROR(INDEX(Diccionario!$B:$B,MATCH(F426,Diccionario!$C:$C,0)),"")</f>
        <v/>
      </c>
      <c r="M414">
        <f>IFERROR(INDEX(Diccionario!$H:$H,MATCH(F426,Diccionario!$C:$C,0)),"")</f>
        <v/>
      </c>
      <c r="N414">
        <f>IFERROR(INDEX(Diccionario!$N:$N,MATCH(F426,Diccionario!$C:$C,0)),"")</f>
        <v/>
      </c>
    </row>
    <row r="415" ht="14.25" customHeight="1" s="52">
      <c r="A415" t="inlineStr">
        <is>
          <t>2026-01</t>
        </is>
      </c>
      <c r="B415" t="inlineStr">
        <is>
          <t>Colombia</t>
        </is>
      </c>
      <c r="C415" t="inlineStr">
        <is>
          <t>Coco Colombia</t>
        </is>
      </c>
      <c r="D415" t="inlineStr">
        <is>
          <t>COP</t>
        </is>
      </c>
      <c r="E415" t="inlineStr">
        <is>
          <t>Real</t>
        </is>
      </c>
      <c r="F415" t="inlineStr">
        <is>
          <t>gasto_admin</t>
        </is>
      </c>
      <c r="H415" t="inlineStr">
        <is>
          <t>Diversos</t>
        </is>
      </c>
      <c r="I415" t="n">
        <v>6800000</v>
      </c>
      <c r="J415" t="inlineStr">
        <is>
          <t>COP</t>
        </is>
      </c>
      <c r="L415">
        <f>IFERROR(INDEX(Diccionario!$B:$B,MATCH(F427,Diccionario!$C:$C,0)),"")</f>
        <v/>
      </c>
      <c r="M415">
        <f>IFERROR(INDEX(Diccionario!$H:$H,MATCH(F427,Diccionario!$C:$C,0)),"")</f>
        <v/>
      </c>
      <c r="N415">
        <f>IFERROR(INDEX(Diccionario!$N:$N,MATCH(F427,Diccionario!$C:$C,0)),"")</f>
        <v/>
      </c>
    </row>
    <row r="416" ht="14.25" customHeight="1" s="52">
      <c r="A416" t="inlineStr">
        <is>
          <t>2026-02</t>
        </is>
      </c>
      <c r="B416" t="inlineStr">
        <is>
          <t>Colombia</t>
        </is>
      </c>
      <c r="C416" t="inlineStr">
        <is>
          <t>Coco Colombia</t>
        </is>
      </c>
      <c r="D416" t="inlineStr">
        <is>
          <t>COP</t>
        </is>
      </c>
      <c r="E416" t="inlineStr">
        <is>
          <t>Real</t>
        </is>
      </c>
      <c r="F416" t="inlineStr">
        <is>
          <t>gasto_admin</t>
        </is>
      </c>
      <c r="H416" t="inlineStr">
        <is>
          <t>Personal</t>
        </is>
      </c>
      <c r="I416" t="n">
        <v>62800000</v>
      </c>
      <c r="J416" t="inlineStr">
        <is>
          <t>COP</t>
        </is>
      </c>
      <c r="L416">
        <f>IFERROR(INDEX(Diccionario!$B:$B,MATCH(F428,Diccionario!$C:$C,0)),"")</f>
        <v/>
      </c>
      <c r="M416">
        <f>IFERROR(INDEX(Diccionario!$H:$H,MATCH(F428,Diccionario!$C:$C,0)),"")</f>
        <v/>
      </c>
      <c r="N416">
        <f>IFERROR(INDEX(Diccionario!$N:$N,MATCH(F428,Diccionario!$C:$C,0)),"")</f>
        <v/>
      </c>
    </row>
    <row r="417" ht="14.25" customHeight="1" s="52">
      <c r="A417" t="inlineStr">
        <is>
          <t>2026-02</t>
        </is>
      </c>
      <c r="B417" t="inlineStr">
        <is>
          <t>Colombia</t>
        </is>
      </c>
      <c r="C417" t="inlineStr">
        <is>
          <t>Coco Colombia</t>
        </is>
      </c>
      <c r="D417" t="inlineStr">
        <is>
          <t>COP</t>
        </is>
      </c>
      <c r="E417" t="inlineStr">
        <is>
          <t>Real</t>
        </is>
      </c>
      <c r="F417" t="inlineStr">
        <is>
          <t>gasto_admin</t>
        </is>
      </c>
      <c r="H417" t="inlineStr">
        <is>
          <t>Honorarios</t>
        </is>
      </c>
      <c r="I417" t="n">
        <v>10500000</v>
      </c>
      <c r="J417" t="inlineStr">
        <is>
          <t>COP</t>
        </is>
      </c>
      <c r="L417">
        <f>IFERROR(INDEX(Diccionario!$B:$B,MATCH(F429,Diccionario!$C:$C,0)),"")</f>
        <v/>
      </c>
      <c r="M417">
        <f>IFERROR(INDEX(Diccionario!$H:$H,MATCH(F429,Diccionario!$C:$C,0)),"")</f>
        <v/>
      </c>
      <c r="N417">
        <f>IFERROR(INDEX(Diccionario!$N:$N,MATCH(F429,Diccionario!$C:$C,0)),"")</f>
        <v/>
      </c>
    </row>
    <row r="418" ht="14.25" customHeight="1" s="52">
      <c r="A418" t="inlineStr">
        <is>
          <t>2026-02</t>
        </is>
      </c>
      <c r="B418" t="inlineStr">
        <is>
          <t>Colombia</t>
        </is>
      </c>
      <c r="C418" t="inlineStr">
        <is>
          <t>Coco Colombia</t>
        </is>
      </c>
      <c r="D418" t="inlineStr">
        <is>
          <t>COP</t>
        </is>
      </c>
      <c r="E418" t="inlineStr">
        <is>
          <t>Real</t>
        </is>
      </c>
      <c r="F418" t="inlineStr">
        <is>
          <t>gasto_admin</t>
        </is>
      </c>
      <c r="H418" t="inlineStr">
        <is>
          <t>Arrendamiento</t>
        </is>
      </c>
      <c r="I418" t="n">
        <v>12000000</v>
      </c>
      <c r="J418" t="inlineStr">
        <is>
          <t>COP</t>
        </is>
      </c>
      <c r="L418">
        <f>IFERROR(INDEX(Diccionario!$B:$B,MATCH(F430,Diccionario!$C:$C,0)),"")</f>
        <v/>
      </c>
      <c r="M418">
        <f>IFERROR(INDEX(Diccionario!$H:$H,MATCH(F430,Diccionario!$C:$C,0)),"")</f>
        <v/>
      </c>
      <c r="N418">
        <f>IFERROR(INDEX(Diccionario!$N:$N,MATCH(F430,Diccionario!$C:$C,0)),"")</f>
        <v/>
      </c>
    </row>
    <row r="419" ht="14.25" customHeight="1" s="52">
      <c r="A419" t="inlineStr">
        <is>
          <t>2026-02</t>
        </is>
      </c>
      <c r="B419" t="inlineStr">
        <is>
          <t>Colombia</t>
        </is>
      </c>
      <c r="C419" t="inlineStr">
        <is>
          <t>Coco Colombia</t>
        </is>
      </c>
      <c r="D419" t="inlineStr">
        <is>
          <t>COP</t>
        </is>
      </c>
      <c r="E419" t="inlineStr">
        <is>
          <t>Real</t>
        </is>
      </c>
      <c r="F419" t="inlineStr">
        <is>
          <t>gasto_admin</t>
        </is>
      </c>
      <c r="H419" t="inlineStr">
        <is>
          <t>Seguros</t>
        </is>
      </c>
      <c r="I419" t="n">
        <v>3600000</v>
      </c>
      <c r="J419" t="inlineStr">
        <is>
          <t>COP</t>
        </is>
      </c>
      <c r="L419">
        <f>IFERROR(INDEX(Diccionario!$B:$B,MATCH(F431,Diccionario!$C:$C,0)),"")</f>
        <v/>
      </c>
      <c r="M419">
        <f>IFERROR(INDEX(Diccionario!$H:$H,MATCH(F431,Diccionario!$C:$C,0)),"")</f>
        <v/>
      </c>
      <c r="N419">
        <f>IFERROR(INDEX(Diccionario!$N:$N,MATCH(F431,Diccionario!$C:$C,0)),"")</f>
        <v/>
      </c>
    </row>
    <row r="420" ht="14.25" customHeight="1" s="52">
      <c r="A420" t="inlineStr">
        <is>
          <t>2026-02</t>
        </is>
      </c>
      <c r="B420" t="inlineStr">
        <is>
          <t>Colombia</t>
        </is>
      </c>
      <c r="C420" t="inlineStr">
        <is>
          <t>Coco Colombia</t>
        </is>
      </c>
      <c r="D420" t="inlineStr">
        <is>
          <t>COP</t>
        </is>
      </c>
      <c r="E420" t="inlineStr">
        <is>
          <t>Real</t>
        </is>
      </c>
      <c r="F420" t="inlineStr">
        <is>
          <t>gasto_admin</t>
        </is>
      </c>
      <c r="H420" t="inlineStr">
        <is>
          <t>Servicios</t>
        </is>
      </c>
      <c r="I420" t="n">
        <v>3300000</v>
      </c>
      <c r="J420" t="inlineStr">
        <is>
          <t>COP</t>
        </is>
      </c>
      <c r="L420">
        <f>IFERROR(INDEX(Diccionario!$B:$B,MATCH(F432,Diccionario!$C:$C,0)),"")</f>
        <v/>
      </c>
      <c r="M420">
        <f>IFERROR(INDEX(Diccionario!$H:$H,MATCH(F432,Diccionario!$C:$C,0)),"")</f>
        <v/>
      </c>
      <c r="N420">
        <f>IFERROR(INDEX(Diccionario!$N:$N,MATCH(F432,Diccionario!$C:$C,0)),"")</f>
        <v/>
      </c>
    </row>
    <row r="421" ht="14.25" customHeight="1" s="52">
      <c r="A421" t="inlineStr">
        <is>
          <t>2026-02</t>
        </is>
      </c>
      <c r="B421" t="inlineStr">
        <is>
          <t>Colombia</t>
        </is>
      </c>
      <c r="C421" t="inlineStr">
        <is>
          <t>Coco Colombia</t>
        </is>
      </c>
      <c r="D421" t="inlineStr">
        <is>
          <t>COP</t>
        </is>
      </c>
      <c r="E421" t="inlineStr">
        <is>
          <t>Real</t>
        </is>
      </c>
      <c r="F421" t="inlineStr">
        <is>
          <t>gasto_admin</t>
        </is>
      </c>
      <c r="H421" t="inlineStr">
        <is>
          <t>Viajes</t>
        </is>
      </c>
      <c r="I421" t="n">
        <v>3600000</v>
      </c>
      <c r="J421" t="inlineStr">
        <is>
          <t>COP</t>
        </is>
      </c>
      <c r="L421">
        <f>IFERROR(INDEX(Diccionario!$B:$B,MATCH(F433,Diccionario!$C:$C,0)),"")</f>
        <v/>
      </c>
      <c r="M421">
        <f>IFERROR(INDEX(Diccionario!$H:$H,MATCH(F433,Diccionario!$C:$C,0)),"")</f>
        <v/>
      </c>
      <c r="N421">
        <f>IFERROR(INDEX(Diccionario!$N:$N,MATCH(F433,Diccionario!$C:$C,0)),"")</f>
        <v/>
      </c>
    </row>
    <row r="422" ht="14.25" customHeight="1" s="52">
      <c r="A422" t="inlineStr">
        <is>
          <t>2026-02</t>
        </is>
      </c>
      <c r="B422" t="inlineStr">
        <is>
          <t>Colombia</t>
        </is>
      </c>
      <c r="C422" t="inlineStr">
        <is>
          <t>Coco Colombia</t>
        </is>
      </c>
      <c r="D422" t="inlineStr">
        <is>
          <t>COP</t>
        </is>
      </c>
      <c r="E422" t="inlineStr">
        <is>
          <t>Real</t>
        </is>
      </c>
      <c r="F422" t="inlineStr">
        <is>
          <t>gasto_admin</t>
        </is>
      </c>
      <c r="H422" t="inlineStr">
        <is>
          <t>Diversos</t>
        </is>
      </c>
      <c r="I422" t="n">
        <v>5900000</v>
      </c>
      <c r="J422" t="inlineStr">
        <is>
          <t>COP</t>
        </is>
      </c>
      <c r="L422">
        <f>IFERROR(INDEX(Diccionario!$B:$B,MATCH(F434,Diccionario!$C:$C,0)),"")</f>
        <v/>
      </c>
      <c r="M422">
        <f>IFERROR(INDEX(Diccionario!$H:$H,MATCH(F434,Diccionario!$C:$C,0)),"")</f>
        <v/>
      </c>
      <c r="N422">
        <f>IFERROR(INDEX(Diccionario!$N:$N,MATCH(F434,Diccionario!$C:$C,0)),"")</f>
        <v/>
      </c>
    </row>
    <row r="423" ht="14.25" customHeight="1" s="52">
      <c r="A423" t="inlineStr">
        <is>
          <t>2026-03</t>
        </is>
      </c>
      <c r="B423" t="inlineStr">
        <is>
          <t>Colombia</t>
        </is>
      </c>
      <c r="C423" t="inlineStr">
        <is>
          <t>Coco Colombia</t>
        </is>
      </c>
      <c r="D423" t="inlineStr">
        <is>
          <t>COP</t>
        </is>
      </c>
      <c r="E423" t="inlineStr">
        <is>
          <t>Real</t>
        </is>
      </c>
      <c r="F423" t="inlineStr">
        <is>
          <t>gasto_admin</t>
        </is>
      </c>
      <c r="H423" t="inlineStr">
        <is>
          <t>Personal</t>
        </is>
      </c>
      <c r="I423" t="n">
        <v>68200000</v>
      </c>
      <c r="J423" t="inlineStr">
        <is>
          <t>COP</t>
        </is>
      </c>
      <c r="L423">
        <f>IFERROR(INDEX(Diccionario!$B:$B,MATCH(F435,Diccionario!$C:$C,0)),"")</f>
        <v/>
      </c>
      <c r="M423">
        <f>IFERROR(INDEX(Diccionario!$H:$H,MATCH(F435,Diccionario!$C:$C,0)),"")</f>
        <v/>
      </c>
      <c r="N423">
        <f>IFERROR(INDEX(Diccionario!$N:$N,MATCH(F435,Diccionario!$C:$C,0)),"")</f>
        <v/>
      </c>
    </row>
    <row r="424" ht="14.25" customHeight="1" s="52">
      <c r="A424" t="inlineStr">
        <is>
          <t>2026-03</t>
        </is>
      </c>
      <c r="B424" t="inlineStr">
        <is>
          <t>Colombia</t>
        </is>
      </c>
      <c r="C424" t="inlineStr">
        <is>
          <t>Coco Colombia</t>
        </is>
      </c>
      <c r="D424" t="inlineStr">
        <is>
          <t>COP</t>
        </is>
      </c>
      <c r="E424" t="inlineStr">
        <is>
          <t>Real</t>
        </is>
      </c>
      <c r="F424" t="inlineStr">
        <is>
          <t>gasto_admin</t>
        </is>
      </c>
      <c r="H424" t="inlineStr">
        <is>
          <t>Honorarios</t>
        </is>
      </c>
      <c r="I424" t="n">
        <v>29900000</v>
      </c>
      <c r="J424" t="inlineStr">
        <is>
          <t>COP</t>
        </is>
      </c>
      <c r="L424">
        <f>IFERROR(INDEX(Diccionario!$B:$B,MATCH(F436,Diccionario!$C:$C,0)),"")</f>
        <v/>
      </c>
      <c r="M424">
        <f>IFERROR(INDEX(Diccionario!$H:$H,MATCH(F436,Diccionario!$C:$C,0)),"")</f>
        <v/>
      </c>
      <c r="N424">
        <f>IFERROR(INDEX(Diccionario!$N:$N,MATCH(F436,Diccionario!$C:$C,0)),"")</f>
        <v/>
      </c>
    </row>
    <row r="425" ht="14.25" customHeight="1" s="52">
      <c r="A425" t="inlineStr">
        <is>
          <t>2026-03</t>
        </is>
      </c>
      <c r="B425" t="inlineStr">
        <is>
          <t>Colombia</t>
        </is>
      </c>
      <c r="C425" t="inlineStr">
        <is>
          <t>Coco Colombia</t>
        </is>
      </c>
      <c r="D425" t="inlineStr">
        <is>
          <t>COP</t>
        </is>
      </c>
      <c r="E425" t="inlineStr">
        <is>
          <t>Real</t>
        </is>
      </c>
      <c r="F425" t="inlineStr">
        <is>
          <t>gasto_admin</t>
        </is>
      </c>
      <c r="H425" t="inlineStr">
        <is>
          <t>Arrendamiento</t>
        </is>
      </c>
      <c r="I425" t="n">
        <v>10700000</v>
      </c>
      <c r="J425" t="inlineStr">
        <is>
          <t>COP</t>
        </is>
      </c>
      <c r="L425">
        <f>IFERROR(INDEX(Diccionario!$B:$B,MATCH(F437,Diccionario!$C:$C,0)),"")</f>
        <v/>
      </c>
      <c r="M425">
        <f>IFERROR(INDEX(Diccionario!$H:$H,MATCH(F437,Diccionario!$C:$C,0)),"")</f>
        <v/>
      </c>
      <c r="N425">
        <f>IFERROR(INDEX(Diccionario!$N:$N,MATCH(F437,Diccionario!$C:$C,0)),"")</f>
        <v/>
      </c>
    </row>
    <row r="426" ht="14.25" customHeight="1" s="52">
      <c r="A426" t="inlineStr">
        <is>
          <t>2026-03</t>
        </is>
      </c>
      <c r="B426" t="inlineStr">
        <is>
          <t>Colombia</t>
        </is>
      </c>
      <c r="C426" t="inlineStr">
        <is>
          <t>Coco Colombia</t>
        </is>
      </c>
      <c r="D426" t="inlineStr">
        <is>
          <t>COP</t>
        </is>
      </c>
      <c r="E426" t="inlineStr">
        <is>
          <t>Real</t>
        </is>
      </c>
      <c r="F426" t="inlineStr">
        <is>
          <t>gasto_admin</t>
        </is>
      </c>
      <c r="H426" t="inlineStr">
        <is>
          <t>Seguros</t>
        </is>
      </c>
      <c r="I426" t="n">
        <v>1700000</v>
      </c>
      <c r="J426" t="inlineStr">
        <is>
          <t>COP</t>
        </is>
      </c>
      <c r="L426">
        <f>IFERROR(INDEX(Diccionario!$B:$B,MATCH(F438,Diccionario!$C:$C,0)),"")</f>
        <v/>
      </c>
      <c r="M426">
        <f>IFERROR(INDEX(Diccionario!$H:$H,MATCH(F438,Diccionario!$C:$C,0)),"")</f>
        <v/>
      </c>
      <c r="N426">
        <f>IFERROR(INDEX(Diccionario!$N:$N,MATCH(F438,Diccionario!$C:$C,0)),"")</f>
        <v/>
      </c>
    </row>
    <row r="427" ht="14.25" customHeight="1" s="52">
      <c r="A427" t="inlineStr">
        <is>
          <t>2026-03</t>
        </is>
      </c>
      <c r="B427" t="inlineStr">
        <is>
          <t>Colombia</t>
        </is>
      </c>
      <c r="C427" t="inlineStr">
        <is>
          <t>Coco Colombia</t>
        </is>
      </c>
      <c r="D427" t="inlineStr">
        <is>
          <t>COP</t>
        </is>
      </c>
      <c r="E427" t="inlineStr">
        <is>
          <t>Real</t>
        </is>
      </c>
      <c r="F427" t="inlineStr">
        <is>
          <t>gasto_admin</t>
        </is>
      </c>
      <c r="H427" t="inlineStr">
        <is>
          <t>Servicios</t>
        </is>
      </c>
      <c r="I427" t="n">
        <v>4400000</v>
      </c>
      <c r="J427" t="inlineStr">
        <is>
          <t>COP</t>
        </is>
      </c>
      <c r="L427">
        <f>IFERROR(INDEX(Diccionario!$B:$B,MATCH(F439,Diccionario!$C:$C,0)),"")</f>
        <v/>
      </c>
      <c r="M427">
        <f>IFERROR(INDEX(Diccionario!$H:$H,MATCH(F439,Diccionario!$C:$C,0)),"")</f>
        <v/>
      </c>
      <c r="N427">
        <f>IFERROR(INDEX(Diccionario!$N:$N,MATCH(F439,Diccionario!$C:$C,0)),"")</f>
        <v/>
      </c>
    </row>
    <row r="428" ht="14.25" customHeight="1" s="52">
      <c r="A428" t="inlineStr">
        <is>
          <t>2026-03</t>
        </is>
      </c>
      <c r="B428" t="inlineStr">
        <is>
          <t>Colombia</t>
        </is>
      </c>
      <c r="C428" t="inlineStr">
        <is>
          <t>Coco Colombia</t>
        </is>
      </c>
      <c r="D428" t="inlineStr">
        <is>
          <t>COP</t>
        </is>
      </c>
      <c r="E428" t="inlineStr">
        <is>
          <t>Real</t>
        </is>
      </c>
      <c r="F428" t="inlineStr">
        <is>
          <t>gasto_admin</t>
        </is>
      </c>
      <c r="H428" t="inlineStr">
        <is>
          <t>Viajes</t>
        </is>
      </c>
      <c r="I428" t="n">
        <v>5100000</v>
      </c>
      <c r="J428" t="inlineStr">
        <is>
          <t>COP</t>
        </is>
      </c>
      <c r="L428">
        <f>IFERROR(INDEX(Diccionario!$B:$B,MATCH(F440,Diccionario!$C:$C,0)),"")</f>
        <v/>
      </c>
      <c r="M428">
        <f>IFERROR(INDEX(Diccionario!$H:$H,MATCH(F440,Diccionario!$C:$C,0)),"")</f>
        <v/>
      </c>
      <c r="N428">
        <f>IFERROR(INDEX(Diccionario!$N:$N,MATCH(F440,Diccionario!$C:$C,0)),"")</f>
        <v/>
      </c>
    </row>
    <row r="429" ht="14.25" customHeight="1" s="52">
      <c r="A429" t="inlineStr">
        <is>
          <t>2026-03</t>
        </is>
      </c>
      <c r="B429" t="inlineStr">
        <is>
          <t>Colombia</t>
        </is>
      </c>
      <c r="C429" t="inlineStr">
        <is>
          <t>Coco Colombia</t>
        </is>
      </c>
      <c r="D429" t="inlineStr">
        <is>
          <t>COP</t>
        </is>
      </c>
      <c r="E429" t="inlineStr">
        <is>
          <t>Real</t>
        </is>
      </c>
      <c r="F429" t="inlineStr">
        <is>
          <t>gasto_admin</t>
        </is>
      </c>
      <c r="H429" t="inlineStr">
        <is>
          <t>Diversos</t>
        </is>
      </c>
      <c r="I429" t="n">
        <v>14100000</v>
      </c>
      <c r="J429" t="inlineStr">
        <is>
          <t>COP</t>
        </is>
      </c>
      <c r="L429">
        <f>IFERROR(INDEX(Diccionario!$B:$B,MATCH(F441,Diccionario!$C:$C,0)),"")</f>
        <v/>
      </c>
      <c r="M429">
        <f>IFERROR(INDEX(Diccionario!$H:$H,MATCH(F441,Diccionario!$C:$C,0)),"")</f>
        <v/>
      </c>
      <c r="N429">
        <f>IFERROR(INDEX(Diccionario!$N:$N,MATCH(F441,Diccionario!$C:$C,0)),"")</f>
        <v/>
      </c>
    </row>
    <row r="430" ht="14.25" customHeight="1" s="52">
      <c r="A430" t="inlineStr">
        <is>
          <t>2026-04</t>
        </is>
      </c>
      <c r="B430" t="inlineStr">
        <is>
          <t>Colombia</t>
        </is>
      </c>
      <c r="C430" t="inlineStr">
        <is>
          <t>Coco Colombia</t>
        </is>
      </c>
      <c r="D430" t="inlineStr">
        <is>
          <t>COP</t>
        </is>
      </c>
      <c r="E430" t="inlineStr">
        <is>
          <t>Real</t>
        </is>
      </c>
      <c r="F430" t="inlineStr">
        <is>
          <t>gasto_admin</t>
        </is>
      </c>
      <c r="H430" t="inlineStr">
        <is>
          <t>Personal</t>
        </is>
      </c>
      <c r="I430" t="n">
        <v>57500000</v>
      </c>
      <c r="J430" t="inlineStr">
        <is>
          <t>COP</t>
        </is>
      </c>
      <c r="L430">
        <f>IFERROR(INDEX(Diccionario!$B:$B,MATCH(F442,Diccionario!$C:$C,0)),"")</f>
        <v/>
      </c>
      <c r="M430">
        <f>IFERROR(INDEX(Diccionario!$H:$H,MATCH(F442,Diccionario!$C:$C,0)),"")</f>
        <v/>
      </c>
      <c r="N430">
        <f>IFERROR(INDEX(Diccionario!$N:$N,MATCH(F442,Diccionario!$C:$C,0)),"")</f>
        <v/>
      </c>
    </row>
    <row r="431" ht="14.25" customHeight="1" s="52">
      <c r="A431" t="inlineStr">
        <is>
          <t>2026-04</t>
        </is>
      </c>
      <c r="B431" t="inlineStr">
        <is>
          <t>Colombia</t>
        </is>
      </c>
      <c r="C431" t="inlineStr">
        <is>
          <t>Coco Colombia</t>
        </is>
      </c>
      <c r="D431" t="inlineStr">
        <is>
          <t>COP</t>
        </is>
      </c>
      <c r="E431" t="inlineStr">
        <is>
          <t>Real</t>
        </is>
      </c>
      <c r="F431" t="inlineStr">
        <is>
          <t>gasto_admin</t>
        </is>
      </c>
      <c r="H431" t="inlineStr">
        <is>
          <t>Honorarios</t>
        </is>
      </c>
      <c r="I431" t="n">
        <v>19800000</v>
      </c>
      <c r="J431" t="inlineStr">
        <is>
          <t>COP</t>
        </is>
      </c>
      <c r="L431">
        <f>IFERROR(INDEX(Diccionario!$B:$B,MATCH(F443,Diccionario!$C:$C,0)),"")</f>
        <v/>
      </c>
      <c r="M431">
        <f>IFERROR(INDEX(Diccionario!$H:$H,MATCH(F443,Diccionario!$C:$C,0)),"")</f>
        <v/>
      </c>
      <c r="N431">
        <f>IFERROR(INDEX(Diccionario!$N:$N,MATCH(F443,Diccionario!$C:$C,0)),"")</f>
        <v/>
      </c>
    </row>
    <row r="432" ht="14.25" customHeight="1" s="52">
      <c r="A432" t="inlineStr">
        <is>
          <t>2026-04</t>
        </is>
      </c>
      <c r="B432" t="inlineStr">
        <is>
          <t>Colombia</t>
        </is>
      </c>
      <c r="C432" t="inlineStr">
        <is>
          <t>Coco Colombia</t>
        </is>
      </c>
      <c r="D432" t="inlineStr">
        <is>
          <t>COP</t>
        </is>
      </c>
      <c r="E432" t="inlineStr">
        <is>
          <t>Real</t>
        </is>
      </c>
      <c r="F432" t="inlineStr">
        <is>
          <t>gasto_admin</t>
        </is>
      </c>
      <c r="H432" t="inlineStr">
        <is>
          <t>Arrendamiento</t>
        </is>
      </c>
      <c r="I432" t="n">
        <v>10500000</v>
      </c>
      <c r="J432" t="inlineStr">
        <is>
          <t>COP</t>
        </is>
      </c>
      <c r="L432">
        <f>IFERROR(INDEX(Diccionario!$B:$B,MATCH(F444,Diccionario!$C:$C,0)),"")</f>
        <v/>
      </c>
      <c r="M432">
        <f>IFERROR(INDEX(Diccionario!$H:$H,MATCH(F444,Diccionario!$C:$C,0)),"")</f>
        <v/>
      </c>
      <c r="N432">
        <f>IFERROR(INDEX(Diccionario!$N:$N,MATCH(F444,Diccionario!$C:$C,0)),"")</f>
        <v/>
      </c>
    </row>
    <row r="433" ht="14.25" customHeight="1" s="52">
      <c r="A433" t="inlineStr">
        <is>
          <t>2026-04</t>
        </is>
      </c>
      <c r="B433" t="inlineStr">
        <is>
          <t>Colombia</t>
        </is>
      </c>
      <c r="C433" t="inlineStr">
        <is>
          <t>Coco Colombia</t>
        </is>
      </c>
      <c r="D433" t="inlineStr">
        <is>
          <t>COP</t>
        </is>
      </c>
      <c r="E433" t="inlineStr">
        <is>
          <t>Real</t>
        </is>
      </c>
      <c r="F433" t="inlineStr">
        <is>
          <t>gasto_admin</t>
        </is>
      </c>
      <c r="H433" t="inlineStr">
        <is>
          <t>Seguros</t>
        </is>
      </c>
      <c r="I433" t="n">
        <v>900000</v>
      </c>
      <c r="J433" t="inlineStr">
        <is>
          <t>COP</t>
        </is>
      </c>
      <c r="L433">
        <f>IFERROR(INDEX(Diccionario!$B:$B,MATCH(F445,Diccionario!$C:$C,0)),"")</f>
        <v/>
      </c>
      <c r="M433">
        <f>IFERROR(INDEX(Diccionario!$H:$H,MATCH(F445,Diccionario!$C:$C,0)),"")</f>
        <v/>
      </c>
      <c r="N433">
        <f>IFERROR(INDEX(Diccionario!$N:$N,MATCH(F445,Diccionario!$C:$C,0)),"")</f>
        <v/>
      </c>
    </row>
    <row r="434" ht="14.25" customHeight="1" s="52">
      <c r="A434" t="inlineStr">
        <is>
          <t>2026-04</t>
        </is>
      </c>
      <c r="B434" t="inlineStr">
        <is>
          <t>Colombia</t>
        </is>
      </c>
      <c r="C434" t="inlineStr">
        <is>
          <t>Coco Colombia</t>
        </is>
      </c>
      <c r="D434" t="inlineStr">
        <is>
          <t>COP</t>
        </is>
      </c>
      <c r="E434" t="inlineStr">
        <is>
          <t>Real</t>
        </is>
      </c>
      <c r="F434" t="inlineStr">
        <is>
          <t>gasto_admin</t>
        </is>
      </c>
      <c r="H434" t="inlineStr">
        <is>
          <t>Servicios</t>
        </is>
      </c>
      <c r="I434" t="n">
        <v>3600000</v>
      </c>
      <c r="J434" t="inlineStr">
        <is>
          <t>COP</t>
        </is>
      </c>
      <c r="L434">
        <f>IFERROR(INDEX(Diccionario!$B:$B,MATCH(F446,Diccionario!$C:$C,0)),"")</f>
        <v/>
      </c>
      <c r="M434">
        <f>IFERROR(INDEX(Diccionario!$H:$H,MATCH(F446,Diccionario!$C:$C,0)),"")</f>
        <v/>
      </c>
      <c r="N434">
        <f>IFERROR(INDEX(Diccionario!$N:$N,MATCH(F446,Diccionario!$C:$C,0)),"")</f>
        <v/>
      </c>
    </row>
    <row r="435" ht="14.25" customHeight="1" s="52">
      <c r="A435" t="inlineStr">
        <is>
          <t>2026-04</t>
        </is>
      </c>
      <c r="B435" t="inlineStr">
        <is>
          <t>Colombia</t>
        </is>
      </c>
      <c r="C435" t="inlineStr">
        <is>
          <t>Coco Colombia</t>
        </is>
      </c>
      <c r="D435" t="inlineStr">
        <is>
          <t>COP</t>
        </is>
      </c>
      <c r="E435" t="inlineStr">
        <is>
          <t>Real</t>
        </is>
      </c>
      <c r="F435" t="inlineStr">
        <is>
          <t>gasto_admin</t>
        </is>
      </c>
      <c r="H435" t="inlineStr">
        <is>
          <t>Viajes</t>
        </is>
      </c>
      <c r="I435" t="n">
        <v>0</v>
      </c>
      <c r="J435" t="inlineStr">
        <is>
          <t>COP</t>
        </is>
      </c>
      <c r="L435">
        <f>IFERROR(INDEX(Diccionario!$B:$B,MATCH(F447,Diccionario!$C:$C,0)),"")</f>
        <v/>
      </c>
      <c r="M435">
        <f>IFERROR(INDEX(Diccionario!$H:$H,MATCH(F447,Diccionario!$C:$C,0)),"")</f>
        <v/>
      </c>
      <c r="N435">
        <f>IFERROR(INDEX(Diccionario!$N:$N,MATCH(F447,Diccionario!$C:$C,0)),"")</f>
        <v/>
      </c>
    </row>
    <row r="436" ht="14.25" customHeight="1" s="52">
      <c r="A436" t="inlineStr">
        <is>
          <t>2026-04</t>
        </is>
      </c>
      <c r="B436" t="inlineStr">
        <is>
          <t>Colombia</t>
        </is>
      </c>
      <c r="C436" t="inlineStr">
        <is>
          <t>Coco Colombia</t>
        </is>
      </c>
      <c r="D436" t="inlineStr">
        <is>
          <t>COP</t>
        </is>
      </c>
      <c r="E436" t="inlineStr">
        <is>
          <t>Real</t>
        </is>
      </c>
      <c r="F436" t="inlineStr">
        <is>
          <t>gasto_admin</t>
        </is>
      </c>
      <c r="H436" t="inlineStr">
        <is>
          <t>Diversos</t>
        </is>
      </c>
      <c r="I436" t="n">
        <v>21600000</v>
      </c>
      <c r="J436" t="inlineStr">
        <is>
          <t>COP</t>
        </is>
      </c>
      <c r="L436">
        <f>IFERROR(INDEX(Diccionario!$B:$B,MATCH(F448,Diccionario!$C:$C,0)),"")</f>
        <v/>
      </c>
      <c r="M436">
        <f>IFERROR(INDEX(Diccionario!$H:$H,MATCH(F448,Diccionario!$C:$C,0)),"")</f>
        <v/>
      </c>
      <c r="N436">
        <f>IFERROR(INDEX(Diccionario!$N:$N,MATCH(F448,Diccionario!$C:$C,0)),"")</f>
        <v/>
      </c>
    </row>
    <row r="437" ht="14.25" customHeight="1" s="52">
      <c r="A437" t="inlineStr">
        <is>
          <t>2026-05</t>
        </is>
      </c>
      <c r="B437" t="inlineStr">
        <is>
          <t>Colombia</t>
        </is>
      </c>
      <c r="C437" t="inlineStr">
        <is>
          <t>Coco Colombia</t>
        </is>
      </c>
      <c r="D437" t="inlineStr">
        <is>
          <t>COP</t>
        </is>
      </c>
      <c r="E437" t="inlineStr">
        <is>
          <t>Real</t>
        </is>
      </c>
      <c r="F437" t="inlineStr">
        <is>
          <t>gasto_admin</t>
        </is>
      </c>
      <c r="H437" t="inlineStr">
        <is>
          <t>Personal</t>
        </is>
      </c>
      <c r="I437" t="n">
        <v>62300000</v>
      </c>
      <c r="J437" t="inlineStr">
        <is>
          <t>COP</t>
        </is>
      </c>
      <c r="L437">
        <f>IFERROR(INDEX(Diccionario!$B:$B,MATCH(F449,Diccionario!$C:$C,0)),"")</f>
        <v/>
      </c>
      <c r="M437">
        <f>IFERROR(INDEX(Diccionario!$H:$H,MATCH(F449,Diccionario!$C:$C,0)),"")</f>
        <v/>
      </c>
      <c r="N437">
        <f>IFERROR(INDEX(Diccionario!$N:$N,MATCH(F449,Diccionario!$C:$C,0)),"")</f>
        <v/>
      </c>
    </row>
    <row r="438" ht="14.25" customHeight="1" s="52">
      <c r="A438" t="inlineStr">
        <is>
          <t>2026-05</t>
        </is>
      </c>
      <c r="B438" t="inlineStr">
        <is>
          <t>Colombia</t>
        </is>
      </c>
      <c r="C438" t="inlineStr">
        <is>
          <t>Coco Colombia</t>
        </is>
      </c>
      <c r="D438" t="inlineStr">
        <is>
          <t>COP</t>
        </is>
      </c>
      <c r="E438" t="inlineStr">
        <is>
          <t>Real</t>
        </is>
      </c>
      <c r="F438" t="inlineStr">
        <is>
          <t>gasto_admin</t>
        </is>
      </c>
      <c r="H438" t="inlineStr">
        <is>
          <t>Honorarios</t>
        </is>
      </c>
      <c r="I438" t="n">
        <v>17100000</v>
      </c>
      <c r="J438" t="inlineStr">
        <is>
          <t>COP</t>
        </is>
      </c>
      <c r="L438">
        <f>IFERROR(INDEX(Diccionario!$B:$B,MATCH(F450,Diccionario!$C:$C,0)),"")</f>
        <v/>
      </c>
      <c r="M438">
        <f>IFERROR(INDEX(Diccionario!$H:$H,MATCH(F450,Diccionario!$C:$C,0)),"")</f>
        <v/>
      </c>
      <c r="N438">
        <f>IFERROR(INDEX(Diccionario!$N:$N,MATCH(F450,Diccionario!$C:$C,0)),"")</f>
        <v/>
      </c>
    </row>
    <row r="439" ht="14.25" customHeight="1" s="52">
      <c r="A439" t="inlineStr">
        <is>
          <t>2026-05</t>
        </is>
      </c>
      <c r="B439" t="inlineStr">
        <is>
          <t>Colombia</t>
        </is>
      </c>
      <c r="C439" t="inlineStr">
        <is>
          <t>Coco Colombia</t>
        </is>
      </c>
      <c r="D439" t="inlineStr">
        <is>
          <t>COP</t>
        </is>
      </c>
      <c r="E439" t="inlineStr">
        <is>
          <t>Real</t>
        </is>
      </c>
      <c r="F439" t="inlineStr">
        <is>
          <t>gasto_admin</t>
        </is>
      </c>
      <c r="H439" t="inlineStr">
        <is>
          <t>Arrendamiento</t>
        </is>
      </c>
      <c r="I439" t="n">
        <v>10100000</v>
      </c>
      <c r="J439" t="inlineStr">
        <is>
          <t>COP</t>
        </is>
      </c>
      <c r="L439">
        <f>IFERROR(INDEX(Diccionario!$B:$B,MATCH(F451,Diccionario!$C:$C,0)),"")</f>
        <v/>
      </c>
      <c r="M439">
        <f>IFERROR(INDEX(Diccionario!$H:$H,MATCH(F451,Diccionario!$C:$C,0)),"")</f>
        <v/>
      </c>
      <c r="N439">
        <f>IFERROR(INDEX(Diccionario!$N:$N,MATCH(F451,Diccionario!$C:$C,0)),"")</f>
        <v/>
      </c>
    </row>
    <row r="440" ht="14.25" customHeight="1" s="52">
      <c r="A440" t="inlineStr">
        <is>
          <t>2026-05</t>
        </is>
      </c>
      <c r="B440" t="inlineStr">
        <is>
          <t>Colombia</t>
        </is>
      </c>
      <c r="C440" t="inlineStr">
        <is>
          <t>Coco Colombia</t>
        </is>
      </c>
      <c r="D440" t="inlineStr">
        <is>
          <t>COP</t>
        </is>
      </c>
      <c r="E440" t="inlineStr">
        <is>
          <t>Real</t>
        </is>
      </c>
      <c r="F440" t="inlineStr">
        <is>
          <t>gasto_admin</t>
        </is>
      </c>
      <c r="H440" t="inlineStr">
        <is>
          <t>Seguros</t>
        </is>
      </c>
      <c r="I440" t="n">
        <v>900000</v>
      </c>
      <c r="J440" t="inlineStr">
        <is>
          <t>COP</t>
        </is>
      </c>
      <c r="L440">
        <f>IFERROR(INDEX(Diccionario!$B:$B,MATCH(F452,Diccionario!$C:$C,0)),"")</f>
        <v/>
      </c>
      <c r="M440">
        <f>IFERROR(INDEX(Diccionario!$H:$H,MATCH(F452,Diccionario!$C:$C,0)),"")</f>
        <v/>
      </c>
      <c r="N440">
        <f>IFERROR(INDEX(Diccionario!$N:$N,MATCH(F452,Diccionario!$C:$C,0)),"")</f>
        <v/>
      </c>
    </row>
    <row r="441" ht="14.25" customHeight="1" s="52">
      <c r="A441" t="inlineStr">
        <is>
          <t>2026-05</t>
        </is>
      </c>
      <c r="B441" t="inlineStr">
        <is>
          <t>Colombia</t>
        </is>
      </c>
      <c r="C441" t="inlineStr">
        <is>
          <t>Coco Colombia</t>
        </is>
      </c>
      <c r="D441" t="inlineStr">
        <is>
          <t>COP</t>
        </is>
      </c>
      <c r="E441" t="inlineStr">
        <is>
          <t>Real</t>
        </is>
      </c>
      <c r="F441" t="inlineStr">
        <is>
          <t>gasto_admin</t>
        </is>
      </c>
      <c r="H441" t="inlineStr">
        <is>
          <t>Servicios</t>
        </is>
      </c>
      <c r="I441" t="n">
        <v>6600000</v>
      </c>
      <c r="J441" t="inlineStr">
        <is>
          <t>COP</t>
        </is>
      </c>
      <c r="L441">
        <f>IFERROR(INDEX(Diccionario!$B:$B,MATCH(F453,Diccionario!$C:$C,0)),"")</f>
        <v/>
      </c>
      <c r="M441">
        <f>IFERROR(INDEX(Diccionario!$H:$H,MATCH(F453,Diccionario!$C:$C,0)),"")</f>
        <v/>
      </c>
      <c r="N441">
        <f>IFERROR(INDEX(Diccionario!$N:$N,MATCH(F453,Diccionario!$C:$C,0)),"")</f>
        <v/>
      </c>
    </row>
    <row r="442" ht="14.25" customHeight="1" s="52">
      <c r="A442" t="inlineStr">
        <is>
          <t>2026-05</t>
        </is>
      </c>
      <c r="B442" t="inlineStr">
        <is>
          <t>Colombia</t>
        </is>
      </c>
      <c r="C442" t="inlineStr">
        <is>
          <t>Coco Colombia</t>
        </is>
      </c>
      <c r="D442" t="inlineStr">
        <is>
          <t>COP</t>
        </is>
      </c>
      <c r="E442" t="inlineStr">
        <is>
          <t>Real</t>
        </is>
      </c>
      <c r="F442" t="inlineStr">
        <is>
          <t>gasto_admin</t>
        </is>
      </c>
      <c r="H442" t="inlineStr">
        <is>
          <t>Viajes</t>
        </is>
      </c>
      <c r="I442" t="n">
        <v>5200000</v>
      </c>
      <c r="J442" t="inlineStr">
        <is>
          <t>COP</t>
        </is>
      </c>
      <c r="L442">
        <f>IFERROR(INDEX(Diccionario!$B:$B,MATCH(F454,Diccionario!$C:$C,0)),"")</f>
        <v/>
      </c>
      <c r="M442">
        <f>IFERROR(INDEX(Diccionario!$H:$H,MATCH(F454,Diccionario!$C:$C,0)),"")</f>
        <v/>
      </c>
      <c r="N442">
        <f>IFERROR(INDEX(Diccionario!$N:$N,MATCH(F454,Diccionario!$C:$C,0)),"")</f>
        <v/>
      </c>
    </row>
    <row r="443" ht="14.25" customHeight="1" s="52">
      <c r="A443" t="inlineStr">
        <is>
          <t>2026-05</t>
        </is>
      </c>
      <c r="B443" t="inlineStr">
        <is>
          <t>Colombia</t>
        </is>
      </c>
      <c r="C443" t="inlineStr">
        <is>
          <t>Coco Colombia</t>
        </is>
      </c>
      <c r="D443" t="inlineStr">
        <is>
          <t>COP</t>
        </is>
      </c>
      <c r="E443" t="inlineStr">
        <is>
          <t>Real</t>
        </is>
      </c>
      <c r="F443" t="inlineStr">
        <is>
          <t>gasto_admin</t>
        </is>
      </c>
      <c r="H443" t="inlineStr">
        <is>
          <t>Diversos</t>
        </is>
      </c>
      <c r="I443" t="n">
        <v>14100000</v>
      </c>
      <c r="J443" t="inlineStr">
        <is>
          <t>COP</t>
        </is>
      </c>
      <c r="L443">
        <f>IFERROR(INDEX(Diccionario!$B:$B,MATCH(F455,Diccionario!$C:$C,0)),"")</f>
        <v/>
      </c>
      <c r="M443">
        <f>IFERROR(INDEX(Diccionario!$H:$H,MATCH(F455,Diccionario!$C:$C,0)),"")</f>
        <v/>
      </c>
      <c r="N443">
        <f>IFERROR(INDEX(Diccionario!$N:$N,MATCH(F455,Diccionario!$C:$C,0)),"")</f>
        <v/>
      </c>
    </row>
    <row r="444" ht="14.25" customHeight="1" s="52">
      <c r="A444" t="inlineStr">
        <is>
          <t>2024-01</t>
        </is>
      </c>
      <c r="B444" t="inlineStr">
        <is>
          <t>Colombia</t>
        </is>
      </c>
      <c r="C444" t="inlineStr">
        <is>
          <t>Coco Colombia</t>
        </is>
      </c>
      <c r="D444" t="inlineStr">
        <is>
          <t>COP</t>
        </is>
      </c>
      <c r="E444" t="inlineStr">
        <is>
          <t>Real</t>
        </is>
      </c>
      <c r="F444" t="inlineStr">
        <is>
          <t>costo_proveedor</t>
        </is>
      </c>
      <c r="H444" t="inlineStr">
        <is>
          <t>Infobip</t>
        </is>
      </c>
      <c r="I444" t="n">
        <v>85000000</v>
      </c>
      <c r="J444" t="inlineStr">
        <is>
          <t>COP</t>
        </is>
      </c>
      <c r="L444">
        <f>IFERROR(INDEX(Diccionario!$B:$B,MATCH(F456,Diccionario!$C:$C,0)),"")</f>
        <v/>
      </c>
      <c r="M444">
        <f>IFERROR(INDEX(Diccionario!$H:$H,MATCH(F456,Diccionario!$C:$C,0)),"")</f>
        <v/>
      </c>
      <c r="N444">
        <f>IFERROR(INDEX(Diccionario!$N:$N,MATCH(F456,Diccionario!$C:$C,0)),"")</f>
        <v/>
      </c>
    </row>
    <row r="445" ht="14.25" customHeight="1" s="52">
      <c r="A445" t="inlineStr">
        <is>
          <t>2024-01</t>
        </is>
      </c>
      <c r="B445" t="inlineStr">
        <is>
          <t>Colombia</t>
        </is>
      </c>
      <c r="C445" t="inlineStr">
        <is>
          <t>Coco Colombia</t>
        </is>
      </c>
      <c r="D445" t="inlineStr">
        <is>
          <t>COP</t>
        </is>
      </c>
      <c r="E445" t="inlineStr">
        <is>
          <t>Real</t>
        </is>
      </c>
      <c r="F445" t="inlineStr">
        <is>
          <t>costo_proveedor</t>
        </is>
      </c>
      <c r="H445" t="inlineStr">
        <is>
          <t>IVA</t>
        </is>
      </c>
      <c r="I445" t="n">
        <v>0</v>
      </c>
      <c r="J445" t="inlineStr">
        <is>
          <t>COP</t>
        </is>
      </c>
      <c r="L445">
        <f>IFERROR(INDEX(Diccionario!$B:$B,MATCH(F457,Diccionario!$C:$C,0)),"")</f>
        <v/>
      </c>
      <c r="M445">
        <f>IFERROR(INDEX(Diccionario!$H:$H,MATCH(F457,Diccionario!$C:$C,0)),"")</f>
        <v/>
      </c>
      <c r="N445">
        <f>IFERROR(INDEX(Diccionario!$N:$N,MATCH(F457,Diccionario!$C:$C,0)),"")</f>
        <v/>
      </c>
    </row>
    <row r="446" ht="14.25" customHeight="1" s="52">
      <c r="A446" t="inlineStr">
        <is>
          <t>2024-01</t>
        </is>
      </c>
      <c r="B446" t="inlineStr">
        <is>
          <t>Colombia</t>
        </is>
      </c>
      <c r="C446" t="inlineStr">
        <is>
          <t>Coco Colombia</t>
        </is>
      </c>
      <c r="D446" t="inlineStr">
        <is>
          <t>COP</t>
        </is>
      </c>
      <c r="E446" t="inlineStr">
        <is>
          <t>Real</t>
        </is>
      </c>
      <c r="F446" t="inlineStr">
        <is>
          <t>costo_proveedor</t>
        </is>
      </c>
      <c r="H446" t="inlineStr">
        <is>
          <t>AWS</t>
        </is>
      </c>
      <c r="I446" t="n">
        <v>25000000</v>
      </c>
      <c r="J446" t="inlineStr">
        <is>
          <t>COP</t>
        </is>
      </c>
      <c r="L446">
        <f>IFERROR(INDEX(Diccionario!$B:$B,MATCH(F458,Diccionario!$C:$C,0)),"")</f>
        <v/>
      </c>
      <c r="M446">
        <f>IFERROR(INDEX(Diccionario!$H:$H,MATCH(F458,Diccionario!$C:$C,0)),"")</f>
        <v/>
      </c>
      <c r="N446">
        <f>IFERROR(INDEX(Diccionario!$N:$N,MATCH(F458,Diccionario!$C:$C,0)),"")</f>
        <v/>
      </c>
    </row>
    <row r="447" ht="14.25" customHeight="1" s="52">
      <c r="A447" t="inlineStr">
        <is>
          <t>2024-01</t>
        </is>
      </c>
      <c r="B447" t="inlineStr">
        <is>
          <t>Colombia</t>
        </is>
      </c>
      <c r="C447" t="inlineStr">
        <is>
          <t>Coco Colombia</t>
        </is>
      </c>
      <c r="D447" t="inlineStr">
        <is>
          <t>COP</t>
        </is>
      </c>
      <c r="E447" t="inlineStr">
        <is>
          <t>Real</t>
        </is>
      </c>
      <c r="F447" t="inlineStr">
        <is>
          <t>costo_proveedor</t>
        </is>
      </c>
      <c r="H447" t="inlineStr">
        <is>
          <t>B2Chat</t>
        </is>
      </c>
      <c r="I447" t="n">
        <v>1000000</v>
      </c>
      <c r="J447" t="inlineStr">
        <is>
          <t>COP</t>
        </is>
      </c>
      <c r="L447">
        <f>IFERROR(INDEX(Diccionario!$B:$B,MATCH(F459,Diccionario!$C:$C,0)),"")</f>
        <v/>
      </c>
      <c r="M447">
        <f>IFERROR(INDEX(Diccionario!$H:$H,MATCH(F459,Diccionario!$C:$C,0)),"")</f>
        <v/>
      </c>
      <c r="N447">
        <f>IFERROR(INDEX(Diccionario!$N:$N,MATCH(F459,Diccionario!$C:$C,0)),"")</f>
        <v/>
      </c>
    </row>
    <row r="448" ht="14.25" customHeight="1" s="52">
      <c r="A448" t="inlineStr">
        <is>
          <t>2024-01</t>
        </is>
      </c>
      <c r="B448" t="inlineStr">
        <is>
          <t>Colombia</t>
        </is>
      </c>
      <c r="C448" t="inlineStr">
        <is>
          <t>Coco Colombia</t>
        </is>
      </c>
      <c r="D448" t="inlineStr">
        <is>
          <t>COP</t>
        </is>
      </c>
      <c r="E448" t="inlineStr">
        <is>
          <t>Real</t>
        </is>
      </c>
      <c r="F448" t="inlineStr">
        <is>
          <t>costo_proveedor</t>
        </is>
      </c>
      <c r="H448" t="inlineStr">
        <is>
          <t>Otros</t>
        </is>
      </c>
      <c r="I448" t="n">
        <v>22000000</v>
      </c>
      <c r="J448" t="inlineStr">
        <is>
          <t>COP</t>
        </is>
      </c>
      <c r="L448">
        <f>IFERROR(INDEX(Diccionario!$B:$B,MATCH(F460,Diccionario!$C:$C,0)),"")</f>
        <v/>
      </c>
      <c r="M448">
        <f>IFERROR(INDEX(Diccionario!$H:$H,MATCH(F460,Diccionario!$C:$C,0)),"")</f>
        <v/>
      </c>
      <c r="N448">
        <f>IFERROR(INDEX(Diccionario!$N:$N,MATCH(F460,Diccionario!$C:$C,0)),"")</f>
        <v/>
      </c>
    </row>
    <row r="449" ht="14.25" customHeight="1" s="52">
      <c r="A449" t="inlineStr">
        <is>
          <t>2024-02</t>
        </is>
      </c>
      <c r="B449" t="inlineStr">
        <is>
          <t>Colombia</t>
        </is>
      </c>
      <c r="C449" t="inlineStr">
        <is>
          <t>Coco Colombia</t>
        </is>
      </c>
      <c r="D449" t="inlineStr">
        <is>
          <t>COP</t>
        </is>
      </c>
      <c r="E449" t="inlineStr">
        <is>
          <t>Real</t>
        </is>
      </c>
      <c r="F449" t="inlineStr">
        <is>
          <t>costo_proveedor</t>
        </is>
      </c>
      <c r="H449" t="inlineStr">
        <is>
          <t>Infobip</t>
        </is>
      </c>
      <c r="I449" t="n">
        <v>92000000</v>
      </c>
      <c r="J449" t="inlineStr">
        <is>
          <t>COP</t>
        </is>
      </c>
      <c r="L449">
        <f>IFERROR(INDEX(Diccionario!$B:$B,MATCH(F461,Diccionario!$C:$C,0)),"")</f>
        <v/>
      </c>
      <c r="M449">
        <f>IFERROR(INDEX(Diccionario!$H:$H,MATCH(F461,Diccionario!$C:$C,0)),"")</f>
        <v/>
      </c>
      <c r="N449">
        <f>IFERROR(INDEX(Diccionario!$N:$N,MATCH(F461,Diccionario!$C:$C,0)),"")</f>
        <v/>
      </c>
    </row>
    <row r="450" ht="14.25" customHeight="1" s="52">
      <c r="A450" t="inlineStr">
        <is>
          <t>2024-02</t>
        </is>
      </c>
      <c r="B450" t="inlineStr">
        <is>
          <t>Colombia</t>
        </is>
      </c>
      <c r="C450" t="inlineStr">
        <is>
          <t>Coco Colombia</t>
        </is>
      </c>
      <c r="D450" t="inlineStr">
        <is>
          <t>COP</t>
        </is>
      </c>
      <c r="E450" t="inlineStr">
        <is>
          <t>Real</t>
        </is>
      </c>
      <c r="F450" t="inlineStr">
        <is>
          <t>costo_proveedor</t>
        </is>
      </c>
      <c r="H450" t="inlineStr">
        <is>
          <t>IVA</t>
        </is>
      </c>
      <c r="I450" t="n">
        <v>0</v>
      </c>
      <c r="J450" t="inlineStr">
        <is>
          <t>COP</t>
        </is>
      </c>
      <c r="L450">
        <f>IFERROR(INDEX(Diccionario!$B:$B,MATCH(F462,Diccionario!$C:$C,0)),"")</f>
        <v/>
      </c>
      <c r="M450">
        <f>IFERROR(INDEX(Diccionario!$H:$H,MATCH(F462,Diccionario!$C:$C,0)),"")</f>
        <v/>
      </c>
      <c r="N450">
        <f>IFERROR(INDEX(Diccionario!$N:$N,MATCH(F462,Diccionario!$C:$C,0)),"")</f>
        <v/>
      </c>
    </row>
    <row r="451" ht="14.25" customHeight="1" s="52">
      <c r="A451" t="inlineStr">
        <is>
          <t>2024-02</t>
        </is>
      </c>
      <c r="B451" t="inlineStr">
        <is>
          <t>Colombia</t>
        </is>
      </c>
      <c r="C451" t="inlineStr">
        <is>
          <t>Coco Colombia</t>
        </is>
      </c>
      <c r="D451" t="inlineStr">
        <is>
          <t>COP</t>
        </is>
      </c>
      <c r="E451" t="inlineStr">
        <is>
          <t>Real</t>
        </is>
      </c>
      <c r="F451" t="inlineStr">
        <is>
          <t>costo_proveedor</t>
        </is>
      </c>
      <c r="H451" t="inlineStr">
        <is>
          <t>AWS</t>
        </is>
      </c>
      <c r="I451" t="n">
        <v>17000000</v>
      </c>
      <c r="J451" t="inlineStr">
        <is>
          <t>COP</t>
        </is>
      </c>
      <c r="L451">
        <f>IFERROR(INDEX(Diccionario!$B:$B,MATCH(F463,Diccionario!$C:$C,0)),"")</f>
        <v/>
      </c>
      <c r="M451">
        <f>IFERROR(INDEX(Diccionario!$H:$H,MATCH(F463,Diccionario!$C:$C,0)),"")</f>
        <v/>
      </c>
      <c r="N451">
        <f>IFERROR(INDEX(Diccionario!$N:$N,MATCH(F463,Diccionario!$C:$C,0)),"")</f>
        <v/>
      </c>
    </row>
    <row r="452" ht="14.25" customHeight="1" s="52">
      <c r="A452" t="inlineStr">
        <is>
          <t>2024-02</t>
        </is>
      </c>
      <c r="B452" t="inlineStr">
        <is>
          <t>Colombia</t>
        </is>
      </c>
      <c r="C452" t="inlineStr">
        <is>
          <t>Coco Colombia</t>
        </is>
      </c>
      <c r="D452" t="inlineStr">
        <is>
          <t>COP</t>
        </is>
      </c>
      <c r="E452" t="inlineStr">
        <is>
          <t>Real</t>
        </is>
      </c>
      <c r="F452" t="inlineStr">
        <is>
          <t>costo_proveedor</t>
        </is>
      </c>
      <c r="H452" t="inlineStr">
        <is>
          <t>B2Chat</t>
        </is>
      </c>
      <c r="I452" t="n">
        <v>1000000</v>
      </c>
      <c r="J452" t="inlineStr">
        <is>
          <t>COP</t>
        </is>
      </c>
      <c r="L452">
        <f>IFERROR(INDEX(Diccionario!$B:$B,MATCH(F464,Diccionario!$C:$C,0)),"")</f>
        <v/>
      </c>
      <c r="M452">
        <f>IFERROR(INDEX(Diccionario!$H:$H,MATCH(F464,Diccionario!$C:$C,0)),"")</f>
        <v/>
      </c>
      <c r="N452">
        <f>IFERROR(INDEX(Diccionario!$N:$N,MATCH(F464,Diccionario!$C:$C,0)),"")</f>
        <v/>
      </c>
    </row>
    <row r="453" ht="14.25" customHeight="1" s="52">
      <c r="A453" t="inlineStr">
        <is>
          <t>2024-02</t>
        </is>
      </c>
      <c r="B453" t="inlineStr">
        <is>
          <t>Colombia</t>
        </is>
      </c>
      <c r="C453" t="inlineStr">
        <is>
          <t>Coco Colombia</t>
        </is>
      </c>
      <c r="D453" t="inlineStr">
        <is>
          <t>COP</t>
        </is>
      </c>
      <c r="E453" t="inlineStr">
        <is>
          <t>Real</t>
        </is>
      </c>
      <c r="F453" t="inlineStr">
        <is>
          <t>costo_proveedor</t>
        </is>
      </c>
      <c r="H453" t="inlineStr">
        <is>
          <t>Otros</t>
        </is>
      </c>
      <c r="I453" t="n">
        <v>5000000</v>
      </c>
      <c r="J453" t="inlineStr">
        <is>
          <t>COP</t>
        </is>
      </c>
      <c r="L453">
        <f>IFERROR(INDEX(Diccionario!$B:$B,MATCH(F465,Diccionario!$C:$C,0)),"")</f>
        <v/>
      </c>
      <c r="M453">
        <f>IFERROR(INDEX(Diccionario!$H:$H,MATCH(F465,Diccionario!$C:$C,0)),"")</f>
        <v/>
      </c>
      <c r="N453">
        <f>IFERROR(INDEX(Diccionario!$N:$N,MATCH(F465,Diccionario!$C:$C,0)),"")</f>
        <v/>
      </c>
    </row>
    <row r="454" ht="14.25" customHeight="1" s="52">
      <c r="A454" t="inlineStr">
        <is>
          <t>2024-03</t>
        </is>
      </c>
      <c r="B454" t="inlineStr">
        <is>
          <t>Colombia</t>
        </is>
      </c>
      <c r="C454" t="inlineStr">
        <is>
          <t>Coco Colombia</t>
        </is>
      </c>
      <c r="D454" t="inlineStr">
        <is>
          <t>COP</t>
        </is>
      </c>
      <c r="E454" t="inlineStr">
        <is>
          <t>Real</t>
        </is>
      </c>
      <c r="F454" t="inlineStr">
        <is>
          <t>costo_proveedor</t>
        </is>
      </c>
      <c r="H454" t="inlineStr">
        <is>
          <t>Infobip</t>
        </is>
      </c>
      <c r="I454" t="n">
        <v>110000000</v>
      </c>
      <c r="J454" t="inlineStr">
        <is>
          <t>COP</t>
        </is>
      </c>
      <c r="L454">
        <f>IFERROR(INDEX(Diccionario!$B:$B,MATCH(F466,Diccionario!$C:$C,0)),"")</f>
        <v/>
      </c>
      <c r="M454">
        <f>IFERROR(INDEX(Diccionario!$H:$H,MATCH(F466,Diccionario!$C:$C,0)),"")</f>
        <v/>
      </c>
      <c r="N454">
        <f>IFERROR(INDEX(Diccionario!$N:$N,MATCH(F466,Diccionario!$C:$C,0)),"")</f>
        <v/>
      </c>
    </row>
    <row r="455" ht="14.25" customHeight="1" s="52">
      <c r="A455" t="inlineStr">
        <is>
          <t>2024-03</t>
        </is>
      </c>
      <c r="B455" t="inlineStr">
        <is>
          <t>Colombia</t>
        </is>
      </c>
      <c r="C455" t="inlineStr">
        <is>
          <t>Coco Colombia</t>
        </is>
      </c>
      <c r="D455" t="inlineStr">
        <is>
          <t>COP</t>
        </is>
      </c>
      <c r="E455" t="inlineStr">
        <is>
          <t>Real</t>
        </is>
      </c>
      <c r="F455" t="inlineStr">
        <is>
          <t>costo_proveedor</t>
        </is>
      </c>
      <c r="H455" t="inlineStr">
        <is>
          <t>IVA</t>
        </is>
      </c>
      <c r="I455" t="n">
        <v>0</v>
      </c>
      <c r="J455" t="inlineStr">
        <is>
          <t>COP</t>
        </is>
      </c>
      <c r="L455">
        <f>IFERROR(INDEX(Diccionario!$B:$B,MATCH(F467,Diccionario!$C:$C,0)),"")</f>
        <v/>
      </c>
      <c r="M455">
        <f>IFERROR(INDEX(Diccionario!$H:$H,MATCH(F467,Diccionario!$C:$C,0)),"")</f>
        <v/>
      </c>
      <c r="N455">
        <f>IFERROR(INDEX(Diccionario!$N:$N,MATCH(F467,Diccionario!$C:$C,0)),"")</f>
        <v/>
      </c>
    </row>
    <row r="456" ht="14.25" customHeight="1" s="52">
      <c r="A456" t="inlineStr">
        <is>
          <t>2024-03</t>
        </is>
      </c>
      <c r="B456" t="inlineStr">
        <is>
          <t>Colombia</t>
        </is>
      </c>
      <c r="C456" t="inlineStr">
        <is>
          <t>Coco Colombia</t>
        </is>
      </c>
      <c r="D456" t="inlineStr">
        <is>
          <t>COP</t>
        </is>
      </c>
      <c r="E456" t="inlineStr">
        <is>
          <t>Real</t>
        </is>
      </c>
      <c r="F456" t="inlineStr">
        <is>
          <t>costo_proveedor</t>
        </is>
      </c>
      <c r="H456" t="inlineStr">
        <is>
          <t>AWS</t>
        </is>
      </c>
      <c r="I456" t="n">
        <v>21000000</v>
      </c>
      <c r="J456" t="inlineStr">
        <is>
          <t>COP</t>
        </is>
      </c>
      <c r="L456">
        <f>IFERROR(INDEX(Diccionario!$B:$B,MATCH(F468,Diccionario!$C:$C,0)),"")</f>
        <v/>
      </c>
      <c r="M456">
        <f>IFERROR(INDEX(Diccionario!$H:$H,MATCH(F468,Diccionario!$C:$C,0)),"")</f>
        <v/>
      </c>
      <c r="N456">
        <f>IFERROR(INDEX(Diccionario!$N:$N,MATCH(F468,Diccionario!$C:$C,0)),"")</f>
        <v/>
      </c>
    </row>
    <row r="457" ht="14.25" customHeight="1" s="52">
      <c r="A457" t="inlineStr">
        <is>
          <t>2024-03</t>
        </is>
      </c>
      <c r="B457" t="inlineStr">
        <is>
          <t>Colombia</t>
        </is>
      </c>
      <c r="C457" t="inlineStr">
        <is>
          <t>Coco Colombia</t>
        </is>
      </c>
      <c r="D457" t="inlineStr">
        <is>
          <t>COP</t>
        </is>
      </c>
      <c r="E457" t="inlineStr">
        <is>
          <t>Real</t>
        </is>
      </c>
      <c r="F457" t="inlineStr">
        <is>
          <t>costo_proveedor</t>
        </is>
      </c>
      <c r="H457" t="inlineStr">
        <is>
          <t>B2Chat</t>
        </is>
      </c>
      <c r="I457" t="n">
        <v>3000000</v>
      </c>
      <c r="J457" t="inlineStr">
        <is>
          <t>COP</t>
        </is>
      </c>
      <c r="L457">
        <f>IFERROR(INDEX(Diccionario!$B:$B,MATCH(F469,Diccionario!$C:$C,0)),"")</f>
        <v/>
      </c>
      <c r="M457">
        <f>IFERROR(INDEX(Diccionario!$H:$H,MATCH(F469,Diccionario!$C:$C,0)),"")</f>
        <v/>
      </c>
      <c r="N457">
        <f>IFERROR(INDEX(Diccionario!$N:$N,MATCH(F469,Diccionario!$C:$C,0)),"")</f>
        <v/>
      </c>
    </row>
    <row r="458" ht="14.25" customHeight="1" s="52">
      <c r="A458" t="inlineStr">
        <is>
          <t>2024-03</t>
        </is>
      </c>
      <c r="B458" t="inlineStr">
        <is>
          <t>Colombia</t>
        </is>
      </c>
      <c r="C458" t="inlineStr">
        <is>
          <t>Coco Colombia</t>
        </is>
      </c>
      <c r="D458" t="inlineStr">
        <is>
          <t>COP</t>
        </is>
      </c>
      <c r="E458" t="inlineStr">
        <is>
          <t>Real</t>
        </is>
      </c>
      <c r="F458" t="inlineStr">
        <is>
          <t>costo_proveedor</t>
        </is>
      </c>
      <c r="H458" t="inlineStr">
        <is>
          <t>Otros</t>
        </is>
      </c>
      <c r="I458" t="n">
        <v>5000000</v>
      </c>
      <c r="J458" t="inlineStr">
        <is>
          <t>COP</t>
        </is>
      </c>
      <c r="L458">
        <f>IFERROR(INDEX(Diccionario!$B:$B,MATCH(F470,Diccionario!$C:$C,0)),"")</f>
        <v/>
      </c>
      <c r="M458">
        <f>IFERROR(INDEX(Diccionario!$H:$H,MATCH(F470,Diccionario!$C:$C,0)),"")</f>
        <v/>
      </c>
      <c r="N458">
        <f>IFERROR(INDEX(Diccionario!$N:$N,MATCH(F470,Diccionario!$C:$C,0)),"")</f>
        <v/>
      </c>
    </row>
    <row r="459" ht="14.25" customHeight="1" s="52">
      <c r="A459" t="inlineStr">
        <is>
          <t>2024-04</t>
        </is>
      </c>
      <c r="B459" t="inlineStr">
        <is>
          <t>Colombia</t>
        </is>
      </c>
      <c r="C459" t="inlineStr">
        <is>
          <t>Coco Colombia</t>
        </is>
      </c>
      <c r="D459" t="inlineStr">
        <is>
          <t>COP</t>
        </is>
      </c>
      <c r="E459" t="inlineStr">
        <is>
          <t>Real</t>
        </is>
      </c>
      <c r="F459" t="inlineStr">
        <is>
          <t>costo_proveedor</t>
        </is>
      </c>
      <c r="H459" t="inlineStr">
        <is>
          <t>Infobip</t>
        </is>
      </c>
      <c r="I459" t="n">
        <v>107000000</v>
      </c>
      <c r="J459" t="inlineStr">
        <is>
          <t>COP</t>
        </is>
      </c>
      <c r="L459">
        <f>IFERROR(INDEX(Diccionario!$B:$B,MATCH(F471,Diccionario!$C:$C,0)),"")</f>
        <v/>
      </c>
      <c r="M459">
        <f>IFERROR(INDEX(Diccionario!$H:$H,MATCH(F471,Diccionario!$C:$C,0)),"")</f>
        <v/>
      </c>
      <c r="N459">
        <f>IFERROR(INDEX(Diccionario!$N:$N,MATCH(F471,Diccionario!$C:$C,0)),"")</f>
        <v/>
      </c>
    </row>
    <row r="460" ht="14.25" customHeight="1" s="52">
      <c r="A460" t="inlineStr">
        <is>
          <t>2024-04</t>
        </is>
      </c>
      <c r="B460" t="inlineStr">
        <is>
          <t>Colombia</t>
        </is>
      </c>
      <c r="C460" t="inlineStr">
        <is>
          <t>Coco Colombia</t>
        </is>
      </c>
      <c r="D460" t="inlineStr">
        <is>
          <t>COP</t>
        </is>
      </c>
      <c r="E460" t="inlineStr">
        <is>
          <t>Real</t>
        </is>
      </c>
      <c r="F460" t="inlineStr">
        <is>
          <t>costo_proveedor</t>
        </is>
      </c>
      <c r="H460" t="inlineStr">
        <is>
          <t>IVA</t>
        </is>
      </c>
      <c r="I460" t="n">
        <v>0</v>
      </c>
      <c r="J460" t="inlineStr">
        <is>
          <t>COP</t>
        </is>
      </c>
      <c r="L460">
        <f>IFERROR(INDEX(Diccionario!$B:$B,MATCH(F472,Diccionario!$C:$C,0)),"")</f>
        <v/>
      </c>
      <c r="M460">
        <f>IFERROR(INDEX(Diccionario!$H:$H,MATCH(F472,Diccionario!$C:$C,0)),"")</f>
        <v/>
      </c>
      <c r="N460">
        <f>IFERROR(INDEX(Diccionario!$N:$N,MATCH(F472,Diccionario!$C:$C,0)),"")</f>
        <v/>
      </c>
    </row>
    <row r="461" ht="14.25" customHeight="1" s="52">
      <c r="A461" t="inlineStr">
        <is>
          <t>2024-04</t>
        </is>
      </c>
      <c r="B461" t="inlineStr">
        <is>
          <t>Colombia</t>
        </is>
      </c>
      <c r="C461" t="inlineStr">
        <is>
          <t>Coco Colombia</t>
        </is>
      </c>
      <c r="D461" t="inlineStr">
        <is>
          <t>COP</t>
        </is>
      </c>
      <c r="E461" t="inlineStr">
        <is>
          <t>Real</t>
        </is>
      </c>
      <c r="F461" t="inlineStr">
        <is>
          <t>costo_proveedor</t>
        </is>
      </c>
      <c r="H461" t="inlineStr">
        <is>
          <t>AWS</t>
        </is>
      </c>
      <c r="I461" t="n">
        <v>18000000</v>
      </c>
      <c r="J461" t="inlineStr">
        <is>
          <t>COP</t>
        </is>
      </c>
      <c r="L461">
        <f>IFERROR(INDEX(Diccionario!$B:$B,MATCH(F473,Diccionario!$C:$C,0)),"")</f>
        <v/>
      </c>
      <c r="M461">
        <f>IFERROR(INDEX(Diccionario!$H:$H,MATCH(F473,Diccionario!$C:$C,0)),"")</f>
        <v/>
      </c>
      <c r="N461">
        <f>IFERROR(INDEX(Diccionario!$N:$N,MATCH(F473,Diccionario!$C:$C,0)),"")</f>
        <v/>
      </c>
    </row>
    <row r="462" ht="14.25" customHeight="1" s="52">
      <c r="A462" t="inlineStr">
        <is>
          <t>2024-04</t>
        </is>
      </c>
      <c r="B462" t="inlineStr">
        <is>
          <t>Colombia</t>
        </is>
      </c>
      <c r="C462" t="inlineStr">
        <is>
          <t>Coco Colombia</t>
        </is>
      </c>
      <c r="D462" t="inlineStr">
        <is>
          <t>COP</t>
        </is>
      </c>
      <c r="E462" t="inlineStr">
        <is>
          <t>Real</t>
        </is>
      </c>
      <c r="F462" t="inlineStr">
        <is>
          <t>costo_proveedor</t>
        </is>
      </c>
      <c r="H462" t="inlineStr">
        <is>
          <t>B2Chat</t>
        </is>
      </c>
      <c r="I462" t="n">
        <v>2000000</v>
      </c>
      <c r="J462" t="inlineStr">
        <is>
          <t>COP</t>
        </is>
      </c>
      <c r="L462">
        <f>IFERROR(INDEX(Diccionario!$B:$B,MATCH(F474,Diccionario!$C:$C,0)),"")</f>
        <v/>
      </c>
      <c r="M462">
        <f>IFERROR(INDEX(Diccionario!$H:$H,MATCH(F474,Diccionario!$C:$C,0)),"")</f>
        <v/>
      </c>
      <c r="N462">
        <f>IFERROR(INDEX(Diccionario!$N:$N,MATCH(F474,Diccionario!$C:$C,0)),"")</f>
        <v/>
      </c>
    </row>
    <row r="463" ht="14.25" customHeight="1" s="52">
      <c r="A463" t="inlineStr">
        <is>
          <t>2024-04</t>
        </is>
      </c>
      <c r="B463" t="inlineStr">
        <is>
          <t>Colombia</t>
        </is>
      </c>
      <c r="C463" t="inlineStr">
        <is>
          <t>Coco Colombia</t>
        </is>
      </c>
      <c r="D463" t="inlineStr">
        <is>
          <t>COP</t>
        </is>
      </c>
      <c r="E463" t="inlineStr">
        <is>
          <t>Real</t>
        </is>
      </c>
      <c r="F463" t="inlineStr">
        <is>
          <t>costo_proveedor</t>
        </is>
      </c>
      <c r="H463" t="inlineStr">
        <is>
          <t>Otros</t>
        </is>
      </c>
      <c r="I463" t="n">
        <v>4000000</v>
      </c>
      <c r="J463" t="inlineStr">
        <is>
          <t>COP</t>
        </is>
      </c>
      <c r="L463">
        <f>IFERROR(INDEX(Diccionario!$B:$B,MATCH(F475,Diccionario!$C:$C,0)),"")</f>
        <v/>
      </c>
      <c r="M463">
        <f>IFERROR(INDEX(Diccionario!$H:$H,MATCH(F475,Diccionario!$C:$C,0)),"")</f>
        <v/>
      </c>
      <c r="N463">
        <f>IFERROR(INDEX(Diccionario!$N:$N,MATCH(F475,Diccionario!$C:$C,0)),"")</f>
        <v/>
      </c>
    </row>
    <row r="464" ht="14.25" customHeight="1" s="52">
      <c r="A464" t="inlineStr">
        <is>
          <t>2024-05</t>
        </is>
      </c>
      <c r="B464" t="inlineStr">
        <is>
          <t>Colombia</t>
        </is>
      </c>
      <c r="C464" t="inlineStr">
        <is>
          <t>Coco Colombia</t>
        </is>
      </c>
      <c r="D464" t="inlineStr">
        <is>
          <t>COP</t>
        </is>
      </c>
      <c r="E464" t="inlineStr">
        <is>
          <t>Real</t>
        </is>
      </c>
      <c r="F464" t="inlineStr">
        <is>
          <t>costo_proveedor</t>
        </is>
      </c>
      <c r="H464" t="inlineStr">
        <is>
          <t>Infobip</t>
        </is>
      </c>
      <c r="I464" t="n">
        <v>123000000</v>
      </c>
      <c r="J464" t="inlineStr">
        <is>
          <t>COP</t>
        </is>
      </c>
      <c r="L464">
        <f>IFERROR(INDEX(Diccionario!$B:$B,MATCH(F476,Diccionario!$C:$C,0)),"")</f>
        <v/>
      </c>
      <c r="M464">
        <f>IFERROR(INDEX(Diccionario!$H:$H,MATCH(F476,Diccionario!$C:$C,0)),"")</f>
        <v/>
      </c>
      <c r="N464">
        <f>IFERROR(INDEX(Diccionario!$N:$N,MATCH(F476,Diccionario!$C:$C,0)),"")</f>
        <v/>
      </c>
    </row>
    <row r="465" ht="14.25" customHeight="1" s="52">
      <c r="A465" t="inlineStr">
        <is>
          <t>2024-05</t>
        </is>
      </c>
      <c r="B465" t="inlineStr">
        <is>
          <t>Colombia</t>
        </is>
      </c>
      <c r="C465" t="inlineStr">
        <is>
          <t>Coco Colombia</t>
        </is>
      </c>
      <c r="D465" t="inlineStr">
        <is>
          <t>COP</t>
        </is>
      </c>
      <c r="E465" t="inlineStr">
        <is>
          <t>Real</t>
        </is>
      </c>
      <c r="F465" t="inlineStr">
        <is>
          <t>costo_proveedor</t>
        </is>
      </c>
      <c r="H465" t="inlineStr">
        <is>
          <t>IVA</t>
        </is>
      </c>
      <c r="I465" t="n">
        <v>0</v>
      </c>
      <c r="J465" t="inlineStr">
        <is>
          <t>COP</t>
        </is>
      </c>
      <c r="L465">
        <f>IFERROR(INDEX(Diccionario!$B:$B,MATCH(F477,Diccionario!$C:$C,0)),"")</f>
        <v/>
      </c>
      <c r="M465">
        <f>IFERROR(INDEX(Diccionario!$H:$H,MATCH(F477,Diccionario!$C:$C,0)),"")</f>
        <v/>
      </c>
      <c r="N465">
        <f>IFERROR(INDEX(Diccionario!$N:$N,MATCH(F477,Diccionario!$C:$C,0)),"")</f>
        <v/>
      </c>
    </row>
    <row r="466" ht="14.25" customHeight="1" s="52">
      <c r="A466" t="inlineStr">
        <is>
          <t>2024-05</t>
        </is>
      </c>
      <c r="B466" t="inlineStr">
        <is>
          <t>Colombia</t>
        </is>
      </c>
      <c r="C466" t="inlineStr">
        <is>
          <t>Coco Colombia</t>
        </is>
      </c>
      <c r="D466" t="inlineStr">
        <is>
          <t>COP</t>
        </is>
      </c>
      <c r="E466" t="inlineStr">
        <is>
          <t>Real</t>
        </is>
      </c>
      <c r="F466" t="inlineStr">
        <is>
          <t>costo_proveedor</t>
        </is>
      </c>
      <c r="H466" t="inlineStr">
        <is>
          <t>AWS</t>
        </is>
      </c>
      <c r="I466" t="n">
        <v>23000000</v>
      </c>
      <c r="J466" t="inlineStr">
        <is>
          <t>COP</t>
        </is>
      </c>
      <c r="L466">
        <f>IFERROR(INDEX(Diccionario!$B:$B,MATCH(F478,Diccionario!$C:$C,0)),"")</f>
        <v/>
      </c>
      <c r="M466">
        <f>IFERROR(INDEX(Diccionario!$H:$H,MATCH(F478,Diccionario!$C:$C,0)),"")</f>
        <v/>
      </c>
      <c r="N466">
        <f>IFERROR(INDEX(Diccionario!$N:$N,MATCH(F478,Diccionario!$C:$C,0)),"")</f>
        <v/>
      </c>
    </row>
    <row r="467" ht="14.25" customHeight="1" s="52">
      <c r="A467" t="inlineStr">
        <is>
          <t>2024-05</t>
        </is>
      </c>
      <c r="B467" t="inlineStr">
        <is>
          <t>Colombia</t>
        </is>
      </c>
      <c r="C467" t="inlineStr">
        <is>
          <t>Coco Colombia</t>
        </is>
      </c>
      <c r="D467" t="inlineStr">
        <is>
          <t>COP</t>
        </is>
      </c>
      <c r="E467" t="inlineStr">
        <is>
          <t>Real</t>
        </is>
      </c>
      <c r="F467" t="inlineStr">
        <is>
          <t>costo_proveedor</t>
        </is>
      </c>
      <c r="H467" t="inlineStr">
        <is>
          <t>B2Chat</t>
        </is>
      </c>
      <c r="I467" t="n">
        <v>3000000</v>
      </c>
      <c r="J467" t="inlineStr">
        <is>
          <t>COP</t>
        </is>
      </c>
      <c r="L467">
        <f>IFERROR(INDEX(Diccionario!$B:$B,MATCH(F479,Diccionario!$C:$C,0)),"")</f>
        <v/>
      </c>
      <c r="M467">
        <f>IFERROR(INDEX(Diccionario!$H:$H,MATCH(F479,Diccionario!$C:$C,0)),"")</f>
        <v/>
      </c>
      <c r="N467">
        <f>IFERROR(INDEX(Diccionario!$N:$N,MATCH(F479,Diccionario!$C:$C,0)),"")</f>
        <v/>
      </c>
    </row>
    <row r="468" ht="14.25" customHeight="1" s="52">
      <c r="A468" t="inlineStr">
        <is>
          <t>2024-05</t>
        </is>
      </c>
      <c r="B468" t="inlineStr">
        <is>
          <t>Colombia</t>
        </is>
      </c>
      <c r="C468" t="inlineStr">
        <is>
          <t>Coco Colombia</t>
        </is>
      </c>
      <c r="D468" t="inlineStr">
        <is>
          <t>COP</t>
        </is>
      </c>
      <c r="E468" t="inlineStr">
        <is>
          <t>Real</t>
        </is>
      </c>
      <c r="F468" t="inlineStr">
        <is>
          <t>costo_proveedor</t>
        </is>
      </c>
      <c r="H468" t="inlineStr">
        <is>
          <t>Otros</t>
        </is>
      </c>
      <c r="I468" t="n">
        <v>3000000</v>
      </c>
      <c r="J468" t="inlineStr">
        <is>
          <t>COP</t>
        </is>
      </c>
      <c r="L468">
        <f>IFERROR(INDEX(Diccionario!$B:$B,MATCH(F480,Diccionario!$C:$C,0)),"")</f>
        <v/>
      </c>
      <c r="M468">
        <f>IFERROR(INDEX(Diccionario!$H:$H,MATCH(F480,Diccionario!$C:$C,0)),"")</f>
        <v/>
      </c>
      <c r="N468">
        <f>IFERROR(INDEX(Diccionario!$N:$N,MATCH(F480,Diccionario!$C:$C,0)),"")</f>
        <v/>
      </c>
    </row>
    <row r="469" ht="14.25" customHeight="1" s="52">
      <c r="A469" t="inlineStr">
        <is>
          <t>2024-06</t>
        </is>
      </c>
      <c r="B469" t="inlineStr">
        <is>
          <t>Colombia</t>
        </is>
      </c>
      <c r="C469" t="inlineStr">
        <is>
          <t>Coco Colombia</t>
        </is>
      </c>
      <c r="D469" t="inlineStr">
        <is>
          <t>COP</t>
        </is>
      </c>
      <c r="E469" t="inlineStr">
        <is>
          <t>Real</t>
        </is>
      </c>
      <c r="F469" t="inlineStr">
        <is>
          <t>costo_proveedor</t>
        </is>
      </c>
      <c r="H469" t="inlineStr">
        <is>
          <t>Infobip</t>
        </is>
      </c>
      <c r="I469" t="n">
        <v>143000000</v>
      </c>
      <c r="J469" t="inlineStr">
        <is>
          <t>COP</t>
        </is>
      </c>
      <c r="L469">
        <f>IFERROR(INDEX(Diccionario!$B:$B,MATCH(F481,Diccionario!$C:$C,0)),"")</f>
        <v/>
      </c>
      <c r="M469">
        <f>IFERROR(INDEX(Diccionario!$H:$H,MATCH(F481,Diccionario!$C:$C,0)),"")</f>
        <v/>
      </c>
      <c r="N469">
        <f>IFERROR(INDEX(Diccionario!$N:$N,MATCH(F481,Diccionario!$C:$C,0)),"")</f>
        <v/>
      </c>
    </row>
    <row r="470" ht="14.25" customHeight="1" s="52">
      <c r="A470" t="inlineStr">
        <is>
          <t>2024-06</t>
        </is>
      </c>
      <c r="B470" t="inlineStr">
        <is>
          <t>Colombia</t>
        </is>
      </c>
      <c r="C470" t="inlineStr">
        <is>
          <t>Coco Colombia</t>
        </is>
      </c>
      <c r="D470" t="inlineStr">
        <is>
          <t>COP</t>
        </is>
      </c>
      <c r="E470" t="inlineStr">
        <is>
          <t>Real</t>
        </is>
      </c>
      <c r="F470" t="inlineStr">
        <is>
          <t>costo_proveedor</t>
        </is>
      </c>
      <c r="H470" t="inlineStr">
        <is>
          <t>IVA</t>
        </is>
      </c>
      <c r="I470" t="n">
        <v>0</v>
      </c>
      <c r="J470" t="inlineStr">
        <is>
          <t>COP</t>
        </is>
      </c>
      <c r="L470">
        <f>IFERROR(INDEX(Diccionario!$B:$B,MATCH(F482,Diccionario!$C:$C,0)),"")</f>
        <v/>
      </c>
      <c r="M470">
        <f>IFERROR(INDEX(Diccionario!$H:$H,MATCH(F482,Diccionario!$C:$C,0)),"")</f>
        <v/>
      </c>
      <c r="N470">
        <f>IFERROR(INDEX(Diccionario!$N:$N,MATCH(F482,Diccionario!$C:$C,0)),"")</f>
        <v/>
      </c>
    </row>
    <row r="471" ht="14.25" customHeight="1" s="52">
      <c r="A471" t="inlineStr">
        <is>
          <t>2024-06</t>
        </is>
      </c>
      <c r="B471" t="inlineStr">
        <is>
          <t>Colombia</t>
        </is>
      </c>
      <c r="C471" t="inlineStr">
        <is>
          <t>Coco Colombia</t>
        </is>
      </c>
      <c r="D471" t="inlineStr">
        <is>
          <t>COP</t>
        </is>
      </c>
      <c r="E471" t="inlineStr">
        <is>
          <t>Real</t>
        </is>
      </c>
      <c r="F471" t="inlineStr">
        <is>
          <t>costo_proveedor</t>
        </is>
      </c>
      <c r="H471" t="inlineStr">
        <is>
          <t>AWS</t>
        </is>
      </c>
      <c r="I471" t="n">
        <v>17000000</v>
      </c>
      <c r="J471" t="inlineStr">
        <is>
          <t>COP</t>
        </is>
      </c>
      <c r="L471">
        <f>IFERROR(INDEX(Diccionario!$B:$B,MATCH(F483,Diccionario!$C:$C,0)),"")</f>
        <v/>
      </c>
      <c r="M471">
        <f>IFERROR(INDEX(Diccionario!$H:$H,MATCH(F483,Diccionario!$C:$C,0)),"")</f>
        <v/>
      </c>
      <c r="N471">
        <f>IFERROR(INDEX(Diccionario!$N:$N,MATCH(F483,Diccionario!$C:$C,0)),"")</f>
        <v/>
      </c>
    </row>
    <row r="472" ht="14.25" customHeight="1" s="52">
      <c r="A472" t="inlineStr">
        <is>
          <t>2024-06</t>
        </is>
      </c>
      <c r="B472" t="inlineStr">
        <is>
          <t>Colombia</t>
        </is>
      </c>
      <c r="C472" t="inlineStr">
        <is>
          <t>Coco Colombia</t>
        </is>
      </c>
      <c r="D472" t="inlineStr">
        <is>
          <t>COP</t>
        </is>
      </c>
      <c r="E472" t="inlineStr">
        <is>
          <t>Real</t>
        </is>
      </c>
      <c r="F472" t="inlineStr">
        <is>
          <t>costo_proveedor</t>
        </is>
      </c>
      <c r="H472" t="inlineStr">
        <is>
          <t>B2Chat</t>
        </is>
      </c>
      <c r="I472" t="n">
        <v>4000000</v>
      </c>
      <c r="J472" t="inlineStr">
        <is>
          <t>COP</t>
        </is>
      </c>
      <c r="L472">
        <f>IFERROR(INDEX(Diccionario!$B:$B,MATCH(F484,Diccionario!$C:$C,0)),"")</f>
        <v/>
      </c>
      <c r="M472">
        <f>IFERROR(INDEX(Diccionario!$H:$H,MATCH(F484,Diccionario!$C:$C,0)),"")</f>
        <v/>
      </c>
      <c r="N472">
        <f>IFERROR(INDEX(Diccionario!$N:$N,MATCH(F484,Diccionario!$C:$C,0)),"")</f>
        <v/>
      </c>
    </row>
    <row r="473" ht="14.25" customHeight="1" s="52">
      <c r="A473" t="inlineStr">
        <is>
          <t>2024-06</t>
        </is>
      </c>
      <c r="B473" t="inlineStr">
        <is>
          <t>Colombia</t>
        </is>
      </c>
      <c r="C473" t="inlineStr">
        <is>
          <t>Coco Colombia</t>
        </is>
      </c>
      <c r="D473" t="inlineStr">
        <is>
          <t>COP</t>
        </is>
      </c>
      <c r="E473" t="inlineStr">
        <is>
          <t>Real</t>
        </is>
      </c>
      <c r="F473" t="inlineStr">
        <is>
          <t>costo_proveedor</t>
        </is>
      </c>
      <c r="H473" t="inlineStr">
        <is>
          <t>Otros</t>
        </is>
      </c>
      <c r="I473" t="n">
        <v>3000000</v>
      </c>
      <c r="J473" t="inlineStr">
        <is>
          <t>COP</t>
        </is>
      </c>
      <c r="L473">
        <f>IFERROR(INDEX(Diccionario!$B:$B,MATCH(F485,Diccionario!$C:$C,0)),"")</f>
        <v/>
      </c>
      <c r="M473">
        <f>IFERROR(INDEX(Diccionario!$H:$H,MATCH(F485,Diccionario!$C:$C,0)),"")</f>
        <v/>
      </c>
      <c r="N473">
        <f>IFERROR(INDEX(Diccionario!$N:$N,MATCH(F485,Diccionario!$C:$C,0)),"")</f>
        <v/>
      </c>
    </row>
    <row r="474" ht="14.25" customHeight="1" s="52">
      <c r="A474" t="inlineStr">
        <is>
          <t>2024-07</t>
        </is>
      </c>
      <c r="B474" t="inlineStr">
        <is>
          <t>Colombia</t>
        </is>
      </c>
      <c r="C474" t="inlineStr">
        <is>
          <t>Coco Colombia</t>
        </is>
      </c>
      <c r="D474" t="inlineStr">
        <is>
          <t>COP</t>
        </is>
      </c>
      <c r="E474" t="inlineStr">
        <is>
          <t>Real</t>
        </is>
      </c>
      <c r="F474" t="inlineStr">
        <is>
          <t>costo_proveedor</t>
        </is>
      </c>
      <c r="H474" t="inlineStr">
        <is>
          <t>Infobip</t>
        </is>
      </c>
      <c r="I474" t="n">
        <v>55000000</v>
      </c>
      <c r="J474" t="inlineStr">
        <is>
          <t>COP</t>
        </is>
      </c>
      <c r="L474">
        <f>IFERROR(INDEX(Diccionario!$B:$B,MATCH(F486,Diccionario!$C:$C,0)),"")</f>
        <v/>
      </c>
      <c r="M474">
        <f>IFERROR(INDEX(Diccionario!$H:$H,MATCH(F486,Diccionario!$C:$C,0)),"")</f>
        <v/>
      </c>
      <c r="N474">
        <f>IFERROR(INDEX(Diccionario!$N:$N,MATCH(F486,Diccionario!$C:$C,0)),"")</f>
        <v/>
      </c>
    </row>
    <row r="475" ht="14.25" customHeight="1" s="52">
      <c r="A475" t="inlineStr">
        <is>
          <t>2024-07</t>
        </is>
      </c>
      <c r="B475" t="inlineStr">
        <is>
          <t>Colombia</t>
        </is>
      </c>
      <c r="C475" t="inlineStr">
        <is>
          <t>Coco Colombia</t>
        </is>
      </c>
      <c r="D475" t="inlineStr">
        <is>
          <t>COP</t>
        </is>
      </c>
      <c r="E475" t="inlineStr">
        <is>
          <t>Real</t>
        </is>
      </c>
      <c r="F475" t="inlineStr">
        <is>
          <t>costo_proveedor</t>
        </is>
      </c>
      <c r="H475" t="inlineStr">
        <is>
          <t>IVA</t>
        </is>
      </c>
      <c r="I475" t="n">
        <v>1000000</v>
      </c>
      <c r="J475" t="inlineStr">
        <is>
          <t>COP</t>
        </is>
      </c>
      <c r="L475">
        <f>IFERROR(INDEX(Diccionario!$B:$B,MATCH(F487,Diccionario!$C:$C,0)),"")</f>
        <v/>
      </c>
      <c r="M475">
        <f>IFERROR(INDEX(Diccionario!$H:$H,MATCH(F487,Diccionario!$C:$C,0)),"")</f>
        <v/>
      </c>
      <c r="N475">
        <f>IFERROR(INDEX(Diccionario!$N:$N,MATCH(F487,Diccionario!$C:$C,0)),"")</f>
        <v/>
      </c>
    </row>
    <row r="476" ht="14.25" customHeight="1" s="52">
      <c r="A476" t="inlineStr">
        <is>
          <t>2024-07</t>
        </is>
      </c>
      <c r="B476" t="inlineStr">
        <is>
          <t>Colombia</t>
        </is>
      </c>
      <c r="C476" t="inlineStr">
        <is>
          <t>Coco Colombia</t>
        </is>
      </c>
      <c r="D476" t="inlineStr">
        <is>
          <t>COP</t>
        </is>
      </c>
      <c r="E476" t="inlineStr">
        <is>
          <t>Real</t>
        </is>
      </c>
      <c r="F476" t="inlineStr">
        <is>
          <t>costo_proveedor</t>
        </is>
      </c>
      <c r="H476" t="inlineStr">
        <is>
          <t>AWS</t>
        </is>
      </c>
      <c r="I476" t="n">
        <v>18000000</v>
      </c>
      <c r="J476" t="inlineStr">
        <is>
          <t>COP</t>
        </is>
      </c>
      <c r="L476">
        <f>IFERROR(INDEX(Diccionario!$B:$B,MATCH(F488,Diccionario!$C:$C,0)),"")</f>
        <v/>
      </c>
      <c r="M476">
        <f>IFERROR(INDEX(Diccionario!$H:$H,MATCH(F488,Diccionario!$C:$C,0)),"")</f>
        <v/>
      </c>
      <c r="N476">
        <f>IFERROR(INDEX(Diccionario!$N:$N,MATCH(F488,Diccionario!$C:$C,0)),"")</f>
        <v/>
      </c>
    </row>
    <row r="477" ht="14.25" customHeight="1" s="52">
      <c r="A477" t="inlineStr">
        <is>
          <t>2024-07</t>
        </is>
      </c>
      <c r="B477" t="inlineStr">
        <is>
          <t>Colombia</t>
        </is>
      </c>
      <c r="C477" t="inlineStr">
        <is>
          <t>Coco Colombia</t>
        </is>
      </c>
      <c r="D477" t="inlineStr">
        <is>
          <t>COP</t>
        </is>
      </c>
      <c r="E477" t="inlineStr">
        <is>
          <t>Real</t>
        </is>
      </c>
      <c r="F477" t="inlineStr">
        <is>
          <t>costo_proveedor</t>
        </is>
      </c>
      <c r="H477" t="inlineStr">
        <is>
          <t>B2Chat</t>
        </is>
      </c>
      <c r="I477" t="n">
        <v>5000000</v>
      </c>
      <c r="J477" t="inlineStr">
        <is>
          <t>COP</t>
        </is>
      </c>
      <c r="L477">
        <f>IFERROR(INDEX(Diccionario!$B:$B,MATCH(F489,Diccionario!$C:$C,0)),"")</f>
        <v/>
      </c>
      <c r="M477">
        <f>IFERROR(INDEX(Diccionario!$H:$H,MATCH(F489,Diccionario!$C:$C,0)),"")</f>
        <v/>
      </c>
      <c r="N477">
        <f>IFERROR(INDEX(Diccionario!$N:$N,MATCH(F489,Diccionario!$C:$C,0)),"")</f>
        <v/>
      </c>
    </row>
    <row r="478" ht="14.25" customHeight="1" s="52">
      <c r="A478" t="inlineStr">
        <is>
          <t>2024-07</t>
        </is>
      </c>
      <c r="B478" t="inlineStr">
        <is>
          <t>Colombia</t>
        </is>
      </c>
      <c r="C478" t="inlineStr">
        <is>
          <t>Coco Colombia</t>
        </is>
      </c>
      <c r="D478" t="inlineStr">
        <is>
          <t>COP</t>
        </is>
      </c>
      <c r="E478" t="inlineStr">
        <is>
          <t>Real</t>
        </is>
      </c>
      <c r="F478" t="inlineStr">
        <is>
          <t>costo_proveedor</t>
        </is>
      </c>
      <c r="H478" t="inlineStr">
        <is>
          <t>Otros</t>
        </is>
      </c>
      <c r="I478" t="n">
        <v>5000000</v>
      </c>
      <c r="J478" t="inlineStr">
        <is>
          <t>COP</t>
        </is>
      </c>
      <c r="L478">
        <f>IFERROR(INDEX(Diccionario!$B:$B,MATCH(F490,Diccionario!$C:$C,0)),"")</f>
        <v/>
      </c>
      <c r="M478">
        <f>IFERROR(INDEX(Diccionario!$H:$H,MATCH(F490,Diccionario!$C:$C,0)),"")</f>
        <v/>
      </c>
      <c r="N478">
        <f>IFERROR(INDEX(Diccionario!$N:$N,MATCH(F490,Diccionario!$C:$C,0)),"")</f>
        <v/>
      </c>
    </row>
    <row r="479" ht="14.25" customHeight="1" s="52">
      <c r="A479" t="inlineStr">
        <is>
          <t>2024-08</t>
        </is>
      </c>
      <c r="B479" t="inlineStr">
        <is>
          <t>Colombia</t>
        </is>
      </c>
      <c r="C479" t="inlineStr">
        <is>
          <t>Coco Colombia</t>
        </is>
      </c>
      <c r="D479" t="inlineStr">
        <is>
          <t>COP</t>
        </is>
      </c>
      <c r="E479" t="inlineStr">
        <is>
          <t>Real</t>
        </is>
      </c>
      <c r="F479" t="inlineStr">
        <is>
          <t>costo_proveedor</t>
        </is>
      </c>
      <c r="H479" t="inlineStr">
        <is>
          <t>Infobip</t>
        </is>
      </c>
      <c r="I479" t="n">
        <v>119000000</v>
      </c>
      <c r="J479" t="inlineStr">
        <is>
          <t>COP</t>
        </is>
      </c>
      <c r="L479">
        <f>IFERROR(INDEX(Diccionario!$B:$B,MATCH(F491,Diccionario!$C:$C,0)),"")</f>
        <v/>
      </c>
      <c r="M479">
        <f>IFERROR(INDEX(Diccionario!$H:$H,MATCH(F491,Diccionario!$C:$C,0)),"")</f>
        <v/>
      </c>
      <c r="N479">
        <f>IFERROR(INDEX(Diccionario!$N:$N,MATCH(F491,Diccionario!$C:$C,0)),"")</f>
        <v/>
      </c>
    </row>
    <row r="480" ht="14.25" customHeight="1" s="52">
      <c r="A480" t="inlineStr">
        <is>
          <t>2024-08</t>
        </is>
      </c>
      <c r="B480" t="inlineStr">
        <is>
          <t>Colombia</t>
        </is>
      </c>
      <c r="C480" t="inlineStr">
        <is>
          <t>Coco Colombia</t>
        </is>
      </c>
      <c r="D480" t="inlineStr">
        <is>
          <t>COP</t>
        </is>
      </c>
      <c r="E480" t="inlineStr">
        <is>
          <t>Real</t>
        </is>
      </c>
      <c r="F480" t="inlineStr">
        <is>
          <t>costo_proveedor</t>
        </is>
      </c>
      <c r="H480" t="inlineStr">
        <is>
          <t>IVA</t>
        </is>
      </c>
      <c r="I480" t="n">
        <v>23000000</v>
      </c>
      <c r="J480" t="inlineStr">
        <is>
          <t>COP</t>
        </is>
      </c>
      <c r="L480">
        <f>IFERROR(INDEX(Diccionario!$B:$B,MATCH(F492,Diccionario!$C:$C,0)),"")</f>
        <v/>
      </c>
      <c r="M480">
        <f>IFERROR(INDEX(Diccionario!$H:$H,MATCH(F492,Diccionario!$C:$C,0)),"")</f>
        <v/>
      </c>
      <c r="N480">
        <f>IFERROR(INDEX(Diccionario!$N:$N,MATCH(F492,Diccionario!$C:$C,0)),"")</f>
        <v/>
      </c>
    </row>
    <row r="481" ht="14.25" customHeight="1" s="52">
      <c r="A481" t="inlineStr">
        <is>
          <t>2024-08</t>
        </is>
      </c>
      <c r="B481" t="inlineStr">
        <is>
          <t>Colombia</t>
        </is>
      </c>
      <c r="C481" t="inlineStr">
        <is>
          <t>Coco Colombia</t>
        </is>
      </c>
      <c r="D481" t="inlineStr">
        <is>
          <t>COP</t>
        </is>
      </c>
      <c r="E481" t="inlineStr">
        <is>
          <t>Real</t>
        </is>
      </c>
      <c r="F481" t="inlineStr">
        <is>
          <t>costo_proveedor</t>
        </is>
      </c>
      <c r="H481" t="inlineStr">
        <is>
          <t>AWS</t>
        </is>
      </c>
      <c r="I481" t="n">
        <v>24000000</v>
      </c>
      <c r="J481" t="inlineStr">
        <is>
          <t>COP</t>
        </is>
      </c>
      <c r="L481">
        <f>IFERROR(INDEX(Diccionario!$B:$B,MATCH(F493,Diccionario!$C:$C,0)),"")</f>
        <v/>
      </c>
      <c r="M481">
        <f>IFERROR(INDEX(Diccionario!$H:$H,MATCH(F493,Diccionario!$C:$C,0)),"")</f>
        <v/>
      </c>
      <c r="N481">
        <f>IFERROR(INDEX(Diccionario!$N:$N,MATCH(F493,Diccionario!$C:$C,0)),"")</f>
        <v/>
      </c>
    </row>
    <row r="482" ht="14.25" customHeight="1" s="52">
      <c r="A482" t="inlineStr">
        <is>
          <t>2024-08</t>
        </is>
      </c>
      <c r="B482" t="inlineStr">
        <is>
          <t>Colombia</t>
        </is>
      </c>
      <c r="C482" t="inlineStr">
        <is>
          <t>Coco Colombia</t>
        </is>
      </c>
      <c r="D482" t="inlineStr">
        <is>
          <t>COP</t>
        </is>
      </c>
      <c r="E482" t="inlineStr">
        <is>
          <t>Real</t>
        </is>
      </c>
      <c r="F482" t="inlineStr">
        <is>
          <t>costo_proveedor</t>
        </is>
      </c>
      <c r="H482" t="inlineStr">
        <is>
          <t>B2Chat</t>
        </is>
      </c>
      <c r="I482" t="n">
        <v>6000000</v>
      </c>
      <c r="J482" t="inlineStr">
        <is>
          <t>COP</t>
        </is>
      </c>
      <c r="L482">
        <f>IFERROR(INDEX(Diccionario!$B:$B,MATCH(F494,Diccionario!$C:$C,0)),"")</f>
        <v/>
      </c>
      <c r="M482">
        <f>IFERROR(INDEX(Diccionario!$H:$H,MATCH(F494,Diccionario!$C:$C,0)),"")</f>
        <v/>
      </c>
      <c r="N482">
        <f>IFERROR(INDEX(Diccionario!$N:$N,MATCH(F494,Diccionario!$C:$C,0)),"")</f>
        <v/>
      </c>
    </row>
    <row r="483" ht="14.25" customHeight="1" s="52">
      <c r="A483" t="inlineStr">
        <is>
          <t>2024-08</t>
        </is>
      </c>
      <c r="B483" t="inlineStr">
        <is>
          <t>Colombia</t>
        </is>
      </c>
      <c r="C483" t="inlineStr">
        <is>
          <t>Coco Colombia</t>
        </is>
      </c>
      <c r="D483" t="inlineStr">
        <is>
          <t>COP</t>
        </is>
      </c>
      <c r="E483" t="inlineStr">
        <is>
          <t>Real</t>
        </is>
      </c>
      <c r="F483" t="inlineStr">
        <is>
          <t>costo_proveedor</t>
        </is>
      </c>
      <c r="H483" t="inlineStr">
        <is>
          <t>Otros</t>
        </is>
      </c>
      <c r="I483" t="n">
        <v>4000000</v>
      </c>
      <c r="J483" t="inlineStr">
        <is>
          <t>COP</t>
        </is>
      </c>
      <c r="L483">
        <f>IFERROR(INDEX(Diccionario!$B:$B,MATCH(F495,Diccionario!$C:$C,0)),"")</f>
        <v/>
      </c>
      <c r="M483">
        <f>IFERROR(INDEX(Diccionario!$H:$H,MATCH(F495,Diccionario!$C:$C,0)),"")</f>
        <v/>
      </c>
      <c r="N483">
        <f>IFERROR(INDEX(Diccionario!$N:$N,MATCH(F495,Diccionario!$C:$C,0)),"")</f>
        <v/>
      </c>
    </row>
    <row r="484" ht="14.25" customHeight="1" s="52">
      <c r="A484" t="inlineStr">
        <is>
          <t>2024-09</t>
        </is>
      </c>
      <c r="B484" t="inlineStr">
        <is>
          <t>Colombia</t>
        </is>
      </c>
      <c r="C484" t="inlineStr">
        <is>
          <t>Coco Colombia</t>
        </is>
      </c>
      <c r="D484" t="inlineStr">
        <is>
          <t>COP</t>
        </is>
      </c>
      <c r="E484" t="inlineStr">
        <is>
          <t>Real</t>
        </is>
      </c>
      <c r="F484" t="inlineStr">
        <is>
          <t>costo_proveedor</t>
        </is>
      </c>
      <c r="H484" t="inlineStr">
        <is>
          <t>Infobip</t>
        </is>
      </c>
      <c r="I484" t="n">
        <v>112000000</v>
      </c>
      <c r="J484" t="inlineStr">
        <is>
          <t>COP</t>
        </is>
      </c>
      <c r="L484">
        <f>IFERROR(INDEX(Diccionario!$B:$B,MATCH(F496,Diccionario!$C:$C,0)),"")</f>
        <v/>
      </c>
      <c r="M484">
        <f>IFERROR(INDEX(Diccionario!$H:$H,MATCH(F496,Diccionario!$C:$C,0)),"")</f>
        <v/>
      </c>
      <c r="N484">
        <f>IFERROR(INDEX(Diccionario!$N:$N,MATCH(F496,Diccionario!$C:$C,0)),"")</f>
        <v/>
      </c>
    </row>
    <row r="485" ht="14.25" customHeight="1" s="52">
      <c r="A485" t="inlineStr">
        <is>
          <t>2024-09</t>
        </is>
      </c>
      <c r="B485" t="inlineStr">
        <is>
          <t>Colombia</t>
        </is>
      </c>
      <c r="C485" t="inlineStr">
        <is>
          <t>Coco Colombia</t>
        </is>
      </c>
      <c r="D485" t="inlineStr">
        <is>
          <t>COP</t>
        </is>
      </c>
      <c r="E485" t="inlineStr">
        <is>
          <t>Real</t>
        </is>
      </c>
      <c r="F485" t="inlineStr">
        <is>
          <t>costo_proveedor</t>
        </is>
      </c>
      <c r="H485" t="inlineStr">
        <is>
          <t>IVA</t>
        </is>
      </c>
      <c r="I485" t="n">
        <v>21000000</v>
      </c>
      <c r="J485" t="inlineStr">
        <is>
          <t>COP</t>
        </is>
      </c>
      <c r="L485">
        <f>IFERROR(INDEX(Diccionario!$B:$B,MATCH(F497,Diccionario!$C:$C,0)),"")</f>
        <v/>
      </c>
      <c r="M485">
        <f>IFERROR(INDEX(Diccionario!$H:$H,MATCH(F497,Diccionario!$C:$C,0)),"")</f>
        <v/>
      </c>
      <c r="N485">
        <f>IFERROR(INDEX(Diccionario!$N:$N,MATCH(F497,Diccionario!$C:$C,0)),"")</f>
        <v/>
      </c>
    </row>
    <row r="486" ht="14.25" customHeight="1" s="52">
      <c r="A486" t="inlineStr">
        <is>
          <t>2024-09</t>
        </is>
      </c>
      <c r="B486" t="inlineStr">
        <is>
          <t>Colombia</t>
        </is>
      </c>
      <c r="C486" t="inlineStr">
        <is>
          <t>Coco Colombia</t>
        </is>
      </c>
      <c r="D486" t="inlineStr">
        <is>
          <t>COP</t>
        </is>
      </c>
      <c r="E486" t="inlineStr">
        <is>
          <t>Real</t>
        </is>
      </c>
      <c r="F486" t="inlineStr">
        <is>
          <t>costo_proveedor</t>
        </is>
      </c>
      <c r="H486" t="inlineStr">
        <is>
          <t>AWS</t>
        </is>
      </c>
      <c r="I486" t="n">
        <v>33000000</v>
      </c>
      <c r="J486" t="inlineStr">
        <is>
          <t>COP</t>
        </is>
      </c>
      <c r="L486">
        <f>IFERROR(INDEX(Diccionario!$B:$B,MATCH(F498,Diccionario!$C:$C,0)),"")</f>
        <v/>
      </c>
      <c r="M486">
        <f>IFERROR(INDEX(Diccionario!$H:$H,MATCH(F498,Diccionario!$C:$C,0)),"")</f>
        <v/>
      </c>
      <c r="N486">
        <f>IFERROR(INDEX(Diccionario!$N:$N,MATCH(F498,Diccionario!$C:$C,0)),"")</f>
        <v/>
      </c>
    </row>
    <row r="487" ht="14.25" customHeight="1" s="52">
      <c r="A487" t="inlineStr">
        <is>
          <t>2024-09</t>
        </is>
      </c>
      <c r="B487" t="inlineStr">
        <is>
          <t>Colombia</t>
        </is>
      </c>
      <c r="C487" t="inlineStr">
        <is>
          <t>Coco Colombia</t>
        </is>
      </c>
      <c r="D487" t="inlineStr">
        <is>
          <t>COP</t>
        </is>
      </c>
      <c r="E487" t="inlineStr">
        <is>
          <t>Real</t>
        </is>
      </c>
      <c r="F487" t="inlineStr">
        <is>
          <t>costo_proveedor</t>
        </is>
      </c>
      <c r="H487" t="inlineStr">
        <is>
          <t>B2Chat</t>
        </is>
      </c>
      <c r="I487" t="n">
        <v>0</v>
      </c>
      <c r="J487" t="inlineStr">
        <is>
          <t>COP</t>
        </is>
      </c>
      <c r="L487">
        <f>IFERROR(INDEX(Diccionario!$B:$B,MATCH(F499,Diccionario!$C:$C,0)),"")</f>
        <v/>
      </c>
      <c r="M487">
        <f>IFERROR(INDEX(Diccionario!$H:$H,MATCH(F499,Diccionario!$C:$C,0)),"")</f>
        <v/>
      </c>
      <c r="N487">
        <f>IFERROR(INDEX(Diccionario!$N:$N,MATCH(F499,Diccionario!$C:$C,0)),"")</f>
        <v/>
      </c>
    </row>
    <row r="488" ht="14.25" customHeight="1" s="52">
      <c r="A488" t="inlineStr">
        <is>
          <t>2024-09</t>
        </is>
      </c>
      <c r="B488" t="inlineStr">
        <is>
          <t>Colombia</t>
        </is>
      </c>
      <c r="C488" t="inlineStr">
        <is>
          <t>Coco Colombia</t>
        </is>
      </c>
      <c r="D488" t="inlineStr">
        <is>
          <t>COP</t>
        </is>
      </c>
      <c r="E488" t="inlineStr">
        <is>
          <t>Real</t>
        </is>
      </c>
      <c r="F488" t="inlineStr">
        <is>
          <t>costo_proveedor</t>
        </is>
      </c>
      <c r="H488" t="inlineStr">
        <is>
          <t>Otros</t>
        </is>
      </c>
      <c r="I488" t="n">
        <v>3000000</v>
      </c>
      <c r="J488" t="inlineStr">
        <is>
          <t>COP</t>
        </is>
      </c>
      <c r="L488">
        <f>IFERROR(INDEX(Diccionario!$B:$B,MATCH(F500,Diccionario!$C:$C,0)),"")</f>
        <v/>
      </c>
      <c r="M488">
        <f>IFERROR(INDEX(Diccionario!$H:$H,MATCH(F500,Diccionario!$C:$C,0)),"")</f>
        <v/>
      </c>
      <c r="N488">
        <f>IFERROR(INDEX(Diccionario!$N:$N,MATCH(F500,Diccionario!$C:$C,0)),"")</f>
        <v/>
      </c>
    </row>
    <row r="489" ht="14.25" customHeight="1" s="52">
      <c r="A489" t="inlineStr">
        <is>
          <t>2024-10</t>
        </is>
      </c>
      <c r="B489" t="inlineStr">
        <is>
          <t>Colombia</t>
        </is>
      </c>
      <c r="C489" t="inlineStr">
        <is>
          <t>Coco Colombia</t>
        </is>
      </c>
      <c r="D489" t="inlineStr">
        <is>
          <t>COP</t>
        </is>
      </c>
      <c r="E489" t="inlineStr">
        <is>
          <t>Real</t>
        </is>
      </c>
      <c r="F489" t="inlineStr">
        <is>
          <t>costo_proveedor</t>
        </is>
      </c>
      <c r="H489" t="inlineStr">
        <is>
          <t>Infobip</t>
        </is>
      </c>
      <c r="I489" t="n">
        <v>140000000</v>
      </c>
      <c r="J489" t="inlineStr">
        <is>
          <t>COP</t>
        </is>
      </c>
      <c r="L489">
        <f>IFERROR(INDEX(Diccionario!$B:$B,MATCH(F501,Diccionario!$C:$C,0)),"")</f>
        <v/>
      </c>
      <c r="M489">
        <f>IFERROR(INDEX(Diccionario!$H:$H,MATCH(F501,Diccionario!$C:$C,0)),"")</f>
        <v/>
      </c>
      <c r="N489">
        <f>IFERROR(INDEX(Diccionario!$N:$N,MATCH(F501,Diccionario!$C:$C,0)),"")</f>
        <v/>
      </c>
    </row>
    <row r="490" ht="14.25" customHeight="1" s="52">
      <c r="A490" t="inlineStr">
        <is>
          <t>2024-10</t>
        </is>
      </c>
      <c r="B490" t="inlineStr">
        <is>
          <t>Colombia</t>
        </is>
      </c>
      <c r="C490" t="inlineStr">
        <is>
          <t>Coco Colombia</t>
        </is>
      </c>
      <c r="D490" t="inlineStr">
        <is>
          <t>COP</t>
        </is>
      </c>
      <c r="E490" t="inlineStr">
        <is>
          <t>Real</t>
        </is>
      </c>
      <c r="F490" t="inlineStr">
        <is>
          <t>costo_proveedor</t>
        </is>
      </c>
      <c r="H490" t="inlineStr">
        <is>
          <t>IVA</t>
        </is>
      </c>
      <c r="I490" t="n">
        <v>27000000</v>
      </c>
      <c r="J490" t="inlineStr">
        <is>
          <t>COP</t>
        </is>
      </c>
      <c r="L490">
        <f>IFERROR(INDEX(Diccionario!$B:$B,MATCH(F502,Diccionario!$C:$C,0)),"")</f>
        <v/>
      </c>
      <c r="M490">
        <f>IFERROR(INDEX(Diccionario!$H:$H,MATCH(F502,Diccionario!$C:$C,0)),"")</f>
        <v/>
      </c>
      <c r="N490">
        <f>IFERROR(INDEX(Diccionario!$N:$N,MATCH(F502,Diccionario!$C:$C,0)),"")</f>
        <v/>
      </c>
    </row>
    <row r="491" ht="14.25" customHeight="1" s="52">
      <c r="A491" t="inlineStr">
        <is>
          <t>2024-10</t>
        </is>
      </c>
      <c r="B491" t="inlineStr">
        <is>
          <t>Colombia</t>
        </is>
      </c>
      <c r="C491" t="inlineStr">
        <is>
          <t>Coco Colombia</t>
        </is>
      </c>
      <c r="D491" t="inlineStr">
        <is>
          <t>COP</t>
        </is>
      </c>
      <c r="E491" t="inlineStr">
        <is>
          <t>Real</t>
        </is>
      </c>
      <c r="F491" t="inlineStr">
        <is>
          <t>costo_proveedor</t>
        </is>
      </c>
      <c r="H491" t="inlineStr">
        <is>
          <t>AWS</t>
        </is>
      </c>
      <c r="I491" t="n">
        <v>27000000</v>
      </c>
      <c r="J491" t="inlineStr">
        <is>
          <t>COP</t>
        </is>
      </c>
      <c r="L491">
        <f>IFERROR(INDEX(Diccionario!$B:$B,MATCH(F503,Diccionario!$C:$C,0)),"")</f>
        <v/>
      </c>
      <c r="M491">
        <f>IFERROR(INDEX(Diccionario!$H:$H,MATCH(F503,Diccionario!$C:$C,0)),"")</f>
        <v/>
      </c>
      <c r="N491">
        <f>IFERROR(INDEX(Diccionario!$N:$N,MATCH(F503,Diccionario!$C:$C,0)),"")</f>
        <v/>
      </c>
    </row>
    <row r="492" ht="14.25" customHeight="1" s="52">
      <c r="A492" t="inlineStr">
        <is>
          <t>2024-10</t>
        </is>
      </c>
      <c r="B492" t="inlineStr">
        <is>
          <t>Colombia</t>
        </is>
      </c>
      <c r="C492" t="inlineStr">
        <is>
          <t>Coco Colombia</t>
        </is>
      </c>
      <c r="D492" t="inlineStr">
        <is>
          <t>COP</t>
        </is>
      </c>
      <c r="E492" t="inlineStr">
        <is>
          <t>Real</t>
        </is>
      </c>
      <c r="F492" t="inlineStr">
        <is>
          <t>costo_proveedor</t>
        </is>
      </c>
      <c r="H492" t="inlineStr">
        <is>
          <t>B2Chat</t>
        </is>
      </c>
      <c r="I492" t="n">
        <v>6000000</v>
      </c>
      <c r="J492" t="inlineStr">
        <is>
          <t>COP</t>
        </is>
      </c>
      <c r="L492">
        <f>IFERROR(INDEX(Diccionario!$B:$B,MATCH(F504,Diccionario!$C:$C,0)),"")</f>
        <v/>
      </c>
      <c r="M492">
        <f>IFERROR(INDEX(Diccionario!$H:$H,MATCH(F504,Diccionario!$C:$C,0)),"")</f>
        <v/>
      </c>
      <c r="N492">
        <f>IFERROR(INDEX(Diccionario!$N:$N,MATCH(F504,Diccionario!$C:$C,0)),"")</f>
        <v/>
      </c>
    </row>
    <row r="493" ht="14.25" customHeight="1" s="52">
      <c r="A493" t="inlineStr">
        <is>
          <t>2024-10</t>
        </is>
      </c>
      <c r="B493" t="inlineStr">
        <is>
          <t>Colombia</t>
        </is>
      </c>
      <c r="C493" t="inlineStr">
        <is>
          <t>Coco Colombia</t>
        </is>
      </c>
      <c r="D493" t="inlineStr">
        <is>
          <t>COP</t>
        </is>
      </c>
      <c r="E493" t="inlineStr">
        <is>
          <t>Real</t>
        </is>
      </c>
      <c r="F493" t="inlineStr">
        <is>
          <t>costo_proveedor</t>
        </is>
      </c>
      <c r="H493" t="inlineStr">
        <is>
          <t>Otros</t>
        </is>
      </c>
      <c r="I493" t="n">
        <v>6000000</v>
      </c>
      <c r="J493" t="inlineStr">
        <is>
          <t>COP</t>
        </is>
      </c>
      <c r="L493">
        <f>IFERROR(INDEX(Diccionario!$B:$B,MATCH(F505,Diccionario!$C:$C,0)),"")</f>
        <v/>
      </c>
      <c r="M493">
        <f>IFERROR(INDEX(Diccionario!$H:$H,MATCH(F505,Diccionario!$C:$C,0)),"")</f>
        <v/>
      </c>
      <c r="N493">
        <f>IFERROR(INDEX(Diccionario!$N:$N,MATCH(F505,Diccionario!$C:$C,0)),"")</f>
        <v/>
      </c>
    </row>
    <row r="494" ht="14.25" customHeight="1" s="52">
      <c r="A494" t="inlineStr">
        <is>
          <t>2024-11</t>
        </is>
      </c>
      <c r="B494" t="inlineStr">
        <is>
          <t>Colombia</t>
        </is>
      </c>
      <c r="C494" t="inlineStr">
        <is>
          <t>Coco Colombia</t>
        </is>
      </c>
      <c r="D494" t="inlineStr">
        <is>
          <t>COP</t>
        </is>
      </c>
      <c r="E494" t="inlineStr">
        <is>
          <t>Real</t>
        </is>
      </c>
      <c r="F494" t="inlineStr">
        <is>
          <t>costo_proveedor</t>
        </is>
      </c>
      <c r="H494" t="inlineStr">
        <is>
          <t>Infobip</t>
        </is>
      </c>
      <c r="I494" t="n">
        <v>131000000</v>
      </c>
      <c r="J494" t="inlineStr">
        <is>
          <t>COP</t>
        </is>
      </c>
      <c r="L494">
        <f>IFERROR(INDEX(Diccionario!$B:$B,MATCH(F506,Diccionario!$C:$C,0)),"")</f>
        <v/>
      </c>
      <c r="M494">
        <f>IFERROR(INDEX(Diccionario!$H:$H,MATCH(F506,Diccionario!$C:$C,0)),"")</f>
        <v/>
      </c>
      <c r="N494">
        <f>IFERROR(INDEX(Diccionario!$N:$N,MATCH(F506,Diccionario!$C:$C,0)),"")</f>
        <v/>
      </c>
    </row>
    <row r="495" ht="14.25" customHeight="1" s="52">
      <c r="A495" t="inlineStr">
        <is>
          <t>2024-11</t>
        </is>
      </c>
      <c r="B495" t="inlineStr">
        <is>
          <t>Colombia</t>
        </is>
      </c>
      <c r="C495" t="inlineStr">
        <is>
          <t>Coco Colombia</t>
        </is>
      </c>
      <c r="D495" t="inlineStr">
        <is>
          <t>COP</t>
        </is>
      </c>
      <c r="E495" t="inlineStr">
        <is>
          <t>Real</t>
        </is>
      </c>
      <c r="F495" t="inlineStr">
        <is>
          <t>costo_proveedor</t>
        </is>
      </c>
      <c r="H495" t="inlineStr">
        <is>
          <t>IVA</t>
        </is>
      </c>
      <c r="I495" t="n">
        <v>25000000</v>
      </c>
      <c r="J495" t="inlineStr">
        <is>
          <t>COP</t>
        </is>
      </c>
      <c r="L495">
        <f>IFERROR(INDEX(Diccionario!$B:$B,MATCH(F507,Diccionario!$C:$C,0)),"")</f>
        <v/>
      </c>
      <c r="M495">
        <f>IFERROR(INDEX(Diccionario!$H:$H,MATCH(F507,Diccionario!$C:$C,0)),"")</f>
        <v/>
      </c>
      <c r="N495">
        <f>IFERROR(INDEX(Diccionario!$N:$N,MATCH(F507,Diccionario!$C:$C,0)),"")</f>
        <v/>
      </c>
    </row>
    <row r="496" ht="14.25" customHeight="1" s="52">
      <c r="A496" t="inlineStr">
        <is>
          <t>2024-11</t>
        </is>
      </c>
      <c r="B496" t="inlineStr">
        <is>
          <t>Colombia</t>
        </is>
      </c>
      <c r="C496" t="inlineStr">
        <is>
          <t>Coco Colombia</t>
        </is>
      </c>
      <c r="D496" t="inlineStr">
        <is>
          <t>COP</t>
        </is>
      </c>
      <c r="E496" t="inlineStr">
        <is>
          <t>Real</t>
        </is>
      </c>
      <c r="F496" t="inlineStr">
        <is>
          <t>costo_proveedor</t>
        </is>
      </c>
      <c r="H496" t="inlineStr">
        <is>
          <t>AWS</t>
        </is>
      </c>
      <c r="I496" t="n">
        <v>10000000</v>
      </c>
      <c r="J496" t="inlineStr">
        <is>
          <t>COP</t>
        </is>
      </c>
      <c r="L496">
        <f>IFERROR(INDEX(Diccionario!$B:$B,MATCH(F508,Diccionario!$C:$C,0)),"")</f>
        <v/>
      </c>
      <c r="M496">
        <f>IFERROR(INDEX(Diccionario!$H:$H,MATCH(F508,Diccionario!$C:$C,0)),"")</f>
        <v/>
      </c>
      <c r="N496">
        <f>IFERROR(INDEX(Diccionario!$N:$N,MATCH(F508,Diccionario!$C:$C,0)),"")</f>
        <v/>
      </c>
    </row>
    <row r="497" ht="14.25" customHeight="1" s="52">
      <c r="A497" t="inlineStr">
        <is>
          <t>2024-11</t>
        </is>
      </c>
      <c r="B497" t="inlineStr">
        <is>
          <t>Colombia</t>
        </is>
      </c>
      <c r="C497" t="inlineStr">
        <is>
          <t>Coco Colombia</t>
        </is>
      </c>
      <c r="D497" t="inlineStr">
        <is>
          <t>COP</t>
        </is>
      </c>
      <c r="E497" t="inlineStr">
        <is>
          <t>Real</t>
        </is>
      </c>
      <c r="F497" t="inlineStr">
        <is>
          <t>costo_proveedor</t>
        </is>
      </c>
      <c r="H497" t="inlineStr">
        <is>
          <t>B2Chat</t>
        </is>
      </c>
      <c r="I497" t="n">
        <v>7000000</v>
      </c>
      <c r="J497" t="inlineStr">
        <is>
          <t>COP</t>
        </is>
      </c>
      <c r="L497">
        <f>IFERROR(INDEX(Diccionario!$B:$B,MATCH(F509,Diccionario!$C:$C,0)),"")</f>
        <v/>
      </c>
      <c r="M497">
        <f>IFERROR(INDEX(Diccionario!$H:$H,MATCH(F509,Diccionario!$C:$C,0)),"")</f>
        <v/>
      </c>
      <c r="N497">
        <f>IFERROR(INDEX(Diccionario!$N:$N,MATCH(F509,Diccionario!$C:$C,0)),"")</f>
        <v/>
      </c>
    </row>
    <row r="498" ht="14.25" customHeight="1" s="52">
      <c r="A498" t="inlineStr">
        <is>
          <t>2024-11</t>
        </is>
      </c>
      <c r="B498" t="inlineStr">
        <is>
          <t>Colombia</t>
        </is>
      </c>
      <c r="C498" t="inlineStr">
        <is>
          <t>Coco Colombia</t>
        </is>
      </c>
      <c r="D498" t="inlineStr">
        <is>
          <t>COP</t>
        </is>
      </c>
      <c r="E498" t="inlineStr">
        <is>
          <t>Real</t>
        </is>
      </c>
      <c r="F498" t="inlineStr">
        <is>
          <t>costo_proveedor</t>
        </is>
      </c>
      <c r="H498" t="inlineStr">
        <is>
          <t>Otros</t>
        </is>
      </c>
      <c r="I498" t="n">
        <v>5000000</v>
      </c>
      <c r="J498" t="inlineStr">
        <is>
          <t>COP</t>
        </is>
      </c>
      <c r="L498">
        <f>IFERROR(INDEX(Diccionario!$B:$B,MATCH(F510,Diccionario!$C:$C,0)),"")</f>
        <v/>
      </c>
      <c r="M498">
        <f>IFERROR(INDEX(Diccionario!$H:$H,MATCH(F510,Diccionario!$C:$C,0)),"")</f>
        <v/>
      </c>
      <c r="N498">
        <f>IFERROR(INDEX(Diccionario!$N:$N,MATCH(F510,Diccionario!$C:$C,0)),"")</f>
        <v/>
      </c>
    </row>
    <row r="499" ht="14.25" customHeight="1" s="52">
      <c r="A499" t="inlineStr">
        <is>
          <t>2024-12</t>
        </is>
      </c>
      <c r="B499" t="inlineStr">
        <is>
          <t>Colombia</t>
        </is>
      </c>
      <c r="C499" t="inlineStr">
        <is>
          <t>Coco Colombia</t>
        </is>
      </c>
      <c r="D499" t="inlineStr">
        <is>
          <t>COP</t>
        </is>
      </c>
      <c r="E499" t="inlineStr">
        <is>
          <t>Real</t>
        </is>
      </c>
      <c r="F499" t="inlineStr">
        <is>
          <t>costo_proveedor</t>
        </is>
      </c>
      <c r="H499" t="inlineStr">
        <is>
          <t>Infobip</t>
        </is>
      </c>
      <c r="I499" t="n">
        <v>123000000</v>
      </c>
      <c r="J499" t="inlineStr">
        <is>
          <t>COP</t>
        </is>
      </c>
      <c r="L499">
        <f>IFERROR(INDEX(Diccionario!$B:$B,MATCH(F511,Diccionario!$C:$C,0)),"")</f>
        <v/>
      </c>
      <c r="M499">
        <f>IFERROR(INDEX(Diccionario!$H:$H,MATCH(F511,Diccionario!$C:$C,0)),"")</f>
        <v/>
      </c>
      <c r="N499">
        <f>IFERROR(INDEX(Diccionario!$N:$N,MATCH(F511,Diccionario!$C:$C,0)),"")</f>
        <v/>
      </c>
    </row>
    <row r="500" ht="14.25" customHeight="1" s="52">
      <c r="A500" t="inlineStr">
        <is>
          <t>2024-12</t>
        </is>
      </c>
      <c r="B500" t="inlineStr">
        <is>
          <t>Colombia</t>
        </is>
      </c>
      <c r="C500" t="inlineStr">
        <is>
          <t>Coco Colombia</t>
        </is>
      </c>
      <c r="D500" t="inlineStr">
        <is>
          <t>COP</t>
        </is>
      </c>
      <c r="E500" t="inlineStr">
        <is>
          <t>Real</t>
        </is>
      </c>
      <c r="F500" t="inlineStr">
        <is>
          <t>costo_proveedor</t>
        </is>
      </c>
      <c r="H500" t="inlineStr">
        <is>
          <t>IVA</t>
        </is>
      </c>
      <c r="I500" t="n">
        <v>13500000</v>
      </c>
      <c r="J500" t="inlineStr">
        <is>
          <t>COP</t>
        </is>
      </c>
      <c r="L500">
        <f>IFERROR(INDEX(Diccionario!$B:$B,MATCH(F512,Diccionario!$C:$C,0)),"")</f>
        <v/>
      </c>
      <c r="M500">
        <f>IFERROR(INDEX(Diccionario!$H:$H,MATCH(F512,Diccionario!$C:$C,0)),"")</f>
        <v/>
      </c>
      <c r="N500">
        <f>IFERROR(INDEX(Diccionario!$N:$N,MATCH(F512,Diccionario!$C:$C,0)),"")</f>
        <v/>
      </c>
    </row>
    <row r="501" ht="14.25" customHeight="1" s="52">
      <c r="A501" t="inlineStr">
        <is>
          <t>2024-12</t>
        </is>
      </c>
      <c r="B501" t="inlineStr">
        <is>
          <t>Colombia</t>
        </is>
      </c>
      <c r="C501" t="inlineStr">
        <is>
          <t>Coco Colombia</t>
        </is>
      </c>
      <c r="D501" t="inlineStr">
        <is>
          <t>COP</t>
        </is>
      </c>
      <c r="E501" t="inlineStr">
        <is>
          <t>Real</t>
        </is>
      </c>
      <c r="F501" t="inlineStr">
        <is>
          <t>costo_proveedor</t>
        </is>
      </c>
      <c r="H501" t="inlineStr">
        <is>
          <t>AWS</t>
        </is>
      </c>
      <c r="I501" t="n">
        <v>26800000</v>
      </c>
      <c r="J501" t="inlineStr">
        <is>
          <t>COP</t>
        </is>
      </c>
      <c r="L501">
        <f>IFERROR(INDEX(Diccionario!$B:$B,MATCH(F513,Diccionario!$C:$C,0)),"")</f>
        <v/>
      </c>
      <c r="M501">
        <f>IFERROR(INDEX(Diccionario!$H:$H,MATCH(F513,Diccionario!$C:$C,0)),"")</f>
        <v/>
      </c>
      <c r="N501">
        <f>IFERROR(INDEX(Diccionario!$N:$N,MATCH(F513,Diccionario!$C:$C,0)),"")</f>
        <v/>
      </c>
    </row>
    <row r="502" ht="14.25" customHeight="1" s="52">
      <c r="A502" t="inlineStr">
        <is>
          <t>2024-12</t>
        </is>
      </c>
      <c r="B502" t="inlineStr">
        <is>
          <t>Colombia</t>
        </is>
      </c>
      <c r="C502" t="inlineStr">
        <is>
          <t>Coco Colombia</t>
        </is>
      </c>
      <c r="D502" t="inlineStr">
        <is>
          <t>COP</t>
        </is>
      </c>
      <c r="E502" t="inlineStr">
        <is>
          <t>Real</t>
        </is>
      </c>
      <c r="F502" t="inlineStr">
        <is>
          <t>costo_proveedor</t>
        </is>
      </c>
      <c r="H502" t="inlineStr">
        <is>
          <t>B2Chat</t>
        </is>
      </c>
      <c r="I502" t="n">
        <v>8000000</v>
      </c>
      <c r="J502" t="inlineStr">
        <is>
          <t>COP</t>
        </is>
      </c>
      <c r="L502">
        <f>IFERROR(INDEX(Diccionario!$B:$B,MATCH(F514,Diccionario!$C:$C,0)),"")</f>
        <v/>
      </c>
      <c r="M502">
        <f>IFERROR(INDEX(Diccionario!$H:$H,MATCH(F514,Diccionario!$C:$C,0)),"")</f>
        <v/>
      </c>
      <c r="N502">
        <f>IFERROR(INDEX(Diccionario!$N:$N,MATCH(F514,Diccionario!$C:$C,0)),"")</f>
        <v/>
      </c>
    </row>
    <row r="503" ht="14.25" customHeight="1" s="52">
      <c r="A503" t="inlineStr">
        <is>
          <t>2024-12</t>
        </is>
      </c>
      <c r="B503" t="inlineStr">
        <is>
          <t>Colombia</t>
        </is>
      </c>
      <c r="C503" t="inlineStr">
        <is>
          <t>Coco Colombia</t>
        </is>
      </c>
      <c r="D503" t="inlineStr">
        <is>
          <t>COP</t>
        </is>
      </c>
      <c r="E503" t="inlineStr">
        <is>
          <t>Real</t>
        </is>
      </c>
      <c r="F503" t="inlineStr">
        <is>
          <t>costo_proveedor</t>
        </is>
      </c>
      <c r="H503" t="inlineStr">
        <is>
          <t>Otros</t>
        </is>
      </c>
      <c r="I503" t="n">
        <v>10000000</v>
      </c>
      <c r="J503" t="inlineStr">
        <is>
          <t>COP</t>
        </is>
      </c>
      <c r="L503">
        <f>IFERROR(INDEX(Diccionario!$B:$B,MATCH(F515,Diccionario!$C:$C,0)),"")</f>
        <v/>
      </c>
      <c r="M503">
        <f>IFERROR(INDEX(Diccionario!$H:$H,MATCH(F515,Diccionario!$C:$C,0)),"")</f>
        <v/>
      </c>
      <c r="N503">
        <f>IFERROR(INDEX(Diccionario!$N:$N,MATCH(F515,Diccionario!$C:$C,0)),"")</f>
        <v/>
      </c>
    </row>
    <row r="504" ht="14.25" customHeight="1" s="52">
      <c r="A504" t="inlineStr">
        <is>
          <t>2025-02</t>
        </is>
      </c>
      <c r="B504" t="inlineStr">
        <is>
          <t>Colombia</t>
        </is>
      </c>
      <c r="C504" t="inlineStr">
        <is>
          <t>Coco Colombia</t>
        </is>
      </c>
      <c r="D504" t="inlineStr">
        <is>
          <t>COP</t>
        </is>
      </c>
      <c r="E504" t="inlineStr">
        <is>
          <t>Real</t>
        </is>
      </c>
      <c r="F504" t="inlineStr">
        <is>
          <t>costo_proveedor</t>
        </is>
      </c>
      <c r="H504" t="inlineStr">
        <is>
          <t>Infobip</t>
        </is>
      </c>
      <c r="I504" t="n">
        <v>0</v>
      </c>
      <c r="J504" t="inlineStr">
        <is>
          <t>COP</t>
        </is>
      </c>
      <c r="L504">
        <f>IFERROR(INDEX(Diccionario!$B:$B,MATCH(F516,Diccionario!$C:$C,0)),"")</f>
        <v/>
      </c>
      <c r="M504">
        <f>IFERROR(INDEX(Diccionario!$H:$H,MATCH(F516,Diccionario!$C:$C,0)),"")</f>
        <v/>
      </c>
      <c r="N504">
        <f>IFERROR(INDEX(Diccionario!$N:$N,MATCH(F516,Diccionario!$C:$C,0)),"")</f>
        <v/>
      </c>
    </row>
    <row r="505" ht="14.25" customHeight="1" s="52">
      <c r="A505" t="inlineStr">
        <is>
          <t>2025-02</t>
        </is>
      </c>
      <c r="B505" t="inlineStr">
        <is>
          <t>Colombia</t>
        </is>
      </c>
      <c r="C505" t="inlineStr">
        <is>
          <t>Coco Colombia</t>
        </is>
      </c>
      <c r="D505" t="inlineStr">
        <is>
          <t>COP</t>
        </is>
      </c>
      <c r="E505" t="inlineStr">
        <is>
          <t>Real</t>
        </is>
      </c>
      <c r="F505" t="inlineStr">
        <is>
          <t>costo_proveedor</t>
        </is>
      </c>
      <c r="H505" t="inlineStr">
        <is>
          <t>IVA</t>
        </is>
      </c>
      <c r="I505" t="n">
        <v>0</v>
      </c>
      <c r="J505" t="inlineStr">
        <is>
          <t>COP</t>
        </is>
      </c>
      <c r="L505">
        <f>IFERROR(INDEX(Diccionario!$B:$B,MATCH(F517,Diccionario!$C:$C,0)),"")</f>
        <v/>
      </c>
      <c r="M505">
        <f>IFERROR(INDEX(Diccionario!$H:$H,MATCH(F517,Diccionario!$C:$C,0)),"")</f>
        <v/>
      </c>
      <c r="N505">
        <f>IFERROR(INDEX(Diccionario!$N:$N,MATCH(F517,Diccionario!$C:$C,0)),"")</f>
        <v/>
      </c>
    </row>
    <row r="506" ht="14.25" customHeight="1" s="52">
      <c r="A506" t="inlineStr">
        <is>
          <t>2025-02</t>
        </is>
      </c>
      <c r="B506" t="inlineStr">
        <is>
          <t>Colombia</t>
        </is>
      </c>
      <c r="C506" t="inlineStr">
        <is>
          <t>Coco Colombia</t>
        </is>
      </c>
      <c r="D506" t="inlineStr">
        <is>
          <t>COP</t>
        </is>
      </c>
      <c r="E506" t="inlineStr">
        <is>
          <t>Real</t>
        </is>
      </c>
      <c r="F506" t="inlineStr">
        <is>
          <t>costo_proveedor</t>
        </is>
      </c>
      <c r="H506" t="inlineStr">
        <is>
          <t>AWS</t>
        </is>
      </c>
      <c r="I506" t="n">
        <v>31100000</v>
      </c>
      <c r="J506" t="inlineStr">
        <is>
          <t>COP</t>
        </is>
      </c>
      <c r="L506">
        <f>IFERROR(INDEX(Diccionario!$B:$B,MATCH(F518,Diccionario!$C:$C,0)),"")</f>
        <v/>
      </c>
      <c r="M506">
        <f>IFERROR(INDEX(Diccionario!$H:$H,MATCH(F518,Diccionario!$C:$C,0)),"")</f>
        <v/>
      </c>
      <c r="N506">
        <f>IFERROR(INDEX(Diccionario!$N:$N,MATCH(F518,Diccionario!$C:$C,0)),"")</f>
        <v/>
      </c>
    </row>
    <row r="507" ht="14.25" customHeight="1" s="52">
      <c r="A507" t="inlineStr">
        <is>
          <t>2025-02</t>
        </is>
      </c>
      <c r="B507" t="inlineStr">
        <is>
          <t>Colombia</t>
        </is>
      </c>
      <c r="C507" t="inlineStr">
        <is>
          <t>Coco Colombia</t>
        </is>
      </c>
      <c r="D507" t="inlineStr">
        <is>
          <t>COP</t>
        </is>
      </c>
      <c r="E507" t="inlineStr">
        <is>
          <t>Real</t>
        </is>
      </c>
      <c r="F507" t="inlineStr">
        <is>
          <t>costo_proveedor</t>
        </is>
      </c>
      <c r="H507" t="inlineStr">
        <is>
          <t>B2Chat</t>
        </is>
      </c>
      <c r="I507" t="n">
        <v>10100000</v>
      </c>
      <c r="J507" t="inlineStr">
        <is>
          <t>COP</t>
        </is>
      </c>
      <c r="L507">
        <f>IFERROR(INDEX(Diccionario!$B:$B,MATCH(F519,Diccionario!$C:$C,0)),"")</f>
        <v/>
      </c>
      <c r="M507">
        <f>IFERROR(INDEX(Diccionario!$H:$H,MATCH(F519,Diccionario!$C:$C,0)),"")</f>
        <v/>
      </c>
      <c r="N507">
        <f>IFERROR(INDEX(Diccionario!$N:$N,MATCH(F519,Diccionario!$C:$C,0)),"")</f>
        <v/>
      </c>
    </row>
    <row r="508" ht="14.25" customHeight="1" s="52">
      <c r="A508" t="inlineStr">
        <is>
          <t>2025-02</t>
        </is>
      </c>
      <c r="B508" t="inlineStr">
        <is>
          <t>Colombia</t>
        </is>
      </c>
      <c r="C508" t="inlineStr">
        <is>
          <t>Coco Colombia</t>
        </is>
      </c>
      <c r="D508" t="inlineStr">
        <is>
          <t>COP</t>
        </is>
      </c>
      <c r="E508" t="inlineStr">
        <is>
          <t>Real</t>
        </is>
      </c>
      <c r="F508" t="inlineStr">
        <is>
          <t>costo_proveedor</t>
        </is>
      </c>
      <c r="H508" t="inlineStr">
        <is>
          <t>Otros</t>
        </is>
      </c>
      <c r="I508" t="n">
        <v>5100000</v>
      </c>
      <c r="J508" t="inlineStr">
        <is>
          <t>COP</t>
        </is>
      </c>
      <c r="L508">
        <f>IFERROR(INDEX(Diccionario!$B:$B,MATCH(F520,Diccionario!$C:$C,0)),"")</f>
        <v/>
      </c>
      <c r="M508">
        <f>IFERROR(INDEX(Diccionario!$H:$H,MATCH(F520,Diccionario!$C:$C,0)),"")</f>
        <v/>
      </c>
      <c r="N508">
        <f>IFERROR(INDEX(Diccionario!$N:$N,MATCH(F520,Diccionario!$C:$C,0)),"")</f>
        <v/>
      </c>
    </row>
    <row r="509" ht="14.25" customHeight="1" s="52">
      <c r="A509" t="inlineStr">
        <is>
          <t>2025-03</t>
        </is>
      </c>
      <c r="B509" t="inlineStr">
        <is>
          <t>Colombia</t>
        </is>
      </c>
      <c r="C509" t="inlineStr">
        <is>
          <t>Coco Colombia</t>
        </is>
      </c>
      <c r="D509" t="inlineStr">
        <is>
          <t>COP</t>
        </is>
      </c>
      <c r="E509" t="inlineStr">
        <is>
          <t>Real</t>
        </is>
      </c>
      <c r="F509" t="inlineStr">
        <is>
          <t>costo_proveedor</t>
        </is>
      </c>
      <c r="H509" t="inlineStr">
        <is>
          <t>Infobip</t>
        </is>
      </c>
      <c r="I509" t="n">
        <v>167000000</v>
      </c>
      <c r="J509" t="inlineStr">
        <is>
          <t>COP</t>
        </is>
      </c>
      <c r="L509">
        <f>IFERROR(INDEX(Diccionario!$B:$B,MATCH(F521,Diccionario!$C:$C,0)),"")</f>
        <v/>
      </c>
      <c r="M509">
        <f>IFERROR(INDEX(Diccionario!$H:$H,MATCH(F521,Diccionario!$C:$C,0)),"")</f>
        <v/>
      </c>
      <c r="N509">
        <f>IFERROR(INDEX(Diccionario!$N:$N,MATCH(F521,Diccionario!$C:$C,0)),"")</f>
        <v/>
      </c>
    </row>
    <row r="510" ht="14.25" customHeight="1" s="52">
      <c r="A510" t="inlineStr">
        <is>
          <t>2025-03</t>
        </is>
      </c>
      <c r="B510" t="inlineStr">
        <is>
          <t>Colombia</t>
        </is>
      </c>
      <c r="C510" t="inlineStr">
        <is>
          <t>Coco Colombia</t>
        </is>
      </c>
      <c r="D510" t="inlineStr">
        <is>
          <t>COP</t>
        </is>
      </c>
      <c r="E510" t="inlineStr">
        <is>
          <t>Real</t>
        </is>
      </c>
      <c r="F510" t="inlineStr">
        <is>
          <t>costo_proveedor</t>
        </is>
      </c>
      <c r="H510" t="inlineStr">
        <is>
          <t>IVA</t>
        </is>
      </c>
      <c r="I510" t="n">
        <v>91000</v>
      </c>
      <c r="J510" t="inlineStr">
        <is>
          <t>COP</t>
        </is>
      </c>
      <c r="L510">
        <f>IFERROR(INDEX(Diccionario!$B:$B,MATCH(F522,Diccionario!$C:$C,0)),"")</f>
        <v/>
      </c>
      <c r="M510">
        <f>IFERROR(INDEX(Diccionario!$H:$H,MATCH(F522,Diccionario!$C:$C,0)),"")</f>
        <v/>
      </c>
      <c r="N510">
        <f>IFERROR(INDEX(Diccionario!$N:$N,MATCH(F522,Diccionario!$C:$C,0)),"")</f>
        <v/>
      </c>
    </row>
    <row r="511" ht="14.25" customHeight="1" s="52">
      <c r="A511" t="inlineStr">
        <is>
          <t>2025-03</t>
        </is>
      </c>
      <c r="B511" t="inlineStr">
        <is>
          <t>Colombia</t>
        </is>
      </c>
      <c r="C511" t="inlineStr">
        <is>
          <t>Coco Colombia</t>
        </is>
      </c>
      <c r="D511" t="inlineStr">
        <is>
          <t>COP</t>
        </is>
      </c>
      <c r="E511" t="inlineStr">
        <is>
          <t>Real</t>
        </is>
      </c>
      <c r="F511" t="inlineStr">
        <is>
          <t>costo_proveedor</t>
        </is>
      </c>
      <c r="H511" t="inlineStr">
        <is>
          <t>AWS</t>
        </is>
      </c>
      <c r="I511" t="n">
        <v>24600000</v>
      </c>
      <c r="J511" t="inlineStr">
        <is>
          <t>COP</t>
        </is>
      </c>
      <c r="L511">
        <f>IFERROR(INDEX(Diccionario!$B:$B,MATCH(F523,Diccionario!$C:$C,0)),"")</f>
        <v/>
      </c>
      <c r="M511">
        <f>IFERROR(INDEX(Diccionario!$H:$H,MATCH(F523,Diccionario!$C:$C,0)),"")</f>
        <v/>
      </c>
      <c r="N511">
        <f>IFERROR(INDEX(Diccionario!$N:$N,MATCH(F523,Diccionario!$C:$C,0)),"")</f>
        <v/>
      </c>
    </row>
    <row r="512" ht="14.25" customHeight="1" s="52">
      <c r="A512" t="inlineStr">
        <is>
          <t>2025-03</t>
        </is>
      </c>
      <c r="B512" t="inlineStr">
        <is>
          <t>Colombia</t>
        </is>
      </c>
      <c r="C512" t="inlineStr">
        <is>
          <t>Coco Colombia</t>
        </is>
      </c>
      <c r="D512" t="inlineStr">
        <is>
          <t>COP</t>
        </is>
      </c>
      <c r="E512" t="inlineStr">
        <is>
          <t>Real</t>
        </is>
      </c>
      <c r="F512" t="inlineStr">
        <is>
          <t>costo_proveedor</t>
        </is>
      </c>
      <c r="H512" t="inlineStr">
        <is>
          <t>B2Chat</t>
        </is>
      </c>
      <c r="I512" t="n">
        <v>10300000</v>
      </c>
      <c r="J512" t="inlineStr">
        <is>
          <t>COP</t>
        </is>
      </c>
      <c r="L512">
        <f>IFERROR(INDEX(Diccionario!$B:$B,MATCH(F524,Diccionario!$C:$C,0)),"")</f>
        <v/>
      </c>
      <c r="M512">
        <f>IFERROR(INDEX(Diccionario!$H:$H,MATCH(F524,Diccionario!$C:$C,0)),"")</f>
        <v/>
      </c>
      <c r="N512">
        <f>IFERROR(INDEX(Diccionario!$N:$N,MATCH(F524,Diccionario!$C:$C,0)),"")</f>
        <v/>
      </c>
    </row>
    <row r="513" ht="14.25" customHeight="1" s="52">
      <c r="A513" t="inlineStr">
        <is>
          <t>2025-03</t>
        </is>
      </c>
      <c r="B513" t="inlineStr">
        <is>
          <t>Colombia</t>
        </is>
      </c>
      <c r="C513" t="inlineStr">
        <is>
          <t>Coco Colombia</t>
        </is>
      </c>
      <c r="D513" t="inlineStr">
        <is>
          <t>COP</t>
        </is>
      </c>
      <c r="E513" t="inlineStr">
        <is>
          <t>Real</t>
        </is>
      </c>
      <c r="F513" t="inlineStr">
        <is>
          <t>costo_proveedor</t>
        </is>
      </c>
      <c r="H513" t="inlineStr">
        <is>
          <t>Otros</t>
        </is>
      </c>
      <c r="I513" t="n">
        <v>6009000</v>
      </c>
      <c r="J513" t="inlineStr">
        <is>
          <t>COP</t>
        </is>
      </c>
      <c r="L513">
        <f>IFERROR(INDEX(Diccionario!$B:$B,MATCH(F525,Diccionario!$C:$C,0)),"")</f>
        <v/>
      </c>
      <c r="M513">
        <f>IFERROR(INDEX(Diccionario!$H:$H,MATCH(F525,Diccionario!$C:$C,0)),"")</f>
        <v/>
      </c>
      <c r="N513">
        <f>IFERROR(INDEX(Diccionario!$N:$N,MATCH(F525,Diccionario!$C:$C,0)),"")</f>
        <v/>
      </c>
    </row>
    <row r="514" ht="14.25" customHeight="1" s="52">
      <c r="A514" t="inlineStr">
        <is>
          <t>2025-04</t>
        </is>
      </c>
      <c r="B514" t="inlineStr">
        <is>
          <t>Colombia</t>
        </is>
      </c>
      <c r="C514" t="inlineStr">
        <is>
          <t>Coco Colombia</t>
        </is>
      </c>
      <c r="D514" t="inlineStr">
        <is>
          <t>COP</t>
        </is>
      </c>
      <c r="E514" t="inlineStr">
        <is>
          <t>Real</t>
        </is>
      </c>
      <c r="F514" t="inlineStr">
        <is>
          <t>costo_proveedor</t>
        </is>
      </c>
      <c r="H514" t="inlineStr">
        <is>
          <t>Infobip</t>
        </is>
      </c>
      <c r="I514" t="n">
        <v>88200000</v>
      </c>
      <c r="J514" t="inlineStr">
        <is>
          <t>COP</t>
        </is>
      </c>
      <c r="L514">
        <f>IFERROR(INDEX(Diccionario!$B:$B,MATCH(F526,Diccionario!$C:$C,0)),"")</f>
        <v/>
      </c>
      <c r="M514">
        <f>IFERROR(INDEX(Diccionario!$H:$H,MATCH(F526,Diccionario!$C:$C,0)),"")</f>
        <v/>
      </c>
      <c r="N514">
        <f>IFERROR(INDEX(Diccionario!$N:$N,MATCH(F526,Diccionario!$C:$C,0)),"")</f>
        <v/>
      </c>
    </row>
    <row r="515" ht="14.25" customHeight="1" s="52">
      <c r="A515" t="inlineStr">
        <is>
          <t>2025-04</t>
        </is>
      </c>
      <c r="B515" t="inlineStr">
        <is>
          <t>Colombia</t>
        </is>
      </c>
      <c r="C515" t="inlineStr">
        <is>
          <t>Coco Colombia</t>
        </is>
      </c>
      <c r="D515" t="inlineStr">
        <is>
          <t>COP</t>
        </is>
      </c>
      <c r="E515" t="inlineStr">
        <is>
          <t>Real</t>
        </is>
      </c>
      <c r="F515" t="inlineStr">
        <is>
          <t>costo_proveedor</t>
        </is>
      </c>
      <c r="H515" t="inlineStr">
        <is>
          <t>IVA</t>
        </is>
      </c>
      <c r="I515" t="n">
        <v>0</v>
      </c>
      <c r="J515" t="inlineStr">
        <is>
          <t>COP</t>
        </is>
      </c>
      <c r="L515">
        <f>IFERROR(INDEX(Diccionario!$B:$B,MATCH(F527,Diccionario!$C:$C,0)),"")</f>
        <v/>
      </c>
      <c r="M515">
        <f>IFERROR(INDEX(Diccionario!$H:$H,MATCH(F527,Diccionario!$C:$C,0)),"")</f>
        <v/>
      </c>
      <c r="N515">
        <f>IFERROR(INDEX(Diccionario!$N:$N,MATCH(F527,Diccionario!$C:$C,0)),"")</f>
        <v/>
      </c>
    </row>
    <row r="516" ht="14.25" customHeight="1" s="52">
      <c r="A516" t="inlineStr">
        <is>
          <t>2025-04</t>
        </is>
      </c>
      <c r="B516" t="inlineStr">
        <is>
          <t>Colombia</t>
        </is>
      </c>
      <c r="C516" t="inlineStr">
        <is>
          <t>Coco Colombia</t>
        </is>
      </c>
      <c r="D516" t="inlineStr">
        <is>
          <t>COP</t>
        </is>
      </c>
      <c r="E516" t="inlineStr">
        <is>
          <t>Real</t>
        </is>
      </c>
      <c r="F516" t="inlineStr">
        <is>
          <t>costo_proveedor</t>
        </is>
      </c>
      <c r="H516" t="inlineStr">
        <is>
          <t>AWS</t>
        </is>
      </c>
      <c r="I516" t="n">
        <v>46900000</v>
      </c>
      <c r="J516" t="inlineStr">
        <is>
          <t>COP</t>
        </is>
      </c>
      <c r="L516">
        <f>IFERROR(INDEX(Diccionario!$B:$B,MATCH(F528,Diccionario!$C:$C,0)),"")</f>
        <v/>
      </c>
      <c r="M516">
        <f>IFERROR(INDEX(Diccionario!$H:$H,MATCH(F528,Diccionario!$C:$C,0)),"")</f>
        <v/>
      </c>
      <c r="N516">
        <f>IFERROR(INDEX(Diccionario!$N:$N,MATCH(F528,Diccionario!$C:$C,0)),"")</f>
        <v/>
      </c>
    </row>
    <row r="517" ht="14.25" customHeight="1" s="52">
      <c r="A517" t="inlineStr">
        <is>
          <t>2025-04</t>
        </is>
      </c>
      <c r="B517" t="inlineStr">
        <is>
          <t>Colombia</t>
        </is>
      </c>
      <c r="C517" t="inlineStr">
        <is>
          <t>Coco Colombia</t>
        </is>
      </c>
      <c r="D517" t="inlineStr">
        <is>
          <t>COP</t>
        </is>
      </c>
      <c r="E517" t="inlineStr">
        <is>
          <t>Real</t>
        </is>
      </c>
      <c r="F517" t="inlineStr">
        <is>
          <t>costo_proveedor</t>
        </is>
      </c>
      <c r="H517" t="inlineStr">
        <is>
          <t>B2Chat</t>
        </is>
      </c>
      <c r="I517" t="n">
        <v>14100000</v>
      </c>
      <c r="J517" t="inlineStr">
        <is>
          <t>COP</t>
        </is>
      </c>
      <c r="L517">
        <f>IFERROR(INDEX(Diccionario!$B:$B,MATCH(F529,Diccionario!$C:$C,0)),"")</f>
        <v/>
      </c>
      <c r="M517">
        <f>IFERROR(INDEX(Diccionario!$H:$H,MATCH(F529,Diccionario!$C:$C,0)),"")</f>
        <v/>
      </c>
      <c r="N517">
        <f>IFERROR(INDEX(Diccionario!$N:$N,MATCH(F529,Diccionario!$C:$C,0)),"")</f>
        <v/>
      </c>
    </row>
    <row r="518" ht="14.25" customHeight="1" s="52">
      <c r="A518" t="inlineStr">
        <is>
          <t>2025-04</t>
        </is>
      </c>
      <c r="B518" t="inlineStr">
        <is>
          <t>Colombia</t>
        </is>
      </c>
      <c r="C518" t="inlineStr">
        <is>
          <t>Coco Colombia</t>
        </is>
      </c>
      <c r="D518" t="inlineStr">
        <is>
          <t>COP</t>
        </is>
      </c>
      <c r="E518" t="inlineStr">
        <is>
          <t>Real</t>
        </is>
      </c>
      <c r="F518" t="inlineStr">
        <is>
          <t>costo_proveedor</t>
        </is>
      </c>
      <c r="H518" t="inlineStr">
        <is>
          <t>Otros</t>
        </is>
      </c>
      <c r="I518" t="n">
        <v>6700000</v>
      </c>
      <c r="J518" t="inlineStr">
        <is>
          <t>COP</t>
        </is>
      </c>
      <c r="L518">
        <f>IFERROR(INDEX(Diccionario!$B:$B,MATCH(F530,Diccionario!$C:$C,0)),"")</f>
        <v/>
      </c>
      <c r="M518">
        <f>IFERROR(INDEX(Diccionario!$H:$H,MATCH(F530,Diccionario!$C:$C,0)),"")</f>
        <v/>
      </c>
      <c r="N518">
        <f>IFERROR(INDEX(Diccionario!$N:$N,MATCH(F530,Diccionario!$C:$C,0)),"")</f>
        <v/>
      </c>
    </row>
    <row r="519" ht="14.25" customHeight="1" s="52">
      <c r="A519" t="inlineStr">
        <is>
          <t>2025-05</t>
        </is>
      </c>
      <c r="B519" t="inlineStr">
        <is>
          <t>Colombia</t>
        </is>
      </c>
      <c r="C519" t="inlineStr">
        <is>
          <t>Coco Colombia</t>
        </is>
      </c>
      <c r="D519" t="inlineStr">
        <is>
          <t>COP</t>
        </is>
      </c>
      <c r="E519" t="inlineStr">
        <is>
          <t>Real</t>
        </is>
      </c>
      <c r="F519" t="inlineStr">
        <is>
          <t>costo_proveedor</t>
        </is>
      </c>
      <c r="H519" t="inlineStr">
        <is>
          <t>Infobip</t>
        </is>
      </c>
      <c r="I519" t="n">
        <v>83500000</v>
      </c>
      <c r="J519" t="inlineStr">
        <is>
          <t>COP</t>
        </is>
      </c>
      <c r="L519">
        <f>IFERROR(INDEX(Diccionario!$B:$B,MATCH(F531,Diccionario!$C:$C,0)),"")</f>
        <v/>
      </c>
      <c r="M519">
        <f>IFERROR(INDEX(Diccionario!$H:$H,MATCH(F531,Diccionario!$C:$C,0)),"")</f>
        <v/>
      </c>
      <c r="N519">
        <f>IFERROR(INDEX(Diccionario!$N:$N,MATCH(F531,Diccionario!$C:$C,0)),"")</f>
        <v/>
      </c>
    </row>
    <row r="520" ht="14.25" customHeight="1" s="52">
      <c r="A520" t="inlineStr">
        <is>
          <t>2025-05</t>
        </is>
      </c>
      <c r="B520" t="inlineStr">
        <is>
          <t>Colombia</t>
        </is>
      </c>
      <c r="C520" t="inlineStr">
        <is>
          <t>Coco Colombia</t>
        </is>
      </c>
      <c r="D520" t="inlineStr">
        <is>
          <t>COP</t>
        </is>
      </c>
      <c r="E520" t="inlineStr">
        <is>
          <t>Real</t>
        </is>
      </c>
      <c r="F520" t="inlineStr">
        <is>
          <t>costo_proveedor</t>
        </is>
      </c>
      <c r="H520" t="inlineStr">
        <is>
          <t>IVA</t>
        </is>
      </c>
      <c r="I520" t="n">
        <v>0</v>
      </c>
      <c r="J520" t="inlineStr">
        <is>
          <t>COP</t>
        </is>
      </c>
      <c r="L520">
        <f>IFERROR(INDEX(Diccionario!$B:$B,MATCH(F532,Diccionario!$C:$C,0)),"")</f>
        <v/>
      </c>
      <c r="M520">
        <f>IFERROR(INDEX(Diccionario!$H:$H,MATCH(F532,Diccionario!$C:$C,0)),"")</f>
        <v/>
      </c>
      <c r="N520">
        <f>IFERROR(INDEX(Diccionario!$N:$N,MATCH(F532,Diccionario!$C:$C,0)),"")</f>
        <v/>
      </c>
    </row>
    <row r="521" ht="14.25" customHeight="1" s="52">
      <c r="A521" t="inlineStr">
        <is>
          <t>2025-05</t>
        </is>
      </c>
      <c r="B521" t="inlineStr">
        <is>
          <t>Colombia</t>
        </is>
      </c>
      <c r="C521" t="inlineStr">
        <is>
          <t>Coco Colombia</t>
        </is>
      </c>
      <c r="D521" t="inlineStr">
        <is>
          <t>COP</t>
        </is>
      </c>
      <c r="E521" t="inlineStr">
        <is>
          <t>Real</t>
        </is>
      </c>
      <c r="F521" t="inlineStr">
        <is>
          <t>costo_proveedor</t>
        </is>
      </c>
      <c r="H521" t="inlineStr">
        <is>
          <t>AWS</t>
        </is>
      </c>
      <c r="I521" t="n">
        <v>40400000</v>
      </c>
      <c r="J521" t="inlineStr">
        <is>
          <t>COP</t>
        </is>
      </c>
      <c r="L521">
        <f>IFERROR(INDEX(Diccionario!$B:$B,MATCH(F533,Diccionario!$C:$C,0)),"")</f>
        <v/>
      </c>
      <c r="M521">
        <f>IFERROR(INDEX(Diccionario!$H:$H,MATCH(F533,Diccionario!$C:$C,0)),"")</f>
        <v/>
      </c>
      <c r="N521">
        <f>IFERROR(INDEX(Diccionario!$N:$N,MATCH(F533,Diccionario!$C:$C,0)),"")</f>
        <v/>
      </c>
    </row>
    <row r="522" ht="14.25" customHeight="1" s="52">
      <c r="A522" t="inlineStr">
        <is>
          <t>2025-05</t>
        </is>
      </c>
      <c r="B522" t="inlineStr">
        <is>
          <t>Colombia</t>
        </is>
      </c>
      <c r="C522" t="inlineStr">
        <is>
          <t>Coco Colombia</t>
        </is>
      </c>
      <c r="D522" t="inlineStr">
        <is>
          <t>COP</t>
        </is>
      </c>
      <c r="E522" t="inlineStr">
        <is>
          <t>Real</t>
        </is>
      </c>
      <c r="F522" t="inlineStr">
        <is>
          <t>costo_proveedor</t>
        </is>
      </c>
      <c r="H522" t="inlineStr">
        <is>
          <t>B2Chat</t>
        </is>
      </c>
      <c r="I522" t="n">
        <v>15700000</v>
      </c>
      <c r="J522" t="inlineStr">
        <is>
          <t>COP</t>
        </is>
      </c>
      <c r="L522">
        <f>IFERROR(INDEX(Diccionario!$B:$B,MATCH(F534,Diccionario!$C:$C,0)),"")</f>
        <v/>
      </c>
      <c r="M522">
        <f>IFERROR(INDEX(Diccionario!$H:$H,MATCH(F534,Diccionario!$C:$C,0)),"")</f>
        <v/>
      </c>
      <c r="N522">
        <f>IFERROR(INDEX(Diccionario!$N:$N,MATCH(F534,Diccionario!$C:$C,0)),"")</f>
        <v/>
      </c>
    </row>
    <row r="523" ht="14.25" customHeight="1" s="52">
      <c r="A523" t="inlineStr">
        <is>
          <t>2025-05</t>
        </is>
      </c>
      <c r="B523" t="inlineStr">
        <is>
          <t>Colombia</t>
        </is>
      </c>
      <c r="C523" t="inlineStr">
        <is>
          <t>Coco Colombia</t>
        </is>
      </c>
      <c r="D523" t="inlineStr">
        <is>
          <t>COP</t>
        </is>
      </c>
      <c r="E523" t="inlineStr">
        <is>
          <t>Real</t>
        </is>
      </c>
      <c r="F523" t="inlineStr">
        <is>
          <t>costo_proveedor</t>
        </is>
      </c>
      <c r="H523" t="inlineStr">
        <is>
          <t>Otros</t>
        </is>
      </c>
      <c r="I523" t="n">
        <v>17400000</v>
      </c>
      <c r="J523" t="inlineStr">
        <is>
          <t>COP</t>
        </is>
      </c>
      <c r="L523">
        <f>IFERROR(INDEX(Diccionario!$B:$B,MATCH(F535,Diccionario!$C:$C,0)),"")</f>
        <v/>
      </c>
      <c r="M523">
        <f>IFERROR(INDEX(Diccionario!$H:$H,MATCH(F535,Diccionario!$C:$C,0)),"")</f>
        <v/>
      </c>
      <c r="N523">
        <f>IFERROR(INDEX(Diccionario!$N:$N,MATCH(F535,Diccionario!$C:$C,0)),"")</f>
        <v/>
      </c>
    </row>
    <row r="524" ht="14.25" customHeight="1" s="52">
      <c r="A524" t="inlineStr">
        <is>
          <t>2025-06</t>
        </is>
      </c>
      <c r="B524" t="inlineStr">
        <is>
          <t>Colombia</t>
        </is>
      </c>
      <c r="C524" t="inlineStr">
        <is>
          <t>Coco Colombia</t>
        </is>
      </c>
      <c r="D524" t="inlineStr">
        <is>
          <t>COP</t>
        </is>
      </c>
      <c r="E524" t="inlineStr">
        <is>
          <t>Real</t>
        </is>
      </c>
      <c r="F524" t="inlineStr">
        <is>
          <t>costo_proveedor</t>
        </is>
      </c>
      <c r="H524" t="inlineStr">
        <is>
          <t>Infobip</t>
        </is>
      </c>
      <c r="I524" t="n">
        <v>50900000</v>
      </c>
      <c r="J524" t="inlineStr">
        <is>
          <t>COP</t>
        </is>
      </c>
      <c r="L524">
        <f>IFERROR(INDEX(Diccionario!$B:$B,MATCH(F536,Diccionario!$C:$C,0)),"")</f>
        <v/>
      </c>
      <c r="M524">
        <f>IFERROR(INDEX(Diccionario!$H:$H,MATCH(F536,Diccionario!$C:$C,0)),"")</f>
        <v/>
      </c>
      <c r="N524">
        <f>IFERROR(INDEX(Diccionario!$N:$N,MATCH(F536,Diccionario!$C:$C,0)),"")</f>
        <v/>
      </c>
    </row>
    <row r="525" ht="14.25" customHeight="1" s="52">
      <c r="A525" t="inlineStr">
        <is>
          <t>2025-06</t>
        </is>
      </c>
      <c r="B525" t="inlineStr">
        <is>
          <t>Colombia</t>
        </is>
      </c>
      <c r="C525" t="inlineStr">
        <is>
          <t>Coco Colombia</t>
        </is>
      </c>
      <c r="D525" t="inlineStr">
        <is>
          <t>COP</t>
        </is>
      </c>
      <c r="E525" t="inlineStr">
        <is>
          <t>Real</t>
        </is>
      </c>
      <c r="F525" t="inlineStr">
        <is>
          <t>costo_proveedor</t>
        </is>
      </c>
      <c r="H525" t="inlineStr">
        <is>
          <t>IVA</t>
        </is>
      </c>
      <c r="I525" t="n">
        <v>0</v>
      </c>
      <c r="J525" t="inlineStr">
        <is>
          <t>COP</t>
        </is>
      </c>
      <c r="L525">
        <f>IFERROR(INDEX(Diccionario!$B:$B,MATCH(F537,Diccionario!$C:$C,0)),"")</f>
        <v/>
      </c>
      <c r="M525">
        <f>IFERROR(INDEX(Diccionario!$H:$H,MATCH(F537,Diccionario!$C:$C,0)),"")</f>
        <v/>
      </c>
      <c r="N525">
        <f>IFERROR(INDEX(Diccionario!$N:$N,MATCH(F537,Diccionario!$C:$C,0)),"")</f>
        <v/>
      </c>
    </row>
    <row r="526" ht="14.25" customHeight="1" s="52">
      <c r="A526" t="inlineStr">
        <is>
          <t>2025-06</t>
        </is>
      </c>
      <c r="B526" t="inlineStr">
        <is>
          <t>Colombia</t>
        </is>
      </c>
      <c r="C526" t="inlineStr">
        <is>
          <t>Coco Colombia</t>
        </is>
      </c>
      <c r="D526" t="inlineStr">
        <is>
          <t>COP</t>
        </is>
      </c>
      <c r="E526" t="inlineStr">
        <is>
          <t>Real</t>
        </is>
      </c>
      <c r="F526" t="inlineStr">
        <is>
          <t>costo_proveedor</t>
        </is>
      </c>
      <c r="H526" t="inlineStr">
        <is>
          <t>AWS</t>
        </is>
      </c>
      <c r="I526" t="n">
        <v>30200000</v>
      </c>
      <c r="J526" t="inlineStr">
        <is>
          <t>COP</t>
        </is>
      </c>
      <c r="L526">
        <f>IFERROR(INDEX(Diccionario!$B:$B,MATCH(F538,Diccionario!$C:$C,0)),"")</f>
        <v/>
      </c>
      <c r="M526">
        <f>IFERROR(INDEX(Diccionario!$H:$H,MATCH(F538,Diccionario!$C:$C,0)),"")</f>
        <v/>
      </c>
      <c r="N526">
        <f>IFERROR(INDEX(Diccionario!$N:$N,MATCH(F538,Diccionario!$C:$C,0)),"")</f>
        <v/>
      </c>
    </row>
    <row r="527" ht="14.25" customHeight="1" s="52">
      <c r="A527" t="inlineStr">
        <is>
          <t>2025-06</t>
        </is>
      </c>
      <c r="B527" t="inlineStr">
        <is>
          <t>Colombia</t>
        </is>
      </c>
      <c r="C527" t="inlineStr">
        <is>
          <t>Coco Colombia</t>
        </is>
      </c>
      <c r="D527" t="inlineStr">
        <is>
          <t>COP</t>
        </is>
      </c>
      <c r="E527" t="inlineStr">
        <is>
          <t>Real</t>
        </is>
      </c>
      <c r="F527" t="inlineStr">
        <is>
          <t>costo_proveedor</t>
        </is>
      </c>
      <c r="H527" t="inlineStr">
        <is>
          <t>B2Chat</t>
        </is>
      </c>
      <c r="I527" t="n">
        <v>15680000</v>
      </c>
      <c r="J527" t="inlineStr">
        <is>
          <t>COP</t>
        </is>
      </c>
      <c r="L527">
        <f>IFERROR(INDEX(Diccionario!$B:$B,MATCH(F539,Diccionario!$C:$C,0)),"")</f>
        <v/>
      </c>
      <c r="M527">
        <f>IFERROR(INDEX(Diccionario!$H:$H,MATCH(F539,Diccionario!$C:$C,0)),"")</f>
        <v/>
      </c>
      <c r="N527">
        <f>IFERROR(INDEX(Diccionario!$N:$N,MATCH(F539,Diccionario!$C:$C,0)),"")</f>
        <v/>
      </c>
    </row>
    <row r="528" ht="14.25" customHeight="1" s="52">
      <c r="A528" t="inlineStr">
        <is>
          <t>2025-06</t>
        </is>
      </c>
      <c r="B528" t="inlineStr">
        <is>
          <t>Colombia</t>
        </is>
      </c>
      <c r="C528" t="inlineStr">
        <is>
          <t>Coco Colombia</t>
        </is>
      </c>
      <c r="D528" t="inlineStr">
        <is>
          <t>COP</t>
        </is>
      </c>
      <c r="E528" t="inlineStr">
        <is>
          <t>Real</t>
        </is>
      </c>
      <c r="F528" t="inlineStr">
        <is>
          <t>costo_proveedor</t>
        </is>
      </c>
      <c r="H528" t="inlineStr">
        <is>
          <t>Otros</t>
        </is>
      </c>
      <c r="I528" t="n">
        <v>22400000</v>
      </c>
      <c r="J528" t="inlineStr">
        <is>
          <t>COP</t>
        </is>
      </c>
      <c r="L528">
        <f>IFERROR(INDEX(Diccionario!$B:$B,MATCH(F540,Diccionario!$C:$C,0)),"")</f>
        <v/>
      </c>
      <c r="M528">
        <f>IFERROR(INDEX(Diccionario!$H:$H,MATCH(F540,Diccionario!$C:$C,0)),"")</f>
        <v/>
      </c>
      <c r="N528">
        <f>IFERROR(INDEX(Diccionario!$N:$N,MATCH(F540,Diccionario!$C:$C,0)),"")</f>
        <v/>
      </c>
    </row>
    <row r="529" ht="14.25" customHeight="1" s="52">
      <c r="A529" t="inlineStr">
        <is>
          <t>2025-07</t>
        </is>
      </c>
      <c r="B529" t="inlineStr">
        <is>
          <t>Colombia</t>
        </is>
      </c>
      <c r="C529" t="inlineStr">
        <is>
          <t>Coco Colombia</t>
        </is>
      </c>
      <c r="D529" t="inlineStr">
        <is>
          <t>COP</t>
        </is>
      </c>
      <c r="E529" t="inlineStr">
        <is>
          <t>Real</t>
        </is>
      </c>
      <c r="F529" t="inlineStr">
        <is>
          <t>costo_proveedor</t>
        </is>
      </c>
      <c r="H529" t="inlineStr">
        <is>
          <t>Infobip</t>
        </is>
      </c>
      <c r="I529" t="n">
        <v>213300000</v>
      </c>
      <c r="J529" t="inlineStr">
        <is>
          <t>COP</t>
        </is>
      </c>
      <c r="L529">
        <f>IFERROR(INDEX(Diccionario!$B:$B,MATCH(F541,Diccionario!$C:$C,0)),"")</f>
        <v/>
      </c>
      <c r="M529">
        <f>IFERROR(INDEX(Diccionario!$H:$H,MATCH(F541,Diccionario!$C:$C,0)),"")</f>
        <v/>
      </c>
      <c r="N529">
        <f>IFERROR(INDEX(Diccionario!$N:$N,MATCH(F541,Diccionario!$C:$C,0)),"")</f>
        <v/>
      </c>
    </row>
    <row r="530" ht="14.25" customHeight="1" s="52">
      <c r="A530" t="inlineStr">
        <is>
          <t>2025-07</t>
        </is>
      </c>
      <c r="B530" t="inlineStr">
        <is>
          <t>Colombia</t>
        </is>
      </c>
      <c r="C530" t="inlineStr">
        <is>
          <t>Coco Colombia</t>
        </is>
      </c>
      <c r="D530" t="inlineStr">
        <is>
          <t>COP</t>
        </is>
      </c>
      <c r="E530" t="inlineStr">
        <is>
          <t>Real</t>
        </is>
      </c>
      <c r="F530" t="inlineStr">
        <is>
          <t>costo_proveedor</t>
        </is>
      </c>
      <c r="H530" t="inlineStr">
        <is>
          <t>IVA</t>
        </is>
      </c>
      <c r="I530" t="n">
        <v>0</v>
      </c>
      <c r="J530" t="inlineStr">
        <is>
          <t>COP</t>
        </is>
      </c>
      <c r="L530">
        <f>IFERROR(INDEX(Diccionario!$B:$B,MATCH(F542,Diccionario!$C:$C,0)),"")</f>
        <v/>
      </c>
      <c r="M530">
        <f>IFERROR(INDEX(Diccionario!$H:$H,MATCH(F542,Diccionario!$C:$C,0)),"")</f>
        <v/>
      </c>
      <c r="N530">
        <f>IFERROR(INDEX(Diccionario!$N:$N,MATCH(F542,Diccionario!$C:$C,0)),"")</f>
        <v/>
      </c>
    </row>
    <row r="531" ht="14.25" customHeight="1" s="52">
      <c r="A531" t="inlineStr">
        <is>
          <t>2025-07</t>
        </is>
      </c>
      <c r="B531" t="inlineStr">
        <is>
          <t>Colombia</t>
        </is>
      </c>
      <c r="C531" t="inlineStr">
        <is>
          <t>Coco Colombia</t>
        </is>
      </c>
      <c r="D531" t="inlineStr">
        <is>
          <t>COP</t>
        </is>
      </c>
      <c r="E531" t="inlineStr">
        <is>
          <t>Real</t>
        </is>
      </c>
      <c r="F531" t="inlineStr">
        <is>
          <t>costo_proveedor</t>
        </is>
      </c>
      <c r="H531" t="inlineStr">
        <is>
          <t>AWS</t>
        </is>
      </c>
      <c r="I531" t="n">
        <v>62400000</v>
      </c>
      <c r="J531" t="inlineStr">
        <is>
          <t>COP</t>
        </is>
      </c>
      <c r="L531">
        <f>IFERROR(INDEX(Diccionario!$B:$B,MATCH(F543,Diccionario!$C:$C,0)),"")</f>
        <v/>
      </c>
      <c r="M531">
        <f>IFERROR(INDEX(Diccionario!$H:$H,MATCH(F543,Diccionario!$C:$C,0)),"")</f>
        <v/>
      </c>
      <c r="N531">
        <f>IFERROR(INDEX(Diccionario!$N:$N,MATCH(F543,Diccionario!$C:$C,0)),"")</f>
        <v/>
      </c>
    </row>
    <row r="532" ht="14.25" customHeight="1" s="52">
      <c r="A532" t="inlineStr">
        <is>
          <t>2025-07</t>
        </is>
      </c>
      <c r="B532" t="inlineStr">
        <is>
          <t>Colombia</t>
        </is>
      </c>
      <c r="C532" t="inlineStr">
        <is>
          <t>Coco Colombia</t>
        </is>
      </c>
      <c r="D532" t="inlineStr">
        <is>
          <t>COP</t>
        </is>
      </c>
      <c r="E532" t="inlineStr">
        <is>
          <t>Real</t>
        </is>
      </c>
      <c r="F532" t="inlineStr">
        <is>
          <t>costo_proveedor</t>
        </is>
      </c>
      <c r="H532" t="inlineStr">
        <is>
          <t>B2Chat</t>
        </is>
      </c>
      <c r="I532" t="n">
        <v>16600000</v>
      </c>
      <c r="J532" t="inlineStr">
        <is>
          <t>COP</t>
        </is>
      </c>
      <c r="L532">
        <f>IFERROR(INDEX(Diccionario!$B:$B,MATCH(F544,Diccionario!$C:$C,0)),"")</f>
        <v/>
      </c>
      <c r="M532">
        <f>IFERROR(INDEX(Diccionario!$H:$H,MATCH(F544,Diccionario!$C:$C,0)),"")</f>
        <v/>
      </c>
      <c r="N532">
        <f>IFERROR(INDEX(Diccionario!$N:$N,MATCH(F544,Diccionario!$C:$C,0)),"")</f>
        <v/>
      </c>
    </row>
    <row r="533" ht="14.25" customHeight="1" s="52">
      <c r="A533" t="inlineStr">
        <is>
          <t>2025-07</t>
        </is>
      </c>
      <c r="B533" t="inlineStr">
        <is>
          <t>Colombia</t>
        </is>
      </c>
      <c r="C533" t="inlineStr">
        <is>
          <t>Coco Colombia</t>
        </is>
      </c>
      <c r="D533" t="inlineStr">
        <is>
          <t>COP</t>
        </is>
      </c>
      <c r="E533" t="inlineStr">
        <is>
          <t>Real</t>
        </is>
      </c>
      <c r="F533" t="inlineStr">
        <is>
          <t>costo_proveedor</t>
        </is>
      </c>
      <c r="H533" t="inlineStr">
        <is>
          <t>Otros</t>
        </is>
      </c>
      <c r="I533" t="n">
        <v>9900000</v>
      </c>
      <c r="J533" t="inlineStr">
        <is>
          <t>COP</t>
        </is>
      </c>
      <c r="L533">
        <f>IFERROR(INDEX(Diccionario!$B:$B,MATCH(F545,Diccionario!$C:$C,0)),"")</f>
        <v/>
      </c>
      <c r="M533">
        <f>IFERROR(INDEX(Diccionario!$H:$H,MATCH(F545,Diccionario!$C:$C,0)),"")</f>
        <v/>
      </c>
      <c r="N533">
        <f>IFERROR(INDEX(Diccionario!$N:$N,MATCH(F545,Diccionario!$C:$C,0)),"")</f>
        <v/>
      </c>
    </row>
    <row r="534" ht="14.25" customHeight="1" s="52">
      <c r="A534" t="inlineStr">
        <is>
          <t>2025-08</t>
        </is>
      </c>
      <c r="B534" t="inlineStr">
        <is>
          <t>Colombia</t>
        </is>
      </c>
      <c r="C534" t="inlineStr">
        <is>
          <t>Coco Colombia</t>
        </is>
      </c>
      <c r="D534" t="inlineStr">
        <is>
          <t>COP</t>
        </is>
      </c>
      <c r="E534" t="inlineStr">
        <is>
          <t>Real</t>
        </is>
      </c>
      <c r="F534" t="inlineStr">
        <is>
          <t>costo_proveedor</t>
        </is>
      </c>
      <c r="H534" t="inlineStr">
        <is>
          <t>Infobip</t>
        </is>
      </c>
      <c r="I534" t="n">
        <v>0</v>
      </c>
      <c r="J534" t="inlineStr">
        <is>
          <t>COP</t>
        </is>
      </c>
      <c r="L534">
        <f>IFERROR(INDEX(Diccionario!$B:$B,MATCH(F546,Diccionario!$C:$C,0)),"")</f>
        <v/>
      </c>
      <c r="M534">
        <f>IFERROR(INDEX(Diccionario!$H:$H,MATCH(F546,Diccionario!$C:$C,0)),"")</f>
        <v/>
      </c>
      <c r="N534">
        <f>IFERROR(INDEX(Diccionario!$N:$N,MATCH(F546,Diccionario!$C:$C,0)),"")</f>
        <v/>
      </c>
    </row>
    <row r="535" ht="14.25" customHeight="1" s="52">
      <c r="A535" t="inlineStr">
        <is>
          <t>2025-08</t>
        </is>
      </c>
      <c r="B535" t="inlineStr">
        <is>
          <t>Colombia</t>
        </is>
      </c>
      <c r="C535" t="inlineStr">
        <is>
          <t>Coco Colombia</t>
        </is>
      </c>
      <c r="D535" t="inlineStr">
        <is>
          <t>COP</t>
        </is>
      </c>
      <c r="E535" t="inlineStr">
        <is>
          <t>Real</t>
        </is>
      </c>
      <c r="F535" t="inlineStr">
        <is>
          <t>costo_proveedor</t>
        </is>
      </c>
      <c r="H535" t="inlineStr">
        <is>
          <t>IVA</t>
        </is>
      </c>
      <c r="I535" t="n">
        <v>0</v>
      </c>
      <c r="J535" t="inlineStr">
        <is>
          <t>COP</t>
        </is>
      </c>
      <c r="L535">
        <f>IFERROR(INDEX(Diccionario!$B:$B,MATCH(F547,Diccionario!$C:$C,0)),"")</f>
        <v/>
      </c>
      <c r="M535">
        <f>IFERROR(INDEX(Diccionario!$H:$H,MATCH(F547,Diccionario!$C:$C,0)),"")</f>
        <v/>
      </c>
      <c r="N535">
        <f>IFERROR(INDEX(Diccionario!$N:$N,MATCH(F547,Diccionario!$C:$C,0)),"")</f>
        <v/>
      </c>
    </row>
    <row r="536" ht="14.25" customHeight="1" s="52">
      <c r="A536" t="inlineStr">
        <is>
          <t>2025-08</t>
        </is>
      </c>
      <c r="B536" t="inlineStr">
        <is>
          <t>Colombia</t>
        </is>
      </c>
      <c r="C536" t="inlineStr">
        <is>
          <t>Coco Colombia</t>
        </is>
      </c>
      <c r="D536" t="inlineStr">
        <is>
          <t>COP</t>
        </is>
      </c>
      <c r="E536" t="inlineStr">
        <is>
          <t>Real</t>
        </is>
      </c>
      <c r="F536" t="inlineStr">
        <is>
          <t>costo_proveedor</t>
        </is>
      </c>
      <c r="H536" t="inlineStr">
        <is>
          <t>AWS</t>
        </is>
      </c>
      <c r="I536" t="n">
        <v>30100000</v>
      </c>
      <c r="J536" t="inlineStr">
        <is>
          <t>COP</t>
        </is>
      </c>
      <c r="L536">
        <f>IFERROR(INDEX(Diccionario!$B:$B,MATCH(F548,Diccionario!$C:$C,0)),"")</f>
        <v/>
      </c>
      <c r="M536">
        <f>IFERROR(INDEX(Diccionario!$H:$H,MATCH(F548,Diccionario!$C:$C,0)),"")</f>
        <v/>
      </c>
      <c r="N536">
        <f>IFERROR(INDEX(Diccionario!$N:$N,MATCH(F548,Diccionario!$C:$C,0)),"")</f>
        <v/>
      </c>
    </row>
    <row r="537" ht="14.25" customHeight="1" s="52">
      <c r="A537" t="inlineStr">
        <is>
          <t>2025-08</t>
        </is>
      </c>
      <c r="B537" t="inlineStr">
        <is>
          <t>Colombia</t>
        </is>
      </c>
      <c r="C537" t="inlineStr">
        <is>
          <t>Coco Colombia</t>
        </is>
      </c>
      <c r="D537" t="inlineStr">
        <is>
          <t>COP</t>
        </is>
      </c>
      <c r="E537" t="inlineStr">
        <is>
          <t>Real</t>
        </is>
      </c>
      <c r="F537" t="inlineStr">
        <is>
          <t>costo_proveedor</t>
        </is>
      </c>
      <c r="H537" t="inlineStr">
        <is>
          <t>B2Chat</t>
        </is>
      </c>
      <c r="I537" t="n">
        <v>12070000</v>
      </c>
      <c r="J537" t="inlineStr">
        <is>
          <t>COP</t>
        </is>
      </c>
      <c r="L537">
        <f>IFERROR(INDEX(Diccionario!$B:$B,MATCH(F549,Diccionario!$C:$C,0)),"")</f>
        <v/>
      </c>
      <c r="M537">
        <f>IFERROR(INDEX(Diccionario!$H:$H,MATCH(F549,Diccionario!$C:$C,0)),"")</f>
        <v/>
      </c>
      <c r="N537">
        <f>IFERROR(INDEX(Diccionario!$N:$N,MATCH(F549,Diccionario!$C:$C,0)),"")</f>
        <v/>
      </c>
    </row>
    <row r="538" ht="14.25" customHeight="1" s="52">
      <c r="A538" t="inlineStr">
        <is>
          <t>2025-08</t>
        </is>
      </c>
      <c r="B538" t="inlineStr">
        <is>
          <t>Colombia</t>
        </is>
      </c>
      <c r="C538" t="inlineStr">
        <is>
          <t>Coco Colombia</t>
        </is>
      </c>
      <c r="D538" t="inlineStr">
        <is>
          <t>COP</t>
        </is>
      </c>
      <c r="E538" t="inlineStr">
        <is>
          <t>Real</t>
        </is>
      </c>
      <c r="F538" t="inlineStr">
        <is>
          <t>costo_proveedor</t>
        </is>
      </c>
      <c r="H538" t="inlineStr">
        <is>
          <t>Otros</t>
        </is>
      </c>
      <c r="I538" t="n">
        <v>7900000</v>
      </c>
      <c r="J538" t="inlineStr">
        <is>
          <t>COP</t>
        </is>
      </c>
      <c r="L538">
        <f>IFERROR(INDEX(Diccionario!$B:$B,MATCH(F550,Diccionario!$C:$C,0)),"")</f>
        <v/>
      </c>
      <c r="M538">
        <f>IFERROR(INDEX(Diccionario!$H:$H,MATCH(F550,Diccionario!$C:$C,0)),"")</f>
        <v/>
      </c>
      <c r="N538">
        <f>IFERROR(INDEX(Diccionario!$N:$N,MATCH(F550,Diccionario!$C:$C,0)),"")</f>
        <v/>
      </c>
    </row>
    <row r="539" ht="14.25" customHeight="1" s="52">
      <c r="A539" t="inlineStr">
        <is>
          <t>2025-09</t>
        </is>
      </c>
      <c r="B539" t="inlineStr">
        <is>
          <t>Colombia</t>
        </is>
      </c>
      <c r="C539" t="inlineStr">
        <is>
          <t>Coco Colombia</t>
        </is>
      </c>
      <c r="D539" t="inlineStr">
        <is>
          <t>COP</t>
        </is>
      </c>
      <c r="E539" t="inlineStr">
        <is>
          <t>Real</t>
        </is>
      </c>
      <c r="F539" t="inlineStr">
        <is>
          <t>costo_proveedor</t>
        </is>
      </c>
      <c r="H539" t="inlineStr">
        <is>
          <t>Infobip</t>
        </is>
      </c>
      <c r="I539" t="n">
        <v>0</v>
      </c>
      <c r="J539" t="inlineStr">
        <is>
          <t>COP</t>
        </is>
      </c>
      <c r="L539">
        <f>IFERROR(INDEX(Diccionario!$B:$B,MATCH(F551,Diccionario!$C:$C,0)),"")</f>
        <v/>
      </c>
      <c r="M539">
        <f>IFERROR(INDEX(Diccionario!$H:$H,MATCH(F551,Diccionario!$C:$C,0)),"")</f>
        <v/>
      </c>
      <c r="N539">
        <f>IFERROR(INDEX(Diccionario!$N:$N,MATCH(F551,Diccionario!$C:$C,0)),"")</f>
        <v/>
      </c>
    </row>
    <row r="540" ht="14.25" customHeight="1" s="52">
      <c r="A540" t="inlineStr">
        <is>
          <t>2025-09</t>
        </is>
      </c>
      <c r="B540" t="inlineStr">
        <is>
          <t>Colombia</t>
        </is>
      </c>
      <c r="C540" t="inlineStr">
        <is>
          <t>Coco Colombia</t>
        </is>
      </c>
      <c r="D540" t="inlineStr">
        <is>
          <t>COP</t>
        </is>
      </c>
      <c r="E540" t="inlineStr">
        <is>
          <t>Real</t>
        </is>
      </c>
      <c r="F540" t="inlineStr">
        <is>
          <t>costo_proveedor</t>
        </is>
      </c>
      <c r="H540" t="inlineStr">
        <is>
          <t>IVA</t>
        </is>
      </c>
      <c r="I540" t="n">
        <v>0</v>
      </c>
      <c r="J540" t="inlineStr">
        <is>
          <t>COP</t>
        </is>
      </c>
      <c r="L540">
        <f>IFERROR(INDEX(Diccionario!$B:$B,MATCH(F552,Diccionario!$C:$C,0)),"")</f>
        <v/>
      </c>
      <c r="M540">
        <f>IFERROR(INDEX(Diccionario!$H:$H,MATCH(F552,Diccionario!$C:$C,0)),"")</f>
        <v/>
      </c>
      <c r="N540">
        <f>IFERROR(INDEX(Diccionario!$N:$N,MATCH(F552,Diccionario!$C:$C,0)),"")</f>
        <v/>
      </c>
    </row>
    <row r="541" ht="14.25" customHeight="1" s="52">
      <c r="A541" t="inlineStr">
        <is>
          <t>2025-09</t>
        </is>
      </c>
      <c r="B541" t="inlineStr">
        <is>
          <t>Colombia</t>
        </is>
      </c>
      <c r="C541" t="inlineStr">
        <is>
          <t>Coco Colombia</t>
        </is>
      </c>
      <c r="D541" t="inlineStr">
        <is>
          <t>COP</t>
        </is>
      </c>
      <c r="E541" t="inlineStr">
        <is>
          <t>Real</t>
        </is>
      </c>
      <c r="F541" t="inlineStr">
        <is>
          <t>costo_proveedor</t>
        </is>
      </c>
      <c r="H541" t="inlineStr">
        <is>
          <t>AWS</t>
        </is>
      </c>
      <c r="I541" t="n">
        <v>75800000</v>
      </c>
      <c r="J541" t="inlineStr">
        <is>
          <t>COP</t>
        </is>
      </c>
      <c r="L541">
        <f>IFERROR(INDEX(Diccionario!$B:$B,MATCH(F553,Diccionario!$C:$C,0)),"")</f>
        <v/>
      </c>
      <c r="M541">
        <f>IFERROR(INDEX(Diccionario!$H:$H,MATCH(F553,Diccionario!$C:$C,0)),"")</f>
        <v/>
      </c>
      <c r="N541">
        <f>IFERROR(INDEX(Diccionario!$N:$N,MATCH(F553,Diccionario!$C:$C,0)),"")</f>
        <v/>
      </c>
    </row>
    <row r="542" ht="14.25" customHeight="1" s="52">
      <c r="A542" t="inlineStr">
        <is>
          <t>2025-09</t>
        </is>
      </c>
      <c r="B542" t="inlineStr">
        <is>
          <t>Colombia</t>
        </is>
      </c>
      <c r="C542" t="inlineStr">
        <is>
          <t>Coco Colombia</t>
        </is>
      </c>
      <c r="D542" t="inlineStr">
        <is>
          <t>COP</t>
        </is>
      </c>
      <c r="E542" t="inlineStr">
        <is>
          <t>Real</t>
        </is>
      </c>
      <c r="F542" t="inlineStr">
        <is>
          <t>costo_proveedor</t>
        </is>
      </c>
      <c r="H542" t="inlineStr">
        <is>
          <t>B2Chat</t>
        </is>
      </c>
      <c r="I542" t="n">
        <v>10800000</v>
      </c>
      <c r="J542" t="inlineStr">
        <is>
          <t>COP</t>
        </is>
      </c>
      <c r="L542">
        <f>IFERROR(INDEX(Diccionario!$B:$B,MATCH(F554,Diccionario!$C:$C,0)),"")</f>
        <v/>
      </c>
      <c r="M542">
        <f>IFERROR(INDEX(Diccionario!$H:$H,MATCH(F554,Diccionario!$C:$C,0)),"")</f>
        <v/>
      </c>
      <c r="N542">
        <f>IFERROR(INDEX(Diccionario!$N:$N,MATCH(F554,Diccionario!$C:$C,0)),"")</f>
        <v/>
      </c>
    </row>
    <row r="543" ht="14.25" customHeight="1" s="52">
      <c r="A543" t="inlineStr">
        <is>
          <t>2025-09</t>
        </is>
      </c>
      <c r="B543" t="inlineStr">
        <is>
          <t>Colombia</t>
        </is>
      </c>
      <c r="C543" t="inlineStr">
        <is>
          <t>Coco Colombia</t>
        </is>
      </c>
      <c r="D543" t="inlineStr">
        <is>
          <t>COP</t>
        </is>
      </c>
      <c r="E543" t="inlineStr">
        <is>
          <t>Real</t>
        </is>
      </c>
      <c r="F543" t="inlineStr">
        <is>
          <t>costo_proveedor</t>
        </is>
      </c>
      <c r="H543" t="inlineStr">
        <is>
          <t>Otros</t>
        </is>
      </c>
      <c r="I543" t="n">
        <v>14600000</v>
      </c>
      <c r="J543" t="inlineStr">
        <is>
          <t>COP</t>
        </is>
      </c>
      <c r="L543">
        <f>IFERROR(INDEX(Diccionario!$B:$B,MATCH(F555,Diccionario!$C:$C,0)),"")</f>
        <v/>
      </c>
      <c r="M543">
        <f>IFERROR(INDEX(Diccionario!$H:$H,MATCH(F555,Diccionario!$C:$C,0)),"")</f>
        <v/>
      </c>
      <c r="N543">
        <f>IFERROR(INDEX(Diccionario!$N:$N,MATCH(F555,Diccionario!$C:$C,0)),"")</f>
        <v/>
      </c>
    </row>
    <row r="544" ht="14.25" customHeight="1" s="52">
      <c r="A544" t="inlineStr">
        <is>
          <t>2025-10</t>
        </is>
      </c>
      <c r="B544" t="inlineStr">
        <is>
          <t>Colombia</t>
        </is>
      </c>
      <c r="C544" t="inlineStr">
        <is>
          <t>Coco Colombia</t>
        </is>
      </c>
      <c r="D544" t="inlineStr">
        <is>
          <t>COP</t>
        </is>
      </c>
      <c r="E544" t="inlineStr">
        <is>
          <t>Real</t>
        </is>
      </c>
      <c r="F544" t="inlineStr">
        <is>
          <t>costo_proveedor</t>
        </is>
      </c>
      <c r="H544" t="inlineStr">
        <is>
          <t>Infobip</t>
        </is>
      </c>
      <c r="I544" t="n">
        <v>104500000</v>
      </c>
      <c r="J544" t="inlineStr">
        <is>
          <t>COP</t>
        </is>
      </c>
      <c r="L544">
        <f>IFERROR(INDEX(Diccionario!$B:$B,MATCH(F556,Diccionario!$C:$C,0)),"")</f>
        <v/>
      </c>
      <c r="M544">
        <f>IFERROR(INDEX(Diccionario!$H:$H,MATCH(F556,Diccionario!$C:$C,0)),"")</f>
        <v/>
      </c>
      <c r="N544">
        <f>IFERROR(INDEX(Diccionario!$N:$N,MATCH(F556,Diccionario!$C:$C,0)),"")</f>
        <v/>
      </c>
    </row>
    <row r="545" ht="14.25" customHeight="1" s="52">
      <c r="A545" t="inlineStr">
        <is>
          <t>2025-10</t>
        </is>
      </c>
      <c r="B545" t="inlineStr">
        <is>
          <t>Colombia</t>
        </is>
      </c>
      <c r="C545" t="inlineStr">
        <is>
          <t>Coco Colombia</t>
        </is>
      </c>
      <c r="D545" t="inlineStr">
        <is>
          <t>COP</t>
        </is>
      </c>
      <c r="E545" t="inlineStr">
        <is>
          <t>Real</t>
        </is>
      </c>
      <c r="F545" t="inlineStr">
        <is>
          <t>costo_proveedor</t>
        </is>
      </c>
      <c r="H545" t="inlineStr">
        <is>
          <t>IVA</t>
        </is>
      </c>
      <c r="I545" t="n">
        <v>0</v>
      </c>
      <c r="J545" t="inlineStr">
        <is>
          <t>COP</t>
        </is>
      </c>
      <c r="L545">
        <f>IFERROR(INDEX(Diccionario!$B:$B,MATCH(F557,Diccionario!$C:$C,0)),"")</f>
        <v/>
      </c>
      <c r="M545">
        <f>IFERROR(INDEX(Diccionario!$H:$H,MATCH(F557,Diccionario!$C:$C,0)),"")</f>
        <v/>
      </c>
      <c r="N545">
        <f>IFERROR(INDEX(Diccionario!$N:$N,MATCH(F557,Diccionario!$C:$C,0)),"")</f>
        <v/>
      </c>
    </row>
    <row r="546" ht="14.25" customHeight="1" s="52">
      <c r="A546" t="inlineStr">
        <is>
          <t>2025-10</t>
        </is>
      </c>
      <c r="B546" t="inlineStr">
        <is>
          <t>Colombia</t>
        </is>
      </c>
      <c r="C546" t="inlineStr">
        <is>
          <t>Coco Colombia</t>
        </is>
      </c>
      <c r="D546" t="inlineStr">
        <is>
          <t>COP</t>
        </is>
      </c>
      <c r="E546" t="inlineStr">
        <is>
          <t>Real</t>
        </is>
      </c>
      <c r="F546" t="inlineStr">
        <is>
          <t>costo_proveedor</t>
        </is>
      </c>
      <c r="H546" t="inlineStr">
        <is>
          <t>AWS</t>
        </is>
      </c>
      <c r="I546" t="n">
        <v>30000000</v>
      </c>
      <c r="J546" t="inlineStr">
        <is>
          <t>COP</t>
        </is>
      </c>
      <c r="L546">
        <f>IFERROR(INDEX(Diccionario!$B:$B,MATCH(F558,Diccionario!$C:$C,0)),"")</f>
        <v/>
      </c>
      <c r="M546">
        <f>IFERROR(INDEX(Diccionario!$H:$H,MATCH(F558,Diccionario!$C:$C,0)),"")</f>
        <v/>
      </c>
      <c r="N546">
        <f>IFERROR(INDEX(Diccionario!$N:$N,MATCH(F558,Diccionario!$C:$C,0)),"")</f>
        <v/>
      </c>
    </row>
    <row r="547" ht="14.25" customHeight="1" s="52">
      <c r="A547" t="inlineStr">
        <is>
          <t>2025-10</t>
        </is>
      </c>
      <c r="B547" t="inlineStr">
        <is>
          <t>Colombia</t>
        </is>
      </c>
      <c r="C547" t="inlineStr">
        <is>
          <t>Coco Colombia</t>
        </is>
      </c>
      <c r="D547" t="inlineStr">
        <is>
          <t>COP</t>
        </is>
      </c>
      <c r="E547" t="inlineStr">
        <is>
          <t>Real</t>
        </is>
      </c>
      <c r="F547" t="inlineStr">
        <is>
          <t>costo_proveedor</t>
        </is>
      </c>
      <c r="H547" t="inlineStr">
        <is>
          <t>B2Chat</t>
        </is>
      </c>
      <c r="I547" t="n">
        <v>14200000</v>
      </c>
      <c r="J547" t="inlineStr">
        <is>
          <t>COP</t>
        </is>
      </c>
      <c r="L547">
        <f>IFERROR(INDEX(Diccionario!$B:$B,MATCH(F559,Diccionario!$C:$C,0)),"")</f>
        <v/>
      </c>
      <c r="M547">
        <f>IFERROR(INDEX(Diccionario!$H:$H,MATCH(F559,Diccionario!$C:$C,0)),"")</f>
        <v/>
      </c>
      <c r="N547">
        <f>IFERROR(INDEX(Diccionario!$N:$N,MATCH(F559,Diccionario!$C:$C,0)),"")</f>
        <v/>
      </c>
    </row>
    <row r="548" ht="14.25" customHeight="1" s="52">
      <c r="A548" t="inlineStr">
        <is>
          <t>2025-10</t>
        </is>
      </c>
      <c r="B548" t="inlineStr">
        <is>
          <t>Colombia</t>
        </is>
      </c>
      <c r="C548" t="inlineStr">
        <is>
          <t>Coco Colombia</t>
        </is>
      </c>
      <c r="D548" t="inlineStr">
        <is>
          <t>COP</t>
        </is>
      </c>
      <c r="E548" t="inlineStr">
        <is>
          <t>Real</t>
        </is>
      </c>
      <c r="F548" t="inlineStr">
        <is>
          <t>costo_proveedor</t>
        </is>
      </c>
      <c r="H548" t="inlineStr">
        <is>
          <t>Otros</t>
        </is>
      </c>
      <c r="I548" t="n">
        <v>24300000</v>
      </c>
      <c r="J548" t="inlineStr">
        <is>
          <t>COP</t>
        </is>
      </c>
      <c r="L548">
        <f>IFERROR(INDEX(Diccionario!$B:$B,MATCH(F560,Diccionario!$C:$C,0)),"")</f>
        <v/>
      </c>
      <c r="M548">
        <f>IFERROR(INDEX(Diccionario!$H:$H,MATCH(F560,Diccionario!$C:$C,0)),"")</f>
        <v/>
      </c>
      <c r="N548">
        <f>IFERROR(INDEX(Diccionario!$N:$N,MATCH(F560,Diccionario!$C:$C,0)),"")</f>
        <v/>
      </c>
    </row>
    <row r="549" ht="14.25" customHeight="1" s="52">
      <c r="A549" t="inlineStr">
        <is>
          <t>2025-11</t>
        </is>
      </c>
      <c r="B549" t="inlineStr">
        <is>
          <t>Colombia</t>
        </is>
      </c>
      <c r="C549" t="inlineStr">
        <is>
          <t>Coco Colombia</t>
        </is>
      </c>
      <c r="D549" t="inlineStr">
        <is>
          <t>COP</t>
        </is>
      </c>
      <c r="E549" t="inlineStr">
        <is>
          <t>Real</t>
        </is>
      </c>
      <c r="F549" t="inlineStr">
        <is>
          <t>costo_proveedor</t>
        </is>
      </c>
      <c r="H549" t="inlineStr">
        <is>
          <t>Infobip</t>
        </is>
      </c>
      <c r="I549" t="n">
        <v>230500000</v>
      </c>
      <c r="J549" t="inlineStr">
        <is>
          <t>COP</t>
        </is>
      </c>
      <c r="L549">
        <f>IFERROR(INDEX(Diccionario!$B:$B,MATCH(F561,Diccionario!$C:$C,0)),"")</f>
        <v/>
      </c>
      <c r="M549">
        <f>IFERROR(INDEX(Diccionario!$H:$H,MATCH(F561,Diccionario!$C:$C,0)),"")</f>
        <v/>
      </c>
      <c r="N549">
        <f>IFERROR(INDEX(Diccionario!$N:$N,MATCH(F561,Diccionario!$C:$C,0)),"")</f>
        <v/>
      </c>
    </row>
    <row r="550" ht="14.25" customHeight="1" s="52">
      <c r="A550" t="inlineStr">
        <is>
          <t>2025-11</t>
        </is>
      </c>
      <c r="B550" t="inlineStr">
        <is>
          <t>Colombia</t>
        </is>
      </c>
      <c r="C550" t="inlineStr">
        <is>
          <t>Coco Colombia</t>
        </is>
      </c>
      <c r="D550" t="inlineStr">
        <is>
          <t>COP</t>
        </is>
      </c>
      <c r="E550" t="inlineStr">
        <is>
          <t>Real</t>
        </is>
      </c>
      <c r="F550" t="inlineStr">
        <is>
          <t>costo_proveedor</t>
        </is>
      </c>
      <c r="H550" t="inlineStr">
        <is>
          <t>IVA</t>
        </is>
      </c>
      <c r="I550" t="n">
        <v>0</v>
      </c>
      <c r="J550" t="inlineStr">
        <is>
          <t>COP</t>
        </is>
      </c>
      <c r="L550">
        <f>IFERROR(INDEX(Diccionario!$B:$B,MATCH(F562,Diccionario!$C:$C,0)),"")</f>
        <v/>
      </c>
      <c r="M550">
        <f>IFERROR(INDEX(Diccionario!$H:$H,MATCH(F562,Diccionario!$C:$C,0)),"")</f>
        <v/>
      </c>
      <c r="N550">
        <f>IFERROR(INDEX(Diccionario!$N:$N,MATCH(F562,Diccionario!$C:$C,0)),"")</f>
        <v/>
      </c>
    </row>
    <row r="551" ht="14.25" customHeight="1" s="52">
      <c r="A551" t="inlineStr">
        <is>
          <t>2025-11</t>
        </is>
      </c>
      <c r="B551" t="inlineStr">
        <is>
          <t>Colombia</t>
        </is>
      </c>
      <c r="C551" t="inlineStr">
        <is>
          <t>Coco Colombia</t>
        </is>
      </c>
      <c r="D551" t="inlineStr">
        <is>
          <t>COP</t>
        </is>
      </c>
      <c r="E551" t="inlineStr">
        <is>
          <t>Real</t>
        </is>
      </c>
      <c r="F551" t="inlineStr">
        <is>
          <t>costo_proveedor</t>
        </is>
      </c>
      <c r="H551" t="inlineStr">
        <is>
          <t>AWS</t>
        </is>
      </c>
      <c r="I551" t="n">
        <v>12900000</v>
      </c>
      <c r="J551" t="inlineStr">
        <is>
          <t>COP</t>
        </is>
      </c>
      <c r="L551">
        <f>IFERROR(INDEX(Diccionario!$B:$B,MATCH(F563,Diccionario!$C:$C,0)),"")</f>
        <v/>
      </c>
      <c r="M551">
        <f>IFERROR(INDEX(Diccionario!$H:$H,MATCH(F563,Diccionario!$C:$C,0)),"")</f>
        <v/>
      </c>
      <c r="N551">
        <f>IFERROR(INDEX(Diccionario!$N:$N,MATCH(F563,Diccionario!$C:$C,0)),"")</f>
        <v/>
      </c>
    </row>
    <row r="552" ht="14.25" customHeight="1" s="52">
      <c r="A552" t="inlineStr">
        <is>
          <t>2025-11</t>
        </is>
      </c>
      <c r="B552" t="inlineStr">
        <is>
          <t>Colombia</t>
        </is>
      </c>
      <c r="C552" t="inlineStr">
        <is>
          <t>Coco Colombia</t>
        </is>
      </c>
      <c r="D552" t="inlineStr">
        <is>
          <t>COP</t>
        </is>
      </c>
      <c r="E552" t="inlineStr">
        <is>
          <t>Real</t>
        </is>
      </c>
      <c r="F552" t="inlineStr">
        <is>
          <t>costo_proveedor</t>
        </is>
      </c>
      <c r="H552" t="inlineStr">
        <is>
          <t>B2Chat</t>
        </is>
      </c>
      <c r="I552" t="n">
        <v>15000000</v>
      </c>
      <c r="J552" t="inlineStr">
        <is>
          <t>COP</t>
        </is>
      </c>
      <c r="L552">
        <f>IFERROR(INDEX(Diccionario!$B:$B,MATCH(F564,Diccionario!$C:$C,0)),"")</f>
        <v/>
      </c>
      <c r="M552">
        <f>IFERROR(INDEX(Diccionario!$H:$H,MATCH(F564,Diccionario!$C:$C,0)),"")</f>
        <v/>
      </c>
      <c r="N552">
        <f>IFERROR(INDEX(Diccionario!$N:$N,MATCH(F564,Diccionario!$C:$C,0)),"")</f>
        <v/>
      </c>
    </row>
    <row r="553" ht="14.25" customHeight="1" s="52">
      <c r="A553" t="inlineStr">
        <is>
          <t>2025-11</t>
        </is>
      </c>
      <c r="B553" t="inlineStr">
        <is>
          <t>Colombia</t>
        </is>
      </c>
      <c r="C553" t="inlineStr">
        <is>
          <t>Coco Colombia</t>
        </is>
      </c>
      <c r="D553" t="inlineStr">
        <is>
          <t>COP</t>
        </is>
      </c>
      <c r="E553" t="inlineStr">
        <is>
          <t>Real</t>
        </is>
      </c>
      <c r="F553" t="inlineStr">
        <is>
          <t>costo_proveedor</t>
        </is>
      </c>
      <c r="H553" t="inlineStr">
        <is>
          <t>Otros</t>
        </is>
      </c>
      <c r="I553" t="n">
        <v>19400000</v>
      </c>
      <c r="J553" t="inlineStr">
        <is>
          <t>COP</t>
        </is>
      </c>
      <c r="L553">
        <f>IFERROR(INDEX(Diccionario!$B:$B,MATCH(F565,Diccionario!$C:$C,0)),"")</f>
        <v/>
      </c>
      <c r="M553">
        <f>IFERROR(INDEX(Diccionario!$H:$H,MATCH(F565,Diccionario!$C:$C,0)),"")</f>
        <v/>
      </c>
      <c r="N553">
        <f>IFERROR(INDEX(Diccionario!$N:$N,MATCH(F565,Diccionario!$C:$C,0)),"")</f>
        <v/>
      </c>
    </row>
    <row r="554" ht="14.25" customHeight="1" s="52">
      <c r="A554" t="inlineStr">
        <is>
          <t>2025-12</t>
        </is>
      </c>
      <c r="B554" t="inlineStr">
        <is>
          <t>Colombia</t>
        </is>
      </c>
      <c r="C554" t="inlineStr">
        <is>
          <t>Coco Colombia</t>
        </is>
      </c>
      <c r="D554" t="inlineStr">
        <is>
          <t>COP</t>
        </is>
      </c>
      <c r="E554" t="inlineStr">
        <is>
          <t>Real</t>
        </is>
      </c>
      <c r="F554" t="inlineStr">
        <is>
          <t>costo_proveedor</t>
        </is>
      </c>
      <c r="H554" t="inlineStr">
        <is>
          <t>Infobip</t>
        </is>
      </c>
      <c r="I554" t="n">
        <v>107300000</v>
      </c>
      <c r="J554" t="inlineStr">
        <is>
          <t>COP</t>
        </is>
      </c>
      <c r="L554">
        <f>IFERROR(INDEX(Diccionario!$B:$B,MATCH(F566,Diccionario!$C:$C,0)),"")</f>
        <v/>
      </c>
      <c r="M554">
        <f>IFERROR(INDEX(Diccionario!$H:$H,MATCH(F566,Diccionario!$C:$C,0)),"")</f>
        <v/>
      </c>
      <c r="N554">
        <f>IFERROR(INDEX(Diccionario!$N:$N,MATCH(F566,Diccionario!$C:$C,0)),"")</f>
        <v/>
      </c>
    </row>
    <row r="555" ht="14.25" customHeight="1" s="52">
      <c r="A555" t="inlineStr">
        <is>
          <t>2025-12</t>
        </is>
      </c>
      <c r="B555" t="inlineStr">
        <is>
          <t>Colombia</t>
        </is>
      </c>
      <c r="C555" t="inlineStr">
        <is>
          <t>Coco Colombia</t>
        </is>
      </c>
      <c r="D555" t="inlineStr">
        <is>
          <t>COP</t>
        </is>
      </c>
      <c r="E555" t="inlineStr">
        <is>
          <t>Real</t>
        </is>
      </c>
      <c r="F555" t="inlineStr">
        <is>
          <t>costo_proveedor</t>
        </is>
      </c>
      <c r="H555" t="inlineStr">
        <is>
          <t>IVA</t>
        </is>
      </c>
      <c r="I555" t="n">
        <v>0</v>
      </c>
      <c r="J555" t="inlineStr">
        <is>
          <t>COP</t>
        </is>
      </c>
      <c r="L555">
        <f>IFERROR(INDEX(Diccionario!$B:$B,MATCH(F567,Diccionario!$C:$C,0)),"")</f>
        <v/>
      </c>
      <c r="M555">
        <f>IFERROR(INDEX(Diccionario!$H:$H,MATCH(F567,Diccionario!$C:$C,0)),"")</f>
        <v/>
      </c>
      <c r="N555">
        <f>IFERROR(INDEX(Diccionario!$N:$N,MATCH(F567,Diccionario!$C:$C,0)),"")</f>
        <v/>
      </c>
    </row>
    <row r="556" ht="14.25" customHeight="1" s="52">
      <c r="A556" t="inlineStr">
        <is>
          <t>2025-12</t>
        </is>
      </c>
      <c r="B556" t="inlineStr">
        <is>
          <t>Colombia</t>
        </is>
      </c>
      <c r="C556" t="inlineStr">
        <is>
          <t>Coco Colombia</t>
        </is>
      </c>
      <c r="D556" t="inlineStr">
        <is>
          <t>COP</t>
        </is>
      </c>
      <c r="E556" t="inlineStr">
        <is>
          <t>Real</t>
        </is>
      </c>
      <c r="F556" t="inlineStr">
        <is>
          <t>costo_proveedor</t>
        </is>
      </c>
      <c r="H556" t="inlineStr">
        <is>
          <t>AWS</t>
        </is>
      </c>
      <c r="I556" t="n">
        <v>25100000</v>
      </c>
      <c r="J556" t="inlineStr">
        <is>
          <t>COP</t>
        </is>
      </c>
      <c r="L556">
        <f>IFERROR(INDEX(Diccionario!$B:$B,MATCH(F568,Diccionario!$C:$C,0)),"")</f>
        <v/>
      </c>
      <c r="M556">
        <f>IFERROR(INDEX(Diccionario!$H:$H,MATCH(F568,Diccionario!$C:$C,0)),"")</f>
        <v/>
      </c>
      <c r="N556">
        <f>IFERROR(INDEX(Diccionario!$N:$N,MATCH(F568,Diccionario!$C:$C,0)),"")</f>
        <v/>
      </c>
    </row>
    <row r="557" ht="14.25" customHeight="1" s="52">
      <c r="A557" t="inlineStr">
        <is>
          <t>2025-12</t>
        </is>
      </c>
      <c r="B557" t="inlineStr">
        <is>
          <t>Colombia</t>
        </is>
      </c>
      <c r="C557" t="inlineStr">
        <is>
          <t>Coco Colombia</t>
        </is>
      </c>
      <c r="D557" t="inlineStr">
        <is>
          <t>COP</t>
        </is>
      </c>
      <c r="E557" t="inlineStr">
        <is>
          <t>Real</t>
        </is>
      </c>
      <c r="F557" t="inlineStr">
        <is>
          <t>costo_proveedor</t>
        </is>
      </c>
      <c r="H557" t="inlineStr">
        <is>
          <t>B2Chat</t>
        </is>
      </c>
      <c r="I557" t="n">
        <v>16100000</v>
      </c>
      <c r="J557" t="inlineStr">
        <is>
          <t>COP</t>
        </is>
      </c>
      <c r="L557">
        <f>IFERROR(INDEX(Diccionario!$B:$B,MATCH(F569,Diccionario!$C:$C,0)),"")</f>
        <v/>
      </c>
      <c r="M557">
        <f>IFERROR(INDEX(Diccionario!$H:$H,MATCH(F569,Diccionario!$C:$C,0)),"")</f>
        <v/>
      </c>
      <c r="N557">
        <f>IFERROR(INDEX(Diccionario!$N:$N,MATCH(F569,Diccionario!$C:$C,0)),"")</f>
        <v/>
      </c>
    </row>
    <row r="558" ht="14.25" customHeight="1" s="52">
      <c r="A558" t="inlineStr">
        <is>
          <t>2025-12</t>
        </is>
      </c>
      <c r="B558" t="inlineStr">
        <is>
          <t>Colombia</t>
        </is>
      </c>
      <c r="C558" t="inlineStr">
        <is>
          <t>Coco Colombia</t>
        </is>
      </c>
      <c r="D558" t="inlineStr">
        <is>
          <t>COP</t>
        </is>
      </c>
      <c r="E558" t="inlineStr">
        <is>
          <t>Real</t>
        </is>
      </c>
      <c r="F558" t="inlineStr">
        <is>
          <t>costo_proveedor</t>
        </is>
      </c>
      <c r="H558" t="inlineStr">
        <is>
          <t>Otros</t>
        </is>
      </c>
      <c r="I558" t="n">
        <v>9300000</v>
      </c>
      <c r="J558" t="inlineStr">
        <is>
          <t>COP</t>
        </is>
      </c>
      <c r="L558">
        <f>IFERROR(INDEX(Diccionario!$B:$B,MATCH(F570,Diccionario!$C:$C,0)),"")</f>
        <v/>
      </c>
      <c r="M558">
        <f>IFERROR(INDEX(Diccionario!$H:$H,MATCH(F570,Diccionario!$C:$C,0)),"")</f>
        <v/>
      </c>
      <c r="N558">
        <f>IFERROR(INDEX(Diccionario!$N:$N,MATCH(F570,Diccionario!$C:$C,0)),"")</f>
        <v/>
      </c>
    </row>
    <row r="559" ht="14.25" customHeight="1" s="52">
      <c r="A559" t="inlineStr">
        <is>
          <t>2026-01</t>
        </is>
      </c>
      <c r="B559" t="inlineStr">
        <is>
          <t>Colombia</t>
        </is>
      </c>
      <c r="C559" t="inlineStr">
        <is>
          <t>Coco Colombia</t>
        </is>
      </c>
      <c r="D559" t="inlineStr">
        <is>
          <t>COP</t>
        </is>
      </c>
      <c r="E559" t="inlineStr">
        <is>
          <t>Real</t>
        </is>
      </c>
      <c r="F559" t="inlineStr">
        <is>
          <t>costo_proveedor</t>
        </is>
      </c>
      <c r="H559" t="inlineStr">
        <is>
          <t>Infobip</t>
        </is>
      </c>
      <c r="I559" t="n">
        <v>0</v>
      </c>
      <c r="J559" t="inlineStr">
        <is>
          <t>COP</t>
        </is>
      </c>
      <c r="L559">
        <f>IFERROR(INDEX(Diccionario!$B:$B,MATCH(F571,Diccionario!$C:$C,0)),"")</f>
        <v/>
      </c>
      <c r="M559">
        <f>IFERROR(INDEX(Diccionario!$H:$H,MATCH(F571,Diccionario!$C:$C,0)),"")</f>
        <v/>
      </c>
      <c r="N559">
        <f>IFERROR(INDEX(Diccionario!$N:$N,MATCH(F571,Diccionario!$C:$C,0)),"")</f>
        <v/>
      </c>
    </row>
    <row r="560" ht="14.25" customHeight="1" s="52">
      <c r="A560" t="inlineStr">
        <is>
          <t>2026-01</t>
        </is>
      </c>
      <c r="B560" t="inlineStr">
        <is>
          <t>Colombia</t>
        </is>
      </c>
      <c r="C560" t="inlineStr">
        <is>
          <t>Coco Colombia</t>
        </is>
      </c>
      <c r="D560" t="inlineStr">
        <is>
          <t>COP</t>
        </is>
      </c>
      <c r="E560" t="inlineStr">
        <is>
          <t>Real</t>
        </is>
      </c>
      <c r="F560" t="inlineStr">
        <is>
          <t>costo_proveedor</t>
        </is>
      </c>
      <c r="H560" t="inlineStr">
        <is>
          <t>IVA</t>
        </is>
      </c>
      <c r="I560" t="n">
        <v>0</v>
      </c>
      <c r="J560" t="inlineStr">
        <is>
          <t>COP</t>
        </is>
      </c>
      <c r="L560">
        <f>IFERROR(INDEX(Diccionario!$B:$B,MATCH(F572,Diccionario!$C:$C,0)),"")</f>
        <v/>
      </c>
      <c r="M560">
        <f>IFERROR(INDEX(Diccionario!$H:$H,MATCH(F572,Diccionario!$C:$C,0)),"")</f>
        <v/>
      </c>
      <c r="N560">
        <f>IFERROR(INDEX(Diccionario!$N:$N,MATCH(F572,Diccionario!$C:$C,0)),"")</f>
        <v/>
      </c>
    </row>
    <row r="561" ht="14.25" customHeight="1" s="52">
      <c r="A561" t="inlineStr">
        <is>
          <t>2026-01</t>
        </is>
      </c>
      <c r="B561" t="inlineStr">
        <is>
          <t>Colombia</t>
        </is>
      </c>
      <c r="C561" t="inlineStr">
        <is>
          <t>Coco Colombia</t>
        </is>
      </c>
      <c r="D561" t="inlineStr">
        <is>
          <t>COP</t>
        </is>
      </c>
      <c r="E561" t="inlineStr">
        <is>
          <t>Real</t>
        </is>
      </c>
      <c r="F561" t="inlineStr">
        <is>
          <t>costo_proveedor</t>
        </is>
      </c>
      <c r="H561" t="inlineStr">
        <is>
          <t>AWS</t>
        </is>
      </c>
      <c r="I561" t="n">
        <v>33600000</v>
      </c>
      <c r="J561" t="inlineStr">
        <is>
          <t>COP</t>
        </is>
      </c>
      <c r="L561">
        <f>IFERROR(INDEX(Diccionario!$B:$B,MATCH(F573,Diccionario!$C:$C,0)),"")</f>
        <v/>
      </c>
      <c r="M561">
        <f>IFERROR(INDEX(Diccionario!$H:$H,MATCH(F573,Diccionario!$C:$C,0)),"")</f>
        <v/>
      </c>
      <c r="N561">
        <f>IFERROR(INDEX(Diccionario!$N:$N,MATCH(F573,Diccionario!$C:$C,0)),"")</f>
        <v/>
      </c>
    </row>
    <row r="562" ht="14.25" customHeight="1" s="52">
      <c r="A562" t="inlineStr">
        <is>
          <t>2026-01</t>
        </is>
      </c>
      <c r="B562" t="inlineStr">
        <is>
          <t>Colombia</t>
        </is>
      </c>
      <c r="C562" t="inlineStr">
        <is>
          <t>Coco Colombia</t>
        </is>
      </c>
      <c r="D562" t="inlineStr">
        <is>
          <t>COP</t>
        </is>
      </c>
      <c r="E562" t="inlineStr">
        <is>
          <t>Real</t>
        </is>
      </c>
      <c r="F562" t="inlineStr">
        <is>
          <t>costo_proveedor</t>
        </is>
      </c>
      <c r="H562" t="inlineStr">
        <is>
          <t>B2Chat</t>
        </is>
      </c>
      <c r="I562" t="n">
        <v>17900000</v>
      </c>
      <c r="J562" t="inlineStr">
        <is>
          <t>COP</t>
        </is>
      </c>
      <c r="L562">
        <f>IFERROR(INDEX(Diccionario!$B:$B,MATCH(F574,Diccionario!$C:$C,0)),"")</f>
        <v/>
      </c>
      <c r="M562">
        <f>IFERROR(INDEX(Diccionario!$H:$H,MATCH(F574,Diccionario!$C:$C,0)),"")</f>
        <v/>
      </c>
      <c r="N562">
        <f>IFERROR(INDEX(Diccionario!$N:$N,MATCH(F574,Diccionario!$C:$C,0)),"")</f>
        <v/>
      </c>
    </row>
    <row r="563" ht="14.25" customHeight="1" s="52">
      <c r="A563" t="inlineStr">
        <is>
          <t>2026-01</t>
        </is>
      </c>
      <c r="B563" t="inlineStr">
        <is>
          <t>Colombia</t>
        </is>
      </c>
      <c r="C563" t="inlineStr">
        <is>
          <t>Coco Colombia</t>
        </is>
      </c>
      <c r="D563" t="inlineStr">
        <is>
          <t>COP</t>
        </is>
      </c>
      <c r="E563" t="inlineStr">
        <is>
          <t>Real</t>
        </is>
      </c>
      <c r="F563" t="inlineStr">
        <is>
          <t>costo_proveedor</t>
        </is>
      </c>
      <c r="H563" t="inlineStr">
        <is>
          <t>Otros</t>
        </is>
      </c>
      <c r="I563" t="n">
        <v>15300000</v>
      </c>
      <c r="J563" t="inlineStr">
        <is>
          <t>COP</t>
        </is>
      </c>
      <c r="L563">
        <f>IFERROR(INDEX(Diccionario!$B:$B,MATCH(F575,Diccionario!$C:$C,0)),"")</f>
        <v/>
      </c>
      <c r="M563">
        <f>IFERROR(INDEX(Diccionario!$H:$H,MATCH(F575,Diccionario!$C:$C,0)),"")</f>
        <v/>
      </c>
      <c r="N563">
        <f>IFERROR(INDEX(Diccionario!$N:$N,MATCH(F575,Diccionario!$C:$C,0)),"")</f>
        <v/>
      </c>
    </row>
    <row r="564" ht="14.25" customHeight="1" s="52">
      <c r="A564" t="inlineStr">
        <is>
          <t>2026-02</t>
        </is>
      </c>
      <c r="B564" t="inlineStr">
        <is>
          <t>Colombia</t>
        </is>
      </c>
      <c r="C564" t="inlineStr">
        <is>
          <t>Coco Colombia</t>
        </is>
      </c>
      <c r="D564" t="inlineStr">
        <is>
          <t>COP</t>
        </is>
      </c>
      <c r="E564" t="inlineStr">
        <is>
          <t>Real</t>
        </is>
      </c>
      <c r="F564" t="inlineStr">
        <is>
          <t>costo_proveedor</t>
        </is>
      </c>
      <c r="H564" t="inlineStr">
        <is>
          <t>Infobip</t>
        </is>
      </c>
      <c r="I564" t="n">
        <v>106900000</v>
      </c>
      <c r="J564" t="inlineStr">
        <is>
          <t>COP</t>
        </is>
      </c>
      <c r="L564">
        <f>IFERROR(INDEX(Diccionario!$B:$B,MATCH(F576,Diccionario!$C:$C,0)),"")</f>
        <v/>
      </c>
      <c r="M564">
        <f>IFERROR(INDEX(Diccionario!$H:$H,MATCH(F576,Diccionario!$C:$C,0)),"")</f>
        <v/>
      </c>
      <c r="N564">
        <f>IFERROR(INDEX(Diccionario!$N:$N,MATCH(F576,Diccionario!$C:$C,0)),"")</f>
        <v/>
      </c>
    </row>
    <row r="565" ht="14.25" customHeight="1" s="52">
      <c r="A565" t="inlineStr">
        <is>
          <t>2026-02</t>
        </is>
      </c>
      <c r="B565" t="inlineStr">
        <is>
          <t>Colombia</t>
        </is>
      </c>
      <c r="C565" t="inlineStr">
        <is>
          <t>Coco Colombia</t>
        </is>
      </c>
      <c r="D565" t="inlineStr">
        <is>
          <t>COP</t>
        </is>
      </c>
      <c r="E565" t="inlineStr">
        <is>
          <t>Real</t>
        </is>
      </c>
      <c r="F565" t="inlineStr">
        <is>
          <t>costo_proveedor</t>
        </is>
      </c>
      <c r="H565" t="inlineStr">
        <is>
          <t>IVA</t>
        </is>
      </c>
      <c r="I565" t="n">
        <v>0</v>
      </c>
      <c r="J565" t="inlineStr">
        <is>
          <t>COP</t>
        </is>
      </c>
      <c r="L565">
        <f>IFERROR(INDEX(Diccionario!$B:$B,MATCH(F577,Diccionario!$C:$C,0)),"")</f>
        <v/>
      </c>
      <c r="M565">
        <f>IFERROR(INDEX(Diccionario!$H:$H,MATCH(F577,Diccionario!$C:$C,0)),"")</f>
        <v/>
      </c>
      <c r="N565">
        <f>IFERROR(INDEX(Diccionario!$N:$N,MATCH(F577,Diccionario!$C:$C,0)),"")</f>
        <v/>
      </c>
    </row>
    <row r="566" ht="14.25" customHeight="1" s="52">
      <c r="A566" t="inlineStr">
        <is>
          <t>2026-02</t>
        </is>
      </c>
      <c r="B566" t="inlineStr">
        <is>
          <t>Colombia</t>
        </is>
      </c>
      <c r="C566" t="inlineStr">
        <is>
          <t>Coco Colombia</t>
        </is>
      </c>
      <c r="D566" t="inlineStr">
        <is>
          <t>COP</t>
        </is>
      </c>
      <c r="E566" t="inlineStr">
        <is>
          <t>Real</t>
        </is>
      </c>
      <c r="F566" t="inlineStr">
        <is>
          <t>costo_proveedor</t>
        </is>
      </c>
      <c r="H566" t="inlineStr">
        <is>
          <t>AWS</t>
        </is>
      </c>
      <c r="I566" t="n">
        <v>25600000</v>
      </c>
      <c r="J566" t="inlineStr">
        <is>
          <t>COP</t>
        </is>
      </c>
      <c r="L566">
        <f>IFERROR(INDEX(Diccionario!$B:$B,MATCH(F578,Diccionario!$C:$C,0)),"")</f>
        <v/>
      </c>
      <c r="M566">
        <f>IFERROR(INDEX(Diccionario!$H:$H,MATCH(F578,Diccionario!$C:$C,0)),"")</f>
        <v/>
      </c>
      <c r="N566">
        <f>IFERROR(INDEX(Diccionario!$N:$N,MATCH(F578,Diccionario!$C:$C,0)),"")</f>
        <v/>
      </c>
    </row>
    <row r="567" ht="14.25" customHeight="1" s="52">
      <c r="A567" t="inlineStr">
        <is>
          <t>2026-02</t>
        </is>
      </c>
      <c r="B567" t="inlineStr">
        <is>
          <t>Colombia</t>
        </is>
      </c>
      <c r="C567" t="inlineStr">
        <is>
          <t>Coco Colombia</t>
        </is>
      </c>
      <c r="D567" t="inlineStr">
        <is>
          <t>COP</t>
        </is>
      </c>
      <c r="E567" t="inlineStr">
        <is>
          <t>Real</t>
        </is>
      </c>
      <c r="F567" t="inlineStr">
        <is>
          <t>costo_proveedor</t>
        </is>
      </c>
      <c r="H567" t="inlineStr">
        <is>
          <t>B2Chat</t>
        </is>
      </c>
      <c r="I567" t="n">
        <v>19100000</v>
      </c>
      <c r="J567" t="inlineStr">
        <is>
          <t>COP</t>
        </is>
      </c>
      <c r="L567">
        <f>IFERROR(INDEX(Diccionario!$B:$B,MATCH(F579,Diccionario!$C:$C,0)),"")</f>
        <v/>
      </c>
      <c r="M567">
        <f>IFERROR(INDEX(Diccionario!$H:$H,MATCH(F579,Diccionario!$C:$C,0)),"")</f>
        <v/>
      </c>
      <c r="N567">
        <f>IFERROR(INDEX(Diccionario!$N:$N,MATCH(F579,Diccionario!$C:$C,0)),"")</f>
        <v/>
      </c>
    </row>
    <row r="568" ht="14.25" customHeight="1" s="52">
      <c r="A568" t="inlineStr">
        <is>
          <t>2026-02</t>
        </is>
      </c>
      <c r="B568" t="inlineStr">
        <is>
          <t>Colombia</t>
        </is>
      </c>
      <c r="C568" t="inlineStr">
        <is>
          <t>Coco Colombia</t>
        </is>
      </c>
      <c r="D568" t="inlineStr">
        <is>
          <t>COP</t>
        </is>
      </c>
      <c r="E568" t="inlineStr">
        <is>
          <t>Real</t>
        </is>
      </c>
      <c r="F568" t="inlineStr">
        <is>
          <t>costo_proveedor</t>
        </is>
      </c>
      <c r="H568" t="inlineStr">
        <is>
          <t>Otros</t>
        </is>
      </c>
      <c r="I568" t="n">
        <v>25900000</v>
      </c>
      <c r="J568" t="inlineStr">
        <is>
          <t>COP</t>
        </is>
      </c>
      <c r="L568">
        <f>IFERROR(INDEX(Diccionario!$B:$B,MATCH(F580,Diccionario!$C:$C,0)),"")</f>
        <v/>
      </c>
      <c r="M568">
        <f>IFERROR(INDEX(Diccionario!$H:$H,MATCH(F580,Diccionario!$C:$C,0)),"")</f>
        <v/>
      </c>
      <c r="N568">
        <f>IFERROR(INDEX(Diccionario!$N:$N,MATCH(F580,Diccionario!$C:$C,0)),"")</f>
        <v/>
      </c>
    </row>
    <row r="569" ht="14.25" customHeight="1" s="52">
      <c r="A569" t="inlineStr">
        <is>
          <t>2026-03</t>
        </is>
      </c>
      <c r="B569" t="inlineStr">
        <is>
          <t>Colombia</t>
        </is>
      </c>
      <c r="C569" t="inlineStr">
        <is>
          <t>Coco Colombia</t>
        </is>
      </c>
      <c r="D569" t="inlineStr">
        <is>
          <t>COP</t>
        </is>
      </c>
      <c r="E569" t="inlineStr">
        <is>
          <t>Real</t>
        </is>
      </c>
      <c r="F569" t="inlineStr">
        <is>
          <t>costo_proveedor</t>
        </is>
      </c>
      <c r="H569" t="inlineStr">
        <is>
          <t>Infobip</t>
        </is>
      </c>
      <c r="I569" t="n">
        <v>219900000</v>
      </c>
      <c r="J569" t="inlineStr">
        <is>
          <t>COP</t>
        </is>
      </c>
      <c r="L569">
        <f>IFERROR(INDEX(Diccionario!$B:$B,MATCH(F581,Diccionario!$C:$C,0)),"")</f>
        <v/>
      </c>
      <c r="M569">
        <f>IFERROR(INDEX(Diccionario!$H:$H,MATCH(F581,Diccionario!$C:$C,0)),"")</f>
        <v/>
      </c>
      <c r="N569">
        <f>IFERROR(INDEX(Diccionario!$N:$N,MATCH(F581,Diccionario!$C:$C,0)),"")</f>
        <v/>
      </c>
    </row>
    <row r="570" ht="14.25" customHeight="1" s="52">
      <c r="A570" t="inlineStr">
        <is>
          <t>2026-03</t>
        </is>
      </c>
      <c r="B570" t="inlineStr">
        <is>
          <t>Colombia</t>
        </is>
      </c>
      <c r="C570" t="inlineStr">
        <is>
          <t>Coco Colombia</t>
        </is>
      </c>
      <c r="D570" t="inlineStr">
        <is>
          <t>COP</t>
        </is>
      </c>
      <c r="E570" t="inlineStr">
        <is>
          <t>Real</t>
        </is>
      </c>
      <c r="F570" t="inlineStr">
        <is>
          <t>costo_proveedor</t>
        </is>
      </c>
      <c r="H570" t="inlineStr">
        <is>
          <t>IVA</t>
        </is>
      </c>
      <c r="I570" t="n">
        <v>0</v>
      </c>
      <c r="J570" t="inlineStr">
        <is>
          <t>COP</t>
        </is>
      </c>
      <c r="L570">
        <f>IFERROR(INDEX(Diccionario!$B:$B,MATCH(F582,Diccionario!$C:$C,0)),"")</f>
        <v/>
      </c>
      <c r="M570">
        <f>IFERROR(INDEX(Diccionario!$H:$H,MATCH(F582,Diccionario!$C:$C,0)),"")</f>
        <v/>
      </c>
      <c r="N570">
        <f>IFERROR(INDEX(Diccionario!$N:$N,MATCH(F582,Diccionario!$C:$C,0)),"")</f>
        <v/>
      </c>
    </row>
    <row r="571" ht="14.25" customHeight="1" s="52">
      <c r="A571" t="inlineStr">
        <is>
          <t>2026-03</t>
        </is>
      </c>
      <c r="B571" t="inlineStr">
        <is>
          <t>Colombia</t>
        </is>
      </c>
      <c r="C571" t="inlineStr">
        <is>
          <t>Coco Colombia</t>
        </is>
      </c>
      <c r="D571" t="inlineStr">
        <is>
          <t>COP</t>
        </is>
      </c>
      <c r="E571" t="inlineStr">
        <is>
          <t>Real</t>
        </is>
      </c>
      <c r="F571" t="inlineStr">
        <is>
          <t>costo_proveedor</t>
        </is>
      </c>
      <c r="H571" t="inlineStr">
        <is>
          <t>AWS</t>
        </is>
      </c>
      <c r="I571" t="n">
        <v>27400000</v>
      </c>
      <c r="J571" t="inlineStr">
        <is>
          <t>COP</t>
        </is>
      </c>
      <c r="L571">
        <f>IFERROR(INDEX(Diccionario!$B:$B,MATCH(F583,Diccionario!$C:$C,0)),"")</f>
        <v/>
      </c>
      <c r="M571">
        <f>IFERROR(INDEX(Diccionario!$H:$H,MATCH(F583,Diccionario!$C:$C,0)),"")</f>
        <v/>
      </c>
      <c r="N571">
        <f>IFERROR(INDEX(Diccionario!$N:$N,MATCH(F583,Diccionario!$C:$C,0)),"")</f>
        <v/>
      </c>
    </row>
    <row r="572" ht="14.25" customHeight="1" s="52">
      <c r="A572" t="inlineStr">
        <is>
          <t>2026-03</t>
        </is>
      </c>
      <c r="B572" t="inlineStr">
        <is>
          <t>Colombia</t>
        </is>
      </c>
      <c r="C572" t="inlineStr">
        <is>
          <t>Coco Colombia</t>
        </is>
      </c>
      <c r="D572" t="inlineStr">
        <is>
          <t>COP</t>
        </is>
      </c>
      <c r="E572" t="inlineStr">
        <is>
          <t>Real</t>
        </is>
      </c>
      <c r="F572" t="inlineStr">
        <is>
          <t>costo_proveedor</t>
        </is>
      </c>
      <c r="H572" t="inlineStr">
        <is>
          <t>B2Chat</t>
        </is>
      </c>
      <c r="I572" t="n">
        <v>21100000</v>
      </c>
      <c r="J572" t="inlineStr">
        <is>
          <t>COP</t>
        </is>
      </c>
      <c r="L572">
        <f>IFERROR(INDEX(Diccionario!$B:$B,MATCH(F584,Diccionario!$C:$C,0)),"")</f>
        <v/>
      </c>
      <c r="M572">
        <f>IFERROR(INDEX(Diccionario!$H:$H,MATCH(F584,Diccionario!$C:$C,0)),"")</f>
        <v/>
      </c>
      <c r="N572">
        <f>IFERROR(INDEX(Diccionario!$N:$N,MATCH(F584,Diccionario!$C:$C,0)),"")</f>
        <v/>
      </c>
    </row>
    <row r="573" ht="14.25" customHeight="1" s="52">
      <c r="A573" t="inlineStr">
        <is>
          <t>2026-03</t>
        </is>
      </c>
      <c r="B573" t="inlineStr">
        <is>
          <t>Colombia</t>
        </is>
      </c>
      <c r="C573" t="inlineStr">
        <is>
          <t>Coco Colombia</t>
        </is>
      </c>
      <c r="D573" t="inlineStr">
        <is>
          <t>COP</t>
        </is>
      </c>
      <c r="E573" t="inlineStr">
        <is>
          <t>Real</t>
        </is>
      </c>
      <c r="F573" t="inlineStr">
        <is>
          <t>costo_proveedor</t>
        </is>
      </c>
      <c r="H573" t="inlineStr">
        <is>
          <t>Otros</t>
        </is>
      </c>
      <c r="I573" t="n">
        <v>6000000</v>
      </c>
      <c r="J573" t="inlineStr">
        <is>
          <t>COP</t>
        </is>
      </c>
      <c r="L573">
        <f>IFERROR(INDEX(Diccionario!$B:$B,MATCH(F585,Diccionario!$C:$C,0)),"")</f>
        <v/>
      </c>
      <c r="M573">
        <f>IFERROR(INDEX(Diccionario!$H:$H,MATCH(F585,Diccionario!$C:$C,0)),"")</f>
        <v/>
      </c>
      <c r="N573">
        <f>IFERROR(INDEX(Diccionario!$N:$N,MATCH(F585,Diccionario!$C:$C,0)),"")</f>
        <v/>
      </c>
    </row>
    <row r="574" ht="14.25" customHeight="1" s="52">
      <c r="A574" t="inlineStr">
        <is>
          <t>2026-04</t>
        </is>
      </c>
      <c r="B574" t="inlineStr">
        <is>
          <t>Colombia</t>
        </is>
      </c>
      <c r="C574" t="inlineStr">
        <is>
          <t>Coco Colombia</t>
        </is>
      </c>
      <c r="D574" t="inlineStr">
        <is>
          <t>COP</t>
        </is>
      </c>
      <c r="E574" t="inlineStr">
        <is>
          <t>Real</t>
        </is>
      </c>
      <c r="F574" t="inlineStr">
        <is>
          <t>costo_proveedor</t>
        </is>
      </c>
      <c r="H574" t="inlineStr">
        <is>
          <t>Infobip</t>
        </is>
      </c>
      <c r="I574" t="n">
        <v>111800000</v>
      </c>
      <c r="J574" t="inlineStr">
        <is>
          <t>COP</t>
        </is>
      </c>
      <c r="L574">
        <f>IFERROR(INDEX(Diccionario!$B:$B,MATCH(F586,Diccionario!$C:$C,0)),"")</f>
        <v/>
      </c>
      <c r="M574">
        <f>IFERROR(INDEX(Diccionario!$H:$H,MATCH(F586,Diccionario!$C:$C,0)),"")</f>
        <v/>
      </c>
      <c r="N574">
        <f>IFERROR(INDEX(Diccionario!$N:$N,MATCH(F586,Diccionario!$C:$C,0)),"")</f>
        <v/>
      </c>
    </row>
    <row r="575" ht="14.25" customHeight="1" s="52">
      <c r="A575" t="inlineStr">
        <is>
          <t>2026-04</t>
        </is>
      </c>
      <c r="B575" t="inlineStr">
        <is>
          <t>Colombia</t>
        </is>
      </c>
      <c r="C575" t="inlineStr">
        <is>
          <t>Coco Colombia</t>
        </is>
      </c>
      <c r="D575" t="inlineStr">
        <is>
          <t>COP</t>
        </is>
      </c>
      <c r="E575" t="inlineStr">
        <is>
          <t>Real</t>
        </is>
      </c>
      <c r="F575" t="inlineStr">
        <is>
          <t>costo_proveedor</t>
        </is>
      </c>
      <c r="H575" t="inlineStr">
        <is>
          <t>IVA</t>
        </is>
      </c>
      <c r="I575" t="n">
        <v>0</v>
      </c>
      <c r="J575" t="inlineStr">
        <is>
          <t>COP</t>
        </is>
      </c>
      <c r="L575">
        <f>IFERROR(INDEX(Diccionario!$B:$B,MATCH(F587,Diccionario!$C:$C,0)),"")</f>
        <v/>
      </c>
      <c r="M575">
        <f>IFERROR(INDEX(Diccionario!$H:$H,MATCH(F587,Diccionario!$C:$C,0)),"")</f>
        <v/>
      </c>
      <c r="N575">
        <f>IFERROR(INDEX(Diccionario!$N:$N,MATCH(F587,Diccionario!$C:$C,0)),"")</f>
        <v/>
      </c>
    </row>
    <row r="576" ht="14.25" customHeight="1" s="52">
      <c r="A576" t="inlineStr">
        <is>
          <t>2026-04</t>
        </is>
      </c>
      <c r="B576" t="inlineStr">
        <is>
          <t>Colombia</t>
        </is>
      </c>
      <c r="C576" t="inlineStr">
        <is>
          <t>Coco Colombia</t>
        </is>
      </c>
      <c r="D576" t="inlineStr">
        <is>
          <t>COP</t>
        </is>
      </c>
      <c r="E576" t="inlineStr">
        <is>
          <t>Real</t>
        </is>
      </c>
      <c r="F576" t="inlineStr">
        <is>
          <t>costo_proveedor</t>
        </is>
      </c>
      <c r="H576" t="inlineStr">
        <is>
          <t>AWS</t>
        </is>
      </c>
      <c r="I576" t="n">
        <v>32100000</v>
      </c>
      <c r="J576" t="inlineStr">
        <is>
          <t>COP</t>
        </is>
      </c>
      <c r="L576">
        <f>IFERROR(INDEX(Diccionario!$B:$B,MATCH(F588,Diccionario!$C:$C,0)),"")</f>
        <v/>
      </c>
      <c r="M576">
        <f>IFERROR(INDEX(Diccionario!$H:$H,MATCH(F588,Diccionario!$C:$C,0)),"")</f>
        <v/>
      </c>
      <c r="N576">
        <f>IFERROR(INDEX(Diccionario!$N:$N,MATCH(F588,Diccionario!$C:$C,0)),"")</f>
        <v/>
      </c>
    </row>
    <row r="577" ht="14.25" customHeight="1" s="52">
      <c r="A577" t="inlineStr">
        <is>
          <t>2026-04</t>
        </is>
      </c>
      <c r="B577" t="inlineStr">
        <is>
          <t>Colombia</t>
        </is>
      </c>
      <c r="C577" t="inlineStr">
        <is>
          <t>Coco Colombia</t>
        </is>
      </c>
      <c r="D577" t="inlineStr">
        <is>
          <t>COP</t>
        </is>
      </c>
      <c r="E577" t="inlineStr">
        <is>
          <t>Real</t>
        </is>
      </c>
      <c r="F577" t="inlineStr">
        <is>
          <t>costo_proveedor</t>
        </is>
      </c>
      <c r="H577" t="inlineStr">
        <is>
          <t>B2Chat</t>
        </is>
      </c>
      <c r="I577" t="n">
        <v>21000000</v>
      </c>
      <c r="J577" t="inlineStr">
        <is>
          <t>COP</t>
        </is>
      </c>
      <c r="L577">
        <f>IFERROR(INDEX(Diccionario!$B:$B,MATCH(F589,Diccionario!$C:$C,0)),"")</f>
        <v/>
      </c>
      <c r="M577">
        <f>IFERROR(INDEX(Diccionario!$H:$H,MATCH(F589,Diccionario!$C:$C,0)),"")</f>
        <v/>
      </c>
      <c r="N577">
        <f>IFERROR(INDEX(Diccionario!$N:$N,MATCH(F589,Diccionario!$C:$C,0)),"")</f>
        <v/>
      </c>
    </row>
    <row r="578" ht="14.25" customHeight="1" s="52">
      <c r="A578" t="inlineStr">
        <is>
          <t>2026-04</t>
        </is>
      </c>
      <c r="B578" t="inlineStr">
        <is>
          <t>Colombia</t>
        </is>
      </c>
      <c r="C578" t="inlineStr">
        <is>
          <t>Coco Colombia</t>
        </is>
      </c>
      <c r="D578" t="inlineStr">
        <is>
          <t>COP</t>
        </is>
      </c>
      <c r="E578" t="inlineStr">
        <is>
          <t>Real</t>
        </is>
      </c>
      <c r="F578" t="inlineStr">
        <is>
          <t>costo_proveedor</t>
        </is>
      </c>
      <c r="H578" t="inlineStr">
        <is>
          <t>Otros</t>
        </is>
      </c>
      <c r="I578" t="n">
        <v>29000000</v>
      </c>
      <c r="J578" t="inlineStr">
        <is>
          <t>COP</t>
        </is>
      </c>
      <c r="L578">
        <f>IFERROR(INDEX(Diccionario!$B:$B,MATCH(F590,Diccionario!$C:$C,0)),"")</f>
        <v/>
      </c>
      <c r="M578">
        <f>IFERROR(INDEX(Diccionario!$H:$H,MATCH(F590,Diccionario!$C:$C,0)),"")</f>
        <v/>
      </c>
      <c r="N578">
        <f>IFERROR(INDEX(Diccionario!$N:$N,MATCH(F590,Diccionario!$C:$C,0)),"")</f>
        <v/>
      </c>
    </row>
    <row r="579" ht="14.25" customHeight="1" s="52">
      <c r="A579" t="inlineStr">
        <is>
          <t>2026-05</t>
        </is>
      </c>
      <c r="B579" t="inlineStr">
        <is>
          <t>Colombia</t>
        </is>
      </c>
      <c r="C579" t="inlineStr">
        <is>
          <t>Coco Colombia</t>
        </is>
      </c>
      <c r="D579" t="inlineStr">
        <is>
          <t>COP</t>
        </is>
      </c>
      <c r="E579" t="inlineStr">
        <is>
          <t>Real</t>
        </is>
      </c>
      <c r="F579" t="inlineStr">
        <is>
          <t>costo_proveedor</t>
        </is>
      </c>
      <c r="H579" t="inlineStr">
        <is>
          <t>Infobip</t>
        </is>
      </c>
      <c r="I579" t="n">
        <v>112300000</v>
      </c>
      <c r="J579" t="inlineStr">
        <is>
          <t>COP</t>
        </is>
      </c>
      <c r="L579">
        <f>IFERROR(INDEX(Diccionario!$B:$B,MATCH(F591,Diccionario!$C:$C,0)),"")</f>
        <v/>
      </c>
      <c r="M579">
        <f>IFERROR(INDEX(Diccionario!$H:$H,MATCH(F591,Diccionario!$C:$C,0)),"")</f>
        <v/>
      </c>
      <c r="N579">
        <f>IFERROR(INDEX(Diccionario!$N:$N,MATCH(F591,Diccionario!$C:$C,0)),"")</f>
        <v/>
      </c>
    </row>
    <row r="580" ht="14.25" customHeight="1" s="52">
      <c r="A580" t="inlineStr">
        <is>
          <t>2026-05</t>
        </is>
      </c>
      <c r="B580" t="inlineStr">
        <is>
          <t>Colombia</t>
        </is>
      </c>
      <c r="C580" t="inlineStr">
        <is>
          <t>Coco Colombia</t>
        </is>
      </c>
      <c r="D580" t="inlineStr">
        <is>
          <t>COP</t>
        </is>
      </c>
      <c r="E580" t="inlineStr">
        <is>
          <t>Real</t>
        </is>
      </c>
      <c r="F580" t="inlineStr">
        <is>
          <t>costo_proveedor</t>
        </is>
      </c>
      <c r="H580" t="inlineStr">
        <is>
          <t>IVA</t>
        </is>
      </c>
      <c r="I580" t="n">
        <v>0</v>
      </c>
      <c r="J580" t="inlineStr">
        <is>
          <t>COP</t>
        </is>
      </c>
      <c r="L580">
        <f>IFERROR(INDEX(Diccionario!$B:$B,MATCH(F592,Diccionario!$C:$C,0)),"")</f>
        <v/>
      </c>
      <c r="M580">
        <f>IFERROR(INDEX(Diccionario!$H:$H,MATCH(F592,Diccionario!$C:$C,0)),"")</f>
        <v/>
      </c>
      <c r="N580">
        <f>IFERROR(INDEX(Diccionario!$N:$N,MATCH(F592,Diccionario!$C:$C,0)),"")</f>
        <v/>
      </c>
    </row>
    <row r="581" ht="14.25" customHeight="1" s="52">
      <c r="A581" t="inlineStr">
        <is>
          <t>2026-05</t>
        </is>
      </c>
      <c r="B581" t="inlineStr">
        <is>
          <t>Colombia</t>
        </is>
      </c>
      <c r="C581" t="inlineStr">
        <is>
          <t>Coco Colombia</t>
        </is>
      </c>
      <c r="D581" t="inlineStr">
        <is>
          <t>COP</t>
        </is>
      </c>
      <c r="E581" t="inlineStr">
        <is>
          <t>Real</t>
        </is>
      </c>
      <c r="F581" t="inlineStr">
        <is>
          <t>costo_proveedor</t>
        </is>
      </c>
      <c r="H581" t="inlineStr">
        <is>
          <t>AWS</t>
        </is>
      </c>
      <c r="I581" t="n">
        <v>34300000</v>
      </c>
      <c r="J581" t="inlineStr">
        <is>
          <t>COP</t>
        </is>
      </c>
      <c r="L581">
        <f>IFERROR(INDEX(Diccionario!$B:$B,MATCH(F593,Diccionario!$C:$C,0)),"")</f>
        <v/>
      </c>
      <c r="M581">
        <f>IFERROR(INDEX(Diccionario!$H:$H,MATCH(F593,Diccionario!$C:$C,0)),"")</f>
        <v/>
      </c>
      <c r="N581">
        <f>IFERROR(INDEX(Diccionario!$N:$N,MATCH(F593,Diccionario!$C:$C,0)),"")</f>
        <v/>
      </c>
    </row>
    <row r="582" ht="14.25" customHeight="1" s="52">
      <c r="A582" t="inlineStr">
        <is>
          <t>2026-05</t>
        </is>
      </c>
      <c r="B582" t="inlineStr">
        <is>
          <t>Colombia</t>
        </is>
      </c>
      <c r="C582" t="inlineStr">
        <is>
          <t>Coco Colombia</t>
        </is>
      </c>
      <c r="D582" t="inlineStr">
        <is>
          <t>COP</t>
        </is>
      </c>
      <c r="E582" t="inlineStr">
        <is>
          <t>Real</t>
        </is>
      </c>
      <c r="F582" t="inlineStr">
        <is>
          <t>costo_proveedor</t>
        </is>
      </c>
      <c r="H582" t="inlineStr">
        <is>
          <t>B2Chat</t>
        </is>
      </c>
      <c r="I582" t="n">
        <v>21500000</v>
      </c>
      <c r="J582" t="inlineStr">
        <is>
          <t>COP</t>
        </is>
      </c>
      <c r="L582">
        <f>IFERROR(INDEX(Diccionario!$B:$B,MATCH(F594,Diccionario!$C:$C,0)),"")</f>
        <v/>
      </c>
      <c r="M582">
        <f>IFERROR(INDEX(Diccionario!$H:$H,MATCH(F594,Diccionario!$C:$C,0)),"")</f>
        <v/>
      </c>
      <c r="N582">
        <f>IFERROR(INDEX(Diccionario!$N:$N,MATCH(F594,Diccionario!$C:$C,0)),"")</f>
        <v/>
      </c>
    </row>
    <row r="583" ht="14.25" customHeight="1" s="52">
      <c r="A583" t="inlineStr">
        <is>
          <t>2026-05</t>
        </is>
      </c>
      <c r="B583" t="inlineStr">
        <is>
          <t>Colombia</t>
        </is>
      </c>
      <c r="C583" t="inlineStr">
        <is>
          <t>Coco Colombia</t>
        </is>
      </c>
      <c r="D583" t="inlineStr">
        <is>
          <t>COP</t>
        </is>
      </c>
      <c r="E583" t="inlineStr">
        <is>
          <t>Real</t>
        </is>
      </c>
      <c r="F583" t="inlineStr">
        <is>
          <t>costo_proveedor</t>
        </is>
      </c>
      <c r="H583" t="inlineStr">
        <is>
          <t>Otros</t>
        </is>
      </c>
      <c r="I583" t="n">
        <v>18300000</v>
      </c>
      <c r="J583" t="inlineStr">
        <is>
          <t>COP</t>
        </is>
      </c>
      <c r="L583">
        <f>IFERROR(INDEX(Diccionario!$B:$B,MATCH(F595,Diccionario!$C:$C,0)),"")</f>
        <v/>
      </c>
      <c r="M583">
        <f>IFERROR(INDEX(Diccionario!$H:$H,MATCH(F595,Diccionario!$C:$C,0)),"")</f>
        <v/>
      </c>
      <c r="N583">
        <f>IFERROR(INDEX(Diccionario!$N:$N,MATCH(F595,Diccionario!$C:$C,0)),"")</f>
        <v/>
      </c>
    </row>
    <row r="584" ht="14.25" customHeight="1" s="52">
      <c r="A584" t="inlineStr">
        <is>
          <t>2024-01</t>
        </is>
      </c>
      <c r="B584" t="inlineStr">
        <is>
          <t>Colombia</t>
        </is>
      </c>
      <c r="C584" t="inlineStr">
        <is>
          <t>Coco Colombia</t>
        </is>
      </c>
      <c r="D584" t="inlineStr">
        <is>
          <t>COP</t>
        </is>
      </c>
      <c r="E584" t="inlineStr">
        <is>
          <t>Real</t>
        </is>
      </c>
      <c r="F584" t="inlineStr">
        <is>
          <t>costo_operacion</t>
        </is>
      </c>
      <c r="H584" t="inlineStr">
        <is>
          <t>Personal</t>
        </is>
      </c>
      <c r="I584" t="n">
        <v>44000000</v>
      </c>
      <c r="J584" t="inlineStr">
        <is>
          <t>COP</t>
        </is>
      </c>
      <c r="L584">
        <f>IFERROR(INDEX(Diccionario!$B:$B,MATCH(F596,Diccionario!$C:$C,0)),"")</f>
        <v/>
      </c>
      <c r="M584">
        <f>IFERROR(INDEX(Diccionario!$H:$H,MATCH(F596,Diccionario!$C:$C,0)),"")</f>
        <v/>
      </c>
      <c r="N584">
        <f>IFERROR(INDEX(Diccionario!$N:$N,MATCH(F596,Diccionario!$C:$C,0)),"")</f>
        <v/>
      </c>
    </row>
    <row r="585" ht="14.25" customHeight="1" s="52">
      <c r="A585" t="inlineStr">
        <is>
          <t>2024-01</t>
        </is>
      </c>
      <c r="B585" t="inlineStr">
        <is>
          <t>Colombia</t>
        </is>
      </c>
      <c r="C585" t="inlineStr">
        <is>
          <t>Coco Colombia</t>
        </is>
      </c>
      <c r="D585" t="inlineStr">
        <is>
          <t>COP</t>
        </is>
      </c>
      <c r="E585" t="inlineStr">
        <is>
          <t>Real</t>
        </is>
      </c>
      <c r="F585" t="inlineStr">
        <is>
          <t>costo_operacion</t>
        </is>
      </c>
      <c r="H585" t="inlineStr">
        <is>
          <t>Honorario</t>
        </is>
      </c>
      <c r="I585" t="n">
        <v>7000000</v>
      </c>
      <c r="J585" t="inlineStr">
        <is>
          <t>COP</t>
        </is>
      </c>
      <c r="L585">
        <f>IFERROR(INDEX(Diccionario!$B:$B,MATCH(F597,Diccionario!$C:$C,0)),"")</f>
        <v/>
      </c>
      <c r="M585">
        <f>IFERROR(INDEX(Diccionario!$H:$H,MATCH(F597,Diccionario!$C:$C,0)),"")</f>
        <v/>
      </c>
      <c r="N585">
        <f>IFERROR(INDEX(Diccionario!$N:$N,MATCH(F597,Diccionario!$C:$C,0)),"")</f>
        <v/>
      </c>
    </row>
    <row r="586" ht="14.25" customHeight="1" s="52">
      <c r="A586" t="inlineStr">
        <is>
          <t>2024-01</t>
        </is>
      </c>
      <c r="B586" t="inlineStr">
        <is>
          <t>Colombia</t>
        </is>
      </c>
      <c r="C586" t="inlineStr">
        <is>
          <t>Coco Colombia</t>
        </is>
      </c>
      <c r="D586" t="inlineStr">
        <is>
          <t>COP</t>
        </is>
      </c>
      <c r="E586" t="inlineStr">
        <is>
          <t>Real</t>
        </is>
      </c>
      <c r="F586" t="inlineStr">
        <is>
          <t>costo_operacion</t>
        </is>
      </c>
      <c r="H586" t="inlineStr">
        <is>
          <t>Servicios</t>
        </is>
      </c>
      <c r="I586" t="n">
        <v>5000000</v>
      </c>
      <c r="J586" t="inlineStr">
        <is>
          <t>COP</t>
        </is>
      </c>
      <c r="L586">
        <f>IFERROR(INDEX(Diccionario!$B:$B,MATCH(F598,Diccionario!$C:$C,0)),"")</f>
        <v/>
      </c>
      <c r="M586">
        <f>IFERROR(INDEX(Diccionario!$H:$H,MATCH(F598,Diccionario!$C:$C,0)),"")</f>
        <v/>
      </c>
      <c r="N586">
        <f>IFERROR(INDEX(Diccionario!$N:$N,MATCH(F598,Diccionario!$C:$C,0)),"")</f>
        <v/>
      </c>
    </row>
    <row r="587" ht="14.25" customHeight="1" s="52">
      <c r="A587" t="inlineStr">
        <is>
          <t>2024-02</t>
        </is>
      </c>
      <c r="B587" t="inlineStr">
        <is>
          <t>Colombia</t>
        </is>
      </c>
      <c r="C587" t="inlineStr">
        <is>
          <t>Coco Colombia</t>
        </is>
      </c>
      <c r="D587" t="inlineStr">
        <is>
          <t>COP</t>
        </is>
      </c>
      <c r="E587" t="inlineStr">
        <is>
          <t>Real</t>
        </is>
      </c>
      <c r="F587" t="inlineStr">
        <is>
          <t>costo_operacion</t>
        </is>
      </c>
      <c r="H587" t="inlineStr">
        <is>
          <t>Personal</t>
        </is>
      </c>
      <c r="I587" t="n">
        <v>45000000</v>
      </c>
      <c r="J587" t="inlineStr">
        <is>
          <t>COP</t>
        </is>
      </c>
      <c r="L587">
        <f>IFERROR(INDEX(Diccionario!$B:$B,MATCH(F599,Diccionario!$C:$C,0)),"")</f>
        <v/>
      </c>
      <c r="M587">
        <f>IFERROR(INDEX(Diccionario!$H:$H,MATCH(F599,Diccionario!$C:$C,0)),"")</f>
        <v/>
      </c>
      <c r="N587">
        <f>IFERROR(INDEX(Diccionario!$N:$N,MATCH(F599,Diccionario!$C:$C,0)),"")</f>
        <v/>
      </c>
    </row>
    <row r="588" ht="14.25" customHeight="1" s="52">
      <c r="A588" t="inlineStr">
        <is>
          <t>2024-02</t>
        </is>
      </c>
      <c r="B588" t="inlineStr">
        <is>
          <t>Colombia</t>
        </is>
      </c>
      <c r="C588" t="inlineStr">
        <is>
          <t>Coco Colombia</t>
        </is>
      </c>
      <c r="D588" t="inlineStr">
        <is>
          <t>COP</t>
        </is>
      </c>
      <c r="E588" t="inlineStr">
        <is>
          <t>Real</t>
        </is>
      </c>
      <c r="F588" t="inlineStr">
        <is>
          <t>costo_operacion</t>
        </is>
      </c>
      <c r="H588" t="inlineStr">
        <is>
          <t>Honorario</t>
        </is>
      </c>
      <c r="I588" t="n">
        <v>0</v>
      </c>
      <c r="J588" t="inlineStr">
        <is>
          <t>COP</t>
        </is>
      </c>
      <c r="L588">
        <f>IFERROR(INDEX(Diccionario!$B:$B,MATCH(F600,Diccionario!$C:$C,0)),"")</f>
        <v/>
      </c>
      <c r="M588">
        <f>IFERROR(INDEX(Diccionario!$H:$H,MATCH(F600,Diccionario!$C:$C,0)),"")</f>
        <v/>
      </c>
      <c r="N588">
        <f>IFERROR(INDEX(Diccionario!$N:$N,MATCH(F600,Diccionario!$C:$C,0)),"")</f>
        <v/>
      </c>
    </row>
    <row r="589" ht="14.25" customHeight="1" s="52">
      <c r="A589" t="inlineStr">
        <is>
          <t>2024-02</t>
        </is>
      </c>
      <c r="B589" t="inlineStr">
        <is>
          <t>Colombia</t>
        </is>
      </c>
      <c r="C589" t="inlineStr">
        <is>
          <t>Coco Colombia</t>
        </is>
      </c>
      <c r="D589" t="inlineStr">
        <is>
          <t>COP</t>
        </is>
      </c>
      <c r="E589" t="inlineStr">
        <is>
          <t>Real</t>
        </is>
      </c>
      <c r="F589" t="inlineStr">
        <is>
          <t>costo_operacion</t>
        </is>
      </c>
      <c r="H589" t="inlineStr">
        <is>
          <t>Servicios</t>
        </is>
      </c>
      <c r="I589" t="n">
        <v>6000000</v>
      </c>
      <c r="J589" t="inlineStr">
        <is>
          <t>COP</t>
        </is>
      </c>
      <c r="L589">
        <f>IFERROR(INDEX(Diccionario!$B:$B,MATCH(F601,Diccionario!$C:$C,0)),"")</f>
        <v/>
      </c>
      <c r="M589">
        <f>IFERROR(INDEX(Diccionario!$H:$H,MATCH(F601,Diccionario!$C:$C,0)),"")</f>
        <v/>
      </c>
      <c r="N589">
        <f>IFERROR(INDEX(Diccionario!$N:$N,MATCH(F601,Diccionario!$C:$C,0)),"")</f>
        <v/>
      </c>
    </row>
    <row r="590" ht="14.25" customHeight="1" s="52">
      <c r="A590" t="inlineStr">
        <is>
          <t>2024-03</t>
        </is>
      </c>
      <c r="B590" t="inlineStr">
        <is>
          <t>Colombia</t>
        </is>
      </c>
      <c r="C590" t="inlineStr">
        <is>
          <t>Coco Colombia</t>
        </is>
      </c>
      <c r="D590" t="inlineStr">
        <is>
          <t>COP</t>
        </is>
      </c>
      <c r="E590" t="inlineStr">
        <is>
          <t>Real</t>
        </is>
      </c>
      <c r="F590" t="inlineStr">
        <is>
          <t>costo_operacion</t>
        </is>
      </c>
      <c r="H590" t="inlineStr">
        <is>
          <t>Personal</t>
        </is>
      </c>
      <c r="I590" t="n">
        <v>54000000</v>
      </c>
      <c r="J590" t="inlineStr">
        <is>
          <t>COP</t>
        </is>
      </c>
      <c r="L590">
        <f>IFERROR(INDEX(Diccionario!$B:$B,MATCH(F602,Diccionario!$C:$C,0)),"")</f>
        <v/>
      </c>
      <c r="M590">
        <f>IFERROR(INDEX(Diccionario!$H:$H,MATCH(F602,Diccionario!$C:$C,0)),"")</f>
        <v/>
      </c>
      <c r="N590">
        <f>IFERROR(INDEX(Diccionario!$N:$N,MATCH(F602,Diccionario!$C:$C,0)),"")</f>
        <v/>
      </c>
    </row>
    <row r="591" ht="14.25" customHeight="1" s="52">
      <c r="A591" t="inlineStr">
        <is>
          <t>2024-03</t>
        </is>
      </c>
      <c r="B591" t="inlineStr">
        <is>
          <t>Colombia</t>
        </is>
      </c>
      <c r="C591" t="inlineStr">
        <is>
          <t>Coco Colombia</t>
        </is>
      </c>
      <c r="D591" t="inlineStr">
        <is>
          <t>COP</t>
        </is>
      </c>
      <c r="E591" t="inlineStr">
        <is>
          <t>Real</t>
        </is>
      </c>
      <c r="F591" t="inlineStr">
        <is>
          <t>costo_operacion</t>
        </is>
      </c>
      <c r="H591" t="inlineStr">
        <is>
          <t>Honorario</t>
        </is>
      </c>
      <c r="I591" t="n">
        <v>1000000</v>
      </c>
      <c r="J591" t="inlineStr">
        <is>
          <t>COP</t>
        </is>
      </c>
      <c r="L591">
        <f>IFERROR(INDEX(Diccionario!$B:$B,MATCH(F603,Diccionario!$C:$C,0)),"")</f>
        <v/>
      </c>
      <c r="M591">
        <f>IFERROR(INDEX(Diccionario!$H:$H,MATCH(F603,Diccionario!$C:$C,0)),"")</f>
        <v/>
      </c>
      <c r="N591">
        <f>IFERROR(INDEX(Diccionario!$N:$N,MATCH(F603,Diccionario!$C:$C,0)),"")</f>
        <v/>
      </c>
    </row>
    <row r="592" ht="14.25" customHeight="1" s="52">
      <c r="A592" t="inlineStr">
        <is>
          <t>2024-03</t>
        </is>
      </c>
      <c r="B592" t="inlineStr">
        <is>
          <t>Colombia</t>
        </is>
      </c>
      <c r="C592" t="inlineStr">
        <is>
          <t>Coco Colombia</t>
        </is>
      </c>
      <c r="D592" t="inlineStr">
        <is>
          <t>COP</t>
        </is>
      </c>
      <c r="E592" t="inlineStr">
        <is>
          <t>Real</t>
        </is>
      </c>
      <c r="F592" t="inlineStr">
        <is>
          <t>costo_operacion</t>
        </is>
      </c>
      <c r="H592" t="inlineStr">
        <is>
          <t>Servicios</t>
        </is>
      </c>
      <c r="I592" t="n">
        <v>4000000</v>
      </c>
      <c r="J592" t="inlineStr">
        <is>
          <t>COP</t>
        </is>
      </c>
      <c r="L592">
        <f>IFERROR(INDEX(Diccionario!$B:$B,MATCH(F604,Diccionario!$C:$C,0)),"")</f>
        <v/>
      </c>
      <c r="M592">
        <f>IFERROR(INDEX(Diccionario!$H:$H,MATCH(F604,Diccionario!$C:$C,0)),"")</f>
        <v/>
      </c>
      <c r="N592">
        <f>IFERROR(INDEX(Diccionario!$N:$N,MATCH(F604,Diccionario!$C:$C,0)),"")</f>
        <v/>
      </c>
    </row>
    <row r="593" ht="14.25" customHeight="1" s="52">
      <c r="A593" t="inlineStr">
        <is>
          <t>2024-04</t>
        </is>
      </c>
      <c r="B593" t="inlineStr">
        <is>
          <t>Colombia</t>
        </is>
      </c>
      <c r="C593" t="inlineStr">
        <is>
          <t>Coco Colombia</t>
        </is>
      </c>
      <c r="D593" t="inlineStr">
        <is>
          <t>COP</t>
        </is>
      </c>
      <c r="E593" t="inlineStr">
        <is>
          <t>Real</t>
        </is>
      </c>
      <c r="F593" t="inlineStr">
        <is>
          <t>costo_operacion</t>
        </is>
      </c>
      <c r="H593" t="inlineStr">
        <is>
          <t>Personal</t>
        </is>
      </c>
      <c r="I593" t="n">
        <v>46000000</v>
      </c>
      <c r="J593" t="inlineStr">
        <is>
          <t>COP</t>
        </is>
      </c>
      <c r="L593">
        <f>IFERROR(INDEX(Diccionario!$B:$B,MATCH(F605,Diccionario!$C:$C,0)),"")</f>
        <v/>
      </c>
      <c r="M593">
        <f>IFERROR(INDEX(Diccionario!$H:$H,MATCH(F605,Diccionario!$C:$C,0)),"")</f>
        <v/>
      </c>
      <c r="N593">
        <f>IFERROR(INDEX(Diccionario!$N:$N,MATCH(F605,Diccionario!$C:$C,0)),"")</f>
        <v/>
      </c>
    </row>
    <row r="594" ht="14.25" customHeight="1" s="52">
      <c r="A594" t="inlineStr">
        <is>
          <t>2024-04</t>
        </is>
      </c>
      <c r="B594" t="inlineStr">
        <is>
          <t>Colombia</t>
        </is>
      </c>
      <c r="C594" t="inlineStr">
        <is>
          <t>Coco Colombia</t>
        </is>
      </c>
      <c r="D594" t="inlineStr">
        <is>
          <t>COP</t>
        </is>
      </c>
      <c r="E594" t="inlineStr">
        <is>
          <t>Real</t>
        </is>
      </c>
      <c r="F594" t="inlineStr">
        <is>
          <t>costo_operacion</t>
        </is>
      </c>
      <c r="H594" t="inlineStr">
        <is>
          <t>Honorario</t>
        </is>
      </c>
      <c r="I594" t="n">
        <v>1000000</v>
      </c>
      <c r="J594" t="inlineStr">
        <is>
          <t>COP</t>
        </is>
      </c>
      <c r="L594">
        <f>IFERROR(INDEX(Diccionario!$B:$B,MATCH(F606,Diccionario!$C:$C,0)),"")</f>
        <v/>
      </c>
      <c r="M594">
        <f>IFERROR(INDEX(Diccionario!$H:$H,MATCH(F606,Diccionario!$C:$C,0)),"")</f>
        <v/>
      </c>
      <c r="N594">
        <f>IFERROR(INDEX(Diccionario!$N:$N,MATCH(F606,Diccionario!$C:$C,0)),"")</f>
        <v/>
      </c>
    </row>
    <row r="595" ht="14.25" customHeight="1" s="52">
      <c r="A595" t="inlineStr">
        <is>
          <t>2024-04</t>
        </is>
      </c>
      <c r="B595" t="inlineStr">
        <is>
          <t>Colombia</t>
        </is>
      </c>
      <c r="C595" t="inlineStr">
        <is>
          <t>Coco Colombia</t>
        </is>
      </c>
      <c r="D595" t="inlineStr">
        <is>
          <t>COP</t>
        </is>
      </c>
      <c r="E595" t="inlineStr">
        <is>
          <t>Real</t>
        </is>
      </c>
      <c r="F595" t="inlineStr">
        <is>
          <t>costo_operacion</t>
        </is>
      </c>
      <c r="H595" t="inlineStr">
        <is>
          <t>Servicios</t>
        </is>
      </c>
      <c r="I595" t="n">
        <v>3000000</v>
      </c>
      <c r="J595" t="inlineStr">
        <is>
          <t>COP</t>
        </is>
      </c>
      <c r="L595">
        <f>IFERROR(INDEX(Diccionario!$B:$B,MATCH(F607,Diccionario!$C:$C,0)),"")</f>
        <v/>
      </c>
      <c r="M595">
        <f>IFERROR(INDEX(Diccionario!$H:$H,MATCH(F607,Diccionario!$C:$C,0)),"")</f>
        <v/>
      </c>
      <c r="N595">
        <f>IFERROR(INDEX(Diccionario!$N:$N,MATCH(F607,Diccionario!$C:$C,0)),"")</f>
        <v/>
      </c>
    </row>
    <row r="596" ht="14.25" customHeight="1" s="52">
      <c r="A596" t="inlineStr">
        <is>
          <t>2024-05</t>
        </is>
      </c>
      <c r="B596" t="inlineStr">
        <is>
          <t>Colombia</t>
        </is>
      </c>
      <c r="C596" t="inlineStr">
        <is>
          <t>Coco Colombia</t>
        </is>
      </c>
      <c r="D596" t="inlineStr">
        <is>
          <t>COP</t>
        </is>
      </c>
      <c r="E596" t="inlineStr">
        <is>
          <t>Real</t>
        </is>
      </c>
      <c r="F596" t="inlineStr">
        <is>
          <t>costo_operacion</t>
        </is>
      </c>
      <c r="H596" t="inlineStr">
        <is>
          <t>Personal</t>
        </is>
      </c>
      <c r="I596" t="n">
        <v>47000000</v>
      </c>
      <c r="J596" t="inlineStr">
        <is>
          <t>COP</t>
        </is>
      </c>
      <c r="L596">
        <f>IFERROR(INDEX(Diccionario!$B:$B,MATCH(F608,Diccionario!$C:$C,0)),"")</f>
        <v/>
      </c>
      <c r="M596">
        <f>IFERROR(INDEX(Diccionario!$H:$H,MATCH(F608,Diccionario!$C:$C,0)),"")</f>
        <v/>
      </c>
      <c r="N596">
        <f>IFERROR(INDEX(Diccionario!$N:$N,MATCH(F608,Diccionario!$C:$C,0)),"")</f>
        <v/>
      </c>
    </row>
    <row r="597" ht="14.25" customHeight="1" s="52">
      <c r="A597" t="inlineStr">
        <is>
          <t>2024-05</t>
        </is>
      </c>
      <c r="B597" t="inlineStr">
        <is>
          <t>Colombia</t>
        </is>
      </c>
      <c r="C597" t="inlineStr">
        <is>
          <t>Coco Colombia</t>
        </is>
      </c>
      <c r="D597" t="inlineStr">
        <is>
          <t>COP</t>
        </is>
      </c>
      <c r="E597" t="inlineStr">
        <is>
          <t>Real</t>
        </is>
      </c>
      <c r="F597" t="inlineStr">
        <is>
          <t>costo_operacion</t>
        </is>
      </c>
      <c r="H597" t="inlineStr">
        <is>
          <t>Honorario</t>
        </is>
      </c>
      <c r="I597" t="n">
        <v>1000000</v>
      </c>
      <c r="J597" t="inlineStr">
        <is>
          <t>COP</t>
        </is>
      </c>
      <c r="L597">
        <f>IFERROR(INDEX(Diccionario!$B:$B,MATCH(F609,Diccionario!$C:$C,0)),"")</f>
        <v/>
      </c>
      <c r="M597">
        <f>IFERROR(INDEX(Diccionario!$H:$H,MATCH(F609,Diccionario!$C:$C,0)),"")</f>
        <v/>
      </c>
      <c r="N597">
        <f>IFERROR(INDEX(Diccionario!$N:$N,MATCH(F609,Diccionario!$C:$C,0)),"")</f>
        <v/>
      </c>
    </row>
    <row r="598" ht="14.25" customHeight="1" s="52">
      <c r="A598" t="inlineStr">
        <is>
          <t>2024-05</t>
        </is>
      </c>
      <c r="B598" t="inlineStr">
        <is>
          <t>Colombia</t>
        </is>
      </c>
      <c r="C598" t="inlineStr">
        <is>
          <t>Coco Colombia</t>
        </is>
      </c>
      <c r="D598" t="inlineStr">
        <is>
          <t>COP</t>
        </is>
      </c>
      <c r="E598" t="inlineStr">
        <is>
          <t>Real</t>
        </is>
      </c>
      <c r="F598" t="inlineStr">
        <is>
          <t>costo_operacion</t>
        </is>
      </c>
      <c r="H598" t="inlineStr">
        <is>
          <t>Servicios</t>
        </is>
      </c>
      <c r="I598" t="n">
        <v>7000000</v>
      </c>
      <c r="J598" t="inlineStr">
        <is>
          <t>COP</t>
        </is>
      </c>
      <c r="L598">
        <f>IFERROR(INDEX(Diccionario!$B:$B,MATCH(F610,Diccionario!$C:$C,0)),"")</f>
        <v/>
      </c>
      <c r="M598">
        <f>IFERROR(INDEX(Diccionario!$H:$H,MATCH(F610,Diccionario!$C:$C,0)),"")</f>
        <v/>
      </c>
      <c r="N598">
        <f>IFERROR(INDEX(Diccionario!$N:$N,MATCH(F610,Diccionario!$C:$C,0)),"")</f>
        <v/>
      </c>
    </row>
    <row r="599" ht="14.25" customHeight="1" s="52">
      <c r="A599" t="inlineStr">
        <is>
          <t>2024-06</t>
        </is>
      </c>
      <c r="B599" t="inlineStr">
        <is>
          <t>Colombia</t>
        </is>
      </c>
      <c r="C599" t="inlineStr">
        <is>
          <t>Coco Colombia</t>
        </is>
      </c>
      <c r="D599" t="inlineStr">
        <is>
          <t>COP</t>
        </is>
      </c>
      <c r="E599" t="inlineStr">
        <is>
          <t>Real</t>
        </is>
      </c>
      <c r="F599" t="inlineStr">
        <is>
          <t>costo_operacion</t>
        </is>
      </c>
      <c r="H599" t="inlineStr">
        <is>
          <t>Personal</t>
        </is>
      </c>
      <c r="I599" t="n">
        <v>47000000</v>
      </c>
      <c r="J599" t="inlineStr">
        <is>
          <t>COP</t>
        </is>
      </c>
      <c r="L599">
        <f>IFERROR(INDEX(Diccionario!$B:$B,MATCH(F611,Diccionario!$C:$C,0)),"")</f>
        <v/>
      </c>
      <c r="M599">
        <f>IFERROR(INDEX(Diccionario!$H:$H,MATCH(F611,Diccionario!$C:$C,0)),"")</f>
        <v/>
      </c>
      <c r="N599">
        <f>IFERROR(INDEX(Diccionario!$N:$N,MATCH(F611,Diccionario!$C:$C,0)),"")</f>
        <v/>
      </c>
    </row>
    <row r="600" ht="14.25" customHeight="1" s="52">
      <c r="A600" t="inlineStr">
        <is>
          <t>2024-06</t>
        </is>
      </c>
      <c r="B600" t="inlineStr">
        <is>
          <t>Colombia</t>
        </is>
      </c>
      <c r="C600" t="inlineStr">
        <is>
          <t>Coco Colombia</t>
        </is>
      </c>
      <c r="D600" t="inlineStr">
        <is>
          <t>COP</t>
        </is>
      </c>
      <c r="E600" t="inlineStr">
        <is>
          <t>Real</t>
        </is>
      </c>
      <c r="F600" t="inlineStr">
        <is>
          <t>costo_operacion</t>
        </is>
      </c>
      <c r="H600" t="inlineStr">
        <is>
          <t>Honorario</t>
        </is>
      </c>
      <c r="I600" t="n">
        <v>1000000</v>
      </c>
      <c r="J600" t="inlineStr">
        <is>
          <t>COP</t>
        </is>
      </c>
      <c r="L600">
        <f>IFERROR(INDEX(Diccionario!$B:$B,MATCH(F612,Diccionario!$C:$C,0)),"")</f>
        <v/>
      </c>
      <c r="M600">
        <f>IFERROR(INDEX(Diccionario!$H:$H,MATCH(F612,Diccionario!$C:$C,0)),"")</f>
        <v/>
      </c>
      <c r="N600">
        <f>IFERROR(INDEX(Diccionario!$N:$N,MATCH(F612,Diccionario!$C:$C,0)),"")</f>
        <v/>
      </c>
    </row>
    <row r="601" ht="14.25" customHeight="1" s="52">
      <c r="A601" t="inlineStr">
        <is>
          <t>2024-06</t>
        </is>
      </c>
      <c r="B601" t="inlineStr">
        <is>
          <t>Colombia</t>
        </is>
      </c>
      <c r="C601" t="inlineStr">
        <is>
          <t>Coco Colombia</t>
        </is>
      </c>
      <c r="D601" t="inlineStr">
        <is>
          <t>COP</t>
        </is>
      </c>
      <c r="E601" t="inlineStr">
        <is>
          <t>Real</t>
        </is>
      </c>
      <c r="F601" t="inlineStr">
        <is>
          <t>costo_operacion</t>
        </is>
      </c>
      <c r="H601" t="inlineStr">
        <is>
          <t>Servicios</t>
        </is>
      </c>
      <c r="I601" t="n">
        <v>5000000</v>
      </c>
      <c r="J601" t="inlineStr">
        <is>
          <t>COP</t>
        </is>
      </c>
      <c r="L601">
        <f>IFERROR(INDEX(Diccionario!$B:$B,MATCH(F613,Diccionario!$C:$C,0)),"")</f>
        <v/>
      </c>
      <c r="M601">
        <f>IFERROR(INDEX(Diccionario!$H:$H,MATCH(F613,Diccionario!$C:$C,0)),"")</f>
        <v/>
      </c>
      <c r="N601">
        <f>IFERROR(INDEX(Diccionario!$N:$N,MATCH(F613,Diccionario!$C:$C,0)),"")</f>
        <v/>
      </c>
    </row>
    <row r="602" ht="14.25" customHeight="1" s="52">
      <c r="A602" t="inlineStr">
        <is>
          <t>2024-07</t>
        </is>
      </c>
      <c r="B602" t="inlineStr">
        <is>
          <t>Colombia</t>
        </is>
      </c>
      <c r="C602" t="inlineStr">
        <is>
          <t>Coco Colombia</t>
        </is>
      </c>
      <c r="D602" t="inlineStr">
        <is>
          <t>COP</t>
        </is>
      </c>
      <c r="E602" t="inlineStr">
        <is>
          <t>Real</t>
        </is>
      </c>
      <c r="F602" t="inlineStr">
        <is>
          <t>costo_operacion</t>
        </is>
      </c>
      <c r="H602" t="inlineStr">
        <is>
          <t>Personal</t>
        </is>
      </c>
      <c r="I602" t="n">
        <v>61000000</v>
      </c>
      <c r="J602" t="inlineStr">
        <is>
          <t>COP</t>
        </is>
      </c>
      <c r="L602">
        <f>IFERROR(INDEX(Diccionario!$B:$B,MATCH(F614,Diccionario!$C:$C,0)),"")</f>
        <v/>
      </c>
      <c r="M602">
        <f>IFERROR(INDEX(Diccionario!$H:$H,MATCH(F614,Diccionario!$C:$C,0)),"")</f>
        <v/>
      </c>
      <c r="N602">
        <f>IFERROR(INDEX(Diccionario!$N:$N,MATCH(F614,Diccionario!$C:$C,0)),"")</f>
        <v/>
      </c>
    </row>
    <row r="603" ht="14.25" customHeight="1" s="52">
      <c r="A603" t="inlineStr">
        <is>
          <t>2024-07</t>
        </is>
      </c>
      <c r="B603" t="inlineStr">
        <is>
          <t>Colombia</t>
        </is>
      </c>
      <c r="C603" t="inlineStr">
        <is>
          <t>Coco Colombia</t>
        </is>
      </c>
      <c r="D603" t="inlineStr">
        <is>
          <t>COP</t>
        </is>
      </c>
      <c r="E603" t="inlineStr">
        <is>
          <t>Real</t>
        </is>
      </c>
      <c r="F603" t="inlineStr">
        <is>
          <t>costo_operacion</t>
        </is>
      </c>
      <c r="H603" t="inlineStr">
        <is>
          <t>Honorario</t>
        </is>
      </c>
      <c r="I603" t="n">
        <v>1000000</v>
      </c>
      <c r="J603" t="inlineStr">
        <is>
          <t>COP</t>
        </is>
      </c>
      <c r="L603">
        <f>IFERROR(INDEX(Diccionario!$B:$B,MATCH(F615,Diccionario!$C:$C,0)),"")</f>
        <v/>
      </c>
      <c r="M603">
        <f>IFERROR(INDEX(Diccionario!$H:$H,MATCH(F615,Diccionario!$C:$C,0)),"")</f>
        <v/>
      </c>
      <c r="N603">
        <f>IFERROR(INDEX(Diccionario!$N:$N,MATCH(F615,Diccionario!$C:$C,0)),"")</f>
        <v/>
      </c>
    </row>
    <row r="604" ht="14.25" customHeight="1" s="52">
      <c r="A604" t="inlineStr">
        <is>
          <t>2024-07</t>
        </is>
      </c>
      <c r="B604" t="inlineStr">
        <is>
          <t>Colombia</t>
        </is>
      </c>
      <c r="C604" t="inlineStr">
        <is>
          <t>Coco Colombia</t>
        </is>
      </c>
      <c r="D604" t="inlineStr">
        <is>
          <t>COP</t>
        </is>
      </c>
      <c r="E604" t="inlineStr">
        <is>
          <t>Real</t>
        </is>
      </c>
      <c r="F604" t="inlineStr">
        <is>
          <t>costo_operacion</t>
        </is>
      </c>
      <c r="H604" t="inlineStr">
        <is>
          <t>Servicios</t>
        </is>
      </c>
      <c r="I604" t="n">
        <v>5000000</v>
      </c>
      <c r="J604" t="inlineStr">
        <is>
          <t>COP</t>
        </is>
      </c>
      <c r="L604">
        <f>IFERROR(INDEX(Diccionario!$B:$B,MATCH(F616,Diccionario!$C:$C,0)),"")</f>
        <v/>
      </c>
      <c r="M604">
        <f>IFERROR(INDEX(Diccionario!$H:$H,MATCH(F616,Diccionario!$C:$C,0)),"")</f>
        <v/>
      </c>
      <c r="N604">
        <f>IFERROR(INDEX(Diccionario!$N:$N,MATCH(F616,Diccionario!$C:$C,0)),"")</f>
        <v/>
      </c>
    </row>
    <row r="605" ht="14.25" customHeight="1" s="52">
      <c r="A605" t="inlineStr">
        <is>
          <t>2024-08</t>
        </is>
      </c>
      <c r="B605" t="inlineStr">
        <is>
          <t>Colombia</t>
        </is>
      </c>
      <c r="C605" t="inlineStr">
        <is>
          <t>Coco Colombia</t>
        </is>
      </c>
      <c r="D605" t="inlineStr">
        <is>
          <t>COP</t>
        </is>
      </c>
      <c r="E605" t="inlineStr">
        <is>
          <t>Real</t>
        </is>
      </c>
      <c r="F605" t="inlineStr">
        <is>
          <t>costo_operacion</t>
        </is>
      </c>
      <c r="H605" t="inlineStr">
        <is>
          <t>Personal</t>
        </is>
      </c>
      <c r="I605" t="n">
        <v>57000000</v>
      </c>
      <c r="J605" t="inlineStr">
        <is>
          <t>COP</t>
        </is>
      </c>
      <c r="L605">
        <f>IFERROR(INDEX(Diccionario!$B:$B,MATCH(F617,Diccionario!$C:$C,0)),"")</f>
        <v/>
      </c>
      <c r="M605">
        <f>IFERROR(INDEX(Diccionario!$H:$H,MATCH(F617,Diccionario!$C:$C,0)),"")</f>
        <v/>
      </c>
      <c r="N605">
        <f>IFERROR(INDEX(Diccionario!$N:$N,MATCH(F617,Diccionario!$C:$C,0)),"")</f>
        <v/>
      </c>
    </row>
    <row r="606" ht="14.25" customHeight="1" s="52">
      <c r="A606" t="inlineStr">
        <is>
          <t>2024-08</t>
        </is>
      </c>
      <c r="B606" t="inlineStr">
        <is>
          <t>Colombia</t>
        </is>
      </c>
      <c r="C606" t="inlineStr">
        <is>
          <t>Coco Colombia</t>
        </is>
      </c>
      <c r="D606" t="inlineStr">
        <is>
          <t>COP</t>
        </is>
      </c>
      <c r="E606" t="inlineStr">
        <is>
          <t>Real</t>
        </is>
      </c>
      <c r="F606" t="inlineStr">
        <is>
          <t>costo_operacion</t>
        </is>
      </c>
      <c r="H606" t="inlineStr">
        <is>
          <t>Honorario</t>
        </is>
      </c>
      <c r="I606" t="n">
        <v>1000000</v>
      </c>
      <c r="J606" t="inlineStr">
        <is>
          <t>COP</t>
        </is>
      </c>
      <c r="L606">
        <f>IFERROR(INDEX(Diccionario!$B:$B,MATCH(F618,Diccionario!$C:$C,0)),"")</f>
        <v/>
      </c>
      <c r="M606">
        <f>IFERROR(INDEX(Diccionario!$H:$H,MATCH(F618,Diccionario!$C:$C,0)),"")</f>
        <v/>
      </c>
      <c r="N606">
        <f>IFERROR(INDEX(Diccionario!$N:$N,MATCH(F618,Diccionario!$C:$C,0)),"")</f>
        <v/>
      </c>
    </row>
    <row r="607" ht="14.25" customHeight="1" s="52">
      <c r="A607" t="inlineStr">
        <is>
          <t>2024-08</t>
        </is>
      </c>
      <c r="B607" t="inlineStr">
        <is>
          <t>Colombia</t>
        </is>
      </c>
      <c r="C607" t="inlineStr">
        <is>
          <t>Coco Colombia</t>
        </is>
      </c>
      <c r="D607" t="inlineStr">
        <is>
          <t>COP</t>
        </is>
      </c>
      <c r="E607" t="inlineStr">
        <is>
          <t>Real</t>
        </is>
      </c>
      <c r="F607" t="inlineStr">
        <is>
          <t>costo_operacion</t>
        </is>
      </c>
      <c r="H607" t="inlineStr">
        <is>
          <t>Servicios</t>
        </is>
      </c>
      <c r="I607" t="n">
        <v>5000000</v>
      </c>
      <c r="J607" t="inlineStr">
        <is>
          <t>COP</t>
        </is>
      </c>
      <c r="L607">
        <f>IFERROR(INDEX(Diccionario!$B:$B,MATCH(F619,Diccionario!$C:$C,0)),"")</f>
        <v/>
      </c>
      <c r="M607">
        <f>IFERROR(INDEX(Diccionario!$H:$H,MATCH(F619,Diccionario!$C:$C,0)),"")</f>
        <v/>
      </c>
      <c r="N607">
        <f>IFERROR(INDEX(Diccionario!$N:$N,MATCH(F619,Diccionario!$C:$C,0)),"")</f>
        <v/>
      </c>
    </row>
    <row r="608" ht="14.25" customHeight="1" s="52">
      <c r="A608" t="inlineStr">
        <is>
          <t>2024-09</t>
        </is>
      </c>
      <c r="B608" t="inlineStr">
        <is>
          <t>Colombia</t>
        </is>
      </c>
      <c r="C608" t="inlineStr">
        <is>
          <t>Coco Colombia</t>
        </is>
      </c>
      <c r="D608" t="inlineStr">
        <is>
          <t>COP</t>
        </is>
      </c>
      <c r="E608" t="inlineStr">
        <is>
          <t>Real</t>
        </is>
      </c>
      <c r="F608" t="inlineStr">
        <is>
          <t>costo_operacion</t>
        </is>
      </c>
      <c r="H608" t="inlineStr">
        <is>
          <t>Personal</t>
        </is>
      </c>
      <c r="I608" t="n">
        <v>62000000</v>
      </c>
      <c r="J608" t="inlineStr">
        <is>
          <t>COP</t>
        </is>
      </c>
      <c r="L608">
        <f>IFERROR(INDEX(Diccionario!$B:$B,MATCH(F620,Diccionario!$C:$C,0)),"")</f>
        <v/>
      </c>
      <c r="M608">
        <f>IFERROR(INDEX(Diccionario!$H:$H,MATCH(F620,Diccionario!$C:$C,0)),"")</f>
        <v/>
      </c>
      <c r="N608">
        <f>IFERROR(INDEX(Diccionario!$N:$N,MATCH(F620,Diccionario!$C:$C,0)),"")</f>
        <v/>
      </c>
    </row>
    <row r="609" ht="14.25" customHeight="1" s="52">
      <c r="A609" t="inlineStr">
        <is>
          <t>2024-09</t>
        </is>
      </c>
      <c r="B609" t="inlineStr">
        <is>
          <t>Colombia</t>
        </is>
      </c>
      <c r="C609" t="inlineStr">
        <is>
          <t>Coco Colombia</t>
        </is>
      </c>
      <c r="D609" t="inlineStr">
        <is>
          <t>COP</t>
        </is>
      </c>
      <c r="E609" t="inlineStr">
        <is>
          <t>Real</t>
        </is>
      </c>
      <c r="F609" t="inlineStr">
        <is>
          <t>costo_operacion</t>
        </is>
      </c>
      <c r="H609" t="inlineStr">
        <is>
          <t>Honorario</t>
        </is>
      </c>
      <c r="I609" t="n">
        <v>3000000</v>
      </c>
      <c r="J609" t="inlineStr">
        <is>
          <t>COP</t>
        </is>
      </c>
      <c r="L609">
        <f>IFERROR(INDEX(Diccionario!$B:$B,MATCH(F621,Diccionario!$C:$C,0)),"")</f>
        <v/>
      </c>
      <c r="M609">
        <f>IFERROR(INDEX(Diccionario!$H:$H,MATCH(F621,Diccionario!$C:$C,0)),"")</f>
        <v/>
      </c>
      <c r="N609">
        <f>IFERROR(INDEX(Diccionario!$N:$N,MATCH(F621,Diccionario!$C:$C,0)),"")</f>
        <v/>
      </c>
    </row>
    <row r="610" ht="14.25" customHeight="1" s="52">
      <c r="A610" t="inlineStr">
        <is>
          <t>2024-09</t>
        </is>
      </c>
      <c r="B610" t="inlineStr">
        <is>
          <t>Colombia</t>
        </is>
      </c>
      <c r="C610" t="inlineStr">
        <is>
          <t>Coco Colombia</t>
        </is>
      </c>
      <c r="D610" t="inlineStr">
        <is>
          <t>COP</t>
        </is>
      </c>
      <c r="E610" t="inlineStr">
        <is>
          <t>Real</t>
        </is>
      </c>
      <c r="F610" t="inlineStr">
        <is>
          <t>costo_operacion</t>
        </is>
      </c>
      <c r="H610" t="inlineStr">
        <is>
          <t>Servicios</t>
        </is>
      </c>
      <c r="I610" t="n">
        <v>1000000</v>
      </c>
      <c r="J610" t="inlineStr">
        <is>
          <t>COP</t>
        </is>
      </c>
      <c r="L610">
        <f>IFERROR(INDEX(Diccionario!$B:$B,MATCH(F622,Diccionario!$C:$C,0)),"")</f>
        <v/>
      </c>
      <c r="M610">
        <f>IFERROR(INDEX(Diccionario!$H:$H,MATCH(F622,Diccionario!$C:$C,0)),"")</f>
        <v/>
      </c>
      <c r="N610">
        <f>IFERROR(INDEX(Diccionario!$N:$N,MATCH(F622,Diccionario!$C:$C,0)),"")</f>
        <v/>
      </c>
    </row>
    <row r="611" ht="14.25" customHeight="1" s="52">
      <c r="A611" t="inlineStr">
        <is>
          <t>2024-10</t>
        </is>
      </c>
      <c r="B611" t="inlineStr">
        <is>
          <t>Colombia</t>
        </is>
      </c>
      <c r="C611" t="inlineStr">
        <is>
          <t>Coco Colombia</t>
        </is>
      </c>
      <c r="D611" t="inlineStr">
        <is>
          <t>COP</t>
        </is>
      </c>
      <c r="E611" t="inlineStr">
        <is>
          <t>Real</t>
        </is>
      </c>
      <c r="F611" t="inlineStr">
        <is>
          <t>costo_operacion</t>
        </is>
      </c>
      <c r="H611" t="inlineStr">
        <is>
          <t>Personal</t>
        </is>
      </c>
      <c r="I611" t="n">
        <v>62000000</v>
      </c>
      <c r="J611" t="inlineStr">
        <is>
          <t>COP</t>
        </is>
      </c>
      <c r="L611">
        <f>IFERROR(INDEX(Diccionario!$B:$B,MATCH(F623,Diccionario!$C:$C,0)),"")</f>
        <v/>
      </c>
      <c r="M611">
        <f>IFERROR(INDEX(Diccionario!$H:$H,MATCH(F623,Diccionario!$C:$C,0)),"")</f>
        <v/>
      </c>
      <c r="N611">
        <f>IFERROR(INDEX(Diccionario!$N:$N,MATCH(F623,Diccionario!$C:$C,0)),"")</f>
        <v/>
      </c>
    </row>
    <row r="612" ht="14.25" customHeight="1" s="52">
      <c r="A612" t="inlineStr">
        <is>
          <t>2024-10</t>
        </is>
      </c>
      <c r="B612" t="inlineStr">
        <is>
          <t>Colombia</t>
        </is>
      </c>
      <c r="C612" t="inlineStr">
        <is>
          <t>Coco Colombia</t>
        </is>
      </c>
      <c r="D612" t="inlineStr">
        <is>
          <t>COP</t>
        </is>
      </c>
      <c r="E612" t="inlineStr">
        <is>
          <t>Real</t>
        </is>
      </c>
      <c r="F612" t="inlineStr">
        <is>
          <t>costo_operacion</t>
        </is>
      </c>
      <c r="H612" t="inlineStr">
        <is>
          <t>Honorario</t>
        </is>
      </c>
      <c r="I612" t="n">
        <v>5000000</v>
      </c>
      <c r="J612" t="inlineStr">
        <is>
          <t>COP</t>
        </is>
      </c>
      <c r="L612">
        <f>IFERROR(INDEX(Diccionario!$B:$B,MATCH(F624,Diccionario!$C:$C,0)),"")</f>
        <v/>
      </c>
      <c r="M612">
        <f>IFERROR(INDEX(Diccionario!$H:$H,MATCH(F624,Diccionario!$C:$C,0)),"")</f>
        <v/>
      </c>
      <c r="N612">
        <f>IFERROR(INDEX(Diccionario!$N:$N,MATCH(F624,Diccionario!$C:$C,0)),"")</f>
        <v/>
      </c>
    </row>
    <row r="613" ht="14.25" customHeight="1" s="52">
      <c r="A613" t="inlineStr">
        <is>
          <t>2024-10</t>
        </is>
      </c>
      <c r="B613" t="inlineStr">
        <is>
          <t>Colombia</t>
        </is>
      </c>
      <c r="C613" t="inlineStr">
        <is>
          <t>Coco Colombia</t>
        </is>
      </c>
      <c r="D613" t="inlineStr">
        <is>
          <t>COP</t>
        </is>
      </c>
      <c r="E613" t="inlineStr">
        <is>
          <t>Real</t>
        </is>
      </c>
      <c r="F613" t="inlineStr">
        <is>
          <t>costo_operacion</t>
        </is>
      </c>
      <c r="H613" t="inlineStr">
        <is>
          <t>Servicios</t>
        </is>
      </c>
      <c r="I613" t="n">
        <v>6000000</v>
      </c>
      <c r="J613" t="inlineStr">
        <is>
          <t>COP</t>
        </is>
      </c>
      <c r="L613">
        <f>IFERROR(INDEX(Diccionario!$B:$B,MATCH(F625,Diccionario!$C:$C,0)),"")</f>
        <v/>
      </c>
      <c r="M613">
        <f>IFERROR(INDEX(Diccionario!$H:$H,MATCH(F625,Diccionario!$C:$C,0)),"")</f>
        <v/>
      </c>
      <c r="N613">
        <f>IFERROR(INDEX(Diccionario!$N:$N,MATCH(F625,Diccionario!$C:$C,0)),"")</f>
        <v/>
      </c>
    </row>
    <row r="614" ht="14.25" customHeight="1" s="52">
      <c r="A614" t="inlineStr">
        <is>
          <t>2024-11</t>
        </is>
      </c>
      <c r="B614" t="inlineStr">
        <is>
          <t>Colombia</t>
        </is>
      </c>
      <c r="C614" t="inlineStr">
        <is>
          <t>Coco Colombia</t>
        </is>
      </c>
      <c r="D614" t="inlineStr">
        <is>
          <t>COP</t>
        </is>
      </c>
      <c r="E614" t="inlineStr">
        <is>
          <t>Real</t>
        </is>
      </c>
      <c r="F614" t="inlineStr">
        <is>
          <t>costo_operacion</t>
        </is>
      </c>
      <c r="H614" t="inlineStr">
        <is>
          <t>Personal</t>
        </is>
      </c>
      <c r="I614" t="n">
        <v>66000000</v>
      </c>
      <c r="J614" t="inlineStr">
        <is>
          <t>COP</t>
        </is>
      </c>
      <c r="L614">
        <f>IFERROR(INDEX(Diccionario!$B:$B,MATCH(F626,Diccionario!$C:$C,0)),"")</f>
        <v/>
      </c>
      <c r="M614">
        <f>IFERROR(INDEX(Diccionario!$H:$H,MATCH(F626,Diccionario!$C:$C,0)),"")</f>
        <v/>
      </c>
      <c r="N614">
        <f>IFERROR(INDEX(Diccionario!$N:$N,MATCH(F626,Diccionario!$C:$C,0)),"")</f>
        <v/>
      </c>
    </row>
    <row r="615" ht="14.25" customHeight="1" s="52">
      <c r="A615" t="inlineStr">
        <is>
          <t>2024-11</t>
        </is>
      </c>
      <c r="B615" t="inlineStr">
        <is>
          <t>Colombia</t>
        </is>
      </c>
      <c r="C615" t="inlineStr">
        <is>
          <t>Coco Colombia</t>
        </is>
      </c>
      <c r="D615" t="inlineStr">
        <is>
          <t>COP</t>
        </is>
      </c>
      <c r="E615" t="inlineStr">
        <is>
          <t>Real</t>
        </is>
      </c>
      <c r="F615" t="inlineStr">
        <is>
          <t>costo_operacion</t>
        </is>
      </c>
      <c r="H615" t="inlineStr">
        <is>
          <t>Honorario</t>
        </is>
      </c>
      <c r="I615" t="n">
        <v>7000000</v>
      </c>
      <c r="J615" t="inlineStr">
        <is>
          <t>COP</t>
        </is>
      </c>
      <c r="L615">
        <f>IFERROR(INDEX(Diccionario!$B:$B,MATCH(F627,Diccionario!$C:$C,0)),"")</f>
        <v/>
      </c>
      <c r="M615">
        <f>IFERROR(INDEX(Diccionario!$H:$H,MATCH(F627,Diccionario!$C:$C,0)),"")</f>
        <v/>
      </c>
      <c r="N615">
        <f>IFERROR(INDEX(Diccionario!$N:$N,MATCH(F627,Diccionario!$C:$C,0)),"")</f>
        <v/>
      </c>
    </row>
    <row r="616" ht="14.25" customHeight="1" s="52">
      <c r="A616" t="inlineStr">
        <is>
          <t>2024-11</t>
        </is>
      </c>
      <c r="B616" t="inlineStr">
        <is>
          <t>Colombia</t>
        </is>
      </c>
      <c r="C616" t="inlineStr">
        <is>
          <t>Coco Colombia</t>
        </is>
      </c>
      <c r="D616" t="inlineStr">
        <is>
          <t>COP</t>
        </is>
      </c>
      <c r="E616" t="inlineStr">
        <is>
          <t>Real</t>
        </is>
      </c>
      <c r="F616" t="inlineStr">
        <is>
          <t>costo_operacion</t>
        </is>
      </c>
      <c r="H616" t="inlineStr">
        <is>
          <t>Servicios</t>
        </is>
      </c>
      <c r="I616" t="n">
        <v>6000000</v>
      </c>
      <c r="J616" t="inlineStr">
        <is>
          <t>COP</t>
        </is>
      </c>
      <c r="L616">
        <f>IFERROR(INDEX(Diccionario!$B:$B,MATCH(F628,Diccionario!$C:$C,0)),"")</f>
        <v/>
      </c>
      <c r="M616">
        <f>IFERROR(INDEX(Diccionario!$H:$H,MATCH(F628,Diccionario!$C:$C,0)),"")</f>
        <v/>
      </c>
      <c r="N616">
        <f>IFERROR(INDEX(Diccionario!$N:$N,MATCH(F628,Diccionario!$C:$C,0)),"")</f>
        <v/>
      </c>
    </row>
    <row r="617" ht="14.25" customHeight="1" s="52">
      <c r="A617" t="inlineStr">
        <is>
          <t>2024-11</t>
        </is>
      </c>
      <c r="B617" t="inlineStr">
        <is>
          <t>Colombia</t>
        </is>
      </c>
      <c r="C617" t="inlineStr">
        <is>
          <t>Coco Colombia</t>
        </is>
      </c>
      <c r="D617" t="inlineStr">
        <is>
          <t>COP</t>
        </is>
      </c>
      <c r="E617" t="inlineStr">
        <is>
          <t>Real</t>
        </is>
      </c>
      <c r="F617" t="inlineStr">
        <is>
          <t>costo_operacion</t>
        </is>
      </c>
      <c r="H617" t="inlineStr">
        <is>
          <t>Mantenimientos</t>
        </is>
      </c>
      <c r="I617" t="n">
        <v>2000000</v>
      </c>
      <c r="J617" t="inlineStr">
        <is>
          <t>COP</t>
        </is>
      </c>
      <c r="L617">
        <f>IFERROR(INDEX(Diccionario!$B:$B,MATCH(F629,Diccionario!$C:$C,0)),"")</f>
        <v/>
      </c>
      <c r="M617">
        <f>IFERROR(INDEX(Diccionario!$H:$H,MATCH(F629,Diccionario!$C:$C,0)),"")</f>
        <v/>
      </c>
      <c r="N617">
        <f>IFERROR(INDEX(Diccionario!$N:$N,MATCH(F629,Diccionario!$C:$C,0)),"")</f>
        <v/>
      </c>
    </row>
    <row r="618" ht="14.25" customHeight="1" s="52">
      <c r="A618" t="inlineStr">
        <is>
          <t>2024-11</t>
        </is>
      </c>
      <c r="B618" t="inlineStr">
        <is>
          <t>Colombia</t>
        </is>
      </c>
      <c r="C618" t="inlineStr">
        <is>
          <t>Coco Colombia</t>
        </is>
      </c>
      <c r="D618" t="inlineStr">
        <is>
          <t>COP</t>
        </is>
      </c>
      <c r="E618" t="inlineStr">
        <is>
          <t>Real</t>
        </is>
      </c>
      <c r="F618" t="inlineStr">
        <is>
          <t>costo_operacion</t>
        </is>
      </c>
      <c r="H618" t="inlineStr">
        <is>
          <t>Viajes</t>
        </is>
      </c>
      <c r="I618" t="n">
        <v>11000000</v>
      </c>
      <c r="J618" t="inlineStr">
        <is>
          <t>COP</t>
        </is>
      </c>
      <c r="L618">
        <f>IFERROR(INDEX(Diccionario!$B:$B,MATCH(F630,Diccionario!$C:$C,0)),"")</f>
        <v/>
      </c>
      <c r="M618">
        <f>IFERROR(INDEX(Diccionario!$H:$H,MATCH(F630,Diccionario!$C:$C,0)),"")</f>
        <v/>
      </c>
      <c r="N618">
        <f>IFERROR(INDEX(Diccionario!$N:$N,MATCH(F630,Diccionario!$C:$C,0)),"")</f>
        <v/>
      </c>
    </row>
    <row r="619" ht="14.25" customHeight="1" s="52">
      <c r="A619" t="inlineStr">
        <is>
          <t>2024-12</t>
        </is>
      </c>
      <c r="B619" t="inlineStr">
        <is>
          <t>Colombia</t>
        </is>
      </c>
      <c r="C619" t="inlineStr">
        <is>
          <t>Coco Colombia</t>
        </is>
      </c>
      <c r="D619" t="inlineStr">
        <is>
          <t>COP</t>
        </is>
      </c>
      <c r="E619" t="inlineStr">
        <is>
          <t>Real</t>
        </is>
      </c>
      <c r="F619" t="inlineStr">
        <is>
          <t>costo_operacion</t>
        </is>
      </c>
      <c r="H619" t="inlineStr">
        <is>
          <t>Personal</t>
        </is>
      </c>
      <c r="I619" t="n">
        <v>66400000</v>
      </c>
      <c r="J619" t="inlineStr">
        <is>
          <t>COP</t>
        </is>
      </c>
      <c r="L619">
        <f>IFERROR(INDEX(Diccionario!$B:$B,MATCH(F631,Diccionario!$C:$C,0)),"")</f>
        <v/>
      </c>
      <c r="M619">
        <f>IFERROR(INDEX(Diccionario!$H:$H,MATCH(F631,Diccionario!$C:$C,0)),"")</f>
        <v/>
      </c>
      <c r="N619">
        <f>IFERROR(INDEX(Diccionario!$N:$N,MATCH(F631,Diccionario!$C:$C,0)),"")</f>
        <v/>
      </c>
    </row>
    <row r="620" ht="14.25" customHeight="1" s="52">
      <c r="A620" t="inlineStr">
        <is>
          <t>2024-12</t>
        </is>
      </c>
      <c r="B620" t="inlineStr">
        <is>
          <t>Colombia</t>
        </is>
      </c>
      <c r="C620" t="inlineStr">
        <is>
          <t>Coco Colombia</t>
        </is>
      </c>
      <c r="D620" t="inlineStr">
        <is>
          <t>COP</t>
        </is>
      </c>
      <c r="E620" t="inlineStr">
        <is>
          <t>Real</t>
        </is>
      </c>
      <c r="F620" t="inlineStr">
        <is>
          <t>costo_operacion</t>
        </is>
      </c>
      <c r="H620" t="inlineStr">
        <is>
          <t>Honorario</t>
        </is>
      </c>
      <c r="I620" t="n">
        <v>3200000</v>
      </c>
      <c r="J620" t="inlineStr">
        <is>
          <t>COP</t>
        </is>
      </c>
      <c r="L620">
        <f>IFERROR(INDEX(Diccionario!$B:$B,MATCH(F632,Diccionario!$C:$C,0)),"")</f>
        <v/>
      </c>
      <c r="M620">
        <f>IFERROR(INDEX(Diccionario!$H:$H,MATCH(F632,Diccionario!$C:$C,0)),"")</f>
        <v/>
      </c>
      <c r="N620">
        <f>IFERROR(INDEX(Diccionario!$N:$N,MATCH(F632,Diccionario!$C:$C,0)),"")</f>
        <v/>
      </c>
    </row>
    <row r="621" ht="14.25" customHeight="1" s="52">
      <c r="A621" t="inlineStr">
        <is>
          <t>2024-12</t>
        </is>
      </c>
      <c r="B621" t="inlineStr">
        <is>
          <t>Colombia</t>
        </is>
      </c>
      <c r="C621" t="inlineStr">
        <is>
          <t>Coco Colombia</t>
        </is>
      </c>
      <c r="D621" t="inlineStr">
        <is>
          <t>COP</t>
        </is>
      </c>
      <c r="E621" t="inlineStr">
        <is>
          <t>Real</t>
        </is>
      </c>
      <c r="F621" t="inlineStr">
        <is>
          <t>costo_operacion</t>
        </is>
      </c>
      <c r="H621" t="inlineStr">
        <is>
          <t>Servicios</t>
        </is>
      </c>
      <c r="I621" t="n">
        <v>33000000</v>
      </c>
      <c r="J621" t="inlineStr">
        <is>
          <t>COP</t>
        </is>
      </c>
      <c r="L621">
        <f>IFERROR(INDEX(Diccionario!$B:$B,MATCH(F633,Diccionario!$C:$C,0)),"")</f>
        <v/>
      </c>
      <c r="M621">
        <f>IFERROR(INDEX(Diccionario!$H:$H,MATCH(F633,Diccionario!$C:$C,0)),"")</f>
        <v/>
      </c>
      <c r="N621">
        <f>IFERROR(INDEX(Diccionario!$N:$N,MATCH(F633,Diccionario!$C:$C,0)),"")</f>
        <v/>
      </c>
    </row>
    <row r="622" ht="14.25" customHeight="1" s="52">
      <c r="A622" t="inlineStr">
        <is>
          <t>2024-12</t>
        </is>
      </c>
      <c r="B622" t="inlineStr">
        <is>
          <t>Colombia</t>
        </is>
      </c>
      <c r="C622" t="inlineStr">
        <is>
          <t>Coco Colombia</t>
        </is>
      </c>
      <c r="D622" t="inlineStr">
        <is>
          <t>COP</t>
        </is>
      </c>
      <c r="E622" t="inlineStr">
        <is>
          <t>Real</t>
        </is>
      </c>
      <c r="F622" t="inlineStr">
        <is>
          <t>costo_operacion</t>
        </is>
      </c>
      <c r="H622" t="inlineStr">
        <is>
          <t>Viajes</t>
        </is>
      </c>
      <c r="I622" t="n">
        <v>5600000</v>
      </c>
      <c r="J622" t="inlineStr">
        <is>
          <t>COP</t>
        </is>
      </c>
      <c r="L622">
        <f>IFERROR(INDEX(Diccionario!$B:$B,MATCH(F634,Diccionario!$C:$C,0)),"")</f>
        <v/>
      </c>
      <c r="M622">
        <f>IFERROR(INDEX(Diccionario!$H:$H,MATCH(F634,Diccionario!$C:$C,0)),"")</f>
        <v/>
      </c>
      <c r="N622">
        <f>IFERROR(INDEX(Diccionario!$N:$N,MATCH(F634,Diccionario!$C:$C,0)),"")</f>
        <v/>
      </c>
    </row>
    <row r="623" ht="14.25" customHeight="1" s="52">
      <c r="A623" t="inlineStr">
        <is>
          <t>2025-01</t>
        </is>
      </c>
      <c r="B623" t="inlineStr">
        <is>
          <t>Colombia</t>
        </is>
      </c>
      <c r="C623" t="inlineStr">
        <is>
          <t>Coco Colombia</t>
        </is>
      </c>
      <c r="D623" t="inlineStr">
        <is>
          <t>COP</t>
        </is>
      </c>
      <c r="E623" t="inlineStr">
        <is>
          <t>Real</t>
        </is>
      </c>
      <c r="F623" t="inlineStr">
        <is>
          <t>costo_operacion</t>
        </is>
      </c>
      <c r="H623" t="inlineStr">
        <is>
          <t>Personal</t>
        </is>
      </c>
      <c r="I623" t="n">
        <v>87200000</v>
      </c>
      <c r="J623" t="inlineStr">
        <is>
          <t>COP</t>
        </is>
      </c>
      <c r="L623">
        <f>IFERROR(INDEX(Diccionario!$B:$B,MATCH(F635,Diccionario!$C:$C,0)),"")</f>
        <v/>
      </c>
      <c r="M623">
        <f>IFERROR(INDEX(Diccionario!$H:$H,MATCH(F635,Diccionario!$C:$C,0)),"")</f>
        <v/>
      </c>
      <c r="N623">
        <f>IFERROR(INDEX(Diccionario!$N:$N,MATCH(F635,Diccionario!$C:$C,0)),"")</f>
        <v/>
      </c>
    </row>
    <row r="624" ht="14.25" customHeight="1" s="52">
      <c r="A624" t="inlineStr">
        <is>
          <t>2025-01</t>
        </is>
      </c>
      <c r="B624" t="inlineStr">
        <is>
          <t>Colombia</t>
        </is>
      </c>
      <c r="C624" t="inlineStr">
        <is>
          <t>Coco Colombia</t>
        </is>
      </c>
      <c r="D624" t="inlineStr">
        <is>
          <t>COP</t>
        </is>
      </c>
      <c r="E624" t="inlineStr">
        <is>
          <t>Real</t>
        </is>
      </c>
      <c r="F624" t="inlineStr">
        <is>
          <t>costo_operacion</t>
        </is>
      </c>
      <c r="H624" t="inlineStr">
        <is>
          <t>Servicios</t>
        </is>
      </c>
      <c r="I624" t="n">
        <v>4700000</v>
      </c>
      <c r="J624" t="inlineStr">
        <is>
          <t>COP</t>
        </is>
      </c>
      <c r="L624">
        <f>IFERROR(INDEX(Diccionario!$B:$B,MATCH(F636,Diccionario!$C:$C,0)),"")</f>
        <v/>
      </c>
      <c r="M624">
        <f>IFERROR(INDEX(Diccionario!$H:$H,MATCH(F636,Diccionario!$C:$C,0)),"")</f>
        <v/>
      </c>
      <c r="N624">
        <f>IFERROR(INDEX(Diccionario!$N:$N,MATCH(F636,Diccionario!$C:$C,0)),"")</f>
        <v/>
      </c>
    </row>
    <row r="625" ht="14.25" customHeight="1" s="52">
      <c r="A625" t="inlineStr">
        <is>
          <t>2025-01</t>
        </is>
      </c>
      <c r="B625" t="inlineStr">
        <is>
          <t>Colombia</t>
        </is>
      </c>
      <c r="C625" t="inlineStr">
        <is>
          <t>Coco Colombia</t>
        </is>
      </c>
      <c r="D625" t="inlineStr">
        <is>
          <t>COP</t>
        </is>
      </c>
      <c r="E625" t="inlineStr">
        <is>
          <t>Real</t>
        </is>
      </c>
      <c r="F625" t="inlineStr">
        <is>
          <t>costo_operacion</t>
        </is>
      </c>
      <c r="H625" t="inlineStr">
        <is>
          <t>Viajes</t>
        </is>
      </c>
      <c r="I625" t="n">
        <v>18500000</v>
      </c>
      <c r="J625" t="inlineStr">
        <is>
          <t>COP</t>
        </is>
      </c>
      <c r="L625">
        <f>IFERROR(INDEX(Diccionario!$B:$B,MATCH(F637,Diccionario!$C:$C,0)),"")</f>
        <v/>
      </c>
      <c r="M625">
        <f>IFERROR(INDEX(Diccionario!$H:$H,MATCH(F637,Diccionario!$C:$C,0)),"")</f>
        <v/>
      </c>
      <c r="N625">
        <f>IFERROR(INDEX(Diccionario!$N:$N,MATCH(F637,Diccionario!$C:$C,0)),"")</f>
        <v/>
      </c>
    </row>
    <row r="626" ht="14.25" customHeight="1" s="52">
      <c r="A626" t="inlineStr">
        <is>
          <t>2025-02</t>
        </is>
      </c>
      <c r="B626" t="inlineStr">
        <is>
          <t>Colombia</t>
        </is>
      </c>
      <c r="C626" t="inlineStr">
        <is>
          <t>Coco Colombia</t>
        </is>
      </c>
      <c r="D626" t="inlineStr">
        <is>
          <t>COP</t>
        </is>
      </c>
      <c r="E626" t="inlineStr">
        <is>
          <t>Real</t>
        </is>
      </c>
      <c r="F626" t="inlineStr">
        <is>
          <t>costo_operacion</t>
        </is>
      </c>
      <c r="H626" t="inlineStr">
        <is>
          <t>Personal</t>
        </is>
      </c>
      <c r="I626" t="n">
        <v>100000000</v>
      </c>
      <c r="J626" t="inlineStr">
        <is>
          <t>COP</t>
        </is>
      </c>
      <c r="L626">
        <f>IFERROR(INDEX(Diccionario!$B:$B,MATCH(F638,Diccionario!$C:$C,0)),"")</f>
        <v/>
      </c>
      <c r="M626">
        <f>IFERROR(INDEX(Diccionario!$H:$H,MATCH(F638,Diccionario!$C:$C,0)),"")</f>
        <v/>
      </c>
      <c r="N626">
        <f>IFERROR(INDEX(Diccionario!$N:$N,MATCH(F638,Diccionario!$C:$C,0)),"")</f>
        <v/>
      </c>
    </row>
    <row r="627" ht="14.25" customHeight="1" s="52">
      <c r="A627" t="inlineStr">
        <is>
          <t>2025-02</t>
        </is>
      </c>
      <c r="B627" t="inlineStr">
        <is>
          <t>Colombia</t>
        </is>
      </c>
      <c r="C627" t="inlineStr">
        <is>
          <t>Coco Colombia</t>
        </is>
      </c>
      <c r="D627" t="inlineStr">
        <is>
          <t>COP</t>
        </is>
      </c>
      <c r="E627" t="inlineStr">
        <is>
          <t>Real</t>
        </is>
      </c>
      <c r="F627" t="inlineStr">
        <is>
          <t>costo_operacion</t>
        </is>
      </c>
      <c r="H627" t="inlineStr">
        <is>
          <t>Honorario</t>
        </is>
      </c>
      <c r="I627" t="n">
        <v>8000000</v>
      </c>
      <c r="J627" t="inlineStr">
        <is>
          <t>COP</t>
        </is>
      </c>
      <c r="L627">
        <f>IFERROR(INDEX(Diccionario!$B:$B,MATCH(F639,Diccionario!$C:$C,0)),"")</f>
        <v/>
      </c>
      <c r="M627">
        <f>IFERROR(INDEX(Diccionario!$H:$H,MATCH(F639,Diccionario!$C:$C,0)),"")</f>
        <v/>
      </c>
      <c r="N627">
        <f>IFERROR(INDEX(Diccionario!$N:$N,MATCH(F639,Diccionario!$C:$C,0)),"")</f>
        <v/>
      </c>
    </row>
    <row r="628" ht="14.25" customHeight="1" s="52">
      <c r="A628" t="inlineStr">
        <is>
          <t>2025-02</t>
        </is>
      </c>
      <c r="B628" t="inlineStr">
        <is>
          <t>Colombia</t>
        </is>
      </c>
      <c r="C628" t="inlineStr">
        <is>
          <t>Coco Colombia</t>
        </is>
      </c>
      <c r="D628" t="inlineStr">
        <is>
          <t>COP</t>
        </is>
      </c>
      <c r="E628" t="inlineStr">
        <is>
          <t>Real</t>
        </is>
      </c>
      <c r="F628" t="inlineStr">
        <is>
          <t>costo_operacion</t>
        </is>
      </c>
      <c r="H628" t="inlineStr">
        <is>
          <t>Servicios</t>
        </is>
      </c>
      <c r="I628" t="n">
        <v>5300000</v>
      </c>
      <c r="J628" t="inlineStr">
        <is>
          <t>COP</t>
        </is>
      </c>
      <c r="L628">
        <f>IFERROR(INDEX(Diccionario!$B:$B,MATCH(F640,Diccionario!$C:$C,0)),"")</f>
        <v/>
      </c>
      <c r="M628">
        <f>IFERROR(INDEX(Diccionario!$H:$H,MATCH(F640,Diccionario!$C:$C,0)),"")</f>
        <v/>
      </c>
      <c r="N628">
        <f>IFERROR(INDEX(Diccionario!$N:$N,MATCH(F640,Diccionario!$C:$C,0)),"")</f>
        <v/>
      </c>
    </row>
    <row r="629" ht="14.25" customHeight="1" s="52">
      <c r="A629" t="inlineStr">
        <is>
          <t>2025-02</t>
        </is>
      </c>
      <c r="B629" t="inlineStr">
        <is>
          <t>Colombia</t>
        </is>
      </c>
      <c r="C629" t="inlineStr">
        <is>
          <t>Coco Colombia</t>
        </is>
      </c>
      <c r="D629" t="inlineStr">
        <is>
          <t>COP</t>
        </is>
      </c>
      <c r="E629" t="inlineStr">
        <is>
          <t>Real</t>
        </is>
      </c>
      <c r="F629" t="inlineStr">
        <is>
          <t>costo_operacion</t>
        </is>
      </c>
      <c r="H629" t="inlineStr">
        <is>
          <t>Viajes</t>
        </is>
      </c>
      <c r="I629" t="n">
        <v>5800000</v>
      </c>
      <c r="J629" t="inlineStr">
        <is>
          <t>COP</t>
        </is>
      </c>
      <c r="L629">
        <f>IFERROR(INDEX(Diccionario!$B:$B,MATCH(F641,Diccionario!$C:$C,0)),"")</f>
        <v/>
      </c>
      <c r="M629">
        <f>IFERROR(INDEX(Diccionario!$H:$H,MATCH(F641,Diccionario!$C:$C,0)),"")</f>
        <v/>
      </c>
      <c r="N629">
        <f>IFERROR(INDEX(Diccionario!$N:$N,MATCH(F641,Diccionario!$C:$C,0)),"")</f>
        <v/>
      </c>
    </row>
    <row r="630" ht="14.25" customHeight="1" s="52">
      <c r="A630" t="inlineStr">
        <is>
          <t>2025-03</t>
        </is>
      </c>
      <c r="B630" t="inlineStr">
        <is>
          <t>Colombia</t>
        </is>
      </c>
      <c r="C630" t="inlineStr">
        <is>
          <t>Coco Colombia</t>
        </is>
      </c>
      <c r="D630" t="inlineStr">
        <is>
          <t>COP</t>
        </is>
      </c>
      <c r="E630" t="inlineStr">
        <is>
          <t>Real</t>
        </is>
      </c>
      <c r="F630" t="inlineStr">
        <is>
          <t>costo_operacion</t>
        </is>
      </c>
      <c r="H630" t="inlineStr">
        <is>
          <t>Personal</t>
        </is>
      </c>
      <c r="I630" t="n">
        <v>73500000</v>
      </c>
      <c r="J630" t="inlineStr">
        <is>
          <t>COP</t>
        </is>
      </c>
      <c r="L630">
        <f>IFERROR(INDEX(Diccionario!$B:$B,MATCH(F642,Diccionario!$C:$C,0)),"")</f>
        <v/>
      </c>
      <c r="M630">
        <f>IFERROR(INDEX(Diccionario!$H:$H,MATCH(F642,Diccionario!$C:$C,0)),"")</f>
        <v/>
      </c>
      <c r="N630">
        <f>IFERROR(INDEX(Diccionario!$N:$N,MATCH(F642,Diccionario!$C:$C,0)),"")</f>
        <v/>
      </c>
    </row>
    <row r="631" ht="14.25" customHeight="1" s="52">
      <c r="A631" t="inlineStr">
        <is>
          <t>2025-03</t>
        </is>
      </c>
      <c r="B631" t="inlineStr">
        <is>
          <t>Colombia</t>
        </is>
      </c>
      <c r="C631" t="inlineStr">
        <is>
          <t>Coco Colombia</t>
        </is>
      </c>
      <c r="D631" t="inlineStr">
        <is>
          <t>COP</t>
        </is>
      </c>
      <c r="E631" t="inlineStr">
        <is>
          <t>Real</t>
        </is>
      </c>
      <c r="F631" t="inlineStr">
        <is>
          <t>costo_operacion</t>
        </is>
      </c>
      <c r="H631" t="inlineStr">
        <is>
          <t>Honorario</t>
        </is>
      </c>
      <c r="I631" t="n">
        <v>300000</v>
      </c>
      <c r="J631" t="inlineStr">
        <is>
          <t>COP</t>
        </is>
      </c>
      <c r="L631">
        <f>IFERROR(INDEX(Diccionario!$B:$B,MATCH(F643,Diccionario!$C:$C,0)),"")</f>
        <v/>
      </c>
      <c r="M631">
        <f>IFERROR(INDEX(Diccionario!$H:$H,MATCH(F643,Diccionario!$C:$C,0)),"")</f>
        <v/>
      </c>
      <c r="N631">
        <f>IFERROR(INDEX(Diccionario!$N:$N,MATCH(F643,Diccionario!$C:$C,0)),"")</f>
        <v/>
      </c>
    </row>
    <row r="632" ht="14.25" customHeight="1" s="52">
      <c r="A632" t="inlineStr">
        <is>
          <t>2025-03</t>
        </is>
      </c>
      <c r="B632" t="inlineStr">
        <is>
          <t>Colombia</t>
        </is>
      </c>
      <c r="C632" t="inlineStr">
        <is>
          <t>Coco Colombia</t>
        </is>
      </c>
      <c r="D632" t="inlineStr">
        <is>
          <t>COP</t>
        </is>
      </c>
      <c r="E632" t="inlineStr">
        <is>
          <t>Real</t>
        </is>
      </c>
      <c r="F632" t="inlineStr">
        <is>
          <t>costo_operacion</t>
        </is>
      </c>
      <c r="H632" t="inlineStr">
        <is>
          <t>Servicios</t>
        </is>
      </c>
      <c r="I632" t="n">
        <v>19000000</v>
      </c>
      <c r="J632" t="inlineStr">
        <is>
          <t>COP</t>
        </is>
      </c>
      <c r="L632">
        <f>IFERROR(INDEX(Diccionario!$B:$B,MATCH(F644,Diccionario!$C:$C,0)),"")</f>
        <v/>
      </c>
      <c r="M632">
        <f>IFERROR(INDEX(Diccionario!$H:$H,MATCH(F644,Diccionario!$C:$C,0)),"")</f>
        <v/>
      </c>
      <c r="N632">
        <f>IFERROR(INDEX(Diccionario!$N:$N,MATCH(F644,Diccionario!$C:$C,0)),"")</f>
        <v/>
      </c>
    </row>
    <row r="633" ht="14.25" customHeight="1" s="52">
      <c r="A633" t="inlineStr">
        <is>
          <t>2025-03</t>
        </is>
      </c>
      <c r="B633" t="inlineStr">
        <is>
          <t>Colombia</t>
        </is>
      </c>
      <c r="C633" t="inlineStr">
        <is>
          <t>Coco Colombia</t>
        </is>
      </c>
      <c r="D633" t="inlineStr">
        <is>
          <t>COP</t>
        </is>
      </c>
      <c r="E633" t="inlineStr">
        <is>
          <t>Real</t>
        </is>
      </c>
      <c r="F633" t="inlineStr">
        <is>
          <t>costo_operacion</t>
        </is>
      </c>
      <c r="H633" t="inlineStr">
        <is>
          <t>Mantenimientos</t>
        </is>
      </c>
      <c r="I633" t="n">
        <v>0</v>
      </c>
      <c r="J633" t="inlineStr">
        <is>
          <t>COP</t>
        </is>
      </c>
      <c r="L633">
        <f>IFERROR(INDEX(Diccionario!$B:$B,MATCH(F645,Diccionario!$C:$C,0)),"")</f>
        <v/>
      </c>
      <c r="M633">
        <f>IFERROR(INDEX(Diccionario!$H:$H,MATCH(F645,Diccionario!$C:$C,0)),"")</f>
        <v/>
      </c>
      <c r="N633">
        <f>IFERROR(INDEX(Diccionario!$N:$N,MATCH(F645,Diccionario!$C:$C,0)),"")</f>
        <v/>
      </c>
    </row>
    <row r="634" ht="14.25" customHeight="1" s="52">
      <c r="A634" t="inlineStr">
        <is>
          <t>2025-03</t>
        </is>
      </c>
      <c r="B634" t="inlineStr">
        <is>
          <t>Colombia</t>
        </is>
      </c>
      <c r="C634" t="inlineStr">
        <is>
          <t>Coco Colombia</t>
        </is>
      </c>
      <c r="D634" t="inlineStr">
        <is>
          <t>COP</t>
        </is>
      </c>
      <c r="E634" t="inlineStr">
        <is>
          <t>Real</t>
        </is>
      </c>
      <c r="F634" t="inlineStr">
        <is>
          <t>costo_operacion</t>
        </is>
      </c>
      <c r="H634" t="inlineStr">
        <is>
          <t>Viajes</t>
        </is>
      </c>
      <c r="I634" t="n">
        <v>13800000</v>
      </c>
      <c r="J634" t="inlineStr">
        <is>
          <t>COP</t>
        </is>
      </c>
      <c r="L634">
        <f>IFERROR(INDEX(Diccionario!$B:$B,MATCH(F646,Diccionario!$C:$C,0)),"")</f>
        <v/>
      </c>
      <c r="M634">
        <f>IFERROR(INDEX(Diccionario!$H:$H,MATCH(F646,Diccionario!$C:$C,0)),"")</f>
        <v/>
      </c>
      <c r="N634">
        <f>IFERROR(INDEX(Diccionario!$N:$N,MATCH(F646,Diccionario!$C:$C,0)),"")</f>
        <v/>
      </c>
    </row>
    <row r="635" ht="14.25" customHeight="1" s="52">
      <c r="A635" t="inlineStr">
        <is>
          <t>2025-04</t>
        </is>
      </c>
      <c r="B635" t="inlineStr">
        <is>
          <t>Colombia</t>
        </is>
      </c>
      <c r="C635" t="inlineStr">
        <is>
          <t>Coco Colombia</t>
        </is>
      </c>
      <c r="D635" t="inlineStr">
        <is>
          <t>COP</t>
        </is>
      </c>
      <c r="E635" t="inlineStr">
        <is>
          <t>Real</t>
        </is>
      </c>
      <c r="F635" t="inlineStr">
        <is>
          <t>costo_operacion</t>
        </is>
      </c>
      <c r="H635" t="inlineStr">
        <is>
          <t>Personal</t>
        </is>
      </c>
      <c r="I635" t="n">
        <v>82000000</v>
      </c>
      <c r="J635" t="inlineStr">
        <is>
          <t>COP</t>
        </is>
      </c>
      <c r="L635">
        <f>IFERROR(INDEX(Diccionario!$B:$B,MATCH(F647,Diccionario!$C:$C,0)),"")</f>
        <v/>
      </c>
      <c r="M635">
        <f>IFERROR(INDEX(Diccionario!$H:$H,MATCH(F647,Diccionario!$C:$C,0)),"")</f>
        <v/>
      </c>
      <c r="N635">
        <f>IFERROR(INDEX(Diccionario!$N:$N,MATCH(F647,Diccionario!$C:$C,0)),"")</f>
        <v/>
      </c>
    </row>
    <row r="636" ht="14.25" customHeight="1" s="52">
      <c r="A636" t="inlineStr">
        <is>
          <t>2025-04</t>
        </is>
      </c>
      <c r="B636" t="inlineStr">
        <is>
          <t>Colombia</t>
        </is>
      </c>
      <c r="C636" t="inlineStr">
        <is>
          <t>Coco Colombia</t>
        </is>
      </c>
      <c r="D636" t="inlineStr">
        <is>
          <t>COP</t>
        </is>
      </c>
      <c r="E636" t="inlineStr">
        <is>
          <t>Real</t>
        </is>
      </c>
      <c r="F636" t="inlineStr">
        <is>
          <t>costo_operacion</t>
        </is>
      </c>
      <c r="H636" t="inlineStr">
        <is>
          <t>Honorario</t>
        </is>
      </c>
      <c r="I636" t="n">
        <v>11700000</v>
      </c>
      <c r="J636" t="inlineStr">
        <is>
          <t>COP</t>
        </is>
      </c>
      <c r="L636">
        <f>IFERROR(INDEX(Diccionario!$B:$B,MATCH(F648,Diccionario!$C:$C,0)),"")</f>
        <v/>
      </c>
      <c r="M636">
        <f>IFERROR(INDEX(Diccionario!$H:$H,MATCH(F648,Diccionario!$C:$C,0)),"")</f>
        <v/>
      </c>
      <c r="N636">
        <f>IFERROR(INDEX(Diccionario!$N:$N,MATCH(F648,Diccionario!$C:$C,0)),"")</f>
        <v/>
      </c>
    </row>
    <row r="637" ht="14.25" customHeight="1" s="52">
      <c r="A637" t="inlineStr">
        <is>
          <t>2025-04</t>
        </is>
      </c>
      <c r="B637" t="inlineStr">
        <is>
          <t>Colombia</t>
        </is>
      </c>
      <c r="C637" t="inlineStr">
        <is>
          <t>Coco Colombia</t>
        </is>
      </c>
      <c r="D637" t="inlineStr">
        <is>
          <t>COP</t>
        </is>
      </c>
      <c r="E637" t="inlineStr">
        <is>
          <t>Real</t>
        </is>
      </c>
      <c r="F637" t="inlineStr">
        <is>
          <t>costo_operacion</t>
        </is>
      </c>
      <c r="H637" t="inlineStr">
        <is>
          <t>Servicios</t>
        </is>
      </c>
      <c r="I637" t="n">
        <v>15400000</v>
      </c>
      <c r="J637" t="inlineStr">
        <is>
          <t>COP</t>
        </is>
      </c>
      <c r="L637">
        <f>IFERROR(INDEX(Diccionario!$B:$B,MATCH(F649,Diccionario!$C:$C,0)),"")</f>
        <v/>
      </c>
      <c r="M637">
        <f>IFERROR(INDEX(Diccionario!$H:$H,MATCH(F649,Diccionario!$C:$C,0)),"")</f>
        <v/>
      </c>
      <c r="N637">
        <f>IFERROR(INDEX(Diccionario!$N:$N,MATCH(F649,Diccionario!$C:$C,0)),"")</f>
        <v/>
      </c>
    </row>
    <row r="638" ht="14.25" customHeight="1" s="52">
      <c r="A638" t="inlineStr">
        <is>
          <t>2025-04</t>
        </is>
      </c>
      <c r="B638" t="inlineStr">
        <is>
          <t>Colombia</t>
        </is>
      </c>
      <c r="C638" t="inlineStr">
        <is>
          <t>Coco Colombia</t>
        </is>
      </c>
      <c r="D638" t="inlineStr">
        <is>
          <t>COP</t>
        </is>
      </c>
      <c r="E638" t="inlineStr">
        <is>
          <t>Real</t>
        </is>
      </c>
      <c r="F638" t="inlineStr">
        <is>
          <t>costo_operacion</t>
        </is>
      </c>
      <c r="H638" t="inlineStr">
        <is>
          <t>Viajes</t>
        </is>
      </c>
      <c r="I638" t="n">
        <v>4200000</v>
      </c>
      <c r="J638" t="inlineStr">
        <is>
          <t>COP</t>
        </is>
      </c>
      <c r="L638">
        <f>IFERROR(INDEX(Diccionario!$B:$B,MATCH(F650,Diccionario!$C:$C,0)),"")</f>
        <v/>
      </c>
      <c r="M638">
        <f>IFERROR(INDEX(Diccionario!$H:$H,MATCH(F650,Diccionario!$C:$C,0)),"")</f>
        <v/>
      </c>
      <c r="N638">
        <f>IFERROR(INDEX(Diccionario!$N:$N,MATCH(F650,Diccionario!$C:$C,0)),"")</f>
        <v/>
      </c>
    </row>
    <row r="639" ht="14.25" customHeight="1" s="52">
      <c r="A639" t="inlineStr">
        <is>
          <t>2025-05</t>
        </is>
      </c>
      <c r="B639" t="inlineStr">
        <is>
          <t>Colombia</t>
        </is>
      </c>
      <c r="C639" t="inlineStr">
        <is>
          <t>Coco Colombia</t>
        </is>
      </c>
      <c r="D639" t="inlineStr">
        <is>
          <t>COP</t>
        </is>
      </c>
      <c r="E639" t="inlineStr">
        <is>
          <t>Real</t>
        </is>
      </c>
      <c r="F639" t="inlineStr">
        <is>
          <t>costo_operacion</t>
        </is>
      </c>
      <c r="H639" t="inlineStr">
        <is>
          <t>Personal</t>
        </is>
      </c>
      <c r="I639" t="n">
        <v>89700000</v>
      </c>
      <c r="J639" t="inlineStr">
        <is>
          <t>COP</t>
        </is>
      </c>
      <c r="L639">
        <f>IFERROR(INDEX(Diccionario!$B:$B,MATCH(F651,Diccionario!$C:$C,0)),"")</f>
        <v/>
      </c>
      <c r="M639">
        <f>IFERROR(INDEX(Diccionario!$H:$H,MATCH(F651,Diccionario!$C:$C,0)),"")</f>
        <v/>
      </c>
      <c r="N639">
        <f>IFERROR(INDEX(Diccionario!$N:$N,MATCH(F651,Diccionario!$C:$C,0)),"")</f>
        <v/>
      </c>
    </row>
    <row r="640" ht="14.25" customHeight="1" s="52">
      <c r="A640" t="inlineStr">
        <is>
          <t>2025-05</t>
        </is>
      </c>
      <c r="B640" t="inlineStr">
        <is>
          <t>Colombia</t>
        </is>
      </c>
      <c r="C640" t="inlineStr">
        <is>
          <t>Coco Colombia</t>
        </is>
      </c>
      <c r="D640" t="inlineStr">
        <is>
          <t>COP</t>
        </is>
      </c>
      <c r="E640" t="inlineStr">
        <is>
          <t>Real</t>
        </is>
      </c>
      <c r="F640" t="inlineStr">
        <is>
          <t>costo_operacion</t>
        </is>
      </c>
      <c r="H640" t="inlineStr">
        <is>
          <t>Honorario</t>
        </is>
      </c>
      <c r="I640" t="n">
        <v>2600000</v>
      </c>
      <c r="J640" t="inlineStr">
        <is>
          <t>COP</t>
        </is>
      </c>
      <c r="L640">
        <f>IFERROR(INDEX(Diccionario!$B:$B,MATCH(F652,Diccionario!$C:$C,0)),"")</f>
        <v/>
      </c>
      <c r="M640">
        <f>IFERROR(INDEX(Diccionario!$H:$H,MATCH(F652,Diccionario!$C:$C,0)),"")</f>
        <v/>
      </c>
      <c r="N640">
        <f>IFERROR(INDEX(Diccionario!$N:$N,MATCH(F652,Diccionario!$C:$C,0)),"")</f>
        <v/>
      </c>
    </row>
    <row r="641" ht="14.25" customHeight="1" s="52">
      <c r="A641" t="inlineStr">
        <is>
          <t>2025-05</t>
        </is>
      </c>
      <c r="B641" t="inlineStr">
        <is>
          <t>Colombia</t>
        </is>
      </c>
      <c r="C641" t="inlineStr">
        <is>
          <t>Coco Colombia</t>
        </is>
      </c>
      <c r="D641" t="inlineStr">
        <is>
          <t>COP</t>
        </is>
      </c>
      <c r="E641" t="inlineStr">
        <is>
          <t>Real</t>
        </is>
      </c>
      <c r="F641" t="inlineStr">
        <is>
          <t>costo_operacion</t>
        </is>
      </c>
      <c r="H641" t="inlineStr">
        <is>
          <t>Servicios</t>
        </is>
      </c>
      <c r="I641" t="n">
        <v>18400000</v>
      </c>
      <c r="J641" t="inlineStr">
        <is>
          <t>COP</t>
        </is>
      </c>
      <c r="L641">
        <f>IFERROR(INDEX(Diccionario!$B:$B,MATCH(F653,Diccionario!$C:$C,0)),"")</f>
        <v/>
      </c>
      <c r="M641">
        <f>IFERROR(INDEX(Diccionario!$H:$H,MATCH(F653,Diccionario!$C:$C,0)),"")</f>
        <v/>
      </c>
      <c r="N641">
        <f>IFERROR(INDEX(Diccionario!$N:$N,MATCH(F653,Diccionario!$C:$C,0)),"")</f>
        <v/>
      </c>
    </row>
    <row r="642" ht="14.25" customHeight="1" s="52">
      <c r="A642" t="inlineStr">
        <is>
          <t>2025-05</t>
        </is>
      </c>
      <c r="B642" t="inlineStr">
        <is>
          <t>Colombia</t>
        </is>
      </c>
      <c r="C642" t="inlineStr">
        <is>
          <t>Coco Colombia</t>
        </is>
      </c>
      <c r="D642" t="inlineStr">
        <is>
          <t>COP</t>
        </is>
      </c>
      <c r="E642" t="inlineStr">
        <is>
          <t>Real</t>
        </is>
      </c>
      <c r="F642" t="inlineStr">
        <is>
          <t>costo_operacion</t>
        </is>
      </c>
      <c r="H642" t="inlineStr">
        <is>
          <t>Mantenimientos</t>
        </is>
      </c>
      <c r="I642" t="n">
        <v>2000000</v>
      </c>
      <c r="J642" t="inlineStr">
        <is>
          <t>COP</t>
        </is>
      </c>
      <c r="L642">
        <f>IFERROR(INDEX(Diccionario!$B:$B,MATCH(F654,Diccionario!$C:$C,0)),"")</f>
        <v/>
      </c>
      <c r="M642">
        <f>IFERROR(INDEX(Diccionario!$H:$H,MATCH(F654,Diccionario!$C:$C,0)),"")</f>
        <v/>
      </c>
      <c r="N642">
        <f>IFERROR(INDEX(Diccionario!$N:$N,MATCH(F654,Diccionario!$C:$C,0)),"")</f>
        <v/>
      </c>
    </row>
    <row r="643" ht="14.25" customHeight="1" s="52">
      <c r="A643" t="inlineStr">
        <is>
          <t>2025-05</t>
        </is>
      </c>
      <c r="B643" t="inlineStr">
        <is>
          <t>Colombia</t>
        </is>
      </c>
      <c r="C643" t="inlineStr">
        <is>
          <t>Coco Colombia</t>
        </is>
      </c>
      <c r="D643" t="inlineStr">
        <is>
          <t>COP</t>
        </is>
      </c>
      <c r="E643" t="inlineStr">
        <is>
          <t>Real</t>
        </is>
      </c>
      <c r="F643" t="inlineStr">
        <is>
          <t>costo_operacion</t>
        </is>
      </c>
      <c r="H643" t="inlineStr">
        <is>
          <t>Viajes</t>
        </is>
      </c>
      <c r="I643" t="n">
        <v>2800000</v>
      </c>
      <c r="J643" t="inlineStr">
        <is>
          <t>COP</t>
        </is>
      </c>
      <c r="L643">
        <f>IFERROR(INDEX(Diccionario!$B:$B,MATCH(F655,Diccionario!$C:$C,0)),"")</f>
        <v/>
      </c>
      <c r="M643">
        <f>IFERROR(INDEX(Diccionario!$H:$H,MATCH(F655,Diccionario!$C:$C,0)),"")</f>
        <v/>
      </c>
      <c r="N643">
        <f>IFERROR(INDEX(Diccionario!$N:$N,MATCH(F655,Diccionario!$C:$C,0)),"")</f>
        <v/>
      </c>
    </row>
    <row r="644" ht="14.25" customHeight="1" s="52">
      <c r="A644" t="inlineStr">
        <is>
          <t>2025-06</t>
        </is>
      </c>
      <c r="B644" t="inlineStr">
        <is>
          <t>Colombia</t>
        </is>
      </c>
      <c r="C644" t="inlineStr">
        <is>
          <t>Coco Colombia</t>
        </is>
      </c>
      <c r="D644" t="inlineStr">
        <is>
          <t>COP</t>
        </is>
      </c>
      <c r="E644" t="inlineStr">
        <is>
          <t>Real</t>
        </is>
      </c>
      <c r="F644" t="inlineStr">
        <is>
          <t>costo_operacion</t>
        </is>
      </c>
      <c r="H644" t="inlineStr">
        <is>
          <t>Personal</t>
        </is>
      </c>
      <c r="I644" t="n">
        <v>89000000</v>
      </c>
      <c r="J644" t="inlineStr">
        <is>
          <t>COP</t>
        </is>
      </c>
      <c r="L644">
        <f>IFERROR(INDEX(Diccionario!$B:$B,MATCH(F656,Diccionario!$C:$C,0)),"")</f>
        <v/>
      </c>
      <c r="M644">
        <f>IFERROR(INDEX(Diccionario!$H:$H,MATCH(F656,Diccionario!$C:$C,0)),"")</f>
        <v/>
      </c>
      <c r="N644">
        <f>IFERROR(INDEX(Diccionario!$N:$N,MATCH(F656,Diccionario!$C:$C,0)),"")</f>
        <v/>
      </c>
    </row>
    <row r="645" ht="14.25" customHeight="1" s="52">
      <c r="A645" t="inlineStr">
        <is>
          <t>2025-06</t>
        </is>
      </c>
      <c r="B645" t="inlineStr">
        <is>
          <t>Colombia</t>
        </is>
      </c>
      <c r="C645" t="inlineStr">
        <is>
          <t>Coco Colombia</t>
        </is>
      </c>
      <c r="D645" t="inlineStr">
        <is>
          <t>COP</t>
        </is>
      </c>
      <c r="E645" t="inlineStr">
        <is>
          <t>Real</t>
        </is>
      </c>
      <c r="F645" t="inlineStr">
        <is>
          <t>costo_operacion</t>
        </is>
      </c>
      <c r="H645" t="inlineStr">
        <is>
          <t>Honorario</t>
        </is>
      </c>
      <c r="I645" t="n">
        <v>2500000</v>
      </c>
      <c r="J645" t="inlineStr">
        <is>
          <t>COP</t>
        </is>
      </c>
      <c r="L645">
        <f>IFERROR(INDEX(Diccionario!$B:$B,MATCH(F657,Diccionario!$C:$C,0)),"")</f>
        <v/>
      </c>
      <c r="M645">
        <f>IFERROR(INDEX(Diccionario!$H:$H,MATCH(F657,Diccionario!$C:$C,0)),"")</f>
        <v/>
      </c>
      <c r="N645">
        <f>IFERROR(INDEX(Diccionario!$N:$N,MATCH(F657,Diccionario!$C:$C,0)),"")</f>
        <v/>
      </c>
    </row>
    <row r="646" ht="14.25" customHeight="1" s="52">
      <c r="A646" t="inlineStr">
        <is>
          <t>2025-06</t>
        </is>
      </c>
      <c r="B646" t="inlineStr">
        <is>
          <t>Colombia</t>
        </is>
      </c>
      <c r="C646" t="inlineStr">
        <is>
          <t>Coco Colombia</t>
        </is>
      </c>
      <c r="D646" t="inlineStr">
        <is>
          <t>COP</t>
        </is>
      </c>
      <c r="E646" t="inlineStr">
        <is>
          <t>Real</t>
        </is>
      </c>
      <c r="F646" t="inlineStr">
        <is>
          <t>costo_operacion</t>
        </is>
      </c>
      <c r="H646" t="inlineStr">
        <is>
          <t>Servicios</t>
        </is>
      </c>
      <c r="I646" t="n">
        <v>34500000</v>
      </c>
      <c r="J646" t="inlineStr">
        <is>
          <t>COP</t>
        </is>
      </c>
      <c r="L646">
        <f>IFERROR(INDEX(Diccionario!$B:$B,MATCH(F658,Diccionario!$C:$C,0)),"")</f>
        <v/>
      </c>
      <c r="M646">
        <f>IFERROR(INDEX(Diccionario!$H:$H,MATCH(F658,Diccionario!$C:$C,0)),"")</f>
        <v/>
      </c>
      <c r="N646">
        <f>IFERROR(INDEX(Diccionario!$N:$N,MATCH(F658,Diccionario!$C:$C,0)),"")</f>
        <v/>
      </c>
    </row>
    <row r="647" ht="14.25" customHeight="1" s="52">
      <c r="A647" t="inlineStr">
        <is>
          <t>2025-06</t>
        </is>
      </c>
      <c r="B647" t="inlineStr">
        <is>
          <t>Colombia</t>
        </is>
      </c>
      <c r="C647" t="inlineStr">
        <is>
          <t>Coco Colombia</t>
        </is>
      </c>
      <c r="D647" t="inlineStr">
        <is>
          <t>COP</t>
        </is>
      </c>
      <c r="E647" t="inlineStr">
        <is>
          <t>Real</t>
        </is>
      </c>
      <c r="F647" t="inlineStr">
        <is>
          <t>costo_operacion</t>
        </is>
      </c>
      <c r="H647" t="inlineStr">
        <is>
          <t>Mantenimientos</t>
        </is>
      </c>
      <c r="I647" t="n">
        <v>400000</v>
      </c>
      <c r="J647" t="inlineStr">
        <is>
          <t>COP</t>
        </is>
      </c>
      <c r="L647">
        <f>IFERROR(INDEX(Diccionario!$B:$B,MATCH(F659,Diccionario!$C:$C,0)),"")</f>
        <v/>
      </c>
      <c r="M647">
        <f>IFERROR(INDEX(Diccionario!$H:$H,MATCH(F659,Diccionario!$C:$C,0)),"")</f>
        <v/>
      </c>
      <c r="N647">
        <f>IFERROR(INDEX(Diccionario!$N:$N,MATCH(F659,Diccionario!$C:$C,0)),"")</f>
        <v/>
      </c>
    </row>
    <row r="648" ht="14.25" customHeight="1" s="52">
      <c r="A648" t="inlineStr">
        <is>
          <t>2025-06</t>
        </is>
      </c>
      <c r="B648" t="inlineStr">
        <is>
          <t>Colombia</t>
        </is>
      </c>
      <c r="C648" t="inlineStr">
        <is>
          <t>Coco Colombia</t>
        </is>
      </c>
      <c r="D648" t="inlineStr">
        <is>
          <t>COP</t>
        </is>
      </c>
      <c r="E648" t="inlineStr">
        <is>
          <t>Real</t>
        </is>
      </c>
      <c r="F648" t="inlineStr">
        <is>
          <t>costo_operacion</t>
        </is>
      </c>
      <c r="H648" t="inlineStr">
        <is>
          <t>Viajes</t>
        </is>
      </c>
      <c r="I648" t="n">
        <v>3630000</v>
      </c>
      <c r="J648" t="inlineStr">
        <is>
          <t>COP</t>
        </is>
      </c>
      <c r="L648">
        <f>IFERROR(INDEX(Diccionario!$B:$B,MATCH(F660,Diccionario!$C:$C,0)),"")</f>
        <v/>
      </c>
      <c r="M648">
        <f>IFERROR(INDEX(Diccionario!$H:$H,MATCH(F660,Diccionario!$C:$C,0)),"")</f>
        <v/>
      </c>
      <c r="N648">
        <f>IFERROR(INDEX(Diccionario!$N:$N,MATCH(F660,Diccionario!$C:$C,0)),"")</f>
        <v/>
      </c>
    </row>
    <row r="649" ht="14.25" customHeight="1" s="52">
      <c r="A649" t="inlineStr">
        <is>
          <t>2025-07</t>
        </is>
      </c>
      <c r="B649" t="inlineStr">
        <is>
          <t>Colombia</t>
        </is>
      </c>
      <c r="C649" t="inlineStr">
        <is>
          <t>Coco Colombia</t>
        </is>
      </c>
      <c r="D649" t="inlineStr">
        <is>
          <t>COP</t>
        </is>
      </c>
      <c r="E649" t="inlineStr">
        <is>
          <t>Real</t>
        </is>
      </c>
      <c r="F649" t="inlineStr">
        <is>
          <t>costo_operacion</t>
        </is>
      </c>
      <c r="H649" t="inlineStr">
        <is>
          <t>Personal</t>
        </is>
      </c>
      <c r="I649" t="n">
        <v>75200000</v>
      </c>
      <c r="J649" t="inlineStr">
        <is>
          <t>COP</t>
        </is>
      </c>
      <c r="L649">
        <f>IFERROR(INDEX(Diccionario!$B:$B,MATCH(F661,Diccionario!$C:$C,0)),"")</f>
        <v/>
      </c>
      <c r="M649">
        <f>IFERROR(INDEX(Diccionario!$H:$H,MATCH(F661,Diccionario!$C:$C,0)),"")</f>
        <v/>
      </c>
      <c r="N649">
        <f>IFERROR(INDEX(Diccionario!$N:$N,MATCH(F661,Diccionario!$C:$C,0)),"")</f>
        <v/>
      </c>
    </row>
    <row r="650" ht="14.25" customHeight="1" s="52">
      <c r="A650" t="inlineStr">
        <is>
          <t>2025-07</t>
        </is>
      </c>
      <c r="B650" t="inlineStr">
        <is>
          <t>Colombia</t>
        </is>
      </c>
      <c r="C650" t="inlineStr">
        <is>
          <t>Coco Colombia</t>
        </is>
      </c>
      <c r="D650" t="inlineStr">
        <is>
          <t>COP</t>
        </is>
      </c>
      <c r="E650" t="inlineStr">
        <is>
          <t>Real</t>
        </is>
      </c>
      <c r="F650" t="inlineStr">
        <is>
          <t>costo_operacion</t>
        </is>
      </c>
      <c r="H650" t="inlineStr">
        <is>
          <t>Honorario</t>
        </is>
      </c>
      <c r="I650" t="n">
        <v>500000</v>
      </c>
      <c r="J650" t="inlineStr">
        <is>
          <t>COP</t>
        </is>
      </c>
      <c r="L650">
        <f>IFERROR(INDEX(Diccionario!$B:$B,MATCH(F662,Diccionario!$C:$C,0)),"")</f>
        <v/>
      </c>
      <c r="M650">
        <f>IFERROR(INDEX(Diccionario!$H:$H,MATCH(F662,Diccionario!$C:$C,0)),"")</f>
        <v/>
      </c>
      <c r="N650">
        <f>IFERROR(INDEX(Diccionario!$N:$N,MATCH(F662,Diccionario!$C:$C,0)),"")</f>
        <v/>
      </c>
    </row>
    <row r="651" ht="14.25" customHeight="1" s="52">
      <c r="A651" t="inlineStr">
        <is>
          <t>2025-07</t>
        </is>
      </c>
      <c r="B651" t="inlineStr">
        <is>
          <t>Colombia</t>
        </is>
      </c>
      <c r="C651" t="inlineStr">
        <is>
          <t>Coco Colombia</t>
        </is>
      </c>
      <c r="D651" t="inlineStr">
        <is>
          <t>COP</t>
        </is>
      </c>
      <c r="E651" t="inlineStr">
        <is>
          <t>Real</t>
        </is>
      </c>
      <c r="F651" t="inlineStr">
        <is>
          <t>costo_operacion</t>
        </is>
      </c>
      <c r="H651" t="inlineStr">
        <is>
          <t>Servicios</t>
        </is>
      </c>
      <c r="I651" t="n">
        <v>17800000</v>
      </c>
      <c r="J651" t="inlineStr">
        <is>
          <t>COP</t>
        </is>
      </c>
      <c r="L651">
        <f>IFERROR(INDEX(Diccionario!$B:$B,MATCH(F663,Diccionario!$C:$C,0)),"")</f>
        <v/>
      </c>
      <c r="M651">
        <f>IFERROR(INDEX(Diccionario!$H:$H,MATCH(F663,Diccionario!$C:$C,0)),"")</f>
        <v/>
      </c>
      <c r="N651">
        <f>IFERROR(INDEX(Diccionario!$N:$N,MATCH(F663,Diccionario!$C:$C,0)),"")</f>
        <v/>
      </c>
    </row>
    <row r="652" ht="14.25" customHeight="1" s="52">
      <c r="A652" t="inlineStr">
        <is>
          <t>2025-07</t>
        </is>
      </c>
      <c r="B652" t="inlineStr">
        <is>
          <t>Colombia</t>
        </is>
      </c>
      <c r="C652" t="inlineStr">
        <is>
          <t>Coco Colombia</t>
        </is>
      </c>
      <c r="D652" t="inlineStr">
        <is>
          <t>COP</t>
        </is>
      </c>
      <c r="E652" t="inlineStr">
        <is>
          <t>Real</t>
        </is>
      </c>
      <c r="F652" t="inlineStr">
        <is>
          <t>costo_operacion</t>
        </is>
      </c>
      <c r="H652" t="inlineStr">
        <is>
          <t>Mantenimientos</t>
        </is>
      </c>
      <c r="I652" t="n">
        <v>0</v>
      </c>
      <c r="J652" t="inlineStr">
        <is>
          <t>COP</t>
        </is>
      </c>
      <c r="L652">
        <f>IFERROR(INDEX(Diccionario!$B:$B,MATCH(F664,Diccionario!$C:$C,0)),"")</f>
        <v/>
      </c>
      <c r="M652">
        <f>IFERROR(INDEX(Diccionario!$H:$H,MATCH(F664,Diccionario!$C:$C,0)),"")</f>
        <v/>
      </c>
      <c r="N652">
        <f>IFERROR(INDEX(Diccionario!$N:$N,MATCH(F664,Diccionario!$C:$C,0)),"")</f>
        <v/>
      </c>
    </row>
    <row r="653" ht="14.25" customHeight="1" s="52">
      <c r="A653" t="inlineStr">
        <is>
          <t>2025-07</t>
        </is>
      </c>
      <c r="B653" t="inlineStr">
        <is>
          <t>Colombia</t>
        </is>
      </c>
      <c r="C653" t="inlineStr">
        <is>
          <t>Coco Colombia</t>
        </is>
      </c>
      <c r="D653" t="inlineStr">
        <is>
          <t>COP</t>
        </is>
      </c>
      <c r="E653" t="inlineStr">
        <is>
          <t>Real</t>
        </is>
      </c>
      <c r="F653" t="inlineStr">
        <is>
          <t>costo_operacion</t>
        </is>
      </c>
      <c r="H653" t="inlineStr">
        <is>
          <t>Viajes</t>
        </is>
      </c>
      <c r="I653" t="n">
        <v>12400000</v>
      </c>
      <c r="J653" t="inlineStr">
        <is>
          <t>COP</t>
        </is>
      </c>
      <c r="L653">
        <f>IFERROR(INDEX(Diccionario!$B:$B,MATCH(F665,Diccionario!$C:$C,0)),"")</f>
        <v/>
      </c>
      <c r="M653">
        <f>IFERROR(INDEX(Diccionario!$H:$H,MATCH(F665,Diccionario!$C:$C,0)),"")</f>
        <v/>
      </c>
      <c r="N653">
        <f>IFERROR(INDEX(Diccionario!$N:$N,MATCH(F665,Diccionario!$C:$C,0)),"")</f>
        <v/>
      </c>
    </row>
    <row r="654" ht="14.25" customHeight="1" s="52">
      <c r="A654" t="inlineStr">
        <is>
          <t>2025-08</t>
        </is>
      </c>
      <c r="B654" t="inlineStr">
        <is>
          <t>Colombia</t>
        </is>
      </c>
      <c r="C654" t="inlineStr">
        <is>
          <t>Coco Colombia</t>
        </is>
      </c>
      <c r="D654" t="inlineStr">
        <is>
          <t>COP</t>
        </is>
      </c>
      <c r="E654" t="inlineStr">
        <is>
          <t>Real</t>
        </is>
      </c>
      <c r="F654" t="inlineStr">
        <is>
          <t>costo_operacion</t>
        </is>
      </c>
      <c r="H654" t="inlineStr">
        <is>
          <t>Personal</t>
        </is>
      </c>
      <c r="I654" t="n">
        <v>74000000</v>
      </c>
      <c r="J654" t="inlineStr">
        <is>
          <t>COP</t>
        </is>
      </c>
      <c r="L654">
        <f>IFERROR(INDEX(Diccionario!$B:$B,MATCH(F666,Diccionario!$C:$C,0)),"")</f>
        <v/>
      </c>
      <c r="M654">
        <f>IFERROR(INDEX(Diccionario!$H:$H,MATCH(F666,Diccionario!$C:$C,0)),"")</f>
        <v/>
      </c>
      <c r="N654">
        <f>IFERROR(INDEX(Diccionario!$N:$N,MATCH(F666,Diccionario!$C:$C,0)),"")</f>
        <v/>
      </c>
    </row>
    <row r="655" ht="14.25" customHeight="1" s="52">
      <c r="A655" t="inlineStr">
        <is>
          <t>2025-08</t>
        </is>
      </c>
      <c r="B655" t="inlineStr">
        <is>
          <t>Colombia</t>
        </is>
      </c>
      <c r="C655" t="inlineStr">
        <is>
          <t>Coco Colombia</t>
        </is>
      </c>
      <c r="D655" t="inlineStr">
        <is>
          <t>COP</t>
        </is>
      </c>
      <c r="E655" t="inlineStr">
        <is>
          <t>Real</t>
        </is>
      </c>
      <c r="F655" t="inlineStr">
        <is>
          <t>costo_operacion</t>
        </is>
      </c>
      <c r="H655" t="inlineStr">
        <is>
          <t>Honorario</t>
        </is>
      </c>
      <c r="I655" t="n">
        <v>0</v>
      </c>
      <c r="J655" t="inlineStr">
        <is>
          <t>COP</t>
        </is>
      </c>
      <c r="L655">
        <f>IFERROR(INDEX(Diccionario!$B:$B,MATCH(F667,Diccionario!$C:$C,0)),"")</f>
        <v/>
      </c>
      <c r="M655">
        <f>IFERROR(INDEX(Diccionario!$H:$H,MATCH(F667,Diccionario!$C:$C,0)),"")</f>
        <v/>
      </c>
      <c r="N655">
        <f>IFERROR(INDEX(Diccionario!$N:$N,MATCH(F667,Diccionario!$C:$C,0)),"")</f>
        <v/>
      </c>
    </row>
    <row r="656" ht="14.25" customHeight="1" s="52">
      <c r="A656" t="inlineStr">
        <is>
          <t>2025-08</t>
        </is>
      </c>
      <c r="B656" t="inlineStr">
        <is>
          <t>Colombia</t>
        </is>
      </c>
      <c r="C656" t="inlineStr">
        <is>
          <t>Coco Colombia</t>
        </is>
      </c>
      <c r="D656" t="inlineStr">
        <is>
          <t>COP</t>
        </is>
      </c>
      <c r="E656" t="inlineStr">
        <is>
          <t>Real</t>
        </is>
      </c>
      <c r="F656" t="inlineStr">
        <is>
          <t>costo_operacion</t>
        </is>
      </c>
      <c r="H656" t="inlineStr">
        <is>
          <t>Servicios</t>
        </is>
      </c>
      <c r="I656" t="n">
        <v>9000000</v>
      </c>
      <c r="J656" t="inlineStr">
        <is>
          <t>COP</t>
        </is>
      </c>
      <c r="L656">
        <f>IFERROR(INDEX(Diccionario!$B:$B,MATCH(F668,Diccionario!$C:$C,0)),"")</f>
        <v/>
      </c>
      <c r="M656">
        <f>IFERROR(INDEX(Diccionario!$H:$H,MATCH(F668,Diccionario!$C:$C,0)),"")</f>
        <v/>
      </c>
      <c r="N656">
        <f>IFERROR(INDEX(Diccionario!$N:$N,MATCH(F668,Diccionario!$C:$C,0)),"")</f>
        <v/>
      </c>
    </row>
    <row r="657" ht="14.25" customHeight="1" s="52">
      <c r="A657" t="inlineStr">
        <is>
          <t>2025-08</t>
        </is>
      </c>
      <c r="B657" t="inlineStr">
        <is>
          <t>Colombia</t>
        </is>
      </c>
      <c r="C657" t="inlineStr">
        <is>
          <t>Coco Colombia</t>
        </is>
      </c>
      <c r="D657" t="inlineStr">
        <is>
          <t>COP</t>
        </is>
      </c>
      <c r="E657" t="inlineStr">
        <is>
          <t>Real</t>
        </is>
      </c>
      <c r="F657" t="inlineStr">
        <is>
          <t>costo_operacion</t>
        </is>
      </c>
      <c r="H657" t="inlineStr">
        <is>
          <t>Mantenimientos</t>
        </is>
      </c>
      <c r="I657" t="n">
        <v>0</v>
      </c>
      <c r="J657" t="inlineStr">
        <is>
          <t>COP</t>
        </is>
      </c>
      <c r="L657">
        <f>IFERROR(INDEX(Diccionario!$B:$B,MATCH(F669,Diccionario!$C:$C,0)),"")</f>
        <v/>
      </c>
      <c r="M657">
        <f>IFERROR(INDEX(Diccionario!$H:$H,MATCH(F669,Diccionario!$C:$C,0)),"")</f>
        <v/>
      </c>
      <c r="N657">
        <f>IFERROR(INDEX(Diccionario!$N:$N,MATCH(F669,Diccionario!$C:$C,0)),"")</f>
        <v/>
      </c>
    </row>
    <row r="658" ht="14.25" customHeight="1" s="52">
      <c r="A658" t="inlineStr">
        <is>
          <t>2025-08</t>
        </is>
      </c>
      <c r="B658" t="inlineStr">
        <is>
          <t>Colombia</t>
        </is>
      </c>
      <c r="C658" t="inlineStr">
        <is>
          <t>Coco Colombia</t>
        </is>
      </c>
      <c r="D658" t="inlineStr">
        <is>
          <t>COP</t>
        </is>
      </c>
      <c r="E658" t="inlineStr">
        <is>
          <t>Real</t>
        </is>
      </c>
      <c r="F658" t="inlineStr">
        <is>
          <t>costo_operacion</t>
        </is>
      </c>
      <c r="H658" t="inlineStr">
        <is>
          <t>Viajes</t>
        </is>
      </c>
      <c r="I658" t="n">
        <v>16400000</v>
      </c>
      <c r="J658" t="inlineStr">
        <is>
          <t>COP</t>
        </is>
      </c>
      <c r="L658">
        <f>IFERROR(INDEX(Diccionario!$B:$B,MATCH(F670,Diccionario!$C:$C,0)),"")</f>
        <v/>
      </c>
      <c r="M658">
        <f>IFERROR(INDEX(Diccionario!$H:$H,MATCH(F670,Diccionario!$C:$C,0)),"")</f>
        <v/>
      </c>
      <c r="N658">
        <f>IFERROR(INDEX(Diccionario!$N:$N,MATCH(F670,Diccionario!$C:$C,0)),"")</f>
        <v/>
      </c>
    </row>
    <row r="659" ht="14.25" customHeight="1" s="52">
      <c r="A659" t="inlineStr">
        <is>
          <t>2025-09</t>
        </is>
      </c>
      <c r="B659" t="inlineStr">
        <is>
          <t>Colombia</t>
        </is>
      </c>
      <c r="C659" t="inlineStr">
        <is>
          <t>Coco Colombia</t>
        </is>
      </c>
      <c r="D659" t="inlineStr">
        <is>
          <t>COP</t>
        </is>
      </c>
      <c r="E659" t="inlineStr">
        <is>
          <t>Real</t>
        </is>
      </c>
      <c r="F659" t="inlineStr">
        <is>
          <t>costo_operacion</t>
        </is>
      </c>
      <c r="H659" t="inlineStr">
        <is>
          <t>Personal</t>
        </is>
      </c>
      <c r="I659" t="n">
        <v>62500000</v>
      </c>
      <c r="J659" t="inlineStr">
        <is>
          <t>COP</t>
        </is>
      </c>
      <c r="L659">
        <f>IFERROR(INDEX(Diccionario!$B:$B,MATCH(F671,Diccionario!$C:$C,0)),"")</f>
        <v/>
      </c>
      <c r="M659">
        <f>IFERROR(INDEX(Diccionario!$H:$H,MATCH(F671,Diccionario!$C:$C,0)),"")</f>
        <v/>
      </c>
      <c r="N659">
        <f>IFERROR(INDEX(Diccionario!$N:$N,MATCH(F671,Diccionario!$C:$C,0)),"")</f>
        <v/>
      </c>
    </row>
    <row r="660" ht="14.25" customHeight="1" s="52">
      <c r="A660" t="inlineStr">
        <is>
          <t>2025-09</t>
        </is>
      </c>
      <c r="B660" t="inlineStr">
        <is>
          <t>Colombia</t>
        </is>
      </c>
      <c r="C660" t="inlineStr">
        <is>
          <t>Coco Colombia</t>
        </is>
      </c>
      <c r="D660" t="inlineStr">
        <is>
          <t>COP</t>
        </is>
      </c>
      <c r="E660" t="inlineStr">
        <is>
          <t>Real</t>
        </is>
      </c>
      <c r="F660" t="inlineStr">
        <is>
          <t>costo_operacion</t>
        </is>
      </c>
      <c r="H660" t="inlineStr">
        <is>
          <t>Honorario</t>
        </is>
      </c>
      <c r="I660" t="n">
        <v>4000000</v>
      </c>
      <c r="J660" t="inlineStr">
        <is>
          <t>COP</t>
        </is>
      </c>
      <c r="L660">
        <f>IFERROR(INDEX(Diccionario!$B:$B,MATCH(F672,Diccionario!$C:$C,0)),"")</f>
        <v/>
      </c>
      <c r="M660">
        <f>IFERROR(INDEX(Diccionario!$H:$H,MATCH(F672,Diccionario!$C:$C,0)),"")</f>
        <v/>
      </c>
      <c r="N660">
        <f>IFERROR(INDEX(Diccionario!$N:$N,MATCH(F672,Diccionario!$C:$C,0)),"")</f>
        <v/>
      </c>
    </row>
    <row r="661" ht="14.25" customHeight="1" s="52">
      <c r="A661" t="inlineStr">
        <is>
          <t>2025-09</t>
        </is>
      </c>
      <c r="B661" t="inlineStr">
        <is>
          <t>Colombia</t>
        </is>
      </c>
      <c r="C661" t="inlineStr">
        <is>
          <t>Coco Colombia</t>
        </is>
      </c>
      <c r="D661" t="inlineStr">
        <is>
          <t>COP</t>
        </is>
      </c>
      <c r="E661" t="inlineStr">
        <is>
          <t>Real</t>
        </is>
      </c>
      <c r="F661" t="inlineStr">
        <is>
          <t>costo_operacion</t>
        </is>
      </c>
      <c r="H661" t="inlineStr">
        <is>
          <t>Servicios</t>
        </is>
      </c>
      <c r="I661" t="n">
        <v>9800000</v>
      </c>
      <c r="J661" t="inlineStr">
        <is>
          <t>COP</t>
        </is>
      </c>
      <c r="L661">
        <f>IFERROR(INDEX(Diccionario!$B:$B,MATCH(F673,Diccionario!$C:$C,0)),"")</f>
        <v/>
      </c>
      <c r="M661">
        <f>IFERROR(INDEX(Diccionario!$H:$H,MATCH(F673,Diccionario!$C:$C,0)),"")</f>
        <v/>
      </c>
      <c r="N661">
        <f>IFERROR(INDEX(Diccionario!$N:$N,MATCH(F673,Diccionario!$C:$C,0)),"")</f>
        <v/>
      </c>
    </row>
    <row r="662" ht="14.25" customHeight="1" s="52">
      <c r="A662" t="inlineStr">
        <is>
          <t>2025-09</t>
        </is>
      </c>
      <c r="B662" t="inlineStr">
        <is>
          <t>Colombia</t>
        </is>
      </c>
      <c r="C662" t="inlineStr">
        <is>
          <t>Coco Colombia</t>
        </is>
      </c>
      <c r="D662" t="inlineStr">
        <is>
          <t>COP</t>
        </is>
      </c>
      <c r="E662" t="inlineStr">
        <is>
          <t>Real</t>
        </is>
      </c>
      <c r="F662" t="inlineStr">
        <is>
          <t>costo_operacion</t>
        </is>
      </c>
      <c r="H662" t="inlineStr">
        <is>
          <t>Mantenimientos</t>
        </is>
      </c>
      <c r="I662" t="n">
        <v>500000</v>
      </c>
      <c r="J662" t="inlineStr">
        <is>
          <t>COP</t>
        </is>
      </c>
      <c r="L662">
        <f>IFERROR(INDEX(Diccionario!$B:$B,MATCH(F674,Diccionario!$C:$C,0)),"")</f>
        <v/>
      </c>
      <c r="M662">
        <f>IFERROR(INDEX(Diccionario!$H:$H,MATCH(F674,Diccionario!$C:$C,0)),"")</f>
        <v/>
      </c>
      <c r="N662">
        <f>IFERROR(INDEX(Diccionario!$N:$N,MATCH(F674,Diccionario!$C:$C,0)),"")</f>
        <v/>
      </c>
    </row>
    <row r="663" ht="14.25" customHeight="1" s="52">
      <c r="A663" t="inlineStr">
        <is>
          <t>2025-09</t>
        </is>
      </c>
      <c r="B663" t="inlineStr">
        <is>
          <t>Colombia</t>
        </is>
      </c>
      <c r="C663" t="inlineStr">
        <is>
          <t>Coco Colombia</t>
        </is>
      </c>
      <c r="D663" t="inlineStr">
        <is>
          <t>COP</t>
        </is>
      </c>
      <c r="E663" t="inlineStr">
        <is>
          <t>Real</t>
        </is>
      </c>
      <c r="F663" t="inlineStr">
        <is>
          <t>costo_operacion</t>
        </is>
      </c>
      <c r="H663" t="inlineStr">
        <is>
          <t>Viajes</t>
        </is>
      </c>
      <c r="I663" t="n">
        <v>8600000</v>
      </c>
      <c r="J663" t="inlineStr">
        <is>
          <t>COP</t>
        </is>
      </c>
      <c r="L663">
        <f>IFERROR(INDEX(Diccionario!$B:$B,MATCH(F675,Diccionario!$C:$C,0)),"")</f>
        <v/>
      </c>
      <c r="M663">
        <f>IFERROR(INDEX(Diccionario!$H:$H,MATCH(F675,Diccionario!$C:$C,0)),"")</f>
        <v/>
      </c>
      <c r="N663">
        <f>IFERROR(INDEX(Diccionario!$N:$N,MATCH(F675,Diccionario!$C:$C,0)),"")</f>
        <v/>
      </c>
    </row>
    <row r="664" ht="14.25" customHeight="1" s="52">
      <c r="A664" t="inlineStr">
        <is>
          <t>2025-10</t>
        </is>
      </c>
      <c r="B664" t="inlineStr">
        <is>
          <t>Colombia</t>
        </is>
      </c>
      <c r="C664" t="inlineStr">
        <is>
          <t>Coco Colombia</t>
        </is>
      </c>
      <c r="D664" t="inlineStr">
        <is>
          <t>COP</t>
        </is>
      </c>
      <c r="E664" t="inlineStr">
        <is>
          <t>Real</t>
        </is>
      </c>
      <c r="F664" t="inlineStr">
        <is>
          <t>costo_operacion</t>
        </is>
      </c>
      <c r="H664" t="inlineStr">
        <is>
          <t>Personal</t>
        </is>
      </c>
      <c r="I664" t="n">
        <v>62900000</v>
      </c>
      <c r="J664" t="inlineStr">
        <is>
          <t>COP</t>
        </is>
      </c>
      <c r="L664">
        <f>IFERROR(INDEX(Diccionario!$B:$B,MATCH(F676,Diccionario!$C:$C,0)),"")</f>
        <v/>
      </c>
      <c r="M664">
        <f>IFERROR(INDEX(Diccionario!$H:$H,MATCH(F676,Diccionario!$C:$C,0)),"")</f>
        <v/>
      </c>
      <c r="N664">
        <f>IFERROR(INDEX(Diccionario!$N:$N,MATCH(F676,Diccionario!$C:$C,0)),"")</f>
        <v/>
      </c>
    </row>
    <row r="665" ht="14.25" customHeight="1" s="52">
      <c r="A665" t="inlineStr">
        <is>
          <t>2025-10</t>
        </is>
      </c>
      <c r="B665" t="inlineStr">
        <is>
          <t>Colombia</t>
        </is>
      </c>
      <c r="C665" t="inlineStr">
        <is>
          <t>Coco Colombia</t>
        </is>
      </c>
      <c r="D665" t="inlineStr">
        <is>
          <t>COP</t>
        </is>
      </c>
      <c r="E665" t="inlineStr">
        <is>
          <t>Real</t>
        </is>
      </c>
      <c r="F665" t="inlineStr">
        <is>
          <t>costo_operacion</t>
        </is>
      </c>
      <c r="H665" t="inlineStr">
        <is>
          <t>Honorario</t>
        </is>
      </c>
      <c r="I665" t="n">
        <v>1900000</v>
      </c>
      <c r="J665" t="inlineStr">
        <is>
          <t>COP</t>
        </is>
      </c>
      <c r="L665">
        <f>IFERROR(INDEX(Diccionario!$B:$B,MATCH(F677,Diccionario!$C:$C,0)),"")</f>
        <v/>
      </c>
      <c r="M665">
        <f>IFERROR(INDEX(Diccionario!$H:$H,MATCH(F677,Diccionario!$C:$C,0)),"")</f>
        <v/>
      </c>
      <c r="N665">
        <f>IFERROR(INDEX(Diccionario!$N:$N,MATCH(F677,Diccionario!$C:$C,0)),"")</f>
        <v/>
      </c>
    </row>
    <row r="666" ht="14.25" customHeight="1" s="52">
      <c r="A666" t="inlineStr">
        <is>
          <t>2025-10</t>
        </is>
      </c>
      <c r="B666" t="inlineStr">
        <is>
          <t>Colombia</t>
        </is>
      </c>
      <c r="C666" t="inlineStr">
        <is>
          <t>Coco Colombia</t>
        </is>
      </c>
      <c r="D666" t="inlineStr">
        <is>
          <t>COP</t>
        </is>
      </c>
      <c r="E666" t="inlineStr">
        <is>
          <t>Real</t>
        </is>
      </c>
      <c r="F666" t="inlineStr">
        <is>
          <t>costo_operacion</t>
        </is>
      </c>
      <c r="H666" t="inlineStr">
        <is>
          <t>Servicios</t>
        </is>
      </c>
      <c r="I666" t="n">
        <v>22600000</v>
      </c>
      <c r="J666" t="inlineStr">
        <is>
          <t>COP</t>
        </is>
      </c>
      <c r="L666">
        <f>IFERROR(INDEX(Diccionario!$B:$B,MATCH(F678,Diccionario!$C:$C,0)),"")</f>
        <v/>
      </c>
      <c r="M666">
        <f>IFERROR(INDEX(Diccionario!$H:$H,MATCH(F678,Diccionario!$C:$C,0)),"")</f>
        <v/>
      </c>
      <c r="N666">
        <f>IFERROR(INDEX(Diccionario!$N:$N,MATCH(F678,Diccionario!$C:$C,0)),"")</f>
        <v/>
      </c>
    </row>
    <row r="667" ht="14.25" customHeight="1" s="52">
      <c r="A667" t="inlineStr">
        <is>
          <t>2025-10</t>
        </is>
      </c>
      <c r="B667" t="inlineStr">
        <is>
          <t>Colombia</t>
        </is>
      </c>
      <c r="C667" t="inlineStr">
        <is>
          <t>Coco Colombia</t>
        </is>
      </c>
      <c r="D667" t="inlineStr">
        <is>
          <t>COP</t>
        </is>
      </c>
      <c r="E667" t="inlineStr">
        <is>
          <t>Real</t>
        </is>
      </c>
      <c r="F667" t="inlineStr">
        <is>
          <t>costo_operacion</t>
        </is>
      </c>
      <c r="H667" t="inlineStr">
        <is>
          <t>Mantenimientos</t>
        </is>
      </c>
      <c r="I667" t="n">
        <v>0</v>
      </c>
      <c r="J667" t="inlineStr">
        <is>
          <t>COP</t>
        </is>
      </c>
      <c r="L667">
        <f>IFERROR(INDEX(Diccionario!$B:$B,MATCH(F679,Diccionario!$C:$C,0)),"")</f>
        <v/>
      </c>
      <c r="M667">
        <f>IFERROR(INDEX(Diccionario!$H:$H,MATCH(F679,Diccionario!$C:$C,0)),"")</f>
        <v/>
      </c>
      <c r="N667">
        <f>IFERROR(INDEX(Diccionario!$N:$N,MATCH(F679,Diccionario!$C:$C,0)),"")</f>
        <v/>
      </c>
    </row>
    <row r="668" ht="14.25" customHeight="1" s="52">
      <c r="A668" t="inlineStr">
        <is>
          <t>2025-10</t>
        </is>
      </c>
      <c r="B668" t="inlineStr">
        <is>
          <t>Colombia</t>
        </is>
      </c>
      <c r="C668" t="inlineStr">
        <is>
          <t>Coco Colombia</t>
        </is>
      </c>
      <c r="D668" t="inlineStr">
        <is>
          <t>COP</t>
        </is>
      </c>
      <c r="E668" t="inlineStr">
        <is>
          <t>Real</t>
        </is>
      </c>
      <c r="F668" t="inlineStr">
        <is>
          <t>costo_operacion</t>
        </is>
      </c>
      <c r="H668" t="inlineStr">
        <is>
          <t>Viajes</t>
        </is>
      </c>
      <c r="I668" t="n">
        <v>21400000</v>
      </c>
      <c r="J668" t="inlineStr">
        <is>
          <t>COP</t>
        </is>
      </c>
      <c r="L668">
        <f>IFERROR(INDEX(Diccionario!$B:$B,MATCH(F680,Diccionario!$C:$C,0)),"")</f>
        <v/>
      </c>
      <c r="M668">
        <f>IFERROR(INDEX(Diccionario!$H:$H,MATCH(F680,Diccionario!$C:$C,0)),"")</f>
        <v/>
      </c>
      <c r="N668">
        <f>IFERROR(INDEX(Diccionario!$N:$N,MATCH(F680,Diccionario!$C:$C,0)),"")</f>
        <v/>
      </c>
    </row>
    <row r="669" ht="14.25" customHeight="1" s="52">
      <c r="A669" t="inlineStr">
        <is>
          <t>2025-11</t>
        </is>
      </c>
      <c r="B669" t="inlineStr">
        <is>
          <t>Colombia</t>
        </is>
      </c>
      <c r="C669" t="inlineStr">
        <is>
          <t>Coco Colombia</t>
        </is>
      </c>
      <c r="D669" t="inlineStr">
        <is>
          <t>COP</t>
        </is>
      </c>
      <c r="E669" t="inlineStr">
        <is>
          <t>Real</t>
        </is>
      </c>
      <c r="F669" t="inlineStr">
        <is>
          <t>costo_operacion</t>
        </is>
      </c>
      <c r="H669" t="inlineStr">
        <is>
          <t>Personal</t>
        </is>
      </c>
      <c r="I669" t="n">
        <v>59500000</v>
      </c>
      <c r="J669" t="inlineStr">
        <is>
          <t>COP</t>
        </is>
      </c>
      <c r="L669">
        <f>IFERROR(INDEX(Diccionario!$B:$B,MATCH(F681,Diccionario!$C:$C,0)),"")</f>
        <v/>
      </c>
      <c r="M669">
        <f>IFERROR(INDEX(Diccionario!$H:$H,MATCH(F681,Diccionario!$C:$C,0)),"")</f>
        <v/>
      </c>
      <c r="N669">
        <f>IFERROR(INDEX(Diccionario!$N:$N,MATCH(F681,Diccionario!$C:$C,0)),"")</f>
        <v/>
      </c>
    </row>
    <row r="670" ht="14.25" customHeight="1" s="52">
      <c r="A670" t="inlineStr">
        <is>
          <t>2025-11</t>
        </is>
      </c>
      <c r="B670" t="inlineStr">
        <is>
          <t>Colombia</t>
        </is>
      </c>
      <c r="C670" t="inlineStr">
        <is>
          <t>Coco Colombia</t>
        </is>
      </c>
      <c r="D670" t="inlineStr">
        <is>
          <t>COP</t>
        </is>
      </c>
      <c r="E670" t="inlineStr">
        <is>
          <t>Real</t>
        </is>
      </c>
      <c r="F670" t="inlineStr">
        <is>
          <t>costo_operacion</t>
        </is>
      </c>
      <c r="H670" t="inlineStr">
        <is>
          <t>Honorario</t>
        </is>
      </c>
      <c r="I670" t="n">
        <v>0</v>
      </c>
      <c r="J670" t="inlineStr">
        <is>
          <t>COP</t>
        </is>
      </c>
      <c r="L670">
        <f>IFERROR(INDEX(Diccionario!$B:$B,MATCH(F682,Diccionario!$C:$C,0)),"")</f>
        <v/>
      </c>
      <c r="M670">
        <f>IFERROR(INDEX(Diccionario!$H:$H,MATCH(F682,Diccionario!$C:$C,0)),"")</f>
        <v/>
      </c>
      <c r="N670">
        <f>IFERROR(INDEX(Diccionario!$N:$N,MATCH(F682,Diccionario!$C:$C,0)),"")</f>
        <v/>
      </c>
    </row>
    <row r="671" ht="14.25" customHeight="1" s="52">
      <c r="A671" t="inlineStr">
        <is>
          <t>2025-11</t>
        </is>
      </c>
      <c r="B671" t="inlineStr">
        <is>
          <t>Colombia</t>
        </is>
      </c>
      <c r="C671" t="inlineStr">
        <is>
          <t>Coco Colombia</t>
        </is>
      </c>
      <c r="D671" t="inlineStr">
        <is>
          <t>COP</t>
        </is>
      </c>
      <c r="E671" t="inlineStr">
        <is>
          <t>Real</t>
        </is>
      </c>
      <c r="F671" t="inlineStr">
        <is>
          <t>costo_operacion</t>
        </is>
      </c>
      <c r="H671" t="inlineStr">
        <is>
          <t>Servicios</t>
        </is>
      </c>
      <c r="I671" t="n">
        <v>9900000</v>
      </c>
      <c r="J671" t="inlineStr">
        <is>
          <t>COP</t>
        </is>
      </c>
      <c r="L671">
        <f>IFERROR(INDEX(Diccionario!$B:$B,MATCH(F683,Diccionario!$C:$C,0)),"")</f>
        <v/>
      </c>
      <c r="M671">
        <f>IFERROR(INDEX(Diccionario!$H:$H,MATCH(F683,Diccionario!$C:$C,0)),"")</f>
        <v/>
      </c>
      <c r="N671">
        <f>IFERROR(INDEX(Diccionario!$N:$N,MATCH(F683,Diccionario!$C:$C,0)),"")</f>
        <v/>
      </c>
    </row>
    <row r="672" ht="14.25" customHeight="1" s="52">
      <c r="A672" t="inlineStr">
        <is>
          <t>2025-11</t>
        </is>
      </c>
      <c r="B672" t="inlineStr">
        <is>
          <t>Colombia</t>
        </is>
      </c>
      <c r="C672" t="inlineStr">
        <is>
          <t>Coco Colombia</t>
        </is>
      </c>
      <c r="D672" t="inlineStr">
        <is>
          <t>COP</t>
        </is>
      </c>
      <c r="E672" t="inlineStr">
        <is>
          <t>Real</t>
        </is>
      </c>
      <c r="F672" t="inlineStr">
        <is>
          <t>costo_operacion</t>
        </is>
      </c>
      <c r="H672" t="inlineStr">
        <is>
          <t>Mantenimientos</t>
        </is>
      </c>
      <c r="I672" t="n">
        <v>0</v>
      </c>
      <c r="J672" t="inlineStr">
        <is>
          <t>COP</t>
        </is>
      </c>
      <c r="L672">
        <f>IFERROR(INDEX(Diccionario!$B:$B,MATCH(F684,Diccionario!$C:$C,0)),"")</f>
        <v/>
      </c>
      <c r="M672">
        <f>IFERROR(INDEX(Diccionario!$H:$H,MATCH(F684,Diccionario!$C:$C,0)),"")</f>
        <v/>
      </c>
      <c r="N672">
        <f>IFERROR(INDEX(Diccionario!$N:$N,MATCH(F684,Diccionario!$C:$C,0)),"")</f>
        <v/>
      </c>
    </row>
    <row r="673" ht="14.25" customHeight="1" s="52">
      <c r="A673" t="inlineStr">
        <is>
          <t>2025-11</t>
        </is>
      </c>
      <c r="B673" t="inlineStr">
        <is>
          <t>Colombia</t>
        </is>
      </c>
      <c r="C673" t="inlineStr">
        <is>
          <t>Coco Colombia</t>
        </is>
      </c>
      <c r="D673" t="inlineStr">
        <is>
          <t>COP</t>
        </is>
      </c>
      <c r="E673" t="inlineStr">
        <is>
          <t>Real</t>
        </is>
      </c>
      <c r="F673" t="inlineStr">
        <is>
          <t>costo_operacion</t>
        </is>
      </c>
      <c r="H673" t="inlineStr">
        <is>
          <t>Viajes</t>
        </is>
      </c>
      <c r="I673" t="n">
        <v>2300000</v>
      </c>
      <c r="J673" t="inlineStr">
        <is>
          <t>COP</t>
        </is>
      </c>
      <c r="L673">
        <f>IFERROR(INDEX(Diccionario!$B:$B,MATCH(F685,Diccionario!$C:$C,0)),"")</f>
        <v/>
      </c>
      <c r="M673">
        <f>IFERROR(INDEX(Diccionario!$H:$H,MATCH(F685,Diccionario!$C:$C,0)),"")</f>
        <v/>
      </c>
      <c r="N673">
        <f>IFERROR(INDEX(Diccionario!$N:$N,MATCH(F685,Diccionario!$C:$C,0)),"")</f>
        <v/>
      </c>
    </row>
    <row r="674" ht="14.25" customHeight="1" s="52">
      <c r="A674" t="inlineStr">
        <is>
          <t>2025-12</t>
        </is>
      </c>
      <c r="B674" t="inlineStr">
        <is>
          <t>Colombia</t>
        </is>
      </c>
      <c r="C674" t="inlineStr">
        <is>
          <t>Coco Colombia</t>
        </is>
      </c>
      <c r="D674" t="inlineStr">
        <is>
          <t>COP</t>
        </is>
      </c>
      <c r="E674" t="inlineStr">
        <is>
          <t>Real</t>
        </is>
      </c>
      <c r="F674" t="inlineStr">
        <is>
          <t>costo_operacion</t>
        </is>
      </c>
      <c r="H674" t="inlineStr">
        <is>
          <t>Personal</t>
        </is>
      </c>
      <c r="I674" t="n">
        <v>60800000</v>
      </c>
      <c r="J674" t="inlineStr">
        <is>
          <t>COP</t>
        </is>
      </c>
      <c r="L674">
        <f>IFERROR(INDEX(Diccionario!$B:$B,MATCH(F686,Diccionario!$C:$C,0)),"")</f>
        <v/>
      </c>
      <c r="M674">
        <f>IFERROR(INDEX(Diccionario!$H:$H,MATCH(F686,Diccionario!$C:$C,0)),"")</f>
        <v/>
      </c>
      <c r="N674">
        <f>IFERROR(INDEX(Diccionario!$N:$N,MATCH(F686,Diccionario!$C:$C,0)),"")</f>
        <v/>
      </c>
    </row>
    <row r="675" ht="14.25" customHeight="1" s="52">
      <c r="A675" t="inlineStr">
        <is>
          <t>2025-12</t>
        </is>
      </c>
      <c r="B675" t="inlineStr">
        <is>
          <t>Colombia</t>
        </is>
      </c>
      <c r="C675" t="inlineStr">
        <is>
          <t>Coco Colombia</t>
        </is>
      </c>
      <c r="D675" t="inlineStr">
        <is>
          <t>COP</t>
        </is>
      </c>
      <c r="E675" t="inlineStr">
        <is>
          <t>Real</t>
        </is>
      </c>
      <c r="F675" t="inlineStr">
        <is>
          <t>costo_operacion</t>
        </is>
      </c>
      <c r="H675" t="inlineStr">
        <is>
          <t>Honorario</t>
        </is>
      </c>
      <c r="I675" t="n">
        <v>4300000</v>
      </c>
      <c r="J675" t="inlineStr">
        <is>
          <t>COP</t>
        </is>
      </c>
      <c r="L675">
        <f>IFERROR(INDEX(Diccionario!$B:$B,MATCH(F687,Diccionario!$C:$C,0)),"")</f>
        <v/>
      </c>
      <c r="M675">
        <f>IFERROR(INDEX(Diccionario!$H:$H,MATCH(F687,Diccionario!$C:$C,0)),"")</f>
        <v/>
      </c>
      <c r="N675">
        <f>IFERROR(INDEX(Diccionario!$N:$N,MATCH(F687,Diccionario!$C:$C,0)),"")</f>
        <v/>
      </c>
    </row>
    <row r="676" ht="14.25" customHeight="1" s="52">
      <c r="A676" t="inlineStr">
        <is>
          <t>2025-12</t>
        </is>
      </c>
      <c r="B676" t="inlineStr">
        <is>
          <t>Colombia</t>
        </is>
      </c>
      <c r="C676" t="inlineStr">
        <is>
          <t>Coco Colombia</t>
        </is>
      </c>
      <c r="D676" t="inlineStr">
        <is>
          <t>COP</t>
        </is>
      </c>
      <c r="E676" t="inlineStr">
        <is>
          <t>Real</t>
        </is>
      </c>
      <c r="F676" t="inlineStr">
        <is>
          <t>costo_operacion</t>
        </is>
      </c>
      <c r="H676" t="inlineStr">
        <is>
          <t>Servicios</t>
        </is>
      </c>
      <c r="I676" t="n">
        <v>21900000</v>
      </c>
      <c r="J676" t="inlineStr">
        <is>
          <t>COP</t>
        </is>
      </c>
      <c r="L676">
        <f>IFERROR(INDEX(Diccionario!$B:$B,MATCH(F688,Diccionario!$C:$C,0)),"")</f>
        <v/>
      </c>
      <c r="M676">
        <f>IFERROR(INDEX(Diccionario!$H:$H,MATCH(F688,Diccionario!$C:$C,0)),"")</f>
        <v/>
      </c>
      <c r="N676">
        <f>IFERROR(INDEX(Diccionario!$N:$N,MATCH(F688,Diccionario!$C:$C,0)),"")</f>
        <v/>
      </c>
    </row>
    <row r="677" ht="14.25" customHeight="1" s="52">
      <c r="A677" t="inlineStr">
        <is>
          <t>2025-12</t>
        </is>
      </c>
      <c r="B677" t="inlineStr">
        <is>
          <t>Colombia</t>
        </is>
      </c>
      <c r="C677" t="inlineStr">
        <is>
          <t>Coco Colombia</t>
        </is>
      </c>
      <c r="D677" t="inlineStr">
        <is>
          <t>COP</t>
        </is>
      </c>
      <c r="E677" t="inlineStr">
        <is>
          <t>Real</t>
        </is>
      </c>
      <c r="F677" t="inlineStr">
        <is>
          <t>costo_operacion</t>
        </is>
      </c>
      <c r="H677" t="inlineStr">
        <is>
          <t>Mantenimientos</t>
        </is>
      </c>
      <c r="I677" t="n">
        <v>0</v>
      </c>
      <c r="J677" t="inlineStr">
        <is>
          <t>COP</t>
        </is>
      </c>
      <c r="L677">
        <f>IFERROR(INDEX(Diccionario!$B:$B,MATCH(F689,Diccionario!$C:$C,0)),"")</f>
        <v/>
      </c>
      <c r="M677">
        <f>IFERROR(INDEX(Diccionario!$H:$H,MATCH(F689,Diccionario!$C:$C,0)),"")</f>
        <v/>
      </c>
      <c r="N677">
        <f>IFERROR(INDEX(Diccionario!$N:$N,MATCH(F689,Diccionario!$C:$C,0)),"")</f>
        <v/>
      </c>
    </row>
    <row r="678" ht="14.25" customHeight="1" s="52">
      <c r="A678" t="inlineStr">
        <is>
          <t>2025-12</t>
        </is>
      </c>
      <c r="B678" t="inlineStr">
        <is>
          <t>Colombia</t>
        </is>
      </c>
      <c r="C678" t="inlineStr">
        <is>
          <t>Coco Colombia</t>
        </is>
      </c>
      <c r="D678" t="inlineStr">
        <is>
          <t>COP</t>
        </is>
      </c>
      <c r="E678" t="inlineStr">
        <is>
          <t>Real</t>
        </is>
      </c>
      <c r="F678" t="inlineStr">
        <is>
          <t>costo_operacion</t>
        </is>
      </c>
      <c r="H678" t="inlineStr">
        <is>
          <t>Viajes</t>
        </is>
      </c>
      <c r="I678" t="n">
        <v>2300000</v>
      </c>
      <c r="J678" t="inlineStr">
        <is>
          <t>COP</t>
        </is>
      </c>
      <c r="L678">
        <f>IFERROR(INDEX(Diccionario!$B:$B,MATCH(F690,Diccionario!$C:$C,0)),"")</f>
        <v/>
      </c>
      <c r="M678">
        <f>IFERROR(INDEX(Diccionario!$H:$H,MATCH(F690,Diccionario!$C:$C,0)),"")</f>
        <v/>
      </c>
      <c r="N678">
        <f>IFERROR(INDEX(Diccionario!$N:$N,MATCH(F690,Diccionario!$C:$C,0)),"")</f>
        <v/>
      </c>
    </row>
    <row r="679" ht="14.25" customHeight="1" s="52">
      <c r="A679" t="inlineStr">
        <is>
          <t>2026-01</t>
        </is>
      </c>
      <c r="B679" t="inlineStr">
        <is>
          <t>Colombia</t>
        </is>
      </c>
      <c r="C679" t="inlineStr">
        <is>
          <t>Coco Colombia</t>
        </is>
      </c>
      <c r="D679" t="inlineStr">
        <is>
          <t>COP</t>
        </is>
      </c>
      <c r="E679" t="inlineStr">
        <is>
          <t>Real</t>
        </is>
      </c>
      <c r="F679" t="inlineStr">
        <is>
          <t>costo_operacion</t>
        </is>
      </c>
      <c r="H679" t="inlineStr">
        <is>
          <t>Personal</t>
        </is>
      </c>
      <c r="I679" t="n">
        <v>55300000</v>
      </c>
      <c r="J679" t="inlineStr">
        <is>
          <t>COP</t>
        </is>
      </c>
      <c r="L679">
        <f>IFERROR(INDEX(Diccionario!$B:$B,MATCH(F691,Diccionario!$C:$C,0)),"")</f>
        <v/>
      </c>
      <c r="M679">
        <f>IFERROR(INDEX(Diccionario!$H:$H,MATCH(F691,Diccionario!$C:$C,0)),"")</f>
        <v/>
      </c>
      <c r="N679">
        <f>IFERROR(INDEX(Diccionario!$N:$N,MATCH(F691,Diccionario!$C:$C,0)),"")</f>
        <v/>
      </c>
    </row>
    <row r="680" ht="14.25" customHeight="1" s="52">
      <c r="A680" t="inlineStr">
        <is>
          <t>2026-01</t>
        </is>
      </c>
      <c r="B680" t="inlineStr">
        <is>
          <t>Colombia</t>
        </is>
      </c>
      <c r="C680" t="inlineStr">
        <is>
          <t>Coco Colombia</t>
        </is>
      </c>
      <c r="D680" t="inlineStr">
        <is>
          <t>COP</t>
        </is>
      </c>
      <c r="E680" t="inlineStr">
        <is>
          <t>Real</t>
        </is>
      </c>
      <c r="F680" t="inlineStr">
        <is>
          <t>costo_operacion</t>
        </is>
      </c>
      <c r="H680" t="inlineStr">
        <is>
          <t>Honorario</t>
        </is>
      </c>
      <c r="I680" t="n">
        <v>0</v>
      </c>
      <c r="J680" t="inlineStr">
        <is>
          <t>COP</t>
        </is>
      </c>
      <c r="L680">
        <f>IFERROR(INDEX(Diccionario!$B:$B,MATCH(F692,Diccionario!$C:$C,0)),"")</f>
        <v/>
      </c>
      <c r="M680">
        <f>IFERROR(INDEX(Diccionario!$H:$H,MATCH(F692,Diccionario!$C:$C,0)),"")</f>
        <v/>
      </c>
      <c r="N680">
        <f>IFERROR(INDEX(Diccionario!$N:$N,MATCH(F692,Diccionario!$C:$C,0)),"")</f>
        <v/>
      </c>
    </row>
    <row r="681" ht="14.25" customHeight="1" s="52">
      <c r="A681" t="inlineStr">
        <is>
          <t>2026-01</t>
        </is>
      </c>
      <c r="B681" t="inlineStr">
        <is>
          <t>Colombia</t>
        </is>
      </c>
      <c r="C681" t="inlineStr">
        <is>
          <t>Coco Colombia</t>
        </is>
      </c>
      <c r="D681" t="inlineStr">
        <is>
          <t>COP</t>
        </is>
      </c>
      <c r="E681" t="inlineStr">
        <is>
          <t>Real</t>
        </is>
      </c>
      <c r="F681" t="inlineStr">
        <is>
          <t>costo_operacion</t>
        </is>
      </c>
      <c r="H681" t="inlineStr">
        <is>
          <t>Servicios</t>
        </is>
      </c>
      <c r="I681" t="n">
        <v>17400000</v>
      </c>
      <c r="J681" t="inlineStr">
        <is>
          <t>COP</t>
        </is>
      </c>
      <c r="L681">
        <f>IFERROR(INDEX(Diccionario!$B:$B,MATCH(F693,Diccionario!$C:$C,0)),"")</f>
        <v/>
      </c>
      <c r="M681">
        <f>IFERROR(INDEX(Diccionario!$H:$H,MATCH(F693,Diccionario!$C:$C,0)),"")</f>
        <v/>
      </c>
      <c r="N681">
        <f>IFERROR(INDEX(Diccionario!$N:$N,MATCH(F693,Diccionario!$C:$C,0)),"")</f>
        <v/>
      </c>
    </row>
    <row r="682" ht="14.25" customHeight="1" s="52">
      <c r="A682" t="inlineStr">
        <is>
          <t>2026-01</t>
        </is>
      </c>
      <c r="B682" t="inlineStr">
        <is>
          <t>Colombia</t>
        </is>
      </c>
      <c r="C682" t="inlineStr">
        <is>
          <t>Coco Colombia</t>
        </is>
      </c>
      <c r="D682" t="inlineStr">
        <is>
          <t>COP</t>
        </is>
      </c>
      <c r="E682" t="inlineStr">
        <is>
          <t>Real</t>
        </is>
      </c>
      <c r="F682" t="inlineStr">
        <is>
          <t>costo_operacion</t>
        </is>
      </c>
      <c r="H682" t="inlineStr">
        <is>
          <t>Mantenimientos</t>
        </is>
      </c>
      <c r="I682" t="n">
        <v>354000</v>
      </c>
      <c r="J682" t="inlineStr">
        <is>
          <t>COP</t>
        </is>
      </c>
      <c r="L682">
        <f>IFERROR(INDEX(Diccionario!$B:$B,MATCH(F694,Diccionario!$C:$C,0)),"")</f>
        <v/>
      </c>
      <c r="M682">
        <f>IFERROR(INDEX(Diccionario!$H:$H,MATCH(F694,Diccionario!$C:$C,0)),"")</f>
        <v/>
      </c>
      <c r="N682">
        <f>IFERROR(INDEX(Diccionario!$N:$N,MATCH(F694,Diccionario!$C:$C,0)),"")</f>
        <v/>
      </c>
    </row>
    <row r="683" ht="14.25" customHeight="1" s="52">
      <c r="A683" t="inlineStr">
        <is>
          <t>2026-01</t>
        </is>
      </c>
      <c r="B683" t="inlineStr">
        <is>
          <t>Colombia</t>
        </is>
      </c>
      <c r="C683" t="inlineStr">
        <is>
          <t>Coco Colombia</t>
        </is>
      </c>
      <c r="D683" t="inlineStr">
        <is>
          <t>COP</t>
        </is>
      </c>
      <c r="E683" t="inlineStr">
        <is>
          <t>Real</t>
        </is>
      </c>
      <c r="F683" t="inlineStr">
        <is>
          <t>costo_operacion</t>
        </is>
      </c>
      <c r="H683" t="inlineStr">
        <is>
          <t>Viajes</t>
        </is>
      </c>
      <c r="I683" t="n">
        <v>307000</v>
      </c>
      <c r="J683" t="inlineStr">
        <is>
          <t>COP</t>
        </is>
      </c>
      <c r="L683">
        <f>IFERROR(INDEX(Diccionario!$B:$B,MATCH(F695,Diccionario!$C:$C,0)),"")</f>
        <v/>
      </c>
      <c r="M683">
        <f>IFERROR(INDEX(Diccionario!$H:$H,MATCH(F695,Diccionario!$C:$C,0)),"")</f>
        <v/>
      </c>
      <c r="N683">
        <f>IFERROR(INDEX(Diccionario!$N:$N,MATCH(F695,Diccionario!$C:$C,0)),"")</f>
        <v/>
      </c>
    </row>
    <row r="684" ht="14.25" customHeight="1" s="52">
      <c r="A684" t="inlineStr">
        <is>
          <t>2026-02</t>
        </is>
      </c>
      <c r="B684" t="inlineStr">
        <is>
          <t>Colombia</t>
        </is>
      </c>
      <c r="C684" t="inlineStr">
        <is>
          <t>Coco Colombia</t>
        </is>
      </c>
      <c r="D684" t="inlineStr">
        <is>
          <t>COP</t>
        </is>
      </c>
      <c r="E684" t="inlineStr">
        <is>
          <t>Real</t>
        </is>
      </c>
      <c r="F684" t="inlineStr">
        <is>
          <t>costo_operacion</t>
        </is>
      </c>
      <c r="H684" t="inlineStr">
        <is>
          <t>Personal</t>
        </is>
      </c>
      <c r="I684" t="n">
        <v>54800000</v>
      </c>
      <c r="J684" t="inlineStr">
        <is>
          <t>COP</t>
        </is>
      </c>
      <c r="L684">
        <f>IFERROR(INDEX(Diccionario!$B:$B,MATCH(F696,Diccionario!$C:$C,0)),"")</f>
        <v/>
      </c>
      <c r="M684">
        <f>IFERROR(INDEX(Diccionario!$H:$H,MATCH(F696,Diccionario!$C:$C,0)),"")</f>
        <v/>
      </c>
      <c r="N684">
        <f>IFERROR(INDEX(Diccionario!$N:$N,MATCH(F696,Diccionario!$C:$C,0)),"")</f>
        <v/>
      </c>
    </row>
    <row r="685" ht="14.25" customHeight="1" s="52">
      <c r="A685" t="inlineStr">
        <is>
          <t>2026-02</t>
        </is>
      </c>
      <c r="B685" t="inlineStr">
        <is>
          <t>Colombia</t>
        </is>
      </c>
      <c r="C685" t="inlineStr">
        <is>
          <t>Coco Colombia</t>
        </is>
      </c>
      <c r="D685" t="inlineStr">
        <is>
          <t>COP</t>
        </is>
      </c>
      <c r="E685" t="inlineStr">
        <is>
          <t>Real</t>
        </is>
      </c>
      <c r="F685" t="inlineStr">
        <is>
          <t>costo_operacion</t>
        </is>
      </c>
      <c r="H685" t="inlineStr">
        <is>
          <t>Honorario</t>
        </is>
      </c>
      <c r="I685" t="n">
        <v>0</v>
      </c>
      <c r="J685" t="inlineStr">
        <is>
          <t>COP</t>
        </is>
      </c>
      <c r="L685">
        <f>IFERROR(INDEX(Diccionario!$B:$B,MATCH(F697,Diccionario!$C:$C,0)),"")</f>
        <v/>
      </c>
      <c r="M685">
        <f>IFERROR(INDEX(Diccionario!$H:$H,MATCH(F697,Diccionario!$C:$C,0)),"")</f>
        <v/>
      </c>
      <c r="N685">
        <f>IFERROR(INDEX(Diccionario!$N:$N,MATCH(F697,Diccionario!$C:$C,0)),"")</f>
        <v/>
      </c>
    </row>
    <row r="686" ht="14.25" customHeight="1" s="52">
      <c r="A686" t="inlineStr">
        <is>
          <t>2026-02</t>
        </is>
      </c>
      <c r="B686" t="inlineStr">
        <is>
          <t>Colombia</t>
        </is>
      </c>
      <c r="C686" t="inlineStr">
        <is>
          <t>Coco Colombia</t>
        </is>
      </c>
      <c r="D686" t="inlineStr">
        <is>
          <t>COP</t>
        </is>
      </c>
      <c r="E686" t="inlineStr">
        <is>
          <t>Real</t>
        </is>
      </c>
      <c r="F686" t="inlineStr">
        <is>
          <t>costo_operacion</t>
        </is>
      </c>
      <c r="H686" t="inlineStr">
        <is>
          <t>Servicios</t>
        </is>
      </c>
      <c r="I686" t="n">
        <v>12400000</v>
      </c>
      <c r="J686" t="inlineStr">
        <is>
          <t>COP</t>
        </is>
      </c>
      <c r="L686">
        <f>IFERROR(INDEX(Diccionario!$B:$B,MATCH(F698,Diccionario!$C:$C,0)),"")</f>
        <v/>
      </c>
      <c r="M686">
        <f>IFERROR(INDEX(Diccionario!$H:$H,MATCH(F698,Diccionario!$C:$C,0)),"")</f>
        <v/>
      </c>
      <c r="N686">
        <f>IFERROR(INDEX(Diccionario!$N:$N,MATCH(F698,Diccionario!$C:$C,0)),"")</f>
        <v/>
      </c>
    </row>
    <row r="687" ht="14.25" customHeight="1" s="52">
      <c r="A687" t="inlineStr">
        <is>
          <t>2026-02</t>
        </is>
      </c>
      <c r="B687" t="inlineStr">
        <is>
          <t>Colombia</t>
        </is>
      </c>
      <c r="C687" t="inlineStr">
        <is>
          <t>Coco Colombia</t>
        </is>
      </c>
      <c r="D687" t="inlineStr">
        <is>
          <t>COP</t>
        </is>
      </c>
      <c r="E687" t="inlineStr">
        <is>
          <t>Real</t>
        </is>
      </c>
      <c r="F687" t="inlineStr">
        <is>
          <t>costo_operacion</t>
        </is>
      </c>
      <c r="H687" t="inlineStr">
        <is>
          <t>Mantenimientos</t>
        </is>
      </c>
      <c r="I687" t="n">
        <v>400000</v>
      </c>
      <c r="J687" t="inlineStr">
        <is>
          <t>COP</t>
        </is>
      </c>
      <c r="L687">
        <f>IFERROR(INDEX(Diccionario!$B:$B,MATCH(F699,Diccionario!$C:$C,0)),"")</f>
        <v/>
      </c>
      <c r="M687">
        <f>IFERROR(INDEX(Diccionario!$H:$H,MATCH(F699,Diccionario!$C:$C,0)),"")</f>
        <v/>
      </c>
      <c r="N687">
        <f>IFERROR(INDEX(Diccionario!$N:$N,MATCH(F699,Diccionario!$C:$C,0)),"")</f>
        <v/>
      </c>
    </row>
    <row r="688" ht="14.25" customHeight="1" s="52">
      <c r="A688" t="inlineStr">
        <is>
          <t>2026-02</t>
        </is>
      </c>
      <c r="B688" t="inlineStr">
        <is>
          <t>Colombia</t>
        </is>
      </c>
      <c r="C688" t="inlineStr">
        <is>
          <t>Coco Colombia</t>
        </is>
      </c>
      <c r="D688" t="inlineStr">
        <is>
          <t>COP</t>
        </is>
      </c>
      <c r="E688" t="inlineStr">
        <is>
          <t>Real</t>
        </is>
      </c>
      <c r="F688" t="inlineStr">
        <is>
          <t>costo_operacion</t>
        </is>
      </c>
      <c r="H688" t="inlineStr">
        <is>
          <t>Viajes</t>
        </is>
      </c>
      <c r="I688" t="n">
        <v>7600000</v>
      </c>
      <c r="J688" t="inlineStr">
        <is>
          <t>COP</t>
        </is>
      </c>
      <c r="L688">
        <f>IFERROR(INDEX(Diccionario!$B:$B,MATCH(F700,Diccionario!$C:$C,0)),"")</f>
        <v/>
      </c>
      <c r="M688">
        <f>IFERROR(INDEX(Diccionario!$H:$H,MATCH(F700,Diccionario!$C:$C,0)),"")</f>
        <v/>
      </c>
      <c r="N688">
        <f>IFERROR(INDEX(Diccionario!$N:$N,MATCH(F700,Diccionario!$C:$C,0)),"")</f>
        <v/>
      </c>
    </row>
    <row r="689" ht="14.25" customHeight="1" s="52">
      <c r="A689" t="inlineStr">
        <is>
          <t>2026-03</t>
        </is>
      </c>
      <c r="B689" t="inlineStr">
        <is>
          <t>Colombia</t>
        </is>
      </c>
      <c r="C689" t="inlineStr">
        <is>
          <t>Coco Colombia</t>
        </is>
      </c>
      <c r="D689" t="inlineStr">
        <is>
          <t>COP</t>
        </is>
      </c>
      <c r="E689" t="inlineStr">
        <is>
          <t>Real</t>
        </is>
      </c>
      <c r="F689" t="inlineStr">
        <is>
          <t>costo_operacion</t>
        </is>
      </c>
      <c r="H689" t="inlineStr">
        <is>
          <t>Personal</t>
        </is>
      </c>
      <c r="I689" t="n">
        <v>56300000</v>
      </c>
      <c r="J689" t="inlineStr">
        <is>
          <t>COP</t>
        </is>
      </c>
      <c r="L689">
        <f>IFERROR(INDEX(Diccionario!$B:$B,MATCH(F701,Diccionario!$C:$C,0)),"")</f>
        <v/>
      </c>
      <c r="M689">
        <f>IFERROR(INDEX(Diccionario!$H:$H,MATCH(F701,Diccionario!$C:$C,0)),"")</f>
        <v/>
      </c>
      <c r="N689">
        <f>IFERROR(INDEX(Diccionario!$N:$N,MATCH(F701,Diccionario!$C:$C,0)),"")</f>
        <v/>
      </c>
    </row>
    <row r="690" ht="14.25" customHeight="1" s="52">
      <c r="A690" t="inlineStr">
        <is>
          <t>2026-03</t>
        </is>
      </c>
      <c r="B690" t="inlineStr">
        <is>
          <t>Colombia</t>
        </is>
      </c>
      <c r="C690" t="inlineStr">
        <is>
          <t>Coco Colombia</t>
        </is>
      </c>
      <c r="D690" t="inlineStr">
        <is>
          <t>COP</t>
        </is>
      </c>
      <c r="E690" t="inlineStr">
        <is>
          <t>Real</t>
        </is>
      </c>
      <c r="F690" t="inlineStr">
        <is>
          <t>costo_operacion</t>
        </is>
      </c>
      <c r="H690" t="inlineStr">
        <is>
          <t>Honorario</t>
        </is>
      </c>
      <c r="I690" t="n">
        <v>0</v>
      </c>
      <c r="J690" t="inlineStr">
        <is>
          <t>COP</t>
        </is>
      </c>
      <c r="L690">
        <f>IFERROR(INDEX(Diccionario!$B:$B,MATCH(F702,Diccionario!$C:$C,0)),"")</f>
        <v/>
      </c>
      <c r="M690">
        <f>IFERROR(INDEX(Diccionario!$H:$H,MATCH(F702,Diccionario!$C:$C,0)),"")</f>
        <v/>
      </c>
      <c r="N690">
        <f>IFERROR(INDEX(Diccionario!$N:$N,MATCH(F702,Diccionario!$C:$C,0)),"")</f>
        <v/>
      </c>
    </row>
    <row r="691" ht="14.25" customHeight="1" s="52">
      <c r="A691" t="inlineStr">
        <is>
          <t>2026-03</t>
        </is>
      </c>
      <c r="B691" t="inlineStr">
        <is>
          <t>Colombia</t>
        </is>
      </c>
      <c r="C691" t="inlineStr">
        <is>
          <t>Coco Colombia</t>
        </is>
      </c>
      <c r="D691" t="inlineStr">
        <is>
          <t>COP</t>
        </is>
      </c>
      <c r="E691" t="inlineStr">
        <is>
          <t>Real</t>
        </is>
      </c>
      <c r="F691" t="inlineStr">
        <is>
          <t>costo_operacion</t>
        </is>
      </c>
      <c r="H691" t="inlineStr">
        <is>
          <t>Servicios</t>
        </is>
      </c>
      <c r="I691" t="n">
        <v>11300000</v>
      </c>
      <c r="J691" t="inlineStr">
        <is>
          <t>COP</t>
        </is>
      </c>
      <c r="L691">
        <f>IFERROR(INDEX(Diccionario!$B:$B,MATCH(F703,Diccionario!$C:$C,0)),"")</f>
        <v/>
      </c>
      <c r="M691">
        <f>IFERROR(INDEX(Diccionario!$H:$H,MATCH(F703,Diccionario!$C:$C,0)),"")</f>
        <v/>
      </c>
      <c r="N691">
        <f>IFERROR(INDEX(Diccionario!$N:$N,MATCH(F703,Diccionario!$C:$C,0)),"")</f>
        <v/>
      </c>
    </row>
    <row r="692" ht="14.25" customHeight="1" s="52">
      <c r="A692" t="inlineStr">
        <is>
          <t>2026-03</t>
        </is>
      </c>
      <c r="B692" t="inlineStr">
        <is>
          <t>Colombia</t>
        </is>
      </c>
      <c r="C692" t="inlineStr">
        <is>
          <t>Coco Colombia</t>
        </is>
      </c>
      <c r="D692" t="inlineStr">
        <is>
          <t>COP</t>
        </is>
      </c>
      <c r="E692" t="inlineStr">
        <is>
          <t>Real</t>
        </is>
      </c>
      <c r="F692" t="inlineStr">
        <is>
          <t>costo_operacion</t>
        </is>
      </c>
      <c r="H692" t="inlineStr">
        <is>
          <t>Mantenimientos</t>
        </is>
      </c>
      <c r="I692" t="n">
        <v>516000</v>
      </c>
      <c r="J692" t="inlineStr">
        <is>
          <t>COP</t>
        </is>
      </c>
      <c r="L692">
        <f>IFERROR(INDEX(Diccionario!$B:$B,MATCH(F704,Diccionario!$C:$C,0)),"")</f>
        <v/>
      </c>
      <c r="M692">
        <f>IFERROR(INDEX(Diccionario!$H:$H,MATCH(F704,Diccionario!$C:$C,0)),"")</f>
        <v/>
      </c>
      <c r="N692">
        <f>IFERROR(INDEX(Diccionario!$N:$N,MATCH(F704,Diccionario!$C:$C,0)),"")</f>
        <v/>
      </c>
    </row>
    <row r="693" ht="14.25" customHeight="1" s="52">
      <c r="A693" t="inlineStr">
        <is>
          <t>2026-03</t>
        </is>
      </c>
      <c r="B693" t="inlineStr">
        <is>
          <t>Colombia</t>
        </is>
      </c>
      <c r="C693" t="inlineStr">
        <is>
          <t>Coco Colombia</t>
        </is>
      </c>
      <c r="D693" t="inlineStr">
        <is>
          <t>COP</t>
        </is>
      </c>
      <c r="E693" t="inlineStr">
        <is>
          <t>Real</t>
        </is>
      </c>
      <c r="F693" t="inlineStr">
        <is>
          <t>costo_operacion</t>
        </is>
      </c>
      <c r="H693" t="inlineStr">
        <is>
          <t>Viajes</t>
        </is>
      </c>
      <c r="I693" t="n">
        <v>8100000</v>
      </c>
      <c r="J693" t="inlineStr">
        <is>
          <t>COP</t>
        </is>
      </c>
      <c r="L693">
        <f>IFERROR(INDEX(Diccionario!$B:$B,MATCH(F705,Diccionario!$C:$C,0)),"")</f>
        <v/>
      </c>
      <c r="M693">
        <f>IFERROR(INDEX(Diccionario!$H:$H,MATCH(F705,Diccionario!$C:$C,0)),"")</f>
        <v/>
      </c>
      <c r="N693">
        <f>IFERROR(INDEX(Diccionario!$N:$N,MATCH(F705,Diccionario!$C:$C,0)),"")</f>
        <v/>
      </c>
    </row>
    <row r="694" ht="14.25" customHeight="1" s="52">
      <c r="A694" t="inlineStr">
        <is>
          <t>2026-04</t>
        </is>
      </c>
      <c r="B694" t="inlineStr">
        <is>
          <t>Colombia</t>
        </is>
      </c>
      <c r="C694" t="inlineStr">
        <is>
          <t>Coco Colombia</t>
        </is>
      </c>
      <c r="D694" t="inlineStr">
        <is>
          <t>COP</t>
        </is>
      </c>
      <c r="E694" t="inlineStr">
        <is>
          <t>Real</t>
        </is>
      </c>
      <c r="F694" t="inlineStr">
        <is>
          <t>costo_operacion</t>
        </is>
      </c>
      <c r="H694" t="inlineStr">
        <is>
          <t>Personal</t>
        </is>
      </c>
      <c r="I694" t="n">
        <v>86400000</v>
      </c>
      <c r="J694" t="inlineStr">
        <is>
          <t>COP</t>
        </is>
      </c>
      <c r="L694">
        <f>IFERROR(INDEX(Diccionario!$B:$B,MATCH(F706,Diccionario!$C:$C,0)),"")</f>
        <v/>
      </c>
      <c r="M694">
        <f>IFERROR(INDEX(Diccionario!$H:$H,MATCH(F706,Diccionario!$C:$C,0)),"")</f>
        <v/>
      </c>
      <c r="N694">
        <f>IFERROR(INDEX(Diccionario!$N:$N,MATCH(F706,Diccionario!$C:$C,0)),"")</f>
        <v/>
      </c>
    </row>
    <row r="695" ht="14.25" customHeight="1" s="52">
      <c r="A695" t="inlineStr">
        <is>
          <t>2026-04</t>
        </is>
      </c>
      <c r="B695" t="inlineStr">
        <is>
          <t>Colombia</t>
        </is>
      </c>
      <c r="C695" t="inlineStr">
        <is>
          <t>Coco Colombia</t>
        </is>
      </c>
      <c r="D695" t="inlineStr">
        <is>
          <t>COP</t>
        </is>
      </c>
      <c r="E695" t="inlineStr">
        <is>
          <t>Real</t>
        </is>
      </c>
      <c r="F695" t="inlineStr">
        <is>
          <t>costo_operacion</t>
        </is>
      </c>
      <c r="H695" t="inlineStr">
        <is>
          <t>Honorario</t>
        </is>
      </c>
      <c r="I695" t="n">
        <v>0</v>
      </c>
      <c r="J695" t="inlineStr">
        <is>
          <t>COP</t>
        </is>
      </c>
      <c r="L695">
        <f>IFERROR(INDEX(Diccionario!$B:$B,MATCH(F707,Diccionario!$C:$C,0)),"")</f>
        <v/>
      </c>
      <c r="M695">
        <f>IFERROR(INDEX(Diccionario!$H:$H,MATCH(F707,Diccionario!$C:$C,0)),"")</f>
        <v/>
      </c>
      <c r="N695">
        <f>IFERROR(INDEX(Diccionario!$N:$N,MATCH(F707,Diccionario!$C:$C,0)),"")</f>
        <v/>
      </c>
    </row>
    <row r="696" ht="14.25" customHeight="1" s="52">
      <c r="A696" t="inlineStr">
        <is>
          <t>2026-04</t>
        </is>
      </c>
      <c r="B696" t="inlineStr">
        <is>
          <t>Colombia</t>
        </is>
      </c>
      <c r="C696" t="inlineStr">
        <is>
          <t>Coco Colombia</t>
        </is>
      </c>
      <c r="D696" t="inlineStr">
        <is>
          <t>COP</t>
        </is>
      </c>
      <c r="E696" t="inlineStr">
        <is>
          <t>Real</t>
        </is>
      </c>
      <c r="F696" t="inlineStr">
        <is>
          <t>costo_operacion</t>
        </is>
      </c>
      <c r="H696" t="inlineStr">
        <is>
          <t>Servicios</t>
        </is>
      </c>
      <c r="I696" t="n">
        <v>14800000</v>
      </c>
      <c r="J696" t="inlineStr">
        <is>
          <t>COP</t>
        </is>
      </c>
      <c r="L696">
        <f>IFERROR(INDEX(Diccionario!$B:$B,MATCH(F708,Diccionario!$C:$C,0)),"")</f>
        <v/>
      </c>
      <c r="M696">
        <f>IFERROR(INDEX(Diccionario!$H:$H,MATCH(F708,Diccionario!$C:$C,0)),"")</f>
        <v/>
      </c>
      <c r="N696">
        <f>IFERROR(INDEX(Diccionario!$N:$N,MATCH(F708,Diccionario!$C:$C,0)),"")</f>
        <v/>
      </c>
    </row>
    <row r="697" ht="14.25" customHeight="1" s="52">
      <c r="A697" t="inlineStr">
        <is>
          <t>2026-04</t>
        </is>
      </c>
      <c r="B697" t="inlineStr">
        <is>
          <t>Colombia</t>
        </is>
      </c>
      <c r="C697" t="inlineStr">
        <is>
          <t>Coco Colombia</t>
        </is>
      </c>
      <c r="D697" t="inlineStr">
        <is>
          <t>COP</t>
        </is>
      </c>
      <c r="E697" t="inlineStr">
        <is>
          <t>Real</t>
        </is>
      </c>
      <c r="F697" t="inlineStr">
        <is>
          <t>costo_operacion</t>
        </is>
      </c>
      <c r="H697" t="inlineStr">
        <is>
          <t>Mantenimientos</t>
        </is>
      </c>
      <c r="I697" t="n">
        <v>900000</v>
      </c>
      <c r="J697" t="inlineStr">
        <is>
          <t>COP</t>
        </is>
      </c>
      <c r="L697">
        <f>IFERROR(INDEX(Diccionario!$B:$B,MATCH(F709,Diccionario!$C:$C,0)),"")</f>
        <v/>
      </c>
      <c r="M697">
        <f>IFERROR(INDEX(Diccionario!$H:$H,MATCH(F709,Diccionario!$C:$C,0)),"")</f>
        <v/>
      </c>
      <c r="N697">
        <f>IFERROR(INDEX(Diccionario!$N:$N,MATCH(F709,Diccionario!$C:$C,0)),"")</f>
        <v/>
      </c>
    </row>
    <row r="698" ht="14.25" customHeight="1" s="52">
      <c r="A698" t="inlineStr">
        <is>
          <t>2026-04</t>
        </is>
      </c>
      <c r="B698" t="inlineStr">
        <is>
          <t>Colombia</t>
        </is>
      </c>
      <c r="C698" t="inlineStr">
        <is>
          <t>Coco Colombia</t>
        </is>
      </c>
      <c r="D698" t="inlineStr">
        <is>
          <t>COP</t>
        </is>
      </c>
      <c r="E698" t="inlineStr">
        <is>
          <t>Real</t>
        </is>
      </c>
      <c r="F698" t="inlineStr">
        <is>
          <t>costo_operacion</t>
        </is>
      </c>
      <c r="H698" t="inlineStr">
        <is>
          <t>Viajes</t>
        </is>
      </c>
      <c r="I698" t="n">
        <v>21800000</v>
      </c>
      <c r="J698" t="inlineStr">
        <is>
          <t>COP</t>
        </is>
      </c>
      <c r="L698">
        <f>IFERROR(INDEX(Diccionario!$B:$B,MATCH(F710,Diccionario!$C:$C,0)),"")</f>
        <v/>
      </c>
      <c r="M698">
        <f>IFERROR(INDEX(Diccionario!$H:$H,MATCH(F710,Diccionario!$C:$C,0)),"")</f>
        <v/>
      </c>
      <c r="N698">
        <f>IFERROR(INDEX(Diccionario!$N:$N,MATCH(F710,Diccionario!$C:$C,0)),"")</f>
        <v/>
      </c>
    </row>
    <row r="699" ht="14.25" customHeight="1" s="52">
      <c r="A699" t="inlineStr">
        <is>
          <t>2026-05</t>
        </is>
      </c>
      <c r="B699" t="inlineStr">
        <is>
          <t>Colombia</t>
        </is>
      </c>
      <c r="C699" t="inlineStr">
        <is>
          <t>Coco Colombia</t>
        </is>
      </c>
      <c r="D699" t="inlineStr">
        <is>
          <t>COP</t>
        </is>
      </c>
      <c r="E699" t="inlineStr">
        <is>
          <t>Real</t>
        </is>
      </c>
      <c r="F699" t="inlineStr">
        <is>
          <t>costo_operacion</t>
        </is>
      </c>
      <c r="H699" t="inlineStr">
        <is>
          <t>Personal</t>
        </is>
      </c>
      <c r="I699" t="n">
        <v>92900000</v>
      </c>
      <c r="J699" t="inlineStr">
        <is>
          <t>COP</t>
        </is>
      </c>
      <c r="L699">
        <f>IFERROR(INDEX(Diccionario!$B:$B,MATCH(F711,Diccionario!$C:$C,0)),"")</f>
        <v/>
      </c>
      <c r="M699">
        <f>IFERROR(INDEX(Diccionario!$H:$H,MATCH(F711,Diccionario!$C:$C,0)),"")</f>
        <v/>
      </c>
      <c r="N699">
        <f>IFERROR(INDEX(Diccionario!$N:$N,MATCH(F711,Diccionario!$C:$C,0)),"")</f>
        <v/>
      </c>
    </row>
    <row r="700" ht="14.25" customHeight="1" s="52">
      <c r="A700" t="inlineStr">
        <is>
          <t>2026-05</t>
        </is>
      </c>
      <c r="B700" t="inlineStr">
        <is>
          <t>Colombia</t>
        </is>
      </c>
      <c r="C700" t="inlineStr">
        <is>
          <t>Coco Colombia</t>
        </is>
      </c>
      <c r="D700" t="inlineStr">
        <is>
          <t>COP</t>
        </is>
      </c>
      <c r="E700" t="inlineStr">
        <is>
          <t>Real</t>
        </is>
      </c>
      <c r="F700" t="inlineStr">
        <is>
          <t>costo_operacion</t>
        </is>
      </c>
      <c r="H700" t="inlineStr">
        <is>
          <t>Honorario</t>
        </is>
      </c>
      <c r="I700" t="n">
        <v>0</v>
      </c>
      <c r="J700" t="inlineStr">
        <is>
          <t>COP</t>
        </is>
      </c>
      <c r="L700">
        <f>IFERROR(INDEX(Diccionario!$B:$B,MATCH(F712,Diccionario!$C:$C,0)),"")</f>
        <v/>
      </c>
      <c r="M700">
        <f>IFERROR(INDEX(Diccionario!$H:$H,MATCH(F712,Diccionario!$C:$C,0)),"")</f>
        <v/>
      </c>
      <c r="N700">
        <f>IFERROR(INDEX(Diccionario!$N:$N,MATCH(F712,Diccionario!$C:$C,0)),"")</f>
        <v/>
      </c>
    </row>
    <row r="701" ht="14.25" customHeight="1" s="52">
      <c r="A701" t="inlineStr">
        <is>
          <t>2026-05</t>
        </is>
      </c>
      <c r="B701" t="inlineStr">
        <is>
          <t>Colombia</t>
        </is>
      </c>
      <c r="C701" t="inlineStr">
        <is>
          <t>Coco Colombia</t>
        </is>
      </c>
      <c r="D701" t="inlineStr">
        <is>
          <t>COP</t>
        </is>
      </c>
      <c r="E701" t="inlineStr">
        <is>
          <t>Real</t>
        </is>
      </c>
      <c r="F701" t="inlineStr">
        <is>
          <t>costo_operacion</t>
        </is>
      </c>
      <c r="H701" t="inlineStr">
        <is>
          <t>Servicios</t>
        </is>
      </c>
      <c r="I701" t="n">
        <v>11200000</v>
      </c>
      <c r="J701" t="inlineStr">
        <is>
          <t>COP</t>
        </is>
      </c>
      <c r="L701">
        <f>IFERROR(INDEX(Diccionario!$B:$B,MATCH(F713,Diccionario!$C:$C,0)),"")</f>
        <v/>
      </c>
      <c r="M701">
        <f>IFERROR(INDEX(Diccionario!$H:$H,MATCH(F713,Diccionario!$C:$C,0)),"")</f>
        <v/>
      </c>
      <c r="N701">
        <f>IFERROR(INDEX(Diccionario!$N:$N,MATCH(F713,Diccionario!$C:$C,0)),"")</f>
        <v/>
      </c>
    </row>
    <row r="702" ht="14.25" customHeight="1" s="52">
      <c r="A702" t="inlineStr">
        <is>
          <t>2026-05</t>
        </is>
      </c>
      <c r="B702" t="inlineStr">
        <is>
          <t>Colombia</t>
        </is>
      </c>
      <c r="C702" t="inlineStr">
        <is>
          <t>Coco Colombia</t>
        </is>
      </c>
      <c r="D702" t="inlineStr">
        <is>
          <t>COP</t>
        </is>
      </c>
      <c r="E702" t="inlineStr">
        <is>
          <t>Real</t>
        </is>
      </c>
      <c r="F702" t="inlineStr">
        <is>
          <t>costo_operacion</t>
        </is>
      </c>
      <c r="H702" t="inlineStr">
        <is>
          <t>Mantenimientos</t>
        </is>
      </c>
      <c r="I702" t="n">
        <v>0</v>
      </c>
      <c r="J702" t="inlineStr">
        <is>
          <t>COP</t>
        </is>
      </c>
      <c r="L702">
        <f>IFERROR(INDEX(Diccionario!$B:$B,MATCH(F714,Diccionario!$C:$C,0)),"")</f>
        <v/>
      </c>
      <c r="M702">
        <f>IFERROR(INDEX(Diccionario!$H:$H,MATCH(F714,Diccionario!$C:$C,0)),"")</f>
        <v/>
      </c>
      <c r="N702">
        <f>IFERROR(INDEX(Diccionario!$N:$N,MATCH(F714,Diccionario!$C:$C,0)),"")</f>
        <v/>
      </c>
    </row>
    <row r="703" ht="14.25" customHeight="1" s="52">
      <c r="A703" t="inlineStr">
        <is>
          <t>2026-05</t>
        </is>
      </c>
      <c r="B703" t="inlineStr">
        <is>
          <t>Colombia</t>
        </is>
      </c>
      <c r="C703" t="inlineStr">
        <is>
          <t>Coco Colombia</t>
        </is>
      </c>
      <c r="D703" t="inlineStr">
        <is>
          <t>COP</t>
        </is>
      </c>
      <c r="E703" t="inlineStr">
        <is>
          <t>Real</t>
        </is>
      </c>
      <c r="F703" t="inlineStr">
        <is>
          <t>costo_operacion</t>
        </is>
      </c>
      <c r="H703" t="inlineStr">
        <is>
          <t>Viajes</t>
        </is>
      </c>
      <c r="I703" t="n">
        <v>16300000</v>
      </c>
      <c r="J703" t="inlineStr">
        <is>
          <t>COP</t>
        </is>
      </c>
      <c r="L703">
        <f>IFERROR(INDEX(Diccionario!$B:$B,MATCH(F715,Diccionario!$C:$C,0)),"")</f>
        <v/>
      </c>
      <c r="M703">
        <f>IFERROR(INDEX(Diccionario!$H:$H,MATCH(F715,Diccionario!$C:$C,0)),"")</f>
        <v/>
      </c>
      <c r="N703">
        <f>IFERROR(INDEX(Diccionario!$N:$N,MATCH(F715,Diccionario!$C:$C,0)),"")</f>
        <v/>
      </c>
    </row>
    <row r="704" ht="14.25" customHeight="1" s="52">
      <c r="A704" t="inlineStr">
        <is>
          <t>2024-01</t>
        </is>
      </c>
      <c r="B704" t="inlineStr">
        <is>
          <t>Colombia</t>
        </is>
      </c>
      <c r="C704" t="inlineStr">
        <is>
          <t>Coco Colombia</t>
        </is>
      </c>
      <c r="D704" t="inlineStr">
        <is>
          <t>COP</t>
        </is>
      </c>
      <c r="E704" t="inlineStr">
        <is>
          <t>Real</t>
        </is>
      </c>
      <c r="F704" t="inlineStr">
        <is>
          <t>gasto_desarrollo</t>
        </is>
      </c>
      <c r="H704" t="inlineStr">
        <is>
          <t>Personal</t>
        </is>
      </c>
      <c r="I704" t="n">
        <v>102000000</v>
      </c>
      <c r="J704" t="inlineStr">
        <is>
          <t>COP</t>
        </is>
      </c>
      <c r="L704">
        <f>IFERROR(INDEX(Diccionario!$B:$B,MATCH(F716,Diccionario!$C:$C,0)),"")</f>
        <v/>
      </c>
      <c r="M704">
        <f>IFERROR(INDEX(Diccionario!$H:$H,MATCH(F716,Diccionario!$C:$C,0)),"")</f>
        <v/>
      </c>
      <c r="N704">
        <f>IFERROR(INDEX(Diccionario!$N:$N,MATCH(F716,Diccionario!$C:$C,0)),"")</f>
        <v/>
      </c>
    </row>
    <row r="705" ht="14.25" customHeight="1" s="52">
      <c r="A705" t="inlineStr">
        <is>
          <t>2024-01</t>
        </is>
      </c>
      <c r="B705" t="inlineStr">
        <is>
          <t>Colombia</t>
        </is>
      </c>
      <c r="C705" t="inlineStr">
        <is>
          <t>Coco Colombia</t>
        </is>
      </c>
      <c r="D705" t="inlineStr">
        <is>
          <t>COP</t>
        </is>
      </c>
      <c r="E705" t="inlineStr">
        <is>
          <t>Real</t>
        </is>
      </c>
      <c r="F705" t="inlineStr">
        <is>
          <t>gasto_desarrollo</t>
        </is>
      </c>
      <c r="H705" t="inlineStr">
        <is>
          <t>Honorarios</t>
        </is>
      </c>
      <c r="I705" t="n">
        <v>6000000</v>
      </c>
      <c r="J705" t="inlineStr">
        <is>
          <t>COP</t>
        </is>
      </c>
      <c r="L705">
        <f>IFERROR(INDEX(Diccionario!$B:$B,MATCH(F717,Diccionario!$C:$C,0)),"")</f>
        <v/>
      </c>
      <c r="M705">
        <f>IFERROR(INDEX(Diccionario!$H:$H,MATCH(F717,Diccionario!$C:$C,0)),"")</f>
        <v/>
      </c>
      <c r="N705">
        <f>IFERROR(INDEX(Diccionario!$N:$N,MATCH(F717,Diccionario!$C:$C,0)),"")</f>
        <v/>
      </c>
    </row>
    <row r="706" ht="14.25" customHeight="1" s="52">
      <c r="A706" t="inlineStr">
        <is>
          <t>2024-01</t>
        </is>
      </c>
      <c r="B706" t="inlineStr">
        <is>
          <t>Colombia</t>
        </is>
      </c>
      <c r="C706" t="inlineStr">
        <is>
          <t>Coco Colombia</t>
        </is>
      </c>
      <c r="D706" t="inlineStr">
        <is>
          <t>COP</t>
        </is>
      </c>
      <c r="E706" t="inlineStr">
        <is>
          <t>Real</t>
        </is>
      </c>
      <c r="F706" t="inlineStr">
        <is>
          <t>gasto_desarrollo</t>
        </is>
      </c>
      <c r="H706" t="inlineStr">
        <is>
          <t>Servicios</t>
        </is>
      </c>
      <c r="I706" t="n">
        <v>9000000</v>
      </c>
      <c r="J706" t="inlineStr">
        <is>
          <t>COP</t>
        </is>
      </c>
      <c r="L706">
        <f>IFERROR(INDEX(Diccionario!$B:$B,MATCH(F718,Diccionario!$C:$C,0)),"")</f>
        <v/>
      </c>
      <c r="M706">
        <f>IFERROR(INDEX(Diccionario!$H:$H,MATCH(F718,Diccionario!$C:$C,0)),"")</f>
        <v/>
      </c>
      <c r="N706">
        <f>IFERROR(INDEX(Diccionario!$N:$N,MATCH(F718,Diccionario!$C:$C,0)),"")</f>
        <v/>
      </c>
    </row>
    <row r="707" ht="14.25" customHeight="1" s="52">
      <c r="A707" t="inlineStr">
        <is>
          <t>2024-01</t>
        </is>
      </c>
      <c r="B707" t="inlineStr">
        <is>
          <t>Colombia</t>
        </is>
      </c>
      <c r="C707" t="inlineStr">
        <is>
          <t>Coco Colombia</t>
        </is>
      </c>
      <c r="D707" t="inlineStr">
        <is>
          <t>COP</t>
        </is>
      </c>
      <c r="E707" t="inlineStr">
        <is>
          <t>Real</t>
        </is>
      </c>
      <c r="F707" t="inlineStr">
        <is>
          <t>gasto_desarrollo</t>
        </is>
      </c>
      <c r="H707" t="inlineStr">
        <is>
          <t>Viajes</t>
        </is>
      </c>
      <c r="I707" t="n">
        <v>1000000</v>
      </c>
      <c r="J707" t="inlineStr">
        <is>
          <t>COP</t>
        </is>
      </c>
      <c r="L707">
        <f>IFERROR(INDEX(Diccionario!$B:$B,MATCH(F719,Diccionario!$C:$C,0)),"")</f>
        <v/>
      </c>
      <c r="M707">
        <f>IFERROR(INDEX(Diccionario!$H:$H,MATCH(F719,Diccionario!$C:$C,0)),"")</f>
        <v/>
      </c>
      <c r="N707">
        <f>IFERROR(INDEX(Diccionario!$N:$N,MATCH(F719,Diccionario!$C:$C,0)),"")</f>
        <v/>
      </c>
    </row>
    <row r="708" ht="14.25" customHeight="1" s="52">
      <c r="A708" t="inlineStr">
        <is>
          <t>2024-02</t>
        </is>
      </c>
      <c r="B708" t="inlineStr">
        <is>
          <t>Colombia</t>
        </is>
      </c>
      <c r="C708" t="inlineStr">
        <is>
          <t>Coco Colombia</t>
        </is>
      </c>
      <c r="D708" t="inlineStr">
        <is>
          <t>COP</t>
        </is>
      </c>
      <c r="E708" t="inlineStr">
        <is>
          <t>Real</t>
        </is>
      </c>
      <c r="F708" t="inlineStr">
        <is>
          <t>gasto_desarrollo</t>
        </is>
      </c>
      <c r="H708" t="inlineStr">
        <is>
          <t>Personal</t>
        </is>
      </c>
      <c r="I708" t="n">
        <v>99000000</v>
      </c>
      <c r="J708" t="inlineStr">
        <is>
          <t>COP</t>
        </is>
      </c>
      <c r="L708">
        <f>IFERROR(INDEX(Diccionario!$B:$B,MATCH(F720,Diccionario!$C:$C,0)),"")</f>
        <v/>
      </c>
      <c r="M708">
        <f>IFERROR(INDEX(Diccionario!$H:$H,MATCH(F720,Diccionario!$C:$C,0)),"")</f>
        <v/>
      </c>
      <c r="N708">
        <f>IFERROR(INDEX(Diccionario!$N:$N,MATCH(F720,Diccionario!$C:$C,0)),"")</f>
        <v/>
      </c>
    </row>
    <row r="709" ht="14.25" customHeight="1" s="52">
      <c r="A709" t="inlineStr">
        <is>
          <t>2024-02</t>
        </is>
      </c>
      <c r="B709" t="inlineStr">
        <is>
          <t>Colombia</t>
        </is>
      </c>
      <c r="C709" t="inlineStr">
        <is>
          <t>Coco Colombia</t>
        </is>
      </c>
      <c r="D709" t="inlineStr">
        <is>
          <t>COP</t>
        </is>
      </c>
      <c r="E709" t="inlineStr">
        <is>
          <t>Real</t>
        </is>
      </c>
      <c r="F709" t="inlineStr">
        <is>
          <t>gasto_desarrollo</t>
        </is>
      </c>
      <c r="H709" t="inlineStr">
        <is>
          <t>Honorarios</t>
        </is>
      </c>
      <c r="I709" t="n">
        <v>6000000</v>
      </c>
      <c r="J709" t="inlineStr">
        <is>
          <t>COP</t>
        </is>
      </c>
      <c r="L709">
        <f>IFERROR(INDEX(Diccionario!$B:$B,MATCH(F721,Diccionario!$C:$C,0)),"")</f>
        <v/>
      </c>
      <c r="M709">
        <f>IFERROR(INDEX(Diccionario!$H:$H,MATCH(F721,Diccionario!$C:$C,0)),"")</f>
        <v/>
      </c>
      <c r="N709">
        <f>IFERROR(INDEX(Diccionario!$N:$N,MATCH(F721,Diccionario!$C:$C,0)),"")</f>
        <v/>
      </c>
    </row>
    <row r="710" ht="14.25" customHeight="1" s="52">
      <c r="A710" t="inlineStr">
        <is>
          <t>2024-02</t>
        </is>
      </c>
      <c r="B710" t="inlineStr">
        <is>
          <t>Colombia</t>
        </is>
      </c>
      <c r="C710" t="inlineStr">
        <is>
          <t>Coco Colombia</t>
        </is>
      </c>
      <c r="D710" t="inlineStr">
        <is>
          <t>COP</t>
        </is>
      </c>
      <c r="E710" t="inlineStr">
        <is>
          <t>Real</t>
        </is>
      </c>
      <c r="F710" t="inlineStr">
        <is>
          <t>gasto_desarrollo</t>
        </is>
      </c>
      <c r="H710" t="inlineStr">
        <is>
          <t>Servicios</t>
        </is>
      </c>
      <c r="I710" t="n">
        <v>2000000</v>
      </c>
      <c r="J710" t="inlineStr">
        <is>
          <t>COP</t>
        </is>
      </c>
      <c r="L710">
        <f>IFERROR(INDEX(Diccionario!$B:$B,MATCH(F722,Diccionario!$C:$C,0)),"")</f>
        <v/>
      </c>
      <c r="M710">
        <f>IFERROR(INDEX(Diccionario!$H:$H,MATCH(F722,Diccionario!$C:$C,0)),"")</f>
        <v/>
      </c>
      <c r="N710">
        <f>IFERROR(INDEX(Diccionario!$N:$N,MATCH(F722,Diccionario!$C:$C,0)),"")</f>
        <v/>
      </c>
    </row>
    <row r="711" ht="14.25" customHeight="1" s="52">
      <c r="A711" t="inlineStr">
        <is>
          <t>2024-02</t>
        </is>
      </c>
      <c r="B711" t="inlineStr">
        <is>
          <t>Colombia</t>
        </is>
      </c>
      <c r="C711" t="inlineStr">
        <is>
          <t>Coco Colombia</t>
        </is>
      </c>
      <c r="D711" t="inlineStr">
        <is>
          <t>COP</t>
        </is>
      </c>
      <c r="E711" t="inlineStr">
        <is>
          <t>Real</t>
        </is>
      </c>
      <c r="F711" t="inlineStr">
        <is>
          <t>gasto_desarrollo</t>
        </is>
      </c>
      <c r="H711" t="inlineStr">
        <is>
          <t>Viajes</t>
        </is>
      </c>
      <c r="I711" t="n">
        <v>0</v>
      </c>
      <c r="J711" t="inlineStr">
        <is>
          <t>COP</t>
        </is>
      </c>
      <c r="L711">
        <f>IFERROR(INDEX(Diccionario!$B:$B,MATCH(F723,Diccionario!$C:$C,0)),"")</f>
        <v/>
      </c>
      <c r="M711">
        <f>IFERROR(INDEX(Diccionario!$H:$H,MATCH(F723,Diccionario!$C:$C,0)),"")</f>
        <v/>
      </c>
      <c r="N711">
        <f>IFERROR(INDEX(Diccionario!$N:$N,MATCH(F723,Diccionario!$C:$C,0)),"")</f>
        <v/>
      </c>
    </row>
    <row r="712" ht="14.25" customHeight="1" s="52">
      <c r="A712" t="inlineStr">
        <is>
          <t>2024-03</t>
        </is>
      </c>
      <c r="B712" t="inlineStr">
        <is>
          <t>Colombia</t>
        </is>
      </c>
      <c r="C712" t="inlineStr">
        <is>
          <t>Coco Colombia</t>
        </is>
      </c>
      <c r="D712" t="inlineStr">
        <is>
          <t>COP</t>
        </is>
      </c>
      <c r="E712" t="inlineStr">
        <is>
          <t>Real</t>
        </is>
      </c>
      <c r="F712" t="inlineStr">
        <is>
          <t>gasto_desarrollo</t>
        </is>
      </c>
      <c r="H712" t="inlineStr">
        <is>
          <t>Personal</t>
        </is>
      </c>
      <c r="I712" t="n">
        <v>103000000</v>
      </c>
      <c r="J712" t="inlineStr">
        <is>
          <t>COP</t>
        </is>
      </c>
      <c r="L712">
        <f>IFERROR(INDEX(Diccionario!$B:$B,MATCH(F724,Diccionario!$C:$C,0)),"")</f>
        <v/>
      </c>
      <c r="M712">
        <f>IFERROR(INDEX(Diccionario!$H:$H,MATCH(F724,Diccionario!$C:$C,0)),"")</f>
        <v/>
      </c>
      <c r="N712">
        <f>IFERROR(INDEX(Diccionario!$N:$N,MATCH(F724,Diccionario!$C:$C,0)),"")</f>
        <v/>
      </c>
    </row>
    <row r="713" ht="14.25" customHeight="1" s="52">
      <c r="A713" t="inlineStr">
        <is>
          <t>2024-03</t>
        </is>
      </c>
      <c r="B713" t="inlineStr">
        <is>
          <t>Colombia</t>
        </is>
      </c>
      <c r="C713" t="inlineStr">
        <is>
          <t>Coco Colombia</t>
        </is>
      </c>
      <c r="D713" t="inlineStr">
        <is>
          <t>COP</t>
        </is>
      </c>
      <c r="E713" t="inlineStr">
        <is>
          <t>Real</t>
        </is>
      </c>
      <c r="F713" t="inlineStr">
        <is>
          <t>gasto_desarrollo</t>
        </is>
      </c>
      <c r="H713" t="inlineStr">
        <is>
          <t>Honorarios</t>
        </is>
      </c>
      <c r="I713" t="n">
        <v>12000000</v>
      </c>
      <c r="J713" t="inlineStr">
        <is>
          <t>COP</t>
        </is>
      </c>
      <c r="L713">
        <f>IFERROR(INDEX(Diccionario!$B:$B,MATCH(F725,Diccionario!$C:$C,0)),"")</f>
        <v/>
      </c>
      <c r="M713">
        <f>IFERROR(INDEX(Diccionario!$H:$H,MATCH(F725,Diccionario!$C:$C,0)),"")</f>
        <v/>
      </c>
      <c r="N713">
        <f>IFERROR(INDEX(Diccionario!$N:$N,MATCH(F725,Diccionario!$C:$C,0)),"")</f>
        <v/>
      </c>
    </row>
    <row r="714" ht="14.25" customHeight="1" s="52">
      <c r="A714" t="inlineStr">
        <is>
          <t>2024-03</t>
        </is>
      </c>
      <c r="B714" t="inlineStr">
        <is>
          <t>Colombia</t>
        </is>
      </c>
      <c r="C714" t="inlineStr">
        <is>
          <t>Coco Colombia</t>
        </is>
      </c>
      <c r="D714" t="inlineStr">
        <is>
          <t>COP</t>
        </is>
      </c>
      <c r="E714" t="inlineStr">
        <is>
          <t>Real</t>
        </is>
      </c>
      <c r="F714" t="inlineStr">
        <is>
          <t>gasto_desarrollo</t>
        </is>
      </c>
      <c r="H714" t="inlineStr">
        <is>
          <t>Servicios</t>
        </is>
      </c>
      <c r="I714" t="n">
        <v>0</v>
      </c>
      <c r="J714" t="inlineStr">
        <is>
          <t>COP</t>
        </is>
      </c>
      <c r="L714">
        <f>IFERROR(INDEX(Diccionario!$B:$B,MATCH(F726,Diccionario!$C:$C,0)),"")</f>
        <v/>
      </c>
      <c r="M714">
        <f>IFERROR(INDEX(Diccionario!$H:$H,MATCH(F726,Diccionario!$C:$C,0)),"")</f>
        <v/>
      </c>
      <c r="N714">
        <f>IFERROR(INDEX(Diccionario!$N:$N,MATCH(F726,Diccionario!$C:$C,0)),"")</f>
        <v/>
      </c>
    </row>
    <row r="715" ht="14.25" customHeight="1" s="52">
      <c r="A715" t="inlineStr">
        <is>
          <t>2024-03</t>
        </is>
      </c>
      <c r="B715" t="inlineStr">
        <is>
          <t>Colombia</t>
        </is>
      </c>
      <c r="C715" t="inlineStr">
        <is>
          <t>Coco Colombia</t>
        </is>
      </c>
      <c r="D715" t="inlineStr">
        <is>
          <t>COP</t>
        </is>
      </c>
      <c r="E715" t="inlineStr">
        <is>
          <t>Real</t>
        </is>
      </c>
      <c r="F715" t="inlineStr">
        <is>
          <t>gasto_desarrollo</t>
        </is>
      </c>
      <c r="H715" t="inlineStr">
        <is>
          <t>Viajes</t>
        </is>
      </c>
      <c r="I715" t="n">
        <v>0</v>
      </c>
      <c r="J715" t="inlineStr">
        <is>
          <t>COP</t>
        </is>
      </c>
      <c r="L715">
        <f>IFERROR(INDEX(Diccionario!$B:$B,MATCH(F727,Diccionario!$C:$C,0)),"")</f>
        <v/>
      </c>
      <c r="M715">
        <f>IFERROR(INDEX(Diccionario!$H:$H,MATCH(F727,Diccionario!$C:$C,0)),"")</f>
        <v/>
      </c>
      <c r="N715">
        <f>IFERROR(INDEX(Diccionario!$N:$N,MATCH(F727,Diccionario!$C:$C,0)),"")</f>
        <v/>
      </c>
    </row>
    <row r="716" ht="14.25" customHeight="1" s="52">
      <c r="A716" t="inlineStr">
        <is>
          <t>2024-04</t>
        </is>
      </c>
      <c r="B716" t="inlineStr">
        <is>
          <t>Colombia</t>
        </is>
      </c>
      <c r="C716" t="inlineStr">
        <is>
          <t>Coco Colombia</t>
        </is>
      </c>
      <c r="D716" t="inlineStr">
        <is>
          <t>COP</t>
        </is>
      </c>
      <c r="E716" t="inlineStr">
        <is>
          <t>Real</t>
        </is>
      </c>
      <c r="F716" t="inlineStr">
        <is>
          <t>gasto_desarrollo</t>
        </is>
      </c>
      <c r="H716" t="inlineStr">
        <is>
          <t>Personal</t>
        </is>
      </c>
      <c r="I716" t="n">
        <v>108000000</v>
      </c>
      <c r="J716" t="inlineStr">
        <is>
          <t>COP</t>
        </is>
      </c>
      <c r="L716">
        <f>IFERROR(INDEX(Diccionario!$B:$B,MATCH(F728,Diccionario!$C:$C,0)),"")</f>
        <v/>
      </c>
      <c r="M716">
        <f>IFERROR(INDEX(Diccionario!$H:$H,MATCH(F728,Diccionario!$C:$C,0)),"")</f>
        <v/>
      </c>
      <c r="N716">
        <f>IFERROR(INDEX(Diccionario!$N:$N,MATCH(F728,Diccionario!$C:$C,0)),"")</f>
        <v/>
      </c>
    </row>
    <row r="717" ht="14.25" customHeight="1" s="52">
      <c r="A717" t="inlineStr">
        <is>
          <t>2024-04</t>
        </is>
      </c>
      <c r="B717" t="inlineStr">
        <is>
          <t>Colombia</t>
        </is>
      </c>
      <c r="C717" t="inlineStr">
        <is>
          <t>Coco Colombia</t>
        </is>
      </c>
      <c r="D717" t="inlineStr">
        <is>
          <t>COP</t>
        </is>
      </c>
      <c r="E717" t="inlineStr">
        <is>
          <t>Real</t>
        </is>
      </c>
      <c r="F717" t="inlineStr">
        <is>
          <t>gasto_desarrollo</t>
        </is>
      </c>
      <c r="H717" t="inlineStr">
        <is>
          <t>Honorarios</t>
        </is>
      </c>
      <c r="I717" t="n">
        <v>10000000</v>
      </c>
      <c r="J717" t="inlineStr">
        <is>
          <t>COP</t>
        </is>
      </c>
      <c r="L717">
        <f>IFERROR(INDEX(Diccionario!$B:$B,MATCH(F729,Diccionario!$C:$C,0)),"")</f>
        <v/>
      </c>
      <c r="M717">
        <f>IFERROR(INDEX(Diccionario!$H:$H,MATCH(F729,Diccionario!$C:$C,0)),"")</f>
        <v/>
      </c>
      <c r="N717">
        <f>IFERROR(INDEX(Diccionario!$N:$N,MATCH(F729,Diccionario!$C:$C,0)),"")</f>
        <v/>
      </c>
    </row>
    <row r="718" ht="14.25" customHeight="1" s="52">
      <c r="A718" t="inlineStr">
        <is>
          <t>2024-04</t>
        </is>
      </c>
      <c r="B718" t="inlineStr">
        <is>
          <t>Colombia</t>
        </is>
      </c>
      <c r="C718" t="inlineStr">
        <is>
          <t>Coco Colombia</t>
        </is>
      </c>
      <c r="D718" t="inlineStr">
        <is>
          <t>COP</t>
        </is>
      </c>
      <c r="E718" t="inlineStr">
        <is>
          <t>Real</t>
        </is>
      </c>
      <c r="F718" t="inlineStr">
        <is>
          <t>gasto_desarrollo</t>
        </is>
      </c>
      <c r="H718" t="inlineStr">
        <is>
          <t>Servicios</t>
        </is>
      </c>
      <c r="I718" t="n">
        <v>15000000</v>
      </c>
      <c r="J718" t="inlineStr">
        <is>
          <t>COP</t>
        </is>
      </c>
      <c r="L718">
        <f>IFERROR(INDEX(Diccionario!$B:$B,MATCH(F730,Diccionario!$C:$C,0)),"")</f>
        <v/>
      </c>
      <c r="M718">
        <f>IFERROR(INDEX(Diccionario!$H:$H,MATCH(F730,Diccionario!$C:$C,0)),"")</f>
        <v/>
      </c>
      <c r="N718">
        <f>IFERROR(INDEX(Diccionario!$N:$N,MATCH(F730,Diccionario!$C:$C,0)),"")</f>
        <v/>
      </c>
    </row>
    <row r="719" ht="14.25" customHeight="1" s="52">
      <c r="A719" t="inlineStr">
        <is>
          <t>2024-04</t>
        </is>
      </c>
      <c r="B719" t="inlineStr">
        <is>
          <t>Colombia</t>
        </is>
      </c>
      <c r="C719" t="inlineStr">
        <is>
          <t>Coco Colombia</t>
        </is>
      </c>
      <c r="D719" t="inlineStr">
        <is>
          <t>COP</t>
        </is>
      </c>
      <c r="E719" t="inlineStr">
        <is>
          <t>Real</t>
        </is>
      </c>
      <c r="F719" t="inlineStr">
        <is>
          <t>gasto_desarrollo</t>
        </is>
      </c>
      <c r="H719" t="inlineStr">
        <is>
          <t>Viajes</t>
        </is>
      </c>
      <c r="I719" t="n">
        <v>1000000</v>
      </c>
      <c r="J719" t="inlineStr">
        <is>
          <t>COP</t>
        </is>
      </c>
      <c r="L719">
        <f>IFERROR(INDEX(Diccionario!$B:$B,MATCH(F731,Diccionario!$C:$C,0)),"")</f>
        <v/>
      </c>
      <c r="M719">
        <f>IFERROR(INDEX(Diccionario!$H:$H,MATCH(F731,Diccionario!$C:$C,0)),"")</f>
        <v/>
      </c>
      <c r="N719">
        <f>IFERROR(INDEX(Diccionario!$N:$N,MATCH(F731,Diccionario!$C:$C,0)),"")</f>
        <v/>
      </c>
    </row>
    <row r="720" ht="14.25" customHeight="1" s="52">
      <c r="A720" t="inlineStr">
        <is>
          <t>2024-05</t>
        </is>
      </c>
      <c r="B720" t="inlineStr">
        <is>
          <t>Colombia</t>
        </is>
      </c>
      <c r="C720" t="inlineStr">
        <is>
          <t>Coco Colombia</t>
        </is>
      </c>
      <c r="D720" t="inlineStr">
        <is>
          <t>COP</t>
        </is>
      </c>
      <c r="E720" t="inlineStr">
        <is>
          <t>Real</t>
        </is>
      </c>
      <c r="F720" t="inlineStr">
        <is>
          <t>gasto_desarrollo</t>
        </is>
      </c>
      <c r="H720" t="inlineStr">
        <is>
          <t>Personal</t>
        </is>
      </c>
      <c r="I720" t="n">
        <v>115000000</v>
      </c>
      <c r="J720" t="inlineStr">
        <is>
          <t>COP</t>
        </is>
      </c>
      <c r="L720">
        <f>IFERROR(INDEX(Diccionario!$B:$B,MATCH(F732,Diccionario!$C:$C,0)),"")</f>
        <v/>
      </c>
      <c r="M720">
        <f>IFERROR(INDEX(Diccionario!$H:$H,MATCH(F732,Diccionario!$C:$C,0)),"")</f>
        <v/>
      </c>
      <c r="N720">
        <f>IFERROR(INDEX(Diccionario!$N:$N,MATCH(F732,Diccionario!$C:$C,0)),"")</f>
        <v/>
      </c>
    </row>
    <row r="721" ht="14.25" customHeight="1" s="52">
      <c r="A721" t="inlineStr">
        <is>
          <t>2024-05</t>
        </is>
      </c>
      <c r="B721" t="inlineStr">
        <is>
          <t>Colombia</t>
        </is>
      </c>
      <c r="C721" t="inlineStr">
        <is>
          <t>Coco Colombia</t>
        </is>
      </c>
      <c r="D721" t="inlineStr">
        <is>
          <t>COP</t>
        </is>
      </c>
      <c r="E721" t="inlineStr">
        <is>
          <t>Real</t>
        </is>
      </c>
      <c r="F721" t="inlineStr">
        <is>
          <t>gasto_desarrollo</t>
        </is>
      </c>
      <c r="H721" t="inlineStr">
        <is>
          <t>Honorarios</t>
        </is>
      </c>
      <c r="I721" t="n">
        <v>12000000</v>
      </c>
      <c r="J721" t="inlineStr">
        <is>
          <t>COP</t>
        </is>
      </c>
      <c r="L721">
        <f>IFERROR(INDEX(Diccionario!$B:$B,MATCH(F733,Diccionario!$C:$C,0)),"")</f>
        <v/>
      </c>
      <c r="M721">
        <f>IFERROR(INDEX(Diccionario!$H:$H,MATCH(F733,Diccionario!$C:$C,0)),"")</f>
        <v/>
      </c>
      <c r="N721">
        <f>IFERROR(INDEX(Diccionario!$N:$N,MATCH(F733,Diccionario!$C:$C,0)),"")</f>
        <v/>
      </c>
    </row>
    <row r="722" ht="14.25" customHeight="1" s="52">
      <c r="A722" t="inlineStr">
        <is>
          <t>2024-05</t>
        </is>
      </c>
      <c r="B722" t="inlineStr">
        <is>
          <t>Colombia</t>
        </is>
      </c>
      <c r="C722" t="inlineStr">
        <is>
          <t>Coco Colombia</t>
        </is>
      </c>
      <c r="D722" t="inlineStr">
        <is>
          <t>COP</t>
        </is>
      </c>
      <c r="E722" t="inlineStr">
        <is>
          <t>Real</t>
        </is>
      </c>
      <c r="F722" t="inlineStr">
        <is>
          <t>gasto_desarrollo</t>
        </is>
      </c>
      <c r="H722" t="inlineStr">
        <is>
          <t>Servicios</t>
        </is>
      </c>
      <c r="I722" t="n">
        <v>6000000</v>
      </c>
      <c r="J722" t="inlineStr">
        <is>
          <t>COP</t>
        </is>
      </c>
      <c r="L722">
        <f>IFERROR(INDEX(Diccionario!$B:$B,MATCH(F734,Diccionario!$C:$C,0)),"")</f>
        <v/>
      </c>
      <c r="M722">
        <f>IFERROR(INDEX(Diccionario!$H:$H,MATCH(F734,Diccionario!$C:$C,0)),"")</f>
        <v/>
      </c>
      <c r="N722">
        <f>IFERROR(INDEX(Diccionario!$N:$N,MATCH(F734,Diccionario!$C:$C,0)),"")</f>
        <v/>
      </c>
    </row>
    <row r="723" ht="14.25" customHeight="1" s="52">
      <c r="A723" t="inlineStr">
        <is>
          <t>2024-05</t>
        </is>
      </c>
      <c r="B723" t="inlineStr">
        <is>
          <t>Colombia</t>
        </is>
      </c>
      <c r="C723" t="inlineStr">
        <is>
          <t>Coco Colombia</t>
        </is>
      </c>
      <c r="D723" t="inlineStr">
        <is>
          <t>COP</t>
        </is>
      </c>
      <c r="E723" t="inlineStr">
        <is>
          <t>Real</t>
        </is>
      </c>
      <c r="F723" t="inlineStr">
        <is>
          <t>gasto_desarrollo</t>
        </is>
      </c>
      <c r="H723" t="inlineStr">
        <is>
          <t>Viajes</t>
        </is>
      </c>
      <c r="I723" t="n">
        <v>0</v>
      </c>
      <c r="J723" t="inlineStr">
        <is>
          <t>COP</t>
        </is>
      </c>
      <c r="L723">
        <f>IFERROR(INDEX(Diccionario!$B:$B,MATCH(F735,Diccionario!$C:$C,0)),"")</f>
        <v/>
      </c>
      <c r="M723">
        <f>IFERROR(INDEX(Diccionario!$H:$H,MATCH(F735,Diccionario!$C:$C,0)),"")</f>
        <v/>
      </c>
      <c r="N723">
        <f>IFERROR(INDEX(Diccionario!$N:$N,MATCH(F735,Diccionario!$C:$C,0)),"")</f>
        <v/>
      </c>
    </row>
    <row r="724" ht="14.25" customHeight="1" s="52">
      <c r="A724" t="inlineStr">
        <is>
          <t>2024-06</t>
        </is>
      </c>
      <c r="B724" t="inlineStr">
        <is>
          <t>Colombia</t>
        </is>
      </c>
      <c r="C724" t="inlineStr">
        <is>
          <t>Coco Colombia</t>
        </is>
      </c>
      <c r="D724" t="inlineStr">
        <is>
          <t>COP</t>
        </is>
      </c>
      <c r="E724" t="inlineStr">
        <is>
          <t>Real</t>
        </is>
      </c>
      <c r="F724" t="inlineStr">
        <is>
          <t>gasto_desarrollo</t>
        </is>
      </c>
      <c r="H724" t="inlineStr">
        <is>
          <t>Personal</t>
        </is>
      </c>
      <c r="I724" t="n">
        <v>113000000</v>
      </c>
      <c r="J724" t="inlineStr">
        <is>
          <t>COP</t>
        </is>
      </c>
      <c r="L724">
        <f>IFERROR(INDEX(Diccionario!$B:$B,MATCH(F736,Diccionario!$C:$C,0)),"")</f>
        <v/>
      </c>
      <c r="M724">
        <f>IFERROR(INDEX(Diccionario!$H:$H,MATCH(F736,Diccionario!$C:$C,0)),"")</f>
        <v/>
      </c>
      <c r="N724">
        <f>IFERROR(INDEX(Diccionario!$N:$N,MATCH(F736,Diccionario!$C:$C,0)),"")</f>
        <v/>
      </c>
    </row>
    <row r="725" ht="14.25" customHeight="1" s="52">
      <c r="A725" t="inlineStr">
        <is>
          <t>2024-06</t>
        </is>
      </c>
      <c r="B725" t="inlineStr">
        <is>
          <t>Colombia</t>
        </is>
      </c>
      <c r="C725" t="inlineStr">
        <is>
          <t>Coco Colombia</t>
        </is>
      </c>
      <c r="D725" t="inlineStr">
        <is>
          <t>COP</t>
        </is>
      </c>
      <c r="E725" t="inlineStr">
        <is>
          <t>Real</t>
        </is>
      </c>
      <c r="F725" t="inlineStr">
        <is>
          <t>gasto_desarrollo</t>
        </is>
      </c>
      <c r="H725" t="inlineStr">
        <is>
          <t>Honorarios</t>
        </is>
      </c>
      <c r="I725" t="n">
        <v>4000000</v>
      </c>
      <c r="J725" t="inlineStr">
        <is>
          <t>COP</t>
        </is>
      </c>
      <c r="L725">
        <f>IFERROR(INDEX(Diccionario!$B:$B,MATCH(F737,Diccionario!$C:$C,0)),"")</f>
        <v/>
      </c>
      <c r="M725">
        <f>IFERROR(INDEX(Diccionario!$H:$H,MATCH(F737,Diccionario!$C:$C,0)),"")</f>
        <v/>
      </c>
      <c r="N725">
        <f>IFERROR(INDEX(Diccionario!$N:$N,MATCH(F737,Diccionario!$C:$C,0)),"")</f>
        <v/>
      </c>
    </row>
    <row r="726" ht="14.25" customHeight="1" s="52">
      <c r="A726" t="inlineStr">
        <is>
          <t>2024-06</t>
        </is>
      </c>
      <c r="B726" t="inlineStr">
        <is>
          <t>Colombia</t>
        </is>
      </c>
      <c r="C726" t="inlineStr">
        <is>
          <t>Coco Colombia</t>
        </is>
      </c>
      <c r="D726" t="inlineStr">
        <is>
          <t>COP</t>
        </is>
      </c>
      <c r="E726" t="inlineStr">
        <is>
          <t>Real</t>
        </is>
      </c>
      <c r="F726" t="inlineStr">
        <is>
          <t>gasto_desarrollo</t>
        </is>
      </c>
      <c r="H726" t="inlineStr">
        <is>
          <t>Servicios</t>
        </is>
      </c>
      <c r="I726" t="n">
        <v>3000000</v>
      </c>
      <c r="J726" t="inlineStr">
        <is>
          <t>COP</t>
        </is>
      </c>
      <c r="L726">
        <f>IFERROR(INDEX(Diccionario!$B:$B,MATCH(F738,Diccionario!$C:$C,0)),"")</f>
        <v/>
      </c>
      <c r="M726">
        <f>IFERROR(INDEX(Diccionario!$H:$H,MATCH(F738,Diccionario!$C:$C,0)),"")</f>
        <v/>
      </c>
      <c r="N726">
        <f>IFERROR(INDEX(Diccionario!$N:$N,MATCH(F738,Diccionario!$C:$C,0)),"")</f>
        <v/>
      </c>
    </row>
    <row r="727" ht="14.25" customHeight="1" s="52">
      <c r="A727" t="inlineStr">
        <is>
          <t>2024-06</t>
        </is>
      </c>
      <c r="B727" t="inlineStr">
        <is>
          <t>Colombia</t>
        </is>
      </c>
      <c r="C727" t="inlineStr">
        <is>
          <t>Coco Colombia</t>
        </is>
      </c>
      <c r="D727" t="inlineStr">
        <is>
          <t>COP</t>
        </is>
      </c>
      <c r="E727" t="inlineStr">
        <is>
          <t>Real</t>
        </is>
      </c>
      <c r="F727" t="inlineStr">
        <is>
          <t>gasto_desarrollo</t>
        </is>
      </c>
      <c r="H727" t="inlineStr">
        <is>
          <t>Viajes</t>
        </is>
      </c>
      <c r="I727" t="n">
        <v>0</v>
      </c>
      <c r="J727" t="inlineStr">
        <is>
          <t>COP</t>
        </is>
      </c>
      <c r="L727">
        <f>IFERROR(INDEX(Diccionario!$B:$B,MATCH(F739,Diccionario!$C:$C,0)),"")</f>
        <v/>
      </c>
      <c r="M727">
        <f>IFERROR(INDEX(Diccionario!$H:$H,MATCH(F739,Diccionario!$C:$C,0)),"")</f>
        <v/>
      </c>
      <c r="N727">
        <f>IFERROR(INDEX(Diccionario!$N:$N,MATCH(F739,Diccionario!$C:$C,0)),"")</f>
        <v/>
      </c>
    </row>
    <row r="728" ht="14.25" customHeight="1" s="52">
      <c r="A728" t="inlineStr">
        <is>
          <t>2024-07</t>
        </is>
      </c>
      <c r="B728" t="inlineStr">
        <is>
          <t>Colombia</t>
        </is>
      </c>
      <c r="C728" t="inlineStr">
        <is>
          <t>Coco Colombia</t>
        </is>
      </c>
      <c r="D728" t="inlineStr">
        <is>
          <t>COP</t>
        </is>
      </c>
      <c r="E728" t="inlineStr">
        <is>
          <t>Real</t>
        </is>
      </c>
      <c r="F728" t="inlineStr">
        <is>
          <t>gasto_desarrollo</t>
        </is>
      </c>
      <c r="H728" t="inlineStr">
        <is>
          <t>Personal</t>
        </is>
      </c>
      <c r="I728" t="n">
        <v>104000000</v>
      </c>
      <c r="J728" t="inlineStr">
        <is>
          <t>COP</t>
        </is>
      </c>
      <c r="L728">
        <f>IFERROR(INDEX(Diccionario!$B:$B,MATCH(F740,Diccionario!$C:$C,0)),"")</f>
        <v/>
      </c>
      <c r="M728">
        <f>IFERROR(INDEX(Diccionario!$H:$H,MATCH(F740,Diccionario!$C:$C,0)),"")</f>
        <v/>
      </c>
      <c r="N728">
        <f>IFERROR(INDEX(Diccionario!$N:$N,MATCH(F740,Diccionario!$C:$C,0)),"")</f>
        <v/>
      </c>
    </row>
    <row r="729" ht="14.25" customHeight="1" s="52">
      <c r="A729" t="inlineStr">
        <is>
          <t>2024-07</t>
        </is>
      </c>
      <c r="B729" t="inlineStr">
        <is>
          <t>Colombia</t>
        </is>
      </c>
      <c r="C729" t="inlineStr">
        <is>
          <t>Coco Colombia</t>
        </is>
      </c>
      <c r="D729" t="inlineStr">
        <is>
          <t>COP</t>
        </is>
      </c>
      <c r="E729" t="inlineStr">
        <is>
          <t>Real</t>
        </is>
      </c>
      <c r="F729" t="inlineStr">
        <is>
          <t>gasto_desarrollo</t>
        </is>
      </c>
      <c r="H729" t="inlineStr">
        <is>
          <t>Honorarios</t>
        </is>
      </c>
      <c r="I729" t="n">
        <v>8000000</v>
      </c>
      <c r="J729" t="inlineStr">
        <is>
          <t>COP</t>
        </is>
      </c>
      <c r="L729">
        <f>IFERROR(INDEX(Diccionario!$B:$B,MATCH(F741,Diccionario!$C:$C,0)),"")</f>
        <v/>
      </c>
      <c r="M729">
        <f>IFERROR(INDEX(Diccionario!$H:$H,MATCH(F741,Diccionario!$C:$C,0)),"")</f>
        <v/>
      </c>
      <c r="N729">
        <f>IFERROR(INDEX(Diccionario!$N:$N,MATCH(F741,Diccionario!$C:$C,0)),"")</f>
        <v/>
      </c>
    </row>
    <row r="730" ht="14.25" customHeight="1" s="52">
      <c r="A730" t="inlineStr">
        <is>
          <t>2024-07</t>
        </is>
      </c>
      <c r="B730" t="inlineStr">
        <is>
          <t>Colombia</t>
        </is>
      </c>
      <c r="C730" t="inlineStr">
        <is>
          <t>Coco Colombia</t>
        </is>
      </c>
      <c r="D730" t="inlineStr">
        <is>
          <t>COP</t>
        </is>
      </c>
      <c r="E730" t="inlineStr">
        <is>
          <t>Real</t>
        </is>
      </c>
      <c r="F730" t="inlineStr">
        <is>
          <t>gasto_desarrollo</t>
        </is>
      </c>
      <c r="H730" t="inlineStr">
        <is>
          <t>Servicios</t>
        </is>
      </c>
      <c r="I730" t="n">
        <v>16000000</v>
      </c>
      <c r="J730" t="inlineStr">
        <is>
          <t>COP</t>
        </is>
      </c>
      <c r="L730">
        <f>IFERROR(INDEX(Diccionario!$B:$B,MATCH(F742,Diccionario!$C:$C,0)),"")</f>
        <v/>
      </c>
      <c r="M730">
        <f>IFERROR(INDEX(Diccionario!$H:$H,MATCH(F742,Diccionario!$C:$C,0)),"")</f>
        <v/>
      </c>
      <c r="N730">
        <f>IFERROR(INDEX(Diccionario!$N:$N,MATCH(F742,Diccionario!$C:$C,0)),"")</f>
        <v/>
      </c>
    </row>
    <row r="731" ht="14.25" customHeight="1" s="52">
      <c r="A731" t="inlineStr">
        <is>
          <t>2024-07</t>
        </is>
      </c>
      <c r="B731" t="inlineStr">
        <is>
          <t>Colombia</t>
        </is>
      </c>
      <c r="C731" t="inlineStr">
        <is>
          <t>Coco Colombia</t>
        </is>
      </c>
      <c r="D731" t="inlineStr">
        <is>
          <t>COP</t>
        </is>
      </c>
      <c r="E731" t="inlineStr">
        <is>
          <t>Real</t>
        </is>
      </c>
      <c r="F731" t="inlineStr">
        <is>
          <t>gasto_desarrollo</t>
        </is>
      </c>
      <c r="H731" t="inlineStr">
        <is>
          <t>Viajes</t>
        </is>
      </c>
      <c r="I731" t="n">
        <v>1000000</v>
      </c>
      <c r="J731" t="inlineStr">
        <is>
          <t>COP</t>
        </is>
      </c>
      <c r="L731">
        <f>IFERROR(INDEX(Diccionario!$B:$B,MATCH(F743,Diccionario!$C:$C,0)),"")</f>
        <v/>
      </c>
      <c r="M731">
        <f>IFERROR(INDEX(Diccionario!$H:$H,MATCH(F743,Diccionario!$C:$C,0)),"")</f>
        <v/>
      </c>
      <c r="N731">
        <f>IFERROR(INDEX(Diccionario!$N:$N,MATCH(F743,Diccionario!$C:$C,0)),"")</f>
        <v/>
      </c>
    </row>
    <row r="732" ht="14.25" customHeight="1" s="52">
      <c r="A732" t="inlineStr">
        <is>
          <t>2024-08</t>
        </is>
      </c>
      <c r="B732" t="inlineStr">
        <is>
          <t>Colombia</t>
        </is>
      </c>
      <c r="C732" t="inlineStr">
        <is>
          <t>Coco Colombia</t>
        </is>
      </c>
      <c r="D732" t="inlineStr">
        <is>
          <t>COP</t>
        </is>
      </c>
      <c r="E732" t="inlineStr">
        <is>
          <t>Real</t>
        </is>
      </c>
      <c r="F732" t="inlineStr">
        <is>
          <t>gasto_desarrollo</t>
        </is>
      </c>
      <c r="H732" t="inlineStr">
        <is>
          <t>Personal</t>
        </is>
      </c>
      <c r="I732" t="n">
        <v>110000000</v>
      </c>
      <c r="J732" t="inlineStr">
        <is>
          <t>COP</t>
        </is>
      </c>
      <c r="L732">
        <f>IFERROR(INDEX(Diccionario!$B:$B,MATCH(F744,Diccionario!$C:$C,0)),"")</f>
        <v/>
      </c>
      <c r="M732">
        <f>IFERROR(INDEX(Diccionario!$H:$H,MATCH(F744,Diccionario!$C:$C,0)),"")</f>
        <v/>
      </c>
      <c r="N732">
        <f>IFERROR(INDEX(Diccionario!$N:$N,MATCH(F744,Diccionario!$C:$C,0)),"")</f>
        <v/>
      </c>
    </row>
    <row r="733" ht="14.25" customHeight="1" s="52">
      <c r="A733" t="inlineStr">
        <is>
          <t>2024-08</t>
        </is>
      </c>
      <c r="B733" t="inlineStr">
        <is>
          <t>Colombia</t>
        </is>
      </c>
      <c r="C733" t="inlineStr">
        <is>
          <t>Coco Colombia</t>
        </is>
      </c>
      <c r="D733" t="inlineStr">
        <is>
          <t>COP</t>
        </is>
      </c>
      <c r="E733" t="inlineStr">
        <is>
          <t>Real</t>
        </is>
      </c>
      <c r="F733" t="inlineStr">
        <is>
          <t>gasto_desarrollo</t>
        </is>
      </c>
      <c r="H733" t="inlineStr">
        <is>
          <t>Honorarios</t>
        </is>
      </c>
      <c r="I733" t="n">
        <v>12000000</v>
      </c>
      <c r="J733" t="inlineStr">
        <is>
          <t>COP</t>
        </is>
      </c>
      <c r="L733">
        <f>IFERROR(INDEX(Diccionario!$B:$B,MATCH(F745,Diccionario!$C:$C,0)),"")</f>
        <v/>
      </c>
      <c r="M733">
        <f>IFERROR(INDEX(Diccionario!$H:$H,MATCH(F745,Diccionario!$C:$C,0)),"")</f>
        <v/>
      </c>
      <c r="N733">
        <f>IFERROR(INDEX(Diccionario!$N:$N,MATCH(F745,Diccionario!$C:$C,0)),"")</f>
        <v/>
      </c>
    </row>
    <row r="734" ht="14.25" customHeight="1" s="52">
      <c r="A734" t="inlineStr">
        <is>
          <t>2024-08</t>
        </is>
      </c>
      <c r="B734" t="inlineStr">
        <is>
          <t>Colombia</t>
        </is>
      </c>
      <c r="C734" t="inlineStr">
        <is>
          <t>Coco Colombia</t>
        </is>
      </c>
      <c r="D734" t="inlineStr">
        <is>
          <t>COP</t>
        </is>
      </c>
      <c r="E734" t="inlineStr">
        <is>
          <t>Real</t>
        </is>
      </c>
      <c r="F734" t="inlineStr">
        <is>
          <t>gasto_desarrollo</t>
        </is>
      </c>
      <c r="H734" t="inlineStr">
        <is>
          <t>Servicios</t>
        </is>
      </c>
      <c r="I734" t="n">
        <v>6000000</v>
      </c>
      <c r="J734" t="inlineStr">
        <is>
          <t>COP</t>
        </is>
      </c>
      <c r="L734">
        <f>IFERROR(INDEX(Diccionario!$B:$B,MATCH(F746,Diccionario!$C:$C,0)),"")</f>
        <v/>
      </c>
      <c r="M734">
        <f>IFERROR(INDEX(Diccionario!$H:$H,MATCH(F746,Diccionario!$C:$C,0)),"")</f>
        <v/>
      </c>
      <c r="N734">
        <f>IFERROR(INDEX(Diccionario!$N:$N,MATCH(F746,Diccionario!$C:$C,0)),"")</f>
        <v/>
      </c>
    </row>
    <row r="735" ht="14.25" customHeight="1" s="52">
      <c r="A735" t="inlineStr">
        <is>
          <t>2024-08</t>
        </is>
      </c>
      <c r="B735" t="inlineStr">
        <is>
          <t>Colombia</t>
        </is>
      </c>
      <c r="C735" t="inlineStr">
        <is>
          <t>Coco Colombia</t>
        </is>
      </c>
      <c r="D735" t="inlineStr">
        <is>
          <t>COP</t>
        </is>
      </c>
      <c r="E735" t="inlineStr">
        <is>
          <t>Real</t>
        </is>
      </c>
      <c r="F735" t="inlineStr">
        <is>
          <t>gasto_desarrollo</t>
        </is>
      </c>
      <c r="H735" t="inlineStr">
        <is>
          <t>Viajes</t>
        </is>
      </c>
      <c r="I735" t="n">
        <v>2000000</v>
      </c>
      <c r="J735" t="inlineStr">
        <is>
          <t>COP</t>
        </is>
      </c>
      <c r="L735">
        <f>IFERROR(INDEX(Diccionario!$B:$B,MATCH(F747,Diccionario!$C:$C,0)),"")</f>
        <v/>
      </c>
      <c r="M735">
        <f>IFERROR(INDEX(Diccionario!$H:$H,MATCH(F747,Diccionario!$C:$C,0)),"")</f>
        <v/>
      </c>
      <c r="N735">
        <f>IFERROR(INDEX(Diccionario!$N:$N,MATCH(F747,Diccionario!$C:$C,0)),"")</f>
        <v/>
      </c>
    </row>
    <row r="736" ht="14.25" customHeight="1" s="52">
      <c r="A736" t="inlineStr">
        <is>
          <t>2024-09</t>
        </is>
      </c>
      <c r="B736" t="inlineStr">
        <is>
          <t>Colombia</t>
        </is>
      </c>
      <c r="C736" t="inlineStr">
        <is>
          <t>Coco Colombia</t>
        </is>
      </c>
      <c r="D736" t="inlineStr">
        <is>
          <t>COP</t>
        </is>
      </c>
      <c r="E736" t="inlineStr">
        <is>
          <t>Real</t>
        </is>
      </c>
      <c r="F736" t="inlineStr">
        <is>
          <t>gasto_desarrollo</t>
        </is>
      </c>
      <c r="H736" t="inlineStr">
        <is>
          <t>Personal</t>
        </is>
      </c>
      <c r="I736" t="n">
        <v>91000000</v>
      </c>
      <c r="J736" t="inlineStr">
        <is>
          <t>COP</t>
        </is>
      </c>
      <c r="L736">
        <f>IFERROR(INDEX(Diccionario!$B:$B,MATCH(F748,Diccionario!$C:$C,0)),"")</f>
        <v/>
      </c>
      <c r="M736">
        <f>IFERROR(INDEX(Diccionario!$H:$H,MATCH(F748,Diccionario!$C:$C,0)),"")</f>
        <v/>
      </c>
      <c r="N736">
        <f>IFERROR(INDEX(Diccionario!$N:$N,MATCH(F748,Diccionario!$C:$C,0)),"")</f>
        <v/>
      </c>
    </row>
    <row r="737" ht="14.25" customHeight="1" s="52">
      <c r="A737" t="inlineStr">
        <is>
          <t>2024-09</t>
        </is>
      </c>
      <c r="B737" t="inlineStr">
        <is>
          <t>Colombia</t>
        </is>
      </c>
      <c r="C737" t="inlineStr">
        <is>
          <t>Coco Colombia</t>
        </is>
      </c>
      <c r="D737" t="inlineStr">
        <is>
          <t>COP</t>
        </is>
      </c>
      <c r="E737" t="inlineStr">
        <is>
          <t>Real</t>
        </is>
      </c>
      <c r="F737" t="inlineStr">
        <is>
          <t>gasto_desarrollo</t>
        </is>
      </c>
      <c r="H737" t="inlineStr">
        <is>
          <t>Honorarios</t>
        </is>
      </c>
      <c r="I737" t="n">
        <v>11000000</v>
      </c>
      <c r="J737" t="inlineStr">
        <is>
          <t>COP</t>
        </is>
      </c>
      <c r="L737">
        <f>IFERROR(INDEX(Diccionario!$B:$B,MATCH(F749,Diccionario!$C:$C,0)),"")</f>
        <v/>
      </c>
      <c r="M737">
        <f>IFERROR(INDEX(Diccionario!$H:$H,MATCH(F749,Diccionario!$C:$C,0)),"")</f>
        <v/>
      </c>
      <c r="N737">
        <f>IFERROR(INDEX(Diccionario!$N:$N,MATCH(F749,Diccionario!$C:$C,0)),"")</f>
        <v/>
      </c>
    </row>
    <row r="738" ht="14.25" customHeight="1" s="52">
      <c r="A738" t="inlineStr">
        <is>
          <t>2024-09</t>
        </is>
      </c>
      <c r="B738" t="inlineStr">
        <is>
          <t>Colombia</t>
        </is>
      </c>
      <c r="C738" t="inlineStr">
        <is>
          <t>Coco Colombia</t>
        </is>
      </c>
      <c r="D738" t="inlineStr">
        <is>
          <t>COP</t>
        </is>
      </c>
      <c r="E738" t="inlineStr">
        <is>
          <t>Real</t>
        </is>
      </c>
      <c r="F738" t="inlineStr">
        <is>
          <t>gasto_desarrollo</t>
        </is>
      </c>
      <c r="H738" t="inlineStr">
        <is>
          <t>Servicios</t>
        </is>
      </c>
      <c r="I738" t="n">
        <v>55000000</v>
      </c>
      <c r="J738" t="inlineStr">
        <is>
          <t>COP</t>
        </is>
      </c>
      <c r="L738">
        <f>IFERROR(INDEX(Diccionario!$B:$B,MATCH(F750,Diccionario!$C:$C,0)),"")</f>
        <v/>
      </c>
      <c r="M738">
        <f>IFERROR(INDEX(Diccionario!$H:$H,MATCH(F750,Diccionario!$C:$C,0)),"")</f>
        <v/>
      </c>
      <c r="N738">
        <f>IFERROR(INDEX(Diccionario!$N:$N,MATCH(F750,Diccionario!$C:$C,0)),"")</f>
        <v/>
      </c>
    </row>
    <row r="739" ht="14.25" customHeight="1" s="52">
      <c r="A739" t="inlineStr">
        <is>
          <t>2024-09</t>
        </is>
      </c>
      <c r="B739" t="inlineStr">
        <is>
          <t>Colombia</t>
        </is>
      </c>
      <c r="C739" t="inlineStr">
        <is>
          <t>Coco Colombia</t>
        </is>
      </c>
      <c r="D739" t="inlineStr">
        <is>
          <t>COP</t>
        </is>
      </c>
      <c r="E739" t="inlineStr">
        <is>
          <t>Real</t>
        </is>
      </c>
      <c r="F739" t="inlineStr">
        <is>
          <t>gasto_desarrollo</t>
        </is>
      </c>
      <c r="H739" t="inlineStr">
        <is>
          <t>Viajes</t>
        </is>
      </c>
      <c r="I739" t="n">
        <v>0</v>
      </c>
      <c r="J739" t="inlineStr">
        <is>
          <t>COP</t>
        </is>
      </c>
      <c r="L739">
        <f>IFERROR(INDEX(Diccionario!$B:$B,MATCH(F751,Diccionario!$C:$C,0)),"")</f>
        <v/>
      </c>
      <c r="M739">
        <f>IFERROR(INDEX(Diccionario!$H:$H,MATCH(F751,Diccionario!$C:$C,0)),"")</f>
        <v/>
      </c>
      <c r="N739">
        <f>IFERROR(INDEX(Diccionario!$N:$N,MATCH(F751,Diccionario!$C:$C,0)),"")</f>
        <v/>
      </c>
    </row>
    <row r="740" ht="14.25" customHeight="1" s="52">
      <c r="A740" t="inlineStr">
        <is>
          <t>2024-10</t>
        </is>
      </c>
      <c r="B740" t="inlineStr">
        <is>
          <t>Colombia</t>
        </is>
      </c>
      <c r="C740" t="inlineStr">
        <is>
          <t>Coco Colombia</t>
        </is>
      </c>
      <c r="D740" t="inlineStr">
        <is>
          <t>COP</t>
        </is>
      </c>
      <c r="E740" t="inlineStr">
        <is>
          <t>Real</t>
        </is>
      </c>
      <c r="F740" t="inlineStr">
        <is>
          <t>gasto_desarrollo</t>
        </is>
      </c>
      <c r="H740" t="inlineStr">
        <is>
          <t>Personal</t>
        </is>
      </c>
      <c r="I740" t="n">
        <v>95000000</v>
      </c>
      <c r="J740" t="inlineStr">
        <is>
          <t>COP</t>
        </is>
      </c>
      <c r="L740">
        <f>IFERROR(INDEX(Diccionario!$B:$B,MATCH(F752,Diccionario!$C:$C,0)),"")</f>
        <v/>
      </c>
      <c r="M740">
        <f>IFERROR(INDEX(Diccionario!$H:$H,MATCH(F752,Diccionario!$C:$C,0)),"")</f>
        <v/>
      </c>
      <c r="N740">
        <f>IFERROR(INDEX(Diccionario!$N:$N,MATCH(F752,Diccionario!$C:$C,0)),"")</f>
        <v/>
      </c>
    </row>
    <row r="741" ht="14.25" customHeight="1" s="52">
      <c r="A741" t="inlineStr">
        <is>
          <t>2024-10</t>
        </is>
      </c>
      <c r="B741" t="inlineStr">
        <is>
          <t>Colombia</t>
        </is>
      </c>
      <c r="C741" t="inlineStr">
        <is>
          <t>Coco Colombia</t>
        </is>
      </c>
      <c r="D741" t="inlineStr">
        <is>
          <t>COP</t>
        </is>
      </c>
      <c r="E741" t="inlineStr">
        <is>
          <t>Real</t>
        </is>
      </c>
      <c r="F741" t="inlineStr">
        <is>
          <t>gasto_desarrollo</t>
        </is>
      </c>
      <c r="H741" t="inlineStr">
        <is>
          <t>Honorarios</t>
        </is>
      </c>
      <c r="I741" t="n">
        <v>8000000</v>
      </c>
      <c r="J741" t="inlineStr">
        <is>
          <t>COP</t>
        </is>
      </c>
      <c r="L741">
        <f>IFERROR(INDEX(Diccionario!$B:$B,MATCH(F753,Diccionario!$C:$C,0)),"")</f>
        <v/>
      </c>
      <c r="M741">
        <f>IFERROR(INDEX(Diccionario!$H:$H,MATCH(F753,Diccionario!$C:$C,0)),"")</f>
        <v/>
      </c>
      <c r="N741">
        <f>IFERROR(INDEX(Diccionario!$N:$N,MATCH(F753,Diccionario!$C:$C,0)),"")</f>
        <v/>
      </c>
    </row>
    <row r="742" ht="14.25" customHeight="1" s="52">
      <c r="A742" t="inlineStr">
        <is>
          <t>2024-10</t>
        </is>
      </c>
      <c r="B742" t="inlineStr">
        <is>
          <t>Colombia</t>
        </is>
      </c>
      <c r="C742" t="inlineStr">
        <is>
          <t>Coco Colombia</t>
        </is>
      </c>
      <c r="D742" t="inlineStr">
        <is>
          <t>COP</t>
        </is>
      </c>
      <c r="E742" t="inlineStr">
        <is>
          <t>Real</t>
        </is>
      </c>
      <c r="F742" t="inlineStr">
        <is>
          <t>gasto_desarrollo</t>
        </is>
      </c>
      <c r="H742" t="inlineStr">
        <is>
          <t>Servicios</t>
        </is>
      </c>
      <c r="I742" t="n">
        <v>7000000</v>
      </c>
      <c r="J742" t="inlineStr">
        <is>
          <t>COP</t>
        </is>
      </c>
      <c r="L742">
        <f>IFERROR(INDEX(Diccionario!$B:$B,MATCH(F754,Diccionario!$C:$C,0)),"")</f>
        <v/>
      </c>
      <c r="M742">
        <f>IFERROR(INDEX(Diccionario!$H:$H,MATCH(F754,Diccionario!$C:$C,0)),"")</f>
        <v/>
      </c>
      <c r="N742">
        <f>IFERROR(INDEX(Diccionario!$N:$N,MATCH(F754,Diccionario!$C:$C,0)),"")</f>
        <v/>
      </c>
    </row>
    <row r="743" ht="14.25" customHeight="1" s="52">
      <c r="A743" t="inlineStr">
        <is>
          <t>2024-10</t>
        </is>
      </c>
      <c r="B743" t="inlineStr">
        <is>
          <t>Colombia</t>
        </is>
      </c>
      <c r="C743" t="inlineStr">
        <is>
          <t>Coco Colombia</t>
        </is>
      </c>
      <c r="D743" t="inlineStr">
        <is>
          <t>COP</t>
        </is>
      </c>
      <c r="E743" t="inlineStr">
        <is>
          <t>Real</t>
        </is>
      </c>
      <c r="F743" t="inlineStr">
        <is>
          <t>gasto_desarrollo</t>
        </is>
      </c>
      <c r="H743" t="inlineStr">
        <is>
          <t>Viajes</t>
        </is>
      </c>
      <c r="I743" t="n">
        <v>6000000</v>
      </c>
      <c r="J743" t="inlineStr">
        <is>
          <t>COP</t>
        </is>
      </c>
      <c r="L743">
        <f>IFERROR(INDEX(Diccionario!$B:$B,MATCH(F755,Diccionario!$C:$C,0)),"")</f>
        <v/>
      </c>
      <c r="M743">
        <f>IFERROR(INDEX(Diccionario!$H:$H,MATCH(F755,Diccionario!$C:$C,0)),"")</f>
        <v/>
      </c>
      <c r="N743">
        <f>IFERROR(INDEX(Diccionario!$N:$N,MATCH(F755,Diccionario!$C:$C,0)),"")</f>
        <v/>
      </c>
    </row>
    <row r="744" ht="14.25" customHeight="1" s="52">
      <c r="A744" t="inlineStr">
        <is>
          <t>2024-11</t>
        </is>
      </c>
      <c r="B744" t="inlineStr">
        <is>
          <t>Colombia</t>
        </is>
      </c>
      <c r="C744" t="inlineStr">
        <is>
          <t>Coco Colombia</t>
        </is>
      </c>
      <c r="D744" t="inlineStr">
        <is>
          <t>COP</t>
        </is>
      </c>
      <c r="E744" t="inlineStr">
        <is>
          <t>Real</t>
        </is>
      </c>
      <c r="F744" t="inlineStr">
        <is>
          <t>gasto_desarrollo</t>
        </is>
      </c>
      <c r="H744" t="inlineStr">
        <is>
          <t>Personal</t>
        </is>
      </c>
      <c r="I744" t="n">
        <v>95000000</v>
      </c>
      <c r="J744" t="inlineStr">
        <is>
          <t>COP</t>
        </is>
      </c>
      <c r="L744">
        <f>IFERROR(INDEX(Diccionario!$B:$B,MATCH(F756,Diccionario!$C:$C,0)),"")</f>
        <v/>
      </c>
      <c r="M744">
        <f>IFERROR(INDEX(Diccionario!$H:$H,MATCH(F756,Diccionario!$C:$C,0)),"")</f>
        <v/>
      </c>
      <c r="N744">
        <f>IFERROR(INDEX(Diccionario!$N:$N,MATCH(F756,Diccionario!$C:$C,0)),"")</f>
        <v/>
      </c>
    </row>
    <row r="745" ht="14.25" customHeight="1" s="52">
      <c r="A745" t="inlineStr">
        <is>
          <t>2024-11</t>
        </is>
      </c>
      <c r="B745" t="inlineStr">
        <is>
          <t>Colombia</t>
        </is>
      </c>
      <c r="C745" t="inlineStr">
        <is>
          <t>Coco Colombia</t>
        </is>
      </c>
      <c r="D745" t="inlineStr">
        <is>
          <t>COP</t>
        </is>
      </c>
      <c r="E745" t="inlineStr">
        <is>
          <t>Real</t>
        </is>
      </c>
      <c r="F745" t="inlineStr">
        <is>
          <t>gasto_desarrollo</t>
        </is>
      </c>
      <c r="H745" t="inlineStr">
        <is>
          <t>Honorarios</t>
        </is>
      </c>
      <c r="I745" t="n">
        <v>8000000</v>
      </c>
      <c r="J745" t="inlineStr">
        <is>
          <t>COP</t>
        </is>
      </c>
      <c r="L745">
        <f>IFERROR(INDEX(Diccionario!$B:$B,MATCH(F757,Diccionario!$C:$C,0)),"")</f>
        <v/>
      </c>
      <c r="M745">
        <f>IFERROR(INDEX(Diccionario!$H:$H,MATCH(F757,Diccionario!$C:$C,0)),"")</f>
        <v/>
      </c>
      <c r="N745">
        <f>IFERROR(INDEX(Diccionario!$N:$N,MATCH(F757,Diccionario!$C:$C,0)),"")</f>
        <v/>
      </c>
    </row>
    <row r="746" ht="14.25" customHeight="1" s="52">
      <c r="A746" t="inlineStr">
        <is>
          <t>2024-11</t>
        </is>
      </c>
      <c r="B746" t="inlineStr">
        <is>
          <t>Colombia</t>
        </is>
      </c>
      <c r="C746" t="inlineStr">
        <is>
          <t>Coco Colombia</t>
        </is>
      </c>
      <c r="D746" t="inlineStr">
        <is>
          <t>COP</t>
        </is>
      </c>
      <c r="E746" t="inlineStr">
        <is>
          <t>Real</t>
        </is>
      </c>
      <c r="F746" t="inlineStr">
        <is>
          <t>gasto_desarrollo</t>
        </is>
      </c>
      <c r="H746" t="inlineStr">
        <is>
          <t>Servicios</t>
        </is>
      </c>
      <c r="I746" t="n">
        <v>30000000</v>
      </c>
      <c r="J746" t="inlineStr">
        <is>
          <t>COP</t>
        </is>
      </c>
      <c r="L746">
        <f>IFERROR(INDEX(Diccionario!$B:$B,MATCH(F758,Diccionario!$C:$C,0)),"")</f>
        <v/>
      </c>
      <c r="M746">
        <f>IFERROR(INDEX(Diccionario!$H:$H,MATCH(F758,Diccionario!$C:$C,0)),"")</f>
        <v/>
      </c>
      <c r="N746">
        <f>IFERROR(INDEX(Diccionario!$N:$N,MATCH(F758,Diccionario!$C:$C,0)),"")</f>
        <v/>
      </c>
    </row>
    <row r="747" ht="14.25" customHeight="1" s="52">
      <c r="A747" t="inlineStr">
        <is>
          <t>2024-11</t>
        </is>
      </c>
      <c r="B747" t="inlineStr">
        <is>
          <t>Colombia</t>
        </is>
      </c>
      <c r="C747" t="inlineStr">
        <is>
          <t>Coco Colombia</t>
        </is>
      </c>
      <c r="D747" t="inlineStr">
        <is>
          <t>COP</t>
        </is>
      </c>
      <c r="E747" t="inlineStr">
        <is>
          <t>Real</t>
        </is>
      </c>
      <c r="F747" t="inlineStr">
        <is>
          <t>gasto_desarrollo</t>
        </is>
      </c>
      <c r="H747" t="inlineStr">
        <is>
          <t>Viajes</t>
        </is>
      </c>
      <c r="I747" t="n">
        <v>3000000</v>
      </c>
      <c r="J747" t="inlineStr">
        <is>
          <t>COP</t>
        </is>
      </c>
      <c r="L747">
        <f>IFERROR(INDEX(Diccionario!$B:$B,MATCH(F759,Diccionario!$C:$C,0)),"")</f>
        <v/>
      </c>
      <c r="M747">
        <f>IFERROR(INDEX(Diccionario!$H:$H,MATCH(F759,Diccionario!$C:$C,0)),"")</f>
        <v/>
      </c>
      <c r="N747">
        <f>IFERROR(INDEX(Diccionario!$N:$N,MATCH(F759,Diccionario!$C:$C,0)),"")</f>
        <v/>
      </c>
    </row>
    <row r="748" ht="14.25" customHeight="1" s="52">
      <c r="A748" t="inlineStr">
        <is>
          <t>2024-12</t>
        </is>
      </c>
      <c r="B748" t="inlineStr">
        <is>
          <t>Colombia</t>
        </is>
      </c>
      <c r="C748" t="inlineStr">
        <is>
          <t>Coco Colombia</t>
        </is>
      </c>
      <c r="D748" t="inlineStr">
        <is>
          <t>COP</t>
        </is>
      </c>
      <c r="E748" t="inlineStr">
        <is>
          <t>Real</t>
        </is>
      </c>
      <c r="F748" t="inlineStr">
        <is>
          <t>gasto_desarrollo</t>
        </is>
      </c>
      <c r="H748" t="inlineStr">
        <is>
          <t>Personal</t>
        </is>
      </c>
      <c r="I748" t="n">
        <v>100800000</v>
      </c>
      <c r="J748" t="inlineStr">
        <is>
          <t>COP</t>
        </is>
      </c>
      <c r="L748">
        <f>IFERROR(INDEX(Diccionario!$B:$B,MATCH(F760,Diccionario!$C:$C,0)),"")</f>
        <v/>
      </c>
      <c r="M748">
        <f>IFERROR(INDEX(Diccionario!$H:$H,MATCH(F760,Diccionario!$C:$C,0)),"")</f>
        <v/>
      </c>
      <c r="N748">
        <f>IFERROR(INDEX(Diccionario!$N:$N,MATCH(F760,Diccionario!$C:$C,0)),"")</f>
        <v/>
      </c>
    </row>
    <row r="749" ht="14.25" customHeight="1" s="52">
      <c r="A749" t="inlineStr">
        <is>
          <t>2024-12</t>
        </is>
      </c>
      <c r="B749" t="inlineStr">
        <is>
          <t>Colombia</t>
        </is>
      </c>
      <c r="C749" t="inlineStr">
        <is>
          <t>Coco Colombia</t>
        </is>
      </c>
      <c r="D749" t="inlineStr">
        <is>
          <t>COP</t>
        </is>
      </c>
      <c r="E749" t="inlineStr">
        <is>
          <t>Real</t>
        </is>
      </c>
      <c r="F749" t="inlineStr">
        <is>
          <t>gasto_desarrollo</t>
        </is>
      </c>
      <c r="H749" t="inlineStr">
        <is>
          <t>Honorarios</t>
        </is>
      </c>
      <c r="I749" t="n">
        <v>3300000</v>
      </c>
      <c r="J749" t="inlineStr">
        <is>
          <t>COP</t>
        </is>
      </c>
      <c r="L749">
        <f>IFERROR(INDEX(Diccionario!$B:$B,MATCH(F761,Diccionario!$C:$C,0)),"")</f>
        <v/>
      </c>
      <c r="M749">
        <f>IFERROR(INDEX(Diccionario!$H:$H,MATCH(F761,Diccionario!$C:$C,0)),"")</f>
        <v/>
      </c>
      <c r="N749">
        <f>IFERROR(INDEX(Diccionario!$N:$N,MATCH(F761,Diccionario!$C:$C,0)),"")</f>
        <v/>
      </c>
    </row>
    <row r="750" ht="14.25" customHeight="1" s="52">
      <c r="A750" t="inlineStr">
        <is>
          <t>2024-12</t>
        </is>
      </c>
      <c r="B750" t="inlineStr">
        <is>
          <t>Colombia</t>
        </is>
      </c>
      <c r="C750" t="inlineStr">
        <is>
          <t>Coco Colombia</t>
        </is>
      </c>
      <c r="D750" t="inlineStr">
        <is>
          <t>COP</t>
        </is>
      </c>
      <c r="E750" t="inlineStr">
        <is>
          <t>Real</t>
        </is>
      </c>
      <c r="F750" t="inlineStr">
        <is>
          <t>gasto_desarrollo</t>
        </is>
      </c>
      <c r="H750" t="inlineStr">
        <is>
          <t>Servicios</t>
        </is>
      </c>
      <c r="I750" t="n">
        <v>2600000</v>
      </c>
      <c r="J750" t="inlineStr">
        <is>
          <t>COP</t>
        </is>
      </c>
      <c r="L750">
        <f>IFERROR(INDEX(Diccionario!$B:$B,MATCH(F762,Diccionario!$C:$C,0)),"")</f>
        <v/>
      </c>
      <c r="M750">
        <f>IFERROR(INDEX(Diccionario!$H:$H,MATCH(F762,Diccionario!$C:$C,0)),"")</f>
        <v/>
      </c>
      <c r="N750">
        <f>IFERROR(INDEX(Diccionario!$N:$N,MATCH(F762,Diccionario!$C:$C,0)),"")</f>
        <v/>
      </c>
    </row>
    <row r="751" ht="14.25" customHeight="1" s="52">
      <c r="A751" t="inlineStr">
        <is>
          <t>2024-12</t>
        </is>
      </c>
      <c r="B751" t="inlineStr">
        <is>
          <t>Colombia</t>
        </is>
      </c>
      <c r="C751" t="inlineStr">
        <is>
          <t>Coco Colombia</t>
        </is>
      </c>
      <c r="D751" t="inlineStr">
        <is>
          <t>COP</t>
        </is>
      </c>
      <c r="E751" t="inlineStr">
        <is>
          <t>Real</t>
        </is>
      </c>
      <c r="F751" t="inlineStr">
        <is>
          <t>gasto_desarrollo</t>
        </is>
      </c>
      <c r="H751" t="inlineStr">
        <is>
          <t>Viajes</t>
        </is>
      </c>
      <c r="I751" t="n">
        <v>3000000</v>
      </c>
      <c r="J751" t="inlineStr">
        <is>
          <t>COP</t>
        </is>
      </c>
      <c r="L751">
        <f>IFERROR(INDEX(Diccionario!$B:$B,MATCH(F763,Diccionario!$C:$C,0)),"")</f>
        <v/>
      </c>
      <c r="M751">
        <f>IFERROR(INDEX(Diccionario!$H:$H,MATCH(F763,Diccionario!$C:$C,0)),"")</f>
        <v/>
      </c>
      <c r="N751">
        <f>IFERROR(INDEX(Diccionario!$N:$N,MATCH(F763,Diccionario!$C:$C,0)),"")</f>
        <v/>
      </c>
    </row>
    <row r="752" ht="14.25" customHeight="1" s="52">
      <c r="A752" t="inlineStr">
        <is>
          <t>2025-01</t>
        </is>
      </c>
      <c r="B752" t="inlineStr">
        <is>
          <t>Colombia</t>
        </is>
      </c>
      <c r="C752" t="inlineStr">
        <is>
          <t>Coco Colombia</t>
        </is>
      </c>
      <c r="D752" t="inlineStr">
        <is>
          <t>COP</t>
        </is>
      </c>
      <c r="E752" t="inlineStr">
        <is>
          <t>Real</t>
        </is>
      </c>
      <c r="F752" t="inlineStr">
        <is>
          <t>gasto_desarrollo</t>
        </is>
      </c>
      <c r="H752" t="inlineStr">
        <is>
          <t>Personal</t>
        </is>
      </c>
      <c r="I752" t="n">
        <v>120000000</v>
      </c>
      <c r="J752" t="inlineStr">
        <is>
          <t>COP</t>
        </is>
      </c>
      <c r="L752">
        <f>IFERROR(INDEX(Diccionario!$B:$B,MATCH(F764,Diccionario!$C:$C,0)),"")</f>
        <v/>
      </c>
      <c r="M752">
        <f>IFERROR(INDEX(Diccionario!$H:$H,MATCH(F764,Diccionario!$C:$C,0)),"")</f>
        <v/>
      </c>
      <c r="N752">
        <f>IFERROR(INDEX(Diccionario!$N:$N,MATCH(F764,Diccionario!$C:$C,0)),"")</f>
        <v/>
      </c>
    </row>
    <row r="753" ht="14.25" customHeight="1" s="52">
      <c r="A753" t="inlineStr">
        <is>
          <t>2025-01</t>
        </is>
      </c>
      <c r="B753" t="inlineStr">
        <is>
          <t>Colombia</t>
        </is>
      </c>
      <c r="C753" t="inlineStr">
        <is>
          <t>Coco Colombia</t>
        </is>
      </c>
      <c r="D753" t="inlineStr">
        <is>
          <t>COP</t>
        </is>
      </c>
      <c r="E753" t="inlineStr">
        <is>
          <t>Real</t>
        </is>
      </c>
      <c r="F753" t="inlineStr">
        <is>
          <t>gasto_desarrollo</t>
        </is>
      </c>
      <c r="H753" t="inlineStr">
        <is>
          <t>Honorarios</t>
        </is>
      </c>
      <c r="I753" t="n">
        <v>3800000</v>
      </c>
      <c r="J753" t="inlineStr">
        <is>
          <t>COP</t>
        </is>
      </c>
      <c r="L753">
        <f>IFERROR(INDEX(Diccionario!$B:$B,MATCH(F765,Diccionario!$C:$C,0)),"")</f>
        <v/>
      </c>
      <c r="M753">
        <f>IFERROR(INDEX(Diccionario!$H:$H,MATCH(F765,Diccionario!$C:$C,0)),"")</f>
        <v/>
      </c>
      <c r="N753">
        <f>IFERROR(INDEX(Diccionario!$N:$N,MATCH(F765,Diccionario!$C:$C,0)),"")</f>
        <v/>
      </c>
    </row>
    <row r="754" ht="14.25" customHeight="1" s="52">
      <c r="A754" t="inlineStr">
        <is>
          <t>2025-01</t>
        </is>
      </c>
      <c r="B754" t="inlineStr">
        <is>
          <t>Colombia</t>
        </is>
      </c>
      <c r="C754" t="inlineStr">
        <is>
          <t>Coco Colombia</t>
        </is>
      </c>
      <c r="D754" t="inlineStr">
        <is>
          <t>COP</t>
        </is>
      </c>
      <c r="E754" t="inlineStr">
        <is>
          <t>Real</t>
        </is>
      </c>
      <c r="F754" t="inlineStr">
        <is>
          <t>gasto_desarrollo</t>
        </is>
      </c>
      <c r="H754" t="inlineStr">
        <is>
          <t>Servicios</t>
        </is>
      </c>
      <c r="I754" t="n">
        <v>3300000</v>
      </c>
      <c r="J754" t="inlineStr">
        <is>
          <t>COP</t>
        </is>
      </c>
      <c r="L754">
        <f>IFERROR(INDEX(Diccionario!$B:$B,MATCH(F766,Diccionario!$C:$C,0)),"")</f>
        <v/>
      </c>
      <c r="M754">
        <f>IFERROR(INDEX(Diccionario!$H:$H,MATCH(F766,Diccionario!$C:$C,0)),"")</f>
        <v/>
      </c>
      <c r="N754">
        <f>IFERROR(INDEX(Diccionario!$N:$N,MATCH(F766,Diccionario!$C:$C,0)),"")</f>
        <v/>
      </c>
    </row>
    <row r="755" ht="14.25" customHeight="1" s="52">
      <c r="A755" t="inlineStr">
        <is>
          <t>2025-01</t>
        </is>
      </c>
      <c r="B755" t="inlineStr">
        <is>
          <t>Colombia</t>
        </is>
      </c>
      <c r="C755" t="inlineStr">
        <is>
          <t>Coco Colombia</t>
        </is>
      </c>
      <c r="D755" t="inlineStr">
        <is>
          <t>COP</t>
        </is>
      </c>
      <c r="E755" t="inlineStr">
        <is>
          <t>Real</t>
        </is>
      </c>
      <c r="F755" t="inlineStr">
        <is>
          <t>gasto_desarrollo</t>
        </is>
      </c>
      <c r="H755" t="inlineStr">
        <is>
          <t>Viajes</t>
        </is>
      </c>
      <c r="I755" t="n">
        <v>0</v>
      </c>
      <c r="J755" t="inlineStr">
        <is>
          <t>COP</t>
        </is>
      </c>
      <c r="L755">
        <f>IFERROR(INDEX(Diccionario!$B:$B,MATCH(F767,Diccionario!$C:$C,0)),"")</f>
        <v/>
      </c>
      <c r="M755">
        <f>IFERROR(INDEX(Diccionario!$H:$H,MATCH(F767,Diccionario!$C:$C,0)),"")</f>
        <v/>
      </c>
      <c r="N755">
        <f>IFERROR(INDEX(Diccionario!$N:$N,MATCH(F767,Diccionario!$C:$C,0)),"")</f>
        <v/>
      </c>
    </row>
    <row r="756" ht="14.25" customHeight="1" s="52">
      <c r="A756" t="inlineStr">
        <is>
          <t>2025-03</t>
        </is>
      </c>
      <c r="B756" t="inlineStr">
        <is>
          <t>Colombia</t>
        </is>
      </c>
      <c r="C756" t="inlineStr">
        <is>
          <t>Coco Colombia</t>
        </is>
      </c>
      <c r="D756" t="inlineStr">
        <is>
          <t>COP</t>
        </is>
      </c>
      <c r="E756" t="inlineStr">
        <is>
          <t>Real</t>
        </is>
      </c>
      <c r="F756" t="inlineStr">
        <is>
          <t>gasto_desarrollo</t>
        </is>
      </c>
      <c r="H756" t="inlineStr">
        <is>
          <t>Personal</t>
        </is>
      </c>
      <c r="I756" t="n">
        <v>105400000</v>
      </c>
      <c r="J756" t="inlineStr">
        <is>
          <t>COP</t>
        </is>
      </c>
      <c r="L756">
        <f>IFERROR(INDEX(Diccionario!$B:$B,MATCH(F768,Diccionario!$C:$C,0)),"")</f>
        <v/>
      </c>
      <c r="M756">
        <f>IFERROR(INDEX(Diccionario!$H:$H,MATCH(F768,Diccionario!$C:$C,0)),"")</f>
        <v/>
      </c>
      <c r="N756">
        <f>IFERROR(INDEX(Diccionario!$N:$N,MATCH(F768,Diccionario!$C:$C,0)),"")</f>
        <v/>
      </c>
    </row>
    <row r="757" ht="14.25" customHeight="1" s="52">
      <c r="A757" t="inlineStr">
        <is>
          <t>2025-03</t>
        </is>
      </c>
      <c r="B757" t="inlineStr">
        <is>
          <t>Colombia</t>
        </is>
      </c>
      <c r="C757" t="inlineStr">
        <is>
          <t>Coco Colombia</t>
        </is>
      </c>
      <c r="D757" t="inlineStr">
        <is>
          <t>COP</t>
        </is>
      </c>
      <c r="E757" t="inlineStr">
        <is>
          <t>Real</t>
        </is>
      </c>
      <c r="F757" t="inlineStr">
        <is>
          <t>gasto_desarrollo</t>
        </is>
      </c>
      <c r="H757" t="inlineStr">
        <is>
          <t>Honorarios</t>
        </is>
      </c>
      <c r="I757" t="n">
        <v>13300000</v>
      </c>
      <c r="J757" t="inlineStr">
        <is>
          <t>COP</t>
        </is>
      </c>
      <c r="L757">
        <f>IFERROR(INDEX(Diccionario!$B:$B,MATCH(F769,Diccionario!$C:$C,0)),"")</f>
        <v/>
      </c>
      <c r="M757">
        <f>IFERROR(INDEX(Diccionario!$H:$H,MATCH(F769,Diccionario!$C:$C,0)),"")</f>
        <v/>
      </c>
      <c r="N757">
        <f>IFERROR(INDEX(Diccionario!$N:$N,MATCH(F769,Diccionario!$C:$C,0)),"")</f>
        <v/>
      </c>
    </row>
    <row r="758" ht="14.25" customHeight="1" s="52">
      <c r="A758" t="inlineStr">
        <is>
          <t>2025-03</t>
        </is>
      </c>
      <c r="B758" t="inlineStr">
        <is>
          <t>Colombia</t>
        </is>
      </c>
      <c r="C758" t="inlineStr">
        <is>
          <t>Coco Colombia</t>
        </is>
      </c>
      <c r="D758" t="inlineStr">
        <is>
          <t>COP</t>
        </is>
      </c>
      <c r="E758" t="inlineStr">
        <is>
          <t>Real</t>
        </is>
      </c>
      <c r="F758" t="inlineStr">
        <is>
          <t>gasto_desarrollo</t>
        </is>
      </c>
      <c r="H758" t="inlineStr">
        <is>
          <t>Servicios</t>
        </is>
      </c>
      <c r="I758" t="n">
        <v>3200000</v>
      </c>
      <c r="J758" t="inlineStr">
        <is>
          <t>COP</t>
        </is>
      </c>
      <c r="L758">
        <f>IFERROR(INDEX(Diccionario!$B:$B,MATCH(F770,Diccionario!$C:$C,0)),"")</f>
        <v/>
      </c>
      <c r="M758">
        <f>IFERROR(INDEX(Diccionario!$H:$H,MATCH(F770,Diccionario!$C:$C,0)),"")</f>
        <v/>
      </c>
      <c r="N758">
        <f>IFERROR(INDEX(Diccionario!$N:$N,MATCH(F770,Diccionario!$C:$C,0)),"")</f>
        <v/>
      </c>
    </row>
    <row r="759" ht="14.25" customHeight="1" s="52">
      <c r="A759" t="inlineStr">
        <is>
          <t>2025-03</t>
        </is>
      </c>
      <c r="B759" t="inlineStr">
        <is>
          <t>Colombia</t>
        </is>
      </c>
      <c r="C759" t="inlineStr">
        <is>
          <t>Coco Colombia</t>
        </is>
      </c>
      <c r="D759" t="inlineStr">
        <is>
          <t>COP</t>
        </is>
      </c>
      <c r="E759" t="inlineStr">
        <is>
          <t>Real</t>
        </is>
      </c>
      <c r="F759" t="inlineStr">
        <is>
          <t>gasto_desarrollo</t>
        </is>
      </c>
      <c r="H759" t="inlineStr">
        <is>
          <t>Viajes</t>
        </is>
      </c>
      <c r="I759" t="n">
        <v>1900000</v>
      </c>
      <c r="J759" t="inlineStr">
        <is>
          <t>COP</t>
        </is>
      </c>
      <c r="L759">
        <f>IFERROR(INDEX(Diccionario!$B:$B,MATCH(F771,Diccionario!$C:$C,0)),"")</f>
        <v/>
      </c>
      <c r="M759">
        <f>IFERROR(INDEX(Diccionario!$H:$H,MATCH(F771,Diccionario!$C:$C,0)),"")</f>
        <v/>
      </c>
      <c r="N759">
        <f>IFERROR(INDEX(Diccionario!$N:$N,MATCH(F771,Diccionario!$C:$C,0)),"")</f>
        <v/>
      </c>
    </row>
    <row r="760" ht="14.25" customHeight="1" s="52">
      <c r="A760" t="inlineStr">
        <is>
          <t>2025-04</t>
        </is>
      </c>
      <c r="B760" t="inlineStr">
        <is>
          <t>Colombia</t>
        </is>
      </c>
      <c r="C760" t="inlineStr">
        <is>
          <t>Coco Colombia</t>
        </is>
      </c>
      <c r="D760" t="inlineStr">
        <is>
          <t>COP</t>
        </is>
      </c>
      <c r="E760" t="inlineStr">
        <is>
          <t>Real</t>
        </is>
      </c>
      <c r="F760" t="inlineStr">
        <is>
          <t>gasto_desarrollo</t>
        </is>
      </c>
      <c r="H760" t="inlineStr">
        <is>
          <t>Personal</t>
        </is>
      </c>
      <c r="I760" t="n">
        <v>104800000</v>
      </c>
      <c r="J760" t="inlineStr">
        <is>
          <t>COP</t>
        </is>
      </c>
      <c r="L760">
        <f>IFERROR(INDEX(Diccionario!$B:$B,MATCH(F772,Diccionario!$C:$C,0)),"")</f>
        <v/>
      </c>
      <c r="M760">
        <f>IFERROR(INDEX(Diccionario!$H:$H,MATCH(F772,Diccionario!$C:$C,0)),"")</f>
        <v/>
      </c>
      <c r="N760">
        <f>IFERROR(INDEX(Diccionario!$N:$N,MATCH(F772,Diccionario!$C:$C,0)),"")</f>
        <v/>
      </c>
    </row>
    <row r="761" ht="14.25" customHeight="1" s="52">
      <c r="A761" t="inlineStr">
        <is>
          <t>2025-04</t>
        </is>
      </c>
      <c r="B761" t="inlineStr">
        <is>
          <t>Colombia</t>
        </is>
      </c>
      <c r="C761" t="inlineStr">
        <is>
          <t>Coco Colombia</t>
        </is>
      </c>
      <c r="D761" t="inlineStr">
        <is>
          <t>COP</t>
        </is>
      </c>
      <c r="E761" t="inlineStr">
        <is>
          <t>Real</t>
        </is>
      </c>
      <c r="F761" t="inlineStr">
        <is>
          <t>gasto_desarrollo</t>
        </is>
      </c>
      <c r="H761" t="inlineStr">
        <is>
          <t>Honorarios</t>
        </is>
      </c>
      <c r="I761" t="n">
        <v>36800000</v>
      </c>
      <c r="J761" t="inlineStr">
        <is>
          <t>COP</t>
        </is>
      </c>
      <c r="L761">
        <f>IFERROR(INDEX(Diccionario!$B:$B,MATCH(F773,Diccionario!$C:$C,0)),"")</f>
        <v/>
      </c>
      <c r="M761">
        <f>IFERROR(INDEX(Diccionario!$H:$H,MATCH(F773,Diccionario!$C:$C,0)),"")</f>
        <v/>
      </c>
      <c r="N761">
        <f>IFERROR(INDEX(Diccionario!$N:$N,MATCH(F773,Diccionario!$C:$C,0)),"")</f>
        <v/>
      </c>
    </row>
    <row r="762" ht="14.25" customHeight="1" s="52">
      <c r="A762" t="inlineStr">
        <is>
          <t>2025-04</t>
        </is>
      </c>
      <c r="B762" t="inlineStr">
        <is>
          <t>Colombia</t>
        </is>
      </c>
      <c r="C762" t="inlineStr">
        <is>
          <t>Coco Colombia</t>
        </is>
      </c>
      <c r="D762" t="inlineStr">
        <is>
          <t>COP</t>
        </is>
      </c>
      <c r="E762" t="inlineStr">
        <is>
          <t>Real</t>
        </is>
      </c>
      <c r="F762" t="inlineStr">
        <is>
          <t>gasto_desarrollo</t>
        </is>
      </c>
      <c r="H762" t="inlineStr">
        <is>
          <t>Servicios</t>
        </is>
      </c>
      <c r="I762" t="n">
        <v>3200000</v>
      </c>
      <c r="J762" t="inlineStr">
        <is>
          <t>COP</t>
        </is>
      </c>
      <c r="L762">
        <f>IFERROR(INDEX(Diccionario!$B:$B,MATCH(F774,Diccionario!$C:$C,0)),"")</f>
        <v/>
      </c>
      <c r="M762">
        <f>IFERROR(INDEX(Diccionario!$H:$H,MATCH(F774,Diccionario!$C:$C,0)),"")</f>
        <v/>
      </c>
      <c r="N762">
        <f>IFERROR(INDEX(Diccionario!$N:$N,MATCH(F774,Diccionario!$C:$C,0)),"")</f>
        <v/>
      </c>
    </row>
    <row r="763" ht="14.25" customHeight="1" s="52">
      <c r="A763" t="inlineStr">
        <is>
          <t>2025-04</t>
        </is>
      </c>
      <c r="B763" t="inlineStr">
        <is>
          <t>Colombia</t>
        </is>
      </c>
      <c r="C763" t="inlineStr">
        <is>
          <t>Coco Colombia</t>
        </is>
      </c>
      <c r="D763" t="inlineStr">
        <is>
          <t>COP</t>
        </is>
      </c>
      <c r="E763" t="inlineStr">
        <is>
          <t>Real</t>
        </is>
      </c>
      <c r="F763" t="inlineStr">
        <is>
          <t>gasto_desarrollo</t>
        </is>
      </c>
      <c r="H763" t="inlineStr">
        <is>
          <t>Viajes</t>
        </is>
      </c>
      <c r="I763" t="n">
        <v>76000</v>
      </c>
      <c r="J763" t="inlineStr">
        <is>
          <t>COP</t>
        </is>
      </c>
      <c r="L763">
        <f>IFERROR(INDEX(Diccionario!$B:$B,MATCH(F775,Diccionario!$C:$C,0)),"")</f>
        <v/>
      </c>
      <c r="M763">
        <f>IFERROR(INDEX(Diccionario!$H:$H,MATCH(F775,Diccionario!$C:$C,0)),"")</f>
        <v/>
      </c>
      <c r="N763">
        <f>IFERROR(INDEX(Diccionario!$N:$N,MATCH(F775,Diccionario!$C:$C,0)),"")</f>
        <v/>
      </c>
    </row>
    <row r="764" ht="14.25" customHeight="1" s="52">
      <c r="A764" t="inlineStr">
        <is>
          <t>2025-05</t>
        </is>
      </c>
      <c r="B764" t="inlineStr">
        <is>
          <t>Colombia</t>
        </is>
      </c>
      <c r="C764" t="inlineStr">
        <is>
          <t>Coco Colombia</t>
        </is>
      </c>
      <c r="D764" t="inlineStr">
        <is>
          <t>COP</t>
        </is>
      </c>
      <c r="E764" t="inlineStr">
        <is>
          <t>Real</t>
        </is>
      </c>
      <c r="F764" t="inlineStr">
        <is>
          <t>gasto_desarrollo</t>
        </is>
      </c>
      <c r="H764" t="inlineStr">
        <is>
          <t>Personal</t>
        </is>
      </c>
      <c r="I764" t="n">
        <v>110000000</v>
      </c>
      <c r="J764" t="inlineStr">
        <is>
          <t>COP</t>
        </is>
      </c>
      <c r="L764">
        <f>IFERROR(INDEX(Diccionario!$B:$B,MATCH(F776,Diccionario!$C:$C,0)),"")</f>
        <v/>
      </c>
      <c r="M764">
        <f>IFERROR(INDEX(Diccionario!$H:$H,MATCH(F776,Diccionario!$C:$C,0)),"")</f>
        <v/>
      </c>
      <c r="N764">
        <f>IFERROR(INDEX(Diccionario!$N:$N,MATCH(F776,Diccionario!$C:$C,0)),"")</f>
        <v/>
      </c>
    </row>
    <row r="765" ht="14.25" customHeight="1" s="52">
      <c r="A765" t="inlineStr">
        <is>
          <t>2025-05</t>
        </is>
      </c>
      <c r="B765" t="inlineStr">
        <is>
          <t>Colombia</t>
        </is>
      </c>
      <c r="C765" t="inlineStr">
        <is>
          <t>Coco Colombia</t>
        </is>
      </c>
      <c r="D765" t="inlineStr">
        <is>
          <t>COP</t>
        </is>
      </c>
      <c r="E765" t="inlineStr">
        <is>
          <t>Real</t>
        </is>
      </c>
      <c r="F765" t="inlineStr">
        <is>
          <t>gasto_desarrollo</t>
        </is>
      </c>
      <c r="H765" t="inlineStr">
        <is>
          <t>Honorarios</t>
        </is>
      </c>
      <c r="I765" t="n">
        <v>26200000</v>
      </c>
      <c r="J765" t="inlineStr">
        <is>
          <t>COP</t>
        </is>
      </c>
      <c r="L765">
        <f>IFERROR(INDEX(Diccionario!$B:$B,MATCH(F777,Diccionario!$C:$C,0)),"")</f>
        <v/>
      </c>
      <c r="M765">
        <f>IFERROR(INDEX(Diccionario!$H:$H,MATCH(F777,Diccionario!$C:$C,0)),"")</f>
        <v/>
      </c>
      <c r="N765">
        <f>IFERROR(INDEX(Diccionario!$N:$N,MATCH(F777,Diccionario!$C:$C,0)),"")</f>
        <v/>
      </c>
    </row>
    <row r="766" ht="14.25" customHeight="1" s="52">
      <c r="A766" t="inlineStr">
        <is>
          <t>2025-05</t>
        </is>
      </c>
      <c r="B766" t="inlineStr">
        <is>
          <t>Colombia</t>
        </is>
      </c>
      <c r="C766" t="inlineStr">
        <is>
          <t>Coco Colombia</t>
        </is>
      </c>
      <c r="D766" t="inlineStr">
        <is>
          <t>COP</t>
        </is>
      </c>
      <c r="E766" t="inlineStr">
        <is>
          <t>Real</t>
        </is>
      </c>
      <c r="F766" t="inlineStr">
        <is>
          <t>gasto_desarrollo</t>
        </is>
      </c>
      <c r="H766" t="inlineStr">
        <is>
          <t>Servicios</t>
        </is>
      </c>
      <c r="I766" t="n">
        <v>3300000</v>
      </c>
      <c r="J766" t="inlineStr">
        <is>
          <t>COP</t>
        </is>
      </c>
      <c r="L766">
        <f>IFERROR(INDEX(Diccionario!$B:$B,MATCH(F778,Diccionario!$C:$C,0)),"")</f>
        <v/>
      </c>
      <c r="M766">
        <f>IFERROR(INDEX(Diccionario!$H:$H,MATCH(F778,Diccionario!$C:$C,0)),"")</f>
        <v/>
      </c>
      <c r="N766">
        <f>IFERROR(INDEX(Diccionario!$N:$N,MATCH(F778,Diccionario!$C:$C,0)),"")</f>
        <v/>
      </c>
    </row>
    <row r="767" ht="14.25" customHeight="1" s="52">
      <c r="A767" t="inlineStr">
        <is>
          <t>2025-05</t>
        </is>
      </c>
      <c r="B767" t="inlineStr">
        <is>
          <t>Colombia</t>
        </is>
      </c>
      <c r="C767" t="inlineStr">
        <is>
          <t>Coco Colombia</t>
        </is>
      </c>
      <c r="D767" t="inlineStr">
        <is>
          <t>COP</t>
        </is>
      </c>
      <c r="E767" t="inlineStr">
        <is>
          <t>Real</t>
        </is>
      </c>
      <c r="F767" t="inlineStr">
        <is>
          <t>gasto_desarrollo</t>
        </is>
      </c>
      <c r="H767" t="inlineStr">
        <is>
          <t>Viajes</t>
        </is>
      </c>
      <c r="I767" t="n">
        <v>0</v>
      </c>
      <c r="J767" t="inlineStr">
        <is>
          <t>COP</t>
        </is>
      </c>
      <c r="L767">
        <f>IFERROR(INDEX(Diccionario!$B:$B,MATCH(F779,Diccionario!$C:$C,0)),"")</f>
        <v/>
      </c>
      <c r="M767">
        <f>IFERROR(INDEX(Diccionario!$H:$H,MATCH(F779,Diccionario!$C:$C,0)),"")</f>
        <v/>
      </c>
      <c r="N767">
        <f>IFERROR(INDEX(Diccionario!$N:$N,MATCH(F779,Diccionario!$C:$C,0)),"")</f>
        <v/>
      </c>
    </row>
    <row r="768" ht="14.25" customHeight="1" s="52">
      <c r="A768" t="inlineStr">
        <is>
          <t>2025-06</t>
        </is>
      </c>
      <c r="B768" t="inlineStr">
        <is>
          <t>Colombia</t>
        </is>
      </c>
      <c r="C768" t="inlineStr">
        <is>
          <t>Coco Colombia</t>
        </is>
      </c>
      <c r="D768" t="inlineStr">
        <is>
          <t>COP</t>
        </is>
      </c>
      <c r="E768" t="inlineStr">
        <is>
          <t>Real</t>
        </is>
      </c>
      <c r="F768" t="inlineStr">
        <is>
          <t>gasto_desarrollo</t>
        </is>
      </c>
      <c r="H768" t="inlineStr">
        <is>
          <t>Personal</t>
        </is>
      </c>
      <c r="I768" t="n">
        <v>116800000</v>
      </c>
      <c r="J768" t="inlineStr">
        <is>
          <t>COP</t>
        </is>
      </c>
      <c r="L768">
        <f>IFERROR(INDEX(Diccionario!$B:$B,MATCH(F780,Diccionario!$C:$C,0)),"")</f>
        <v/>
      </c>
      <c r="M768">
        <f>IFERROR(INDEX(Diccionario!$H:$H,MATCH(F780,Diccionario!$C:$C,0)),"")</f>
        <v/>
      </c>
      <c r="N768">
        <f>IFERROR(INDEX(Diccionario!$N:$N,MATCH(F780,Diccionario!$C:$C,0)),"")</f>
        <v/>
      </c>
    </row>
    <row r="769" ht="14.25" customHeight="1" s="52">
      <c r="A769" t="inlineStr">
        <is>
          <t>2025-06</t>
        </is>
      </c>
      <c r="B769" t="inlineStr">
        <is>
          <t>Colombia</t>
        </is>
      </c>
      <c r="C769" t="inlineStr">
        <is>
          <t>Coco Colombia</t>
        </is>
      </c>
      <c r="D769" t="inlineStr">
        <is>
          <t>COP</t>
        </is>
      </c>
      <c r="E769" t="inlineStr">
        <is>
          <t>Real</t>
        </is>
      </c>
      <c r="F769" t="inlineStr">
        <is>
          <t>gasto_desarrollo</t>
        </is>
      </c>
      <c r="H769" t="inlineStr">
        <is>
          <t>Honorarios</t>
        </is>
      </c>
      <c r="I769" t="n">
        <v>6840000</v>
      </c>
      <c r="J769" t="inlineStr">
        <is>
          <t>COP</t>
        </is>
      </c>
      <c r="L769">
        <f>IFERROR(INDEX(Diccionario!$B:$B,MATCH(F781,Diccionario!$C:$C,0)),"")</f>
        <v/>
      </c>
      <c r="M769">
        <f>IFERROR(INDEX(Diccionario!$H:$H,MATCH(F781,Diccionario!$C:$C,0)),"")</f>
        <v/>
      </c>
      <c r="N769">
        <f>IFERROR(INDEX(Diccionario!$N:$N,MATCH(F781,Diccionario!$C:$C,0)),"")</f>
        <v/>
      </c>
    </row>
    <row r="770" ht="14.25" customHeight="1" s="52">
      <c r="A770" t="inlineStr">
        <is>
          <t>2025-06</t>
        </is>
      </c>
      <c r="B770" t="inlineStr">
        <is>
          <t>Colombia</t>
        </is>
      </c>
      <c r="C770" t="inlineStr">
        <is>
          <t>Coco Colombia</t>
        </is>
      </c>
      <c r="D770" t="inlineStr">
        <is>
          <t>COP</t>
        </is>
      </c>
      <c r="E770" t="inlineStr">
        <is>
          <t>Real</t>
        </is>
      </c>
      <c r="F770" t="inlineStr">
        <is>
          <t>gasto_desarrollo</t>
        </is>
      </c>
      <c r="H770" t="inlineStr">
        <is>
          <t>Servicios</t>
        </is>
      </c>
      <c r="I770" t="n">
        <v>4530000</v>
      </c>
      <c r="J770" t="inlineStr">
        <is>
          <t>COP</t>
        </is>
      </c>
      <c r="L770">
        <f>IFERROR(INDEX(Diccionario!$B:$B,MATCH(F782,Diccionario!$C:$C,0)),"")</f>
        <v/>
      </c>
      <c r="M770">
        <f>IFERROR(INDEX(Diccionario!$H:$H,MATCH(F782,Diccionario!$C:$C,0)),"")</f>
        <v/>
      </c>
      <c r="N770">
        <f>IFERROR(INDEX(Diccionario!$N:$N,MATCH(F782,Diccionario!$C:$C,0)),"")</f>
        <v/>
      </c>
    </row>
    <row r="771" ht="14.25" customHeight="1" s="52">
      <c r="A771" t="inlineStr">
        <is>
          <t>2025-06</t>
        </is>
      </c>
      <c r="B771" t="inlineStr">
        <is>
          <t>Colombia</t>
        </is>
      </c>
      <c r="C771" t="inlineStr">
        <is>
          <t>Coco Colombia</t>
        </is>
      </c>
      <c r="D771" t="inlineStr">
        <is>
          <t>COP</t>
        </is>
      </c>
      <c r="E771" t="inlineStr">
        <is>
          <t>Real</t>
        </is>
      </c>
      <c r="F771" t="inlineStr">
        <is>
          <t>gasto_desarrollo</t>
        </is>
      </c>
      <c r="H771" t="inlineStr">
        <is>
          <t>Viajes</t>
        </is>
      </c>
      <c r="I771" t="n">
        <v>1856000</v>
      </c>
      <c r="J771" t="inlineStr">
        <is>
          <t>COP</t>
        </is>
      </c>
      <c r="L771">
        <f>IFERROR(INDEX(Diccionario!$B:$B,MATCH(F783,Diccionario!$C:$C,0)),"")</f>
        <v/>
      </c>
      <c r="M771">
        <f>IFERROR(INDEX(Diccionario!$H:$H,MATCH(F783,Diccionario!$C:$C,0)),"")</f>
        <v/>
      </c>
      <c r="N771">
        <f>IFERROR(INDEX(Diccionario!$N:$N,MATCH(F783,Diccionario!$C:$C,0)),"")</f>
        <v/>
      </c>
    </row>
    <row r="772" ht="14.25" customHeight="1" s="52">
      <c r="A772" t="inlineStr">
        <is>
          <t>2025-07</t>
        </is>
      </c>
      <c r="B772" t="inlineStr">
        <is>
          <t>Colombia</t>
        </is>
      </c>
      <c r="C772" t="inlineStr">
        <is>
          <t>Coco Colombia</t>
        </is>
      </c>
      <c r="D772" t="inlineStr">
        <is>
          <t>COP</t>
        </is>
      </c>
      <c r="E772" t="inlineStr">
        <is>
          <t>Real</t>
        </is>
      </c>
      <c r="F772" t="inlineStr">
        <is>
          <t>gasto_desarrollo</t>
        </is>
      </c>
      <c r="H772" t="inlineStr">
        <is>
          <t>Personal</t>
        </is>
      </c>
      <c r="I772" t="n">
        <v>118200000</v>
      </c>
      <c r="J772" t="inlineStr">
        <is>
          <t>COP</t>
        </is>
      </c>
      <c r="L772">
        <f>IFERROR(INDEX(Diccionario!$B:$B,MATCH(F784,Diccionario!$C:$C,0)),"")</f>
        <v/>
      </c>
      <c r="M772">
        <f>IFERROR(INDEX(Diccionario!$H:$H,MATCH(F784,Diccionario!$C:$C,0)),"")</f>
        <v/>
      </c>
      <c r="N772">
        <f>IFERROR(INDEX(Diccionario!$N:$N,MATCH(F784,Diccionario!$C:$C,0)),"")</f>
        <v/>
      </c>
    </row>
    <row r="773" ht="14.25" customHeight="1" s="52">
      <c r="A773" t="inlineStr">
        <is>
          <t>2025-07</t>
        </is>
      </c>
      <c r="B773" t="inlineStr">
        <is>
          <t>Colombia</t>
        </is>
      </c>
      <c r="C773" t="inlineStr">
        <is>
          <t>Coco Colombia</t>
        </is>
      </c>
      <c r="D773" t="inlineStr">
        <is>
          <t>COP</t>
        </is>
      </c>
      <c r="E773" t="inlineStr">
        <is>
          <t>Real</t>
        </is>
      </c>
      <c r="F773" t="inlineStr">
        <is>
          <t>gasto_desarrollo</t>
        </is>
      </c>
      <c r="H773" t="inlineStr">
        <is>
          <t>Honorarios</t>
        </is>
      </c>
      <c r="I773" t="n">
        <v>12400000</v>
      </c>
      <c r="J773" t="inlineStr">
        <is>
          <t>COP</t>
        </is>
      </c>
      <c r="L773">
        <f>IFERROR(INDEX(Diccionario!$B:$B,MATCH(F785,Diccionario!$C:$C,0)),"")</f>
        <v/>
      </c>
      <c r="M773">
        <f>IFERROR(INDEX(Diccionario!$H:$H,MATCH(F785,Diccionario!$C:$C,0)),"")</f>
        <v/>
      </c>
      <c r="N773">
        <f>IFERROR(INDEX(Diccionario!$N:$N,MATCH(F785,Diccionario!$C:$C,0)),"")</f>
        <v/>
      </c>
    </row>
    <row r="774" ht="14.25" customHeight="1" s="52">
      <c r="A774" t="inlineStr">
        <is>
          <t>2025-07</t>
        </is>
      </c>
      <c r="B774" t="inlineStr">
        <is>
          <t>Colombia</t>
        </is>
      </c>
      <c r="C774" t="inlineStr">
        <is>
          <t>Coco Colombia</t>
        </is>
      </c>
      <c r="D774" t="inlineStr">
        <is>
          <t>COP</t>
        </is>
      </c>
      <c r="E774" t="inlineStr">
        <is>
          <t>Real</t>
        </is>
      </c>
      <c r="F774" t="inlineStr">
        <is>
          <t>gasto_desarrollo</t>
        </is>
      </c>
      <c r="H774" t="inlineStr">
        <is>
          <t>Servicios</t>
        </is>
      </c>
      <c r="I774" t="n">
        <v>3200000</v>
      </c>
      <c r="J774" t="inlineStr">
        <is>
          <t>COP</t>
        </is>
      </c>
      <c r="L774">
        <f>IFERROR(INDEX(Diccionario!$B:$B,MATCH(F786,Diccionario!$C:$C,0)),"")</f>
        <v/>
      </c>
      <c r="M774">
        <f>IFERROR(INDEX(Diccionario!$H:$H,MATCH(F786,Diccionario!$C:$C,0)),"")</f>
        <v/>
      </c>
      <c r="N774">
        <f>IFERROR(INDEX(Diccionario!$N:$N,MATCH(F786,Diccionario!$C:$C,0)),"")</f>
        <v/>
      </c>
    </row>
    <row r="775" ht="14.25" customHeight="1" s="52">
      <c r="A775" t="inlineStr">
        <is>
          <t>2025-07</t>
        </is>
      </c>
      <c r="B775" t="inlineStr">
        <is>
          <t>Colombia</t>
        </is>
      </c>
      <c r="C775" t="inlineStr">
        <is>
          <t>Coco Colombia</t>
        </is>
      </c>
      <c r="D775" t="inlineStr">
        <is>
          <t>COP</t>
        </is>
      </c>
      <c r="E775" t="inlineStr">
        <is>
          <t>Real</t>
        </is>
      </c>
      <c r="F775" t="inlineStr">
        <is>
          <t>gasto_desarrollo</t>
        </is>
      </c>
      <c r="H775" t="inlineStr">
        <is>
          <t>Viajes</t>
        </is>
      </c>
      <c r="I775" t="n">
        <v>500000</v>
      </c>
      <c r="J775" t="inlineStr">
        <is>
          <t>COP</t>
        </is>
      </c>
      <c r="L775">
        <f>IFERROR(INDEX(Diccionario!$B:$B,MATCH(F787,Diccionario!$C:$C,0)),"")</f>
        <v/>
      </c>
      <c r="M775">
        <f>IFERROR(INDEX(Diccionario!$H:$H,MATCH(F787,Diccionario!$C:$C,0)),"")</f>
        <v/>
      </c>
      <c r="N775">
        <f>IFERROR(INDEX(Diccionario!$N:$N,MATCH(F787,Diccionario!$C:$C,0)),"")</f>
        <v/>
      </c>
    </row>
    <row r="776" ht="14.25" customHeight="1" s="52">
      <c r="A776" t="inlineStr">
        <is>
          <t>2025-08</t>
        </is>
      </c>
      <c r="B776" t="inlineStr">
        <is>
          <t>Colombia</t>
        </is>
      </c>
      <c r="C776" t="inlineStr">
        <is>
          <t>Coco Colombia</t>
        </is>
      </c>
      <c r="D776" t="inlineStr">
        <is>
          <t>COP</t>
        </is>
      </c>
      <c r="E776" t="inlineStr">
        <is>
          <t>Real</t>
        </is>
      </c>
      <c r="F776" t="inlineStr">
        <is>
          <t>gasto_desarrollo</t>
        </is>
      </c>
      <c r="H776" t="inlineStr">
        <is>
          <t>Personal</t>
        </is>
      </c>
      <c r="I776" t="n">
        <v>200000000</v>
      </c>
      <c r="J776" t="inlineStr">
        <is>
          <t>COP</t>
        </is>
      </c>
      <c r="L776">
        <f>IFERROR(INDEX(Diccionario!$B:$B,MATCH(F788,Diccionario!$C:$C,0)),"")</f>
        <v/>
      </c>
      <c r="M776">
        <f>IFERROR(INDEX(Diccionario!$H:$H,MATCH(F788,Diccionario!$C:$C,0)),"")</f>
        <v/>
      </c>
      <c r="N776">
        <f>IFERROR(INDEX(Diccionario!$N:$N,MATCH(F788,Diccionario!$C:$C,0)),"")</f>
        <v/>
      </c>
    </row>
    <row r="777" ht="14.25" customHeight="1" s="52">
      <c r="A777" t="inlineStr">
        <is>
          <t>2025-08</t>
        </is>
      </c>
      <c r="B777" t="inlineStr">
        <is>
          <t>Colombia</t>
        </is>
      </c>
      <c r="C777" t="inlineStr">
        <is>
          <t>Coco Colombia</t>
        </is>
      </c>
      <c r="D777" t="inlineStr">
        <is>
          <t>COP</t>
        </is>
      </c>
      <c r="E777" t="inlineStr">
        <is>
          <t>Real</t>
        </is>
      </c>
      <c r="F777" t="inlineStr">
        <is>
          <t>gasto_desarrollo</t>
        </is>
      </c>
      <c r="H777" t="inlineStr">
        <is>
          <t>Honorarios</t>
        </is>
      </c>
      <c r="I777" t="n">
        <v>7600000</v>
      </c>
      <c r="J777" t="inlineStr">
        <is>
          <t>COP</t>
        </is>
      </c>
      <c r="L777">
        <f>IFERROR(INDEX(Diccionario!$B:$B,MATCH(F789,Diccionario!$C:$C,0)),"")</f>
        <v/>
      </c>
      <c r="M777">
        <f>IFERROR(INDEX(Diccionario!$H:$H,MATCH(F789,Diccionario!$C:$C,0)),"")</f>
        <v/>
      </c>
      <c r="N777">
        <f>IFERROR(INDEX(Diccionario!$N:$N,MATCH(F789,Diccionario!$C:$C,0)),"")</f>
        <v/>
      </c>
    </row>
    <row r="778" ht="14.25" customHeight="1" s="52">
      <c r="A778" t="inlineStr">
        <is>
          <t>2025-08</t>
        </is>
      </c>
      <c r="B778" t="inlineStr">
        <is>
          <t>Colombia</t>
        </is>
      </c>
      <c r="C778" t="inlineStr">
        <is>
          <t>Coco Colombia</t>
        </is>
      </c>
      <c r="D778" t="inlineStr">
        <is>
          <t>COP</t>
        </is>
      </c>
      <c r="E778" t="inlineStr">
        <is>
          <t>Real</t>
        </is>
      </c>
      <c r="F778" t="inlineStr">
        <is>
          <t>gasto_desarrollo</t>
        </is>
      </c>
      <c r="H778" t="inlineStr">
        <is>
          <t>Servicios</t>
        </is>
      </c>
      <c r="I778" t="n">
        <v>15200000</v>
      </c>
      <c r="J778" t="inlineStr">
        <is>
          <t>COP</t>
        </is>
      </c>
      <c r="L778">
        <f>IFERROR(INDEX(Diccionario!$B:$B,MATCH(F790,Diccionario!$C:$C,0)),"")</f>
        <v/>
      </c>
      <c r="M778">
        <f>IFERROR(INDEX(Diccionario!$H:$H,MATCH(F790,Diccionario!$C:$C,0)),"")</f>
        <v/>
      </c>
      <c r="N778">
        <f>IFERROR(INDEX(Diccionario!$N:$N,MATCH(F790,Diccionario!$C:$C,0)),"")</f>
        <v/>
      </c>
    </row>
    <row r="779" ht="14.25" customHeight="1" s="52">
      <c r="A779" t="inlineStr">
        <is>
          <t>2025-08</t>
        </is>
      </c>
      <c r="B779" t="inlineStr">
        <is>
          <t>Colombia</t>
        </is>
      </c>
      <c r="C779" t="inlineStr">
        <is>
          <t>Coco Colombia</t>
        </is>
      </c>
      <c r="D779" t="inlineStr">
        <is>
          <t>COP</t>
        </is>
      </c>
      <c r="E779" t="inlineStr">
        <is>
          <t>Real</t>
        </is>
      </c>
      <c r="F779" t="inlineStr">
        <is>
          <t>gasto_desarrollo</t>
        </is>
      </c>
      <c r="H779" t="inlineStr">
        <is>
          <t>Viajes</t>
        </is>
      </c>
      <c r="I779" t="n">
        <v>9000000</v>
      </c>
      <c r="J779" t="inlineStr">
        <is>
          <t>COP</t>
        </is>
      </c>
      <c r="L779">
        <f>IFERROR(INDEX(Diccionario!$B:$B,MATCH(F791,Diccionario!$C:$C,0)),"")</f>
        <v/>
      </c>
      <c r="M779">
        <f>IFERROR(INDEX(Diccionario!$H:$H,MATCH(F791,Diccionario!$C:$C,0)),"")</f>
        <v/>
      </c>
      <c r="N779">
        <f>IFERROR(INDEX(Diccionario!$N:$N,MATCH(F791,Diccionario!$C:$C,0)),"")</f>
        <v/>
      </c>
    </row>
    <row r="780" ht="14.25" customHeight="1" s="52">
      <c r="A780" t="inlineStr">
        <is>
          <t>2025-09</t>
        </is>
      </c>
      <c r="B780" t="inlineStr">
        <is>
          <t>Colombia</t>
        </is>
      </c>
      <c r="C780" t="inlineStr">
        <is>
          <t>Coco Colombia</t>
        </is>
      </c>
      <c r="D780" t="inlineStr">
        <is>
          <t>COP</t>
        </is>
      </c>
      <c r="E780" t="inlineStr">
        <is>
          <t>Real</t>
        </is>
      </c>
      <c r="F780" t="inlineStr">
        <is>
          <t>gasto_desarrollo</t>
        </is>
      </c>
      <c r="H780" t="inlineStr">
        <is>
          <t>Personal</t>
        </is>
      </c>
      <c r="I780" t="n">
        <v>168100000</v>
      </c>
      <c r="J780" t="inlineStr">
        <is>
          <t>COP</t>
        </is>
      </c>
      <c r="L780">
        <f>IFERROR(INDEX(Diccionario!$B:$B,MATCH(F792,Diccionario!$C:$C,0)),"")</f>
        <v/>
      </c>
      <c r="M780">
        <f>IFERROR(INDEX(Diccionario!$H:$H,MATCH(F792,Diccionario!$C:$C,0)),"")</f>
        <v/>
      </c>
      <c r="N780">
        <f>IFERROR(INDEX(Diccionario!$N:$N,MATCH(F792,Diccionario!$C:$C,0)),"")</f>
        <v/>
      </c>
    </row>
    <row r="781" ht="14.25" customHeight="1" s="52">
      <c r="A781" t="inlineStr">
        <is>
          <t>2025-09</t>
        </is>
      </c>
      <c r="B781" t="inlineStr">
        <is>
          <t>Colombia</t>
        </is>
      </c>
      <c r="C781" t="inlineStr">
        <is>
          <t>Coco Colombia</t>
        </is>
      </c>
      <c r="D781" t="inlineStr">
        <is>
          <t>COP</t>
        </is>
      </c>
      <c r="E781" t="inlineStr">
        <is>
          <t>Real</t>
        </is>
      </c>
      <c r="F781" t="inlineStr">
        <is>
          <t>gasto_desarrollo</t>
        </is>
      </c>
      <c r="H781" t="inlineStr">
        <is>
          <t>Honorarios</t>
        </is>
      </c>
      <c r="I781" t="n">
        <v>7300000</v>
      </c>
      <c r="J781" t="inlineStr">
        <is>
          <t>COP</t>
        </is>
      </c>
      <c r="L781">
        <f>IFERROR(INDEX(Diccionario!$B:$B,MATCH(F793,Diccionario!$C:$C,0)),"")</f>
        <v/>
      </c>
      <c r="M781">
        <f>IFERROR(INDEX(Diccionario!$H:$H,MATCH(F793,Diccionario!$C:$C,0)),"")</f>
        <v/>
      </c>
      <c r="N781">
        <f>IFERROR(INDEX(Diccionario!$N:$N,MATCH(F793,Diccionario!$C:$C,0)),"")</f>
        <v/>
      </c>
    </row>
    <row r="782" ht="14.25" customHeight="1" s="52">
      <c r="A782" t="inlineStr">
        <is>
          <t>2025-09</t>
        </is>
      </c>
      <c r="B782" t="inlineStr">
        <is>
          <t>Colombia</t>
        </is>
      </c>
      <c r="C782" t="inlineStr">
        <is>
          <t>Coco Colombia</t>
        </is>
      </c>
      <c r="D782" t="inlineStr">
        <is>
          <t>COP</t>
        </is>
      </c>
      <c r="E782" t="inlineStr">
        <is>
          <t>Real</t>
        </is>
      </c>
      <c r="F782" t="inlineStr">
        <is>
          <t>gasto_desarrollo</t>
        </is>
      </c>
      <c r="H782" t="inlineStr">
        <is>
          <t>Servicios</t>
        </is>
      </c>
      <c r="I782" t="n">
        <v>6400000</v>
      </c>
      <c r="J782" t="inlineStr">
        <is>
          <t>COP</t>
        </is>
      </c>
      <c r="L782">
        <f>IFERROR(INDEX(Diccionario!$B:$B,MATCH(F794,Diccionario!$C:$C,0)),"")</f>
        <v/>
      </c>
      <c r="M782">
        <f>IFERROR(INDEX(Diccionario!$H:$H,MATCH(F794,Diccionario!$C:$C,0)),"")</f>
        <v/>
      </c>
      <c r="N782">
        <f>IFERROR(INDEX(Diccionario!$N:$N,MATCH(F794,Diccionario!$C:$C,0)),"")</f>
        <v/>
      </c>
    </row>
    <row r="783" ht="14.25" customHeight="1" s="52">
      <c r="A783" t="inlineStr">
        <is>
          <t>2025-09</t>
        </is>
      </c>
      <c r="B783" t="inlineStr">
        <is>
          <t>Colombia</t>
        </is>
      </c>
      <c r="C783" t="inlineStr">
        <is>
          <t>Coco Colombia</t>
        </is>
      </c>
      <c r="D783" t="inlineStr">
        <is>
          <t>COP</t>
        </is>
      </c>
      <c r="E783" t="inlineStr">
        <is>
          <t>Real</t>
        </is>
      </c>
      <c r="F783" t="inlineStr">
        <is>
          <t>gasto_desarrollo</t>
        </is>
      </c>
      <c r="H783" t="inlineStr">
        <is>
          <t>Viajes</t>
        </is>
      </c>
      <c r="I783" t="n">
        <v>1700000</v>
      </c>
      <c r="J783" t="inlineStr">
        <is>
          <t>COP</t>
        </is>
      </c>
      <c r="L783">
        <f>IFERROR(INDEX(Diccionario!$B:$B,MATCH(F795,Diccionario!$C:$C,0)),"")</f>
        <v/>
      </c>
      <c r="M783">
        <f>IFERROR(INDEX(Diccionario!$H:$H,MATCH(F795,Diccionario!$C:$C,0)),"")</f>
        <v/>
      </c>
      <c r="N783">
        <f>IFERROR(INDEX(Diccionario!$N:$N,MATCH(F795,Diccionario!$C:$C,0)),"")</f>
        <v/>
      </c>
    </row>
    <row r="784" ht="14.25" customHeight="1" s="52">
      <c r="A784" t="inlineStr">
        <is>
          <t>2025-10</t>
        </is>
      </c>
      <c r="B784" t="inlineStr">
        <is>
          <t>Colombia</t>
        </is>
      </c>
      <c r="C784" t="inlineStr">
        <is>
          <t>Coco Colombia</t>
        </is>
      </c>
      <c r="D784" t="inlineStr">
        <is>
          <t>COP</t>
        </is>
      </c>
      <c r="E784" t="inlineStr">
        <is>
          <t>Real</t>
        </is>
      </c>
      <c r="F784" t="inlineStr">
        <is>
          <t>gasto_desarrollo</t>
        </is>
      </c>
      <c r="H784" t="inlineStr">
        <is>
          <t>Personal</t>
        </is>
      </c>
      <c r="I784" t="n">
        <v>168200000</v>
      </c>
      <c r="J784" t="inlineStr">
        <is>
          <t>COP</t>
        </is>
      </c>
      <c r="L784">
        <f>IFERROR(INDEX(Diccionario!$B:$B,MATCH(F796,Diccionario!$C:$C,0)),"")</f>
        <v/>
      </c>
      <c r="M784">
        <f>IFERROR(INDEX(Diccionario!$H:$H,MATCH(F796,Diccionario!$C:$C,0)),"")</f>
        <v/>
      </c>
      <c r="N784">
        <f>IFERROR(INDEX(Diccionario!$N:$N,MATCH(F796,Diccionario!$C:$C,0)),"")</f>
        <v/>
      </c>
    </row>
    <row r="785" ht="14.25" customHeight="1" s="52">
      <c r="A785" t="inlineStr">
        <is>
          <t>2025-10</t>
        </is>
      </c>
      <c r="B785" t="inlineStr">
        <is>
          <t>Colombia</t>
        </is>
      </c>
      <c r="C785" t="inlineStr">
        <is>
          <t>Coco Colombia</t>
        </is>
      </c>
      <c r="D785" t="inlineStr">
        <is>
          <t>COP</t>
        </is>
      </c>
      <c r="E785" t="inlineStr">
        <is>
          <t>Real</t>
        </is>
      </c>
      <c r="F785" t="inlineStr">
        <is>
          <t>gasto_desarrollo</t>
        </is>
      </c>
      <c r="H785" t="inlineStr">
        <is>
          <t>Honorarios</t>
        </is>
      </c>
      <c r="I785" t="n">
        <v>8600000</v>
      </c>
      <c r="J785" t="inlineStr">
        <is>
          <t>COP</t>
        </is>
      </c>
      <c r="L785">
        <f>IFERROR(INDEX(Diccionario!$B:$B,MATCH(F797,Diccionario!$C:$C,0)),"")</f>
        <v/>
      </c>
      <c r="M785">
        <f>IFERROR(INDEX(Diccionario!$H:$H,MATCH(F797,Diccionario!$C:$C,0)),"")</f>
        <v/>
      </c>
      <c r="N785">
        <f>IFERROR(INDEX(Diccionario!$N:$N,MATCH(F797,Diccionario!$C:$C,0)),"")</f>
        <v/>
      </c>
    </row>
    <row r="786" ht="14.25" customHeight="1" s="52">
      <c r="A786" t="inlineStr">
        <is>
          <t>2025-10</t>
        </is>
      </c>
      <c r="B786" t="inlineStr">
        <is>
          <t>Colombia</t>
        </is>
      </c>
      <c r="C786" t="inlineStr">
        <is>
          <t>Coco Colombia</t>
        </is>
      </c>
      <c r="D786" t="inlineStr">
        <is>
          <t>COP</t>
        </is>
      </c>
      <c r="E786" t="inlineStr">
        <is>
          <t>Real</t>
        </is>
      </c>
      <c r="F786" t="inlineStr">
        <is>
          <t>gasto_desarrollo</t>
        </is>
      </c>
      <c r="H786" t="inlineStr">
        <is>
          <t>Servicios</t>
        </is>
      </c>
      <c r="I786" t="n">
        <v>17600000</v>
      </c>
      <c r="J786" t="inlineStr">
        <is>
          <t>COP</t>
        </is>
      </c>
      <c r="L786">
        <f>IFERROR(INDEX(Diccionario!$B:$B,MATCH(F798,Diccionario!$C:$C,0)),"")</f>
        <v/>
      </c>
      <c r="M786">
        <f>IFERROR(INDEX(Diccionario!$H:$H,MATCH(F798,Diccionario!$C:$C,0)),"")</f>
        <v/>
      </c>
      <c r="N786">
        <f>IFERROR(INDEX(Diccionario!$N:$N,MATCH(F798,Diccionario!$C:$C,0)),"")</f>
        <v/>
      </c>
    </row>
    <row r="787" ht="14.25" customHeight="1" s="52">
      <c r="A787" t="inlineStr">
        <is>
          <t>2025-10</t>
        </is>
      </c>
      <c r="B787" t="inlineStr">
        <is>
          <t>Colombia</t>
        </is>
      </c>
      <c r="C787" t="inlineStr">
        <is>
          <t>Coco Colombia</t>
        </is>
      </c>
      <c r="D787" t="inlineStr">
        <is>
          <t>COP</t>
        </is>
      </c>
      <c r="E787" t="inlineStr">
        <is>
          <t>Real</t>
        </is>
      </c>
      <c r="F787" t="inlineStr">
        <is>
          <t>gasto_desarrollo</t>
        </is>
      </c>
      <c r="H787" t="inlineStr">
        <is>
          <t>Viajes</t>
        </is>
      </c>
      <c r="I787" t="n">
        <v>100000</v>
      </c>
      <c r="J787" t="inlineStr">
        <is>
          <t>COP</t>
        </is>
      </c>
      <c r="L787">
        <f>IFERROR(INDEX(Diccionario!$B:$B,MATCH(F799,Diccionario!$C:$C,0)),"")</f>
        <v/>
      </c>
      <c r="M787">
        <f>IFERROR(INDEX(Diccionario!$H:$H,MATCH(F799,Diccionario!$C:$C,0)),"")</f>
        <v/>
      </c>
      <c r="N787">
        <f>IFERROR(INDEX(Diccionario!$N:$N,MATCH(F799,Diccionario!$C:$C,0)),"")</f>
        <v/>
      </c>
    </row>
    <row r="788" ht="14.25" customHeight="1" s="52">
      <c r="A788" t="inlineStr">
        <is>
          <t>2025-11</t>
        </is>
      </c>
      <c r="B788" t="inlineStr">
        <is>
          <t>Colombia</t>
        </is>
      </c>
      <c r="C788" t="inlineStr">
        <is>
          <t>Coco Colombia</t>
        </is>
      </c>
      <c r="D788" t="inlineStr">
        <is>
          <t>COP</t>
        </is>
      </c>
      <c r="E788" t="inlineStr">
        <is>
          <t>Real</t>
        </is>
      </c>
      <c r="F788" t="inlineStr">
        <is>
          <t>gasto_desarrollo</t>
        </is>
      </c>
      <c r="H788" t="inlineStr">
        <is>
          <t>Personal</t>
        </is>
      </c>
      <c r="I788" t="n">
        <v>174000000</v>
      </c>
      <c r="J788" t="inlineStr">
        <is>
          <t>COP</t>
        </is>
      </c>
      <c r="L788">
        <f>IFERROR(INDEX(Diccionario!$B:$B,MATCH(F800,Diccionario!$C:$C,0)),"")</f>
        <v/>
      </c>
      <c r="M788">
        <f>IFERROR(INDEX(Diccionario!$H:$H,MATCH(F800,Diccionario!$C:$C,0)),"")</f>
        <v/>
      </c>
      <c r="N788">
        <f>IFERROR(INDEX(Diccionario!$N:$N,MATCH(F800,Diccionario!$C:$C,0)),"")</f>
        <v/>
      </c>
    </row>
    <row r="789" ht="14.25" customHeight="1" s="52">
      <c r="A789" t="inlineStr">
        <is>
          <t>2025-11</t>
        </is>
      </c>
      <c r="B789" t="inlineStr">
        <is>
          <t>Colombia</t>
        </is>
      </c>
      <c r="C789" t="inlineStr">
        <is>
          <t>Coco Colombia</t>
        </is>
      </c>
      <c r="D789" t="inlineStr">
        <is>
          <t>COP</t>
        </is>
      </c>
      <c r="E789" t="inlineStr">
        <is>
          <t>Real</t>
        </is>
      </c>
      <c r="F789" t="inlineStr">
        <is>
          <t>gasto_desarrollo</t>
        </is>
      </c>
      <c r="H789" t="inlineStr">
        <is>
          <t>Honorarios</t>
        </is>
      </c>
      <c r="I789" t="n">
        <v>3800000</v>
      </c>
      <c r="J789" t="inlineStr">
        <is>
          <t>COP</t>
        </is>
      </c>
      <c r="L789">
        <f>IFERROR(INDEX(Diccionario!$B:$B,MATCH(F801,Diccionario!$C:$C,0)),"")</f>
        <v/>
      </c>
      <c r="M789">
        <f>IFERROR(INDEX(Diccionario!$H:$H,MATCH(F801,Diccionario!$C:$C,0)),"")</f>
        <v/>
      </c>
      <c r="N789">
        <f>IFERROR(INDEX(Diccionario!$N:$N,MATCH(F801,Diccionario!$C:$C,0)),"")</f>
        <v/>
      </c>
    </row>
    <row r="790" ht="14.25" customHeight="1" s="52">
      <c r="A790" t="inlineStr">
        <is>
          <t>2025-11</t>
        </is>
      </c>
      <c r="B790" t="inlineStr">
        <is>
          <t>Colombia</t>
        </is>
      </c>
      <c r="C790" t="inlineStr">
        <is>
          <t>Coco Colombia</t>
        </is>
      </c>
      <c r="D790" t="inlineStr">
        <is>
          <t>COP</t>
        </is>
      </c>
      <c r="E790" t="inlineStr">
        <is>
          <t>Real</t>
        </is>
      </c>
      <c r="F790" t="inlineStr">
        <is>
          <t>gasto_desarrollo</t>
        </is>
      </c>
      <c r="H790" t="inlineStr">
        <is>
          <t>Servicios</t>
        </is>
      </c>
      <c r="I790" t="n">
        <v>12600000</v>
      </c>
      <c r="J790" t="inlineStr">
        <is>
          <t>COP</t>
        </is>
      </c>
      <c r="L790">
        <f>IFERROR(INDEX(Diccionario!$B:$B,MATCH(F802,Diccionario!$C:$C,0)),"")</f>
        <v/>
      </c>
      <c r="M790">
        <f>IFERROR(INDEX(Diccionario!$H:$H,MATCH(F802,Diccionario!$C:$C,0)),"")</f>
        <v/>
      </c>
      <c r="N790">
        <f>IFERROR(INDEX(Diccionario!$N:$N,MATCH(F802,Diccionario!$C:$C,0)),"")</f>
        <v/>
      </c>
    </row>
    <row r="791" ht="14.25" customHeight="1" s="52">
      <c r="A791" t="inlineStr">
        <is>
          <t>2025-11</t>
        </is>
      </c>
      <c r="B791" t="inlineStr">
        <is>
          <t>Colombia</t>
        </is>
      </c>
      <c r="C791" t="inlineStr">
        <is>
          <t>Coco Colombia</t>
        </is>
      </c>
      <c r="D791" t="inlineStr">
        <is>
          <t>COP</t>
        </is>
      </c>
      <c r="E791" t="inlineStr">
        <is>
          <t>Real</t>
        </is>
      </c>
      <c r="F791" t="inlineStr">
        <is>
          <t>gasto_desarrollo</t>
        </is>
      </c>
      <c r="H791" t="inlineStr">
        <is>
          <t>Viajes</t>
        </is>
      </c>
      <c r="I791" t="n">
        <v>0</v>
      </c>
      <c r="J791" t="inlineStr">
        <is>
          <t>COP</t>
        </is>
      </c>
      <c r="L791">
        <f>IFERROR(INDEX(Diccionario!$B:$B,MATCH(F803,Diccionario!$C:$C,0)),"")</f>
        <v/>
      </c>
      <c r="M791">
        <f>IFERROR(INDEX(Diccionario!$H:$H,MATCH(F803,Diccionario!$C:$C,0)),"")</f>
        <v/>
      </c>
      <c r="N791">
        <f>IFERROR(INDEX(Diccionario!$N:$N,MATCH(F803,Diccionario!$C:$C,0)),"")</f>
        <v/>
      </c>
    </row>
    <row r="792" ht="14.25" customHeight="1" s="52">
      <c r="A792" t="inlineStr">
        <is>
          <t>2025-12</t>
        </is>
      </c>
      <c r="B792" t="inlineStr">
        <is>
          <t>Colombia</t>
        </is>
      </c>
      <c r="C792" t="inlineStr">
        <is>
          <t>Coco Colombia</t>
        </is>
      </c>
      <c r="D792" t="inlineStr">
        <is>
          <t>COP</t>
        </is>
      </c>
      <c r="E792" t="inlineStr">
        <is>
          <t>Real</t>
        </is>
      </c>
      <c r="F792" t="inlineStr">
        <is>
          <t>gasto_desarrollo</t>
        </is>
      </c>
      <c r="H792" t="inlineStr">
        <is>
          <t>Personal</t>
        </is>
      </c>
      <c r="I792" t="n">
        <v>164000000</v>
      </c>
      <c r="J792" t="inlineStr">
        <is>
          <t>COP</t>
        </is>
      </c>
      <c r="L792">
        <f>IFERROR(INDEX(Diccionario!$B:$B,MATCH(F804,Diccionario!$C:$C,0)),"")</f>
        <v/>
      </c>
      <c r="M792">
        <f>IFERROR(INDEX(Diccionario!$H:$H,MATCH(F804,Diccionario!$C:$C,0)),"")</f>
        <v/>
      </c>
      <c r="N792">
        <f>IFERROR(INDEX(Diccionario!$N:$N,MATCH(F804,Diccionario!$C:$C,0)),"")</f>
        <v/>
      </c>
    </row>
    <row r="793" ht="14.25" customHeight="1" s="52">
      <c r="A793" t="inlineStr">
        <is>
          <t>2025-12</t>
        </is>
      </c>
      <c r="B793" t="inlineStr">
        <is>
          <t>Colombia</t>
        </is>
      </c>
      <c r="C793" t="inlineStr">
        <is>
          <t>Coco Colombia</t>
        </is>
      </c>
      <c r="D793" t="inlineStr">
        <is>
          <t>COP</t>
        </is>
      </c>
      <c r="E793" t="inlineStr">
        <is>
          <t>Real</t>
        </is>
      </c>
      <c r="F793" t="inlineStr">
        <is>
          <t>gasto_desarrollo</t>
        </is>
      </c>
      <c r="H793" t="inlineStr">
        <is>
          <t>Honorarios</t>
        </is>
      </c>
      <c r="I793" t="n">
        <v>7200000</v>
      </c>
      <c r="J793" t="inlineStr">
        <is>
          <t>COP</t>
        </is>
      </c>
      <c r="L793">
        <f>IFERROR(INDEX(Diccionario!$B:$B,MATCH(F805,Diccionario!$C:$C,0)),"")</f>
        <v/>
      </c>
      <c r="M793">
        <f>IFERROR(INDEX(Diccionario!$H:$H,MATCH(F805,Diccionario!$C:$C,0)),"")</f>
        <v/>
      </c>
      <c r="N793">
        <f>IFERROR(INDEX(Diccionario!$N:$N,MATCH(F805,Diccionario!$C:$C,0)),"")</f>
        <v/>
      </c>
    </row>
    <row r="794" ht="14.25" customHeight="1" s="52">
      <c r="A794" t="inlineStr">
        <is>
          <t>2025-12</t>
        </is>
      </c>
      <c r="B794" t="inlineStr">
        <is>
          <t>Colombia</t>
        </is>
      </c>
      <c r="C794" t="inlineStr">
        <is>
          <t>Coco Colombia</t>
        </is>
      </c>
      <c r="D794" t="inlineStr">
        <is>
          <t>COP</t>
        </is>
      </c>
      <c r="E794" t="inlineStr">
        <is>
          <t>Real</t>
        </is>
      </c>
      <c r="F794" t="inlineStr">
        <is>
          <t>gasto_desarrollo</t>
        </is>
      </c>
      <c r="H794" t="inlineStr">
        <is>
          <t>Servicios</t>
        </is>
      </c>
      <c r="I794" t="n">
        <v>4300000</v>
      </c>
      <c r="J794" t="inlineStr">
        <is>
          <t>COP</t>
        </is>
      </c>
      <c r="L794">
        <f>IFERROR(INDEX(Diccionario!$B:$B,MATCH(F806,Diccionario!$C:$C,0)),"")</f>
        <v/>
      </c>
      <c r="M794">
        <f>IFERROR(INDEX(Diccionario!$H:$H,MATCH(F806,Diccionario!$C:$C,0)),"")</f>
        <v/>
      </c>
      <c r="N794">
        <f>IFERROR(INDEX(Diccionario!$N:$N,MATCH(F806,Diccionario!$C:$C,0)),"")</f>
        <v/>
      </c>
    </row>
    <row r="795" ht="14.25" customHeight="1" s="52">
      <c r="A795" t="inlineStr">
        <is>
          <t>2025-12</t>
        </is>
      </c>
      <c r="B795" t="inlineStr">
        <is>
          <t>Colombia</t>
        </is>
      </c>
      <c r="C795" t="inlineStr">
        <is>
          <t>Coco Colombia</t>
        </is>
      </c>
      <c r="D795" t="inlineStr">
        <is>
          <t>COP</t>
        </is>
      </c>
      <c r="E795" t="inlineStr">
        <is>
          <t>Real</t>
        </is>
      </c>
      <c r="F795" t="inlineStr">
        <is>
          <t>gasto_desarrollo</t>
        </is>
      </c>
      <c r="H795" t="inlineStr">
        <is>
          <t>Viajes</t>
        </is>
      </c>
      <c r="I795" t="n">
        <v>3100000</v>
      </c>
      <c r="J795" t="inlineStr">
        <is>
          <t>COP</t>
        </is>
      </c>
      <c r="L795">
        <f>IFERROR(INDEX(Diccionario!$B:$B,MATCH(F807,Diccionario!$C:$C,0)),"")</f>
        <v/>
      </c>
      <c r="M795">
        <f>IFERROR(INDEX(Diccionario!$H:$H,MATCH(F807,Diccionario!$C:$C,0)),"")</f>
        <v/>
      </c>
      <c r="N795">
        <f>IFERROR(INDEX(Diccionario!$N:$N,MATCH(F807,Diccionario!$C:$C,0)),"")</f>
        <v/>
      </c>
    </row>
    <row r="796" ht="14.25" customHeight="1" s="52">
      <c r="A796" t="inlineStr">
        <is>
          <t>2026-01</t>
        </is>
      </c>
      <c r="B796" t="inlineStr">
        <is>
          <t>Colombia</t>
        </is>
      </c>
      <c r="C796" t="inlineStr">
        <is>
          <t>Coco Colombia</t>
        </is>
      </c>
      <c r="D796" t="inlineStr">
        <is>
          <t>COP</t>
        </is>
      </c>
      <c r="E796" t="inlineStr">
        <is>
          <t>Real</t>
        </is>
      </c>
      <c r="F796" t="inlineStr">
        <is>
          <t>gasto_desarrollo</t>
        </is>
      </c>
      <c r="H796" t="inlineStr">
        <is>
          <t>Personal</t>
        </is>
      </c>
      <c r="I796" t="n">
        <v>159700000</v>
      </c>
      <c r="J796" t="inlineStr">
        <is>
          <t>COP</t>
        </is>
      </c>
      <c r="L796">
        <f>IFERROR(INDEX(Diccionario!$B:$B,MATCH(F808,Diccionario!$C:$C,0)),"")</f>
        <v/>
      </c>
      <c r="M796">
        <f>IFERROR(INDEX(Diccionario!$H:$H,MATCH(F808,Diccionario!$C:$C,0)),"")</f>
        <v/>
      </c>
      <c r="N796">
        <f>IFERROR(INDEX(Diccionario!$N:$N,MATCH(F808,Diccionario!$C:$C,0)),"")</f>
        <v/>
      </c>
    </row>
    <row r="797" ht="14.25" customHeight="1" s="52">
      <c r="A797" t="inlineStr">
        <is>
          <t>2026-01</t>
        </is>
      </c>
      <c r="B797" t="inlineStr">
        <is>
          <t>Colombia</t>
        </is>
      </c>
      <c r="C797" t="inlineStr">
        <is>
          <t>Coco Colombia</t>
        </is>
      </c>
      <c r="D797" t="inlineStr">
        <is>
          <t>COP</t>
        </is>
      </c>
      <c r="E797" t="inlineStr">
        <is>
          <t>Real</t>
        </is>
      </c>
      <c r="F797" t="inlineStr">
        <is>
          <t>gasto_desarrollo</t>
        </is>
      </c>
      <c r="H797" t="inlineStr">
        <is>
          <t>Honorarios</t>
        </is>
      </c>
      <c r="I797" t="n">
        <v>6900000</v>
      </c>
      <c r="J797" t="inlineStr">
        <is>
          <t>COP</t>
        </is>
      </c>
      <c r="L797">
        <f>IFERROR(INDEX(Diccionario!$B:$B,MATCH(F809,Diccionario!$C:$C,0)),"")</f>
        <v/>
      </c>
      <c r="M797">
        <f>IFERROR(INDEX(Diccionario!$H:$H,MATCH(F809,Diccionario!$C:$C,0)),"")</f>
        <v/>
      </c>
      <c r="N797">
        <f>IFERROR(INDEX(Diccionario!$N:$N,MATCH(F809,Diccionario!$C:$C,0)),"")</f>
        <v/>
      </c>
    </row>
    <row r="798" ht="14.25" customHeight="1" s="52">
      <c r="A798" t="inlineStr">
        <is>
          <t>2026-01</t>
        </is>
      </c>
      <c r="B798" t="inlineStr">
        <is>
          <t>Colombia</t>
        </is>
      </c>
      <c r="C798" t="inlineStr">
        <is>
          <t>Coco Colombia</t>
        </is>
      </c>
      <c r="D798" t="inlineStr">
        <is>
          <t>COP</t>
        </is>
      </c>
      <c r="E798" t="inlineStr">
        <is>
          <t>Real</t>
        </is>
      </c>
      <c r="F798" t="inlineStr">
        <is>
          <t>gasto_desarrollo</t>
        </is>
      </c>
      <c r="H798" t="inlineStr">
        <is>
          <t>Servicios</t>
        </is>
      </c>
      <c r="I798" t="n">
        <v>3900000</v>
      </c>
      <c r="J798" t="inlineStr">
        <is>
          <t>COP</t>
        </is>
      </c>
      <c r="L798">
        <f>IFERROR(INDEX(Diccionario!$B:$B,MATCH(F810,Diccionario!$C:$C,0)),"")</f>
        <v/>
      </c>
      <c r="M798">
        <f>IFERROR(INDEX(Diccionario!$H:$H,MATCH(F810,Diccionario!$C:$C,0)),"")</f>
        <v/>
      </c>
      <c r="N798">
        <f>IFERROR(INDEX(Diccionario!$N:$N,MATCH(F810,Diccionario!$C:$C,0)),"")</f>
        <v/>
      </c>
    </row>
    <row r="799" ht="14.25" customHeight="1" s="52">
      <c r="A799" t="inlineStr">
        <is>
          <t>2026-01</t>
        </is>
      </c>
      <c r="B799" t="inlineStr">
        <is>
          <t>Colombia</t>
        </is>
      </c>
      <c r="C799" t="inlineStr">
        <is>
          <t>Coco Colombia</t>
        </is>
      </c>
      <c r="D799" t="inlineStr">
        <is>
          <t>COP</t>
        </is>
      </c>
      <c r="E799" t="inlineStr">
        <is>
          <t>Real</t>
        </is>
      </c>
      <c r="F799" t="inlineStr">
        <is>
          <t>gasto_desarrollo</t>
        </is>
      </c>
      <c r="H799" t="inlineStr">
        <is>
          <t>Viajes</t>
        </is>
      </c>
      <c r="I799" t="n">
        <v>923000</v>
      </c>
      <c r="J799" t="inlineStr">
        <is>
          <t>COP</t>
        </is>
      </c>
      <c r="L799">
        <f>IFERROR(INDEX(Diccionario!$B:$B,MATCH(F811,Diccionario!$C:$C,0)),"")</f>
        <v/>
      </c>
      <c r="M799">
        <f>IFERROR(INDEX(Diccionario!$H:$H,MATCH(F811,Diccionario!$C:$C,0)),"")</f>
        <v/>
      </c>
      <c r="N799">
        <f>IFERROR(INDEX(Diccionario!$N:$N,MATCH(F811,Diccionario!$C:$C,0)),"")</f>
        <v/>
      </c>
    </row>
    <row r="800" ht="14.25" customHeight="1" s="52">
      <c r="A800" t="inlineStr">
        <is>
          <t>2026-02</t>
        </is>
      </c>
      <c r="B800" t="inlineStr">
        <is>
          <t>Colombia</t>
        </is>
      </c>
      <c r="C800" t="inlineStr">
        <is>
          <t>Coco Colombia</t>
        </is>
      </c>
      <c r="D800" t="inlineStr">
        <is>
          <t>COP</t>
        </is>
      </c>
      <c r="E800" t="inlineStr">
        <is>
          <t>Real</t>
        </is>
      </c>
      <c r="F800" t="inlineStr">
        <is>
          <t>gasto_desarrollo</t>
        </is>
      </c>
      <c r="H800" t="inlineStr">
        <is>
          <t>Personal</t>
        </is>
      </c>
      <c r="I800" t="n">
        <v>156090000</v>
      </c>
      <c r="J800" t="inlineStr">
        <is>
          <t>COP</t>
        </is>
      </c>
      <c r="L800">
        <f>IFERROR(INDEX(Diccionario!$B:$B,MATCH(F812,Diccionario!$C:$C,0)),"")</f>
        <v/>
      </c>
      <c r="M800">
        <f>IFERROR(INDEX(Diccionario!$H:$H,MATCH(F812,Diccionario!$C:$C,0)),"")</f>
        <v/>
      </c>
      <c r="N800">
        <f>IFERROR(INDEX(Diccionario!$N:$N,MATCH(F812,Diccionario!$C:$C,0)),"")</f>
        <v/>
      </c>
    </row>
    <row r="801" ht="14.25" customHeight="1" s="52">
      <c r="A801" t="inlineStr">
        <is>
          <t>2026-02</t>
        </is>
      </c>
      <c r="B801" t="inlineStr">
        <is>
          <t>Colombia</t>
        </is>
      </c>
      <c r="C801" t="inlineStr">
        <is>
          <t>Coco Colombia</t>
        </is>
      </c>
      <c r="D801" t="inlineStr">
        <is>
          <t>COP</t>
        </is>
      </c>
      <c r="E801" t="inlineStr">
        <is>
          <t>Real</t>
        </is>
      </c>
      <c r="F801" t="inlineStr">
        <is>
          <t>gasto_desarrollo</t>
        </is>
      </c>
      <c r="H801" t="inlineStr">
        <is>
          <t>Honorarios</t>
        </is>
      </c>
      <c r="I801" t="n">
        <v>5800000</v>
      </c>
      <c r="J801" t="inlineStr">
        <is>
          <t>COP</t>
        </is>
      </c>
      <c r="L801">
        <f>IFERROR(INDEX(Diccionario!$B:$B,MATCH(F813,Diccionario!$C:$C,0)),"")</f>
        <v/>
      </c>
      <c r="M801">
        <f>IFERROR(INDEX(Diccionario!$H:$H,MATCH(F813,Diccionario!$C:$C,0)),"")</f>
        <v/>
      </c>
      <c r="N801">
        <f>IFERROR(INDEX(Diccionario!$N:$N,MATCH(F813,Diccionario!$C:$C,0)),"")</f>
        <v/>
      </c>
    </row>
    <row r="802" ht="14.25" customHeight="1" s="52">
      <c r="A802" t="inlineStr">
        <is>
          <t>2026-02</t>
        </is>
      </c>
      <c r="B802" t="inlineStr">
        <is>
          <t>Colombia</t>
        </is>
      </c>
      <c r="C802" t="inlineStr">
        <is>
          <t>Coco Colombia</t>
        </is>
      </c>
      <c r="D802" t="inlineStr">
        <is>
          <t>COP</t>
        </is>
      </c>
      <c r="E802" t="inlineStr">
        <is>
          <t>Real</t>
        </is>
      </c>
      <c r="F802" t="inlineStr">
        <is>
          <t>gasto_desarrollo</t>
        </is>
      </c>
      <c r="H802" t="inlineStr">
        <is>
          <t>Servicios</t>
        </is>
      </c>
      <c r="I802" t="n">
        <v>3600000</v>
      </c>
      <c r="J802" t="inlineStr">
        <is>
          <t>COP</t>
        </is>
      </c>
      <c r="L802">
        <f>IFERROR(INDEX(Diccionario!$B:$B,MATCH(F814,Diccionario!$C:$C,0)),"")</f>
        <v/>
      </c>
      <c r="M802">
        <f>IFERROR(INDEX(Diccionario!$H:$H,MATCH(F814,Diccionario!$C:$C,0)),"")</f>
        <v/>
      </c>
      <c r="N802">
        <f>IFERROR(INDEX(Diccionario!$N:$N,MATCH(F814,Diccionario!$C:$C,0)),"")</f>
        <v/>
      </c>
    </row>
    <row r="803" ht="14.25" customHeight="1" s="52">
      <c r="A803" t="inlineStr">
        <is>
          <t>2026-02</t>
        </is>
      </c>
      <c r="B803" t="inlineStr">
        <is>
          <t>Colombia</t>
        </is>
      </c>
      <c r="C803" t="inlineStr">
        <is>
          <t>Coco Colombia</t>
        </is>
      </c>
      <c r="D803" t="inlineStr">
        <is>
          <t>COP</t>
        </is>
      </c>
      <c r="E803" t="inlineStr">
        <is>
          <t>Real</t>
        </is>
      </c>
      <c r="F803" t="inlineStr">
        <is>
          <t>gasto_desarrollo</t>
        </is>
      </c>
      <c r="H803" t="inlineStr">
        <is>
          <t>Viajes</t>
        </is>
      </c>
      <c r="I803" t="n">
        <v>0</v>
      </c>
      <c r="J803" t="inlineStr">
        <is>
          <t>COP</t>
        </is>
      </c>
      <c r="L803">
        <f>IFERROR(INDEX(Diccionario!$B:$B,MATCH(F815,Diccionario!$C:$C,0)),"")</f>
        <v/>
      </c>
      <c r="M803">
        <f>IFERROR(INDEX(Diccionario!$H:$H,MATCH(F815,Diccionario!$C:$C,0)),"")</f>
        <v/>
      </c>
      <c r="N803">
        <f>IFERROR(INDEX(Diccionario!$N:$N,MATCH(F815,Diccionario!$C:$C,0)),"")</f>
        <v/>
      </c>
    </row>
    <row r="804" ht="14.25" customHeight="1" s="52">
      <c r="A804" t="inlineStr">
        <is>
          <t>2026-03</t>
        </is>
      </c>
      <c r="B804" t="inlineStr">
        <is>
          <t>Colombia</t>
        </is>
      </c>
      <c r="C804" t="inlineStr">
        <is>
          <t>Coco Colombia</t>
        </is>
      </c>
      <c r="D804" t="inlineStr">
        <is>
          <t>COP</t>
        </is>
      </c>
      <c r="E804" t="inlineStr">
        <is>
          <t>Real</t>
        </is>
      </c>
      <c r="F804" t="inlineStr">
        <is>
          <t>gasto_desarrollo</t>
        </is>
      </c>
      <c r="H804" t="inlineStr">
        <is>
          <t>Personal</t>
        </is>
      </c>
      <c r="I804" t="n">
        <v>148500000</v>
      </c>
      <c r="J804" t="inlineStr">
        <is>
          <t>COP</t>
        </is>
      </c>
      <c r="L804">
        <f>IFERROR(INDEX(Diccionario!$B:$B,MATCH(F816,Diccionario!$C:$C,0)),"")</f>
        <v/>
      </c>
      <c r="M804">
        <f>IFERROR(INDEX(Diccionario!$H:$H,MATCH(F816,Diccionario!$C:$C,0)),"")</f>
        <v/>
      </c>
      <c r="N804">
        <f>IFERROR(INDEX(Diccionario!$N:$N,MATCH(F816,Diccionario!$C:$C,0)),"")</f>
        <v/>
      </c>
    </row>
    <row r="805" ht="14.25" customHeight="1" s="52">
      <c r="A805" t="inlineStr">
        <is>
          <t>2026-03</t>
        </is>
      </c>
      <c r="B805" t="inlineStr">
        <is>
          <t>Colombia</t>
        </is>
      </c>
      <c r="C805" t="inlineStr">
        <is>
          <t>Coco Colombia</t>
        </is>
      </c>
      <c r="D805" t="inlineStr">
        <is>
          <t>COP</t>
        </is>
      </c>
      <c r="E805" t="inlineStr">
        <is>
          <t>Real</t>
        </is>
      </c>
      <c r="F805" t="inlineStr">
        <is>
          <t>gasto_desarrollo</t>
        </is>
      </c>
      <c r="H805" t="inlineStr">
        <is>
          <t>Honorarios</t>
        </is>
      </c>
      <c r="I805" t="n">
        <v>7010000</v>
      </c>
      <c r="J805" t="inlineStr">
        <is>
          <t>COP</t>
        </is>
      </c>
      <c r="L805">
        <f>IFERROR(INDEX(Diccionario!$B:$B,MATCH(F817,Diccionario!$C:$C,0)),"")</f>
        <v/>
      </c>
      <c r="M805">
        <f>IFERROR(INDEX(Diccionario!$H:$H,MATCH(F817,Diccionario!$C:$C,0)),"")</f>
        <v/>
      </c>
      <c r="N805">
        <f>IFERROR(INDEX(Diccionario!$N:$N,MATCH(F817,Diccionario!$C:$C,0)),"")</f>
        <v/>
      </c>
    </row>
    <row r="806" ht="14.25" customHeight="1" s="52">
      <c r="A806" t="inlineStr">
        <is>
          <t>2026-03</t>
        </is>
      </c>
      <c r="B806" t="inlineStr">
        <is>
          <t>Colombia</t>
        </is>
      </c>
      <c r="C806" t="inlineStr">
        <is>
          <t>Coco Colombia</t>
        </is>
      </c>
      <c r="D806" t="inlineStr">
        <is>
          <t>COP</t>
        </is>
      </c>
      <c r="E806" t="inlineStr">
        <is>
          <t>Real</t>
        </is>
      </c>
      <c r="F806" t="inlineStr">
        <is>
          <t>gasto_desarrollo</t>
        </is>
      </c>
      <c r="H806" t="inlineStr">
        <is>
          <t>Servicios</t>
        </is>
      </c>
      <c r="I806" t="n">
        <v>24100000</v>
      </c>
      <c r="J806" t="inlineStr">
        <is>
          <t>COP</t>
        </is>
      </c>
      <c r="L806">
        <f>IFERROR(INDEX(Diccionario!$B:$B,MATCH(F818,Diccionario!$C:$C,0)),"")</f>
        <v/>
      </c>
      <c r="M806">
        <f>IFERROR(INDEX(Diccionario!$H:$H,MATCH(F818,Diccionario!$C:$C,0)),"")</f>
        <v/>
      </c>
      <c r="N806">
        <f>IFERROR(INDEX(Diccionario!$N:$N,MATCH(F818,Diccionario!$C:$C,0)),"")</f>
        <v/>
      </c>
    </row>
    <row r="807" ht="14.25" customHeight="1" s="52">
      <c r="A807" t="inlineStr">
        <is>
          <t>2026-03</t>
        </is>
      </c>
      <c r="B807" t="inlineStr">
        <is>
          <t>Colombia</t>
        </is>
      </c>
      <c r="C807" t="inlineStr">
        <is>
          <t>Coco Colombia</t>
        </is>
      </c>
      <c r="D807" t="inlineStr">
        <is>
          <t>COP</t>
        </is>
      </c>
      <c r="E807" t="inlineStr">
        <is>
          <t>Real</t>
        </is>
      </c>
      <c r="F807" t="inlineStr">
        <is>
          <t>gasto_desarrollo</t>
        </is>
      </c>
      <c r="H807" t="inlineStr">
        <is>
          <t>Viajes</t>
        </is>
      </c>
      <c r="I807" t="n">
        <v>0</v>
      </c>
      <c r="J807" t="inlineStr">
        <is>
          <t>COP</t>
        </is>
      </c>
      <c r="L807">
        <f>IFERROR(INDEX(Diccionario!$B:$B,MATCH(F819,Diccionario!$C:$C,0)),"")</f>
        <v/>
      </c>
      <c r="M807">
        <f>IFERROR(INDEX(Diccionario!$H:$H,MATCH(F819,Diccionario!$C:$C,0)),"")</f>
        <v/>
      </c>
      <c r="N807">
        <f>IFERROR(INDEX(Diccionario!$N:$N,MATCH(F819,Diccionario!$C:$C,0)),"")</f>
        <v/>
      </c>
    </row>
    <row r="808" ht="14.25" customHeight="1" s="52">
      <c r="A808" t="inlineStr">
        <is>
          <t>2026-04</t>
        </is>
      </c>
      <c r="B808" t="inlineStr">
        <is>
          <t>Colombia</t>
        </is>
      </c>
      <c r="C808" t="inlineStr">
        <is>
          <t>Coco Colombia</t>
        </is>
      </c>
      <c r="D808" t="inlineStr">
        <is>
          <t>COP</t>
        </is>
      </c>
      <c r="E808" t="inlineStr">
        <is>
          <t>Real</t>
        </is>
      </c>
      <c r="F808" t="inlineStr">
        <is>
          <t>gasto_desarrollo</t>
        </is>
      </c>
      <c r="H808" t="inlineStr">
        <is>
          <t>Personal</t>
        </is>
      </c>
      <c r="I808" t="n">
        <v>163400000</v>
      </c>
      <c r="J808" t="inlineStr">
        <is>
          <t>COP</t>
        </is>
      </c>
      <c r="L808">
        <f>IFERROR(INDEX(Diccionario!$B:$B,MATCH(F820,Diccionario!$C:$C,0)),"")</f>
        <v/>
      </c>
      <c r="M808">
        <f>IFERROR(INDEX(Diccionario!$H:$H,MATCH(F820,Diccionario!$C:$C,0)),"")</f>
        <v/>
      </c>
      <c r="N808">
        <f>IFERROR(INDEX(Diccionario!$N:$N,MATCH(F820,Diccionario!$C:$C,0)),"")</f>
        <v/>
      </c>
    </row>
    <row r="809" ht="14.25" customHeight="1" s="52">
      <c r="A809" t="inlineStr">
        <is>
          <t>2026-04</t>
        </is>
      </c>
      <c r="B809" t="inlineStr">
        <is>
          <t>Colombia</t>
        </is>
      </c>
      <c r="C809" t="inlineStr">
        <is>
          <t>Coco Colombia</t>
        </is>
      </c>
      <c r="D809" t="inlineStr">
        <is>
          <t>COP</t>
        </is>
      </c>
      <c r="E809" t="inlineStr">
        <is>
          <t>Real</t>
        </is>
      </c>
      <c r="F809" t="inlineStr">
        <is>
          <t>gasto_desarrollo</t>
        </is>
      </c>
      <c r="H809" t="inlineStr">
        <is>
          <t>Honorarios</t>
        </is>
      </c>
      <c r="I809" t="n">
        <v>6900000</v>
      </c>
      <c r="J809" t="inlineStr">
        <is>
          <t>COP</t>
        </is>
      </c>
      <c r="L809">
        <f>IFERROR(INDEX(Diccionario!$B:$B,MATCH(F821,Diccionario!$C:$C,0)),"")</f>
        <v/>
      </c>
      <c r="M809">
        <f>IFERROR(INDEX(Diccionario!$H:$H,MATCH(F821,Diccionario!$C:$C,0)),"")</f>
        <v/>
      </c>
      <c r="N809">
        <f>IFERROR(INDEX(Diccionario!$N:$N,MATCH(F821,Diccionario!$C:$C,0)),"")</f>
        <v/>
      </c>
    </row>
    <row r="810" ht="14.25" customHeight="1" s="52">
      <c r="A810" t="inlineStr">
        <is>
          <t>2026-04</t>
        </is>
      </c>
      <c r="B810" t="inlineStr">
        <is>
          <t>Colombia</t>
        </is>
      </c>
      <c r="C810" t="inlineStr">
        <is>
          <t>Coco Colombia</t>
        </is>
      </c>
      <c r="D810" t="inlineStr">
        <is>
          <t>COP</t>
        </is>
      </c>
      <c r="E810" t="inlineStr">
        <is>
          <t>Real</t>
        </is>
      </c>
      <c r="F810" t="inlineStr">
        <is>
          <t>gasto_desarrollo</t>
        </is>
      </c>
      <c r="H810" t="inlineStr">
        <is>
          <t>Servicios</t>
        </is>
      </c>
      <c r="I810" t="n">
        <v>14700000</v>
      </c>
      <c r="J810" t="inlineStr">
        <is>
          <t>COP</t>
        </is>
      </c>
      <c r="L810">
        <f>IFERROR(INDEX(Diccionario!$B:$B,MATCH(F822,Diccionario!$C:$C,0)),"")</f>
        <v/>
      </c>
      <c r="M810">
        <f>IFERROR(INDEX(Diccionario!$H:$H,MATCH(F822,Diccionario!$C:$C,0)),"")</f>
        <v/>
      </c>
      <c r="N810">
        <f>IFERROR(INDEX(Diccionario!$N:$N,MATCH(F822,Diccionario!$C:$C,0)),"")</f>
        <v/>
      </c>
    </row>
    <row r="811" ht="14.25" customHeight="1" s="52">
      <c r="A811" t="inlineStr">
        <is>
          <t>2026-04</t>
        </is>
      </c>
      <c r="B811" t="inlineStr">
        <is>
          <t>Colombia</t>
        </is>
      </c>
      <c r="C811" t="inlineStr">
        <is>
          <t>Coco Colombia</t>
        </is>
      </c>
      <c r="D811" t="inlineStr">
        <is>
          <t>COP</t>
        </is>
      </c>
      <c r="E811" t="inlineStr">
        <is>
          <t>Real</t>
        </is>
      </c>
      <c r="F811" t="inlineStr">
        <is>
          <t>gasto_desarrollo</t>
        </is>
      </c>
      <c r="H811" t="inlineStr">
        <is>
          <t>Viajes</t>
        </is>
      </c>
      <c r="I811" t="n">
        <v>0</v>
      </c>
      <c r="J811" t="inlineStr">
        <is>
          <t>COP</t>
        </is>
      </c>
      <c r="L811">
        <f>IFERROR(INDEX(Diccionario!$B:$B,MATCH(F823,Diccionario!$C:$C,0)),"")</f>
        <v/>
      </c>
      <c r="M811">
        <f>IFERROR(INDEX(Diccionario!$H:$H,MATCH(F823,Diccionario!$C:$C,0)),"")</f>
        <v/>
      </c>
      <c r="N811">
        <f>IFERROR(INDEX(Diccionario!$N:$N,MATCH(F823,Diccionario!$C:$C,0)),"")</f>
        <v/>
      </c>
    </row>
    <row r="812" ht="14.25" customHeight="1" s="52">
      <c r="A812" t="inlineStr">
        <is>
          <t>2026-05</t>
        </is>
      </c>
      <c r="B812" t="inlineStr">
        <is>
          <t>Colombia</t>
        </is>
      </c>
      <c r="C812" t="inlineStr">
        <is>
          <t>Coco Colombia</t>
        </is>
      </c>
      <c r="D812" t="inlineStr">
        <is>
          <t>COP</t>
        </is>
      </c>
      <c r="E812" t="inlineStr">
        <is>
          <t>Real</t>
        </is>
      </c>
      <c r="F812" t="inlineStr">
        <is>
          <t>gasto_desarrollo</t>
        </is>
      </c>
      <c r="H812" t="inlineStr">
        <is>
          <t>Personal</t>
        </is>
      </c>
      <c r="I812" t="n">
        <v>157900000</v>
      </c>
      <c r="J812" t="inlineStr">
        <is>
          <t>COP</t>
        </is>
      </c>
      <c r="L812">
        <f>IFERROR(INDEX(Diccionario!$B:$B,MATCH(F824,Diccionario!$C:$C,0)),"")</f>
        <v/>
      </c>
      <c r="M812">
        <f>IFERROR(INDEX(Diccionario!$H:$H,MATCH(F824,Diccionario!$C:$C,0)),"")</f>
        <v/>
      </c>
      <c r="N812">
        <f>IFERROR(INDEX(Diccionario!$N:$N,MATCH(F824,Diccionario!$C:$C,0)),"")</f>
        <v/>
      </c>
    </row>
    <row r="813" ht="14.25" customHeight="1" s="52">
      <c r="A813" t="inlineStr">
        <is>
          <t>2026-05</t>
        </is>
      </c>
      <c r="B813" t="inlineStr">
        <is>
          <t>Colombia</t>
        </is>
      </c>
      <c r="C813" t="inlineStr">
        <is>
          <t>Coco Colombia</t>
        </is>
      </c>
      <c r="D813" t="inlineStr">
        <is>
          <t>COP</t>
        </is>
      </c>
      <c r="E813" t="inlineStr">
        <is>
          <t>Real</t>
        </is>
      </c>
      <c r="F813" t="inlineStr">
        <is>
          <t>gasto_desarrollo</t>
        </is>
      </c>
      <c r="H813" t="inlineStr">
        <is>
          <t>Honorarios</t>
        </is>
      </c>
      <c r="I813" t="n">
        <v>7000000</v>
      </c>
      <c r="J813" t="inlineStr">
        <is>
          <t>COP</t>
        </is>
      </c>
      <c r="L813">
        <f>IFERROR(INDEX(Diccionario!$B:$B,MATCH(F825,Diccionario!$C:$C,0)),"")</f>
        <v/>
      </c>
      <c r="M813">
        <f>IFERROR(INDEX(Diccionario!$H:$H,MATCH(F825,Diccionario!$C:$C,0)),"")</f>
        <v/>
      </c>
      <c r="N813">
        <f>IFERROR(INDEX(Diccionario!$N:$N,MATCH(F825,Diccionario!$C:$C,0)),"")</f>
        <v/>
      </c>
    </row>
    <row r="814" ht="14.25" customHeight="1" s="52">
      <c r="A814" t="inlineStr">
        <is>
          <t>2026-05</t>
        </is>
      </c>
      <c r="B814" t="inlineStr">
        <is>
          <t>Colombia</t>
        </is>
      </c>
      <c r="C814" t="inlineStr">
        <is>
          <t>Coco Colombia</t>
        </is>
      </c>
      <c r="D814" t="inlineStr">
        <is>
          <t>COP</t>
        </is>
      </c>
      <c r="E814" t="inlineStr">
        <is>
          <t>Real</t>
        </is>
      </c>
      <c r="F814" t="inlineStr">
        <is>
          <t>gasto_desarrollo</t>
        </is>
      </c>
      <c r="H814" t="inlineStr">
        <is>
          <t>Servicios</t>
        </is>
      </c>
      <c r="I814" t="n">
        <v>3800000</v>
      </c>
      <c r="J814" t="inlineStr">
        <is>
          <t>COP</t>
        </is>
      </c>
      <c r="L814">
        <f>IFERROR(INDEX(Diccionario!$B:$B,MATCH(F826,Diccionario!$C:$C,0)),"")</f>
        <v/>
      </c>
      <c r="M814">
        <f>IFERROR(INDEX(Diccionario!$H:$H,MATCH(F826,Diccionario!$C:$C,0)),"")</f>
        <v/>
      </c>
      <c r="N814">
        <f>IFERROR(INDEX(Diccionario!$N:$N,MATCH(F826,Diccionario!$C:$C,0)),"")</f>
        <v/>
      </c>
    </row>
    <row r="815" ht="14.25" customHeight="1" s="52">
      <c r="A815" t="inlineStr">
        <is>
          <t>2026-05</t>
        </is>
      </c>
      <c r="B815" t="inlineStr">
        <is>
          <t>Colombia</t>
        </is>
      </c>
      <c r="C815" t="inlineStr">
        <is>
          <t>Coco Colombia</t>
        </is>
      </c>
      <c r="D815" t="inlineStr">
        <is>
          <t>COP</t>
        </is>
      </c>
      <c r="E815" t="inlineStr">
        <is>
          <t>Real</t>
        </is>
      </c>
      <c r="F815" t="inlineStr">
        <is>
          <t>gasto_desarrollo</t>
        </is>
      </c>
      <c r="H815" t="inlineStr">
        <is>
          <t>Viajes</t>
        </is>
      </c>
      <c r="I815" t="n">
        <v>0</v>
      </c>
      <c r="J815" t="inlineStr">
        <is>
          <t>COP</t>
        </is>
      </c>
      <c r="L815">
        <f>IFERROR(INDEX(Diccionario!$B:$B,MATCH(F827,Diccionario!$C:$C,0)),"")</f>
        <v/>
      </c>
      <c r="M815">
        <f>IFERROR(INDEX(Diccionario!$H:$H,MATCH(F827,Diccionario!$C:$C,0)),"")</f>
        <v/>
      </c>
      <c r="N815">
        <f>IFERROR(INDEX(Diccionario!$N:$N,MATCH(F827,Diccionario!$C:$C,0)),"")</f>
        <v/>
      </c>
    </row>
    <row r="816" ht="14.25" customHeight="1" s="52">
      <c r="A816" t="inlineStr">
        <is>
          <t>2024-01</t>
        </is>
      </c>
      <c r="B816" t="inlineStr">
        <is>
          <t>Colombia</t>
        </is>
      </c>
      <c r="C816" t="inlineStr">
        <is>
          <t>Coco Colombia</t>
        </is>
      </c>
      <c r="D816" t="inlineStr">
        <is>
          <t>COP</t>
        </is>
      </c>
      <c r="E816" t="inlineStr">
        <is>
          <t>Real</t>
        </is>
      </c>
      <c r="F816" t="inlineStr">
        <is>
          <t>gasto_comercial</t>
        </is>
      </c>
      <c r="H816" t="inlineStr">
        <is>
          <t>Personal</t>
        </is>
      </c>
      <c r="I816" t="n">
        <v>85000000</v>
      </c>
      <c r="J816" t="inlineStr">
        <is>
          <t>COP</t>
        </is>
      </c>
      <c r="L816">
        <f>IFERROR(INDEX(Diccionario!$B:$B,MATCH(F828,Diccionario!$C:$C,0)),"")</f>
        <v/>
      </c>
      <c r="M816">
        <f>IFERROR(INDEX(Diccionario!$H:$H,MATCH(F828,Diccionario!$C:$C,0)),"")</f>
        <v/>
      </c>
      <c r="N816">
        <f>IFERROR(INDEX(Diccionario!$N:$N,MATCH(F828,Diccionario!$C:$C,0)),"")</f>
        <v/>
      </c>
    </row>
    <row r="817" ht="14.25" customHeight="1" s="52">
      <c r="A817" t="inlineStr">
        <is>
          <t>2024-01</t>
        </is>
      </c>
      <c r="B817" t="inlineStr">
        <is>
          <t>Colombia</t>
        </is>
      </c>
      <c r="C817" t="inlineStr">
        <is>
          <t>Coco Colombia</t>
        </is>
      </c>
      <c r="D817" t="inlineStr">
        <is>
          <t>COP</t>
        </is>
      </c>
      <c r="E817" t="inlineStr">
        <is>
          <t>Real</t>
        </is>
      </c>
      <c r="F817" t="inlineStr">
        <is>
          <t>gasto_comercial</t>
        </is>
      </c>
      <c r="H817" t="inlineStr">
        <is>
          <t>Honorario</t>
        </is>
      </c>
      <c r="I817" t="n">
        <v>6000000</v>
      </c>
      <c r="J817" t="inlineStr">
        <is>
          <t>COP</t>
        </is>
      </c>
      <c r="L817">
        <f>IFERROR(INDEX(Diccionario!$B:$B,MATCH(F829,Diccionario!$C:$C,0)),"")</f>
        <v/>
      </c>
      <c r="M817">
        <f>IFERROR(INDEX(Diccionario!$H:$H,MATCH(F829,Diccionario!$C:$C,0)),"")</f>
        <v/>
      </c>
      <c r="N817">
        <f>IFERROR(INDEX(Diccionario!$N:$N,MATCH(F829,Diccionario!$C:$C,0)),"")</f>
        <v/>
      </c>
    </row>
    <row r="818" ht="14.25" customHeight="1" s="52">
      <c r="A818" t="inlineStr">
        <is>
          <t>2024-01</t>
        </is>
      </c>
      <c r="B818" t="inlineStr">
        <is>
          <t>Colombia</t>
        </is>
      </c>
      <c r="C818" t="inlineStr">
        <is>
          <t>Coco Colombia</t>
        </is>
      </c>
      <c r="D818" t="inlineStr">
        <is>
          <t>COP</t>
        </is>
      </c>
      <c r="E818" t="inlineStr">
        <is>
          <t>Real</t>
        </is>
      </c>
      <c r="F818" t="inlineStr">
        <is>
          <t>gasto_comercial</t>
        </is>
      </c>
      <c r="H818" t="inlineStr">
        <is>
          <t>Seguros</t>
        </is>
      </c>
      <c r="I818" t="n">
        <v>3000000</v>
      </c>
      <c r="J818" t="inlineStr">
        <is>
          <t>COP</t>
        </is>
      </c>
      <c r="L818">
        <f>IFERROR(INDEX(Diccionario!$B:$B,MATCH(F830,Diccionario!$C:$C,0)),"")</f>
        <v/>
      </c>
      <c r="M818">
        <f>IFERROR(INDEX(Diccionario!$H:$H,MATCH(F830,Diccionario!$C:$C,0)),"")</f>
        <v/>
      </c>
      <c r="N818">
        <f>IFERROR(INDEX(Diccionario!$N:$N,MATCH(F830,Diccionario!$C:$C,0)),"")</f>
        <v/>
      </c>
    </row>
    <row r="819" ht="14.25" customHeight="1" s="52">
      <c r="A819" t="inlineStr">
        <is>
          <t>2024-01</t>
        </is>
      </c>
      <c r="B819" t="inlineStr">
        <is>
          <t>Colombia</t>
        </is>
      </c>
      <c r="C819" t="inlineStr">
        <is>
          <t>Coco Colombia</t>
        </is>
      </c>
      <c r="D819" t="inlineStr">
        <is>
          <t>COP</t>
        </is>
      </c>
      <c r="E819" t="inlineStr">
        <is>
          <t>Real</t>
        </is>
      </c>
      <c r="F819" t="inlineStr">
        <is>
          <t>gasto_comercial</t>
        </is>
      </c>
      <c r="H819" t="inlineStr">
        <is>
          <t>Servicios</t>
        </is>
      </c>
      <c r="I819" t="n">
        <v>17000000</v>
      </c>
      <c r="J819" t="inlineStr">
        <is>
          <t>COP</t>
        </is>
      </c>
      <c r="L819">
        <f>IFERROR(INDEX(Diccionario!$B:$B,MATCH(F831,Diccionario!$C:$C,0)),"")</f>
        <v/>
      </c>
      <c r="M819">
        <f>IFERROR(INDEX(Diccionario!$H:$H,MATCH(F831,Diccionario!$C:$C,0)),"")</f>
        <v/>
      </c>
      <c r="N819">
        <f>IFERROR(INDEX(Diccionario!$N:$N,MATCH(F831,Diccionario!$C:$C,0)),"")</f>
        <v/>
      </c>
    </row>
    <row r="820" ht="14.25" customHeight="1" s="52">
      <c r="A820" t="inlineStr">
        <is>
          <t>2024-01</t>
        </is>
      </c>
      <c r="B820" t="inlineStr">
        <is>
          <t>Colombia</t>
        </is>
      </c>
      <c r="C820" t="inlineStr">
        <is>
          <t>Coco Colombia</t>
        </is>
      </c>
      <c r="D820" t="inlineStr">
        <is>
          <t>COP</t>
        </is>
      </c>
      <c r="E820" t="inlineStr">
        <is>
          <t>Real</t>
        </is>
      </c>
      <c r="F820" t="inlineStr">
        <is>
          <t>gasto_comercial</t>
        </is>
      </c>
      <c r="H820" t="inlineStr">
        <is>
          <t>Viajes</t>
        </is>
      </c>
      <c r="I820" t="n">
        <v>10000000</v>
      </c>
      <c r="J820" t="inlineStr">
        <is>
          <t>COP</t>
        </is>
      </c>
      <c r="L820">
        <f>IFERROR(INDEX(Diccionario!$B:$B,MATCH(F832,Diccionario!$C:$C,0)),"")</f>
        <v/>
      </c>
      <c r="M820">
        <f>IFERROR(INDEX(Diccionario!$H:$H,MATCH(F832,Diccionario!$C:$C,0)),"")</f>
        <v/>
      </c>
      <c r="N820">
        <f>IFERROR(INDEX(Diccionario!$N:$N,MATCH(F832,Diccionario!$C:$C,0)),"")</f>
        <v/>
      </c>
    </row>
    <row r="821" ht="14.25" customHeight="1" s="52">
      <c r="A821" t="inlineStr">
        <is>
          <t>2024-01</t>
        </is>
      </c>
      <c r="B821" t="inlineStr">
        <is>
          <t>Colombia</t>
        </is>
      </c>
      <c r="C821" t="inlineStr">
        <is>
          <t>Coco Colombia</t>
        </is>
      </c>
      <c r="D821" t="inlineStr">
        <is>
          <t>COP</t>
        </is>
      </c>
      <c r="E821" t="inlineStr">
        <is>
          <t>Real</t>
        </is>
      </c>
      <c r="F821" t="inlineStr">
        <is>
          <t>gasto_comercial</t>
        </is>
      </c>
      <c r="H821" t="inlineStr">
        <is>
          <t>Diversos</t>
        </is>
      </c>
      <c r="I821" t="n">
        <v>6000000</v>
      </c>
      <c r="J821" t="inlineStr">
        <is>
          <t>COP</t>
        </is>
      </c>
      <c r="L821">
        <f>IFERROR(INDEX(Diccionario!$B:$B,MATCH(F833,Diccionario!$C:$C,0)),"")</f>
        <v/>
      </c>
      <c r="M821">
        <f>IFERROR(INDEX(Diccionario!$H:$H,MATCH(F833,Diccionario!$C:$C,0)),"")</f>
        <v/>
      </c>
      <c r="N821">
        <f>IFERROR(INDEX(Diccionario!$N:$N,MATCH(F833,Diccionario!$C:$C,0)),"")</f>
        <v/>
      </c>
    </row>
    <row r="822" ht="14.25" customHeight="1" s="52">
      <c r="A822" t="inlineStr">
        <is>
          <t>2024-02</t>
        </is>
      </c>
      <c r="B822" t="inlineStr">
        <is>
          <t>Colombia</t>
        </is>
      </c>
      <c r="C822" t="inlineStr">
        <is>
          <t>Coco Colombia</t>
        </is>
      </c>
      <c r="D822" t="inlineStr">
        <is>
          <t>COP</t>
        </is>
      </c>
      <c r="E822" t="inlineStr">
        <is>
          <t>Real</t>
        </is>
      </c>
      <c r="F822" t="inlineStr">
        <is>
          <t>gasto_comercial</t>
        </is>
      </c>
      <c r="H822" t="inlineStr">
        <is>
          <t>Personal</t>
        </is>
      </c>
      <c r="I822" t="n">
        <v>83000000</v>
      </c>
      <c r="J822" t="inlineStr">
        <is>
          <t>COP</t>
        </is>
      </c>
      <c r="L822">
        <f>IFERROR(INDEX(Diccionario!$B:$B,MATCH(F834,Diccionario!$C:$C,0)),"")</f>
        <v/>
      </c>
      <c r="M822">
        <f>IFERROR(INDEX(Diccionario!$H:$H,MATCH(F834,Diccionario!$C:$C,0)),"")</f>
        <v/>
      </c>
      <c r="N822">
        <f>IFERROR(INDEX(Diccionario!$N:$N,MATCH(F834,Diccionario!$C:$C,0)),"")</f>
        <v/>
      </c>
    </row>
    <row r="823" ht="14.25" customHeight="1" s="52">
      <c r="A823" t="inlineStr">
        <is>
          <t>2024-02</t>
        </is>
      </c>
      <c r="B823" t="inlineStr">
        <is>
          <t>Colombia</t>
        </is>
      </c>
      <c r="C823" t="inlineStr">
        <is>
          <t>Coco Colombia</t>
        </is>
      </c>
      <c r="D823" t="inlineStr">
        <is>
          <t>COP</t>
        </is>
      </c>
      <c r="E823" t="inlineStr">
        <is>
          <t>Real</t>
        </is>
      </c>
      <c r="F823" t="inlineStr">
        <is>
          <t>gasto_comercial</t>
        </is>
      </c>
      <c r="H823" t="inlineStr">
        <is>
          <t>Honorario</t>
        </is>
      </c>
      <c r="I823" t="n">
        <v>3000000</v>
      </c>
      <c r="J823" t="inlineStr">
        <is>
          <t>COP</t>
        </is>
      </c>
      <c r="L823">
        <f>IFERROR(INDEX(Diccionario!$B:$B,MATCH(F835,Diccionario!$C:$C,0)),"")</f>
        <v/>
      </c>
      <c r="M823">
        <f>IFERROR(INDEX(Diccionario!$H:$H,MATCH(F835,Diccionario!$C:$C,0)),"")</f>
        <v/>
      </c>
      <c r="N823">
        <f>IFERROR(INDEX(Diccionario!$N:$N,MATCH(F835,Diccionario!$C:$C,0)),"")</f>
        <v/>
      </c>
    </row>
    <row r="824" ht="14.25" customHeight="1" s="52">
      <c r="A824" t="inlineStr">
        <is>
          <t>2024-02</t>
        </is>
      </c>
      <c r="B824" t="inlineStr">
        <is>
          <t>Colombia</t>
        </is>
      </c>
      <c r="C824" t="inlineStr">
        <is>
          <t>Coco Colombia</t>
        </is>
      </c>
      <c r="D824" t="inlineStr">
        <is>
          <t>COP</t>
        </is>
      </c>
      <c r="E824" t="inlineStr">
        <is>
          <t>Real</t>
        </is>
      </c>
      <c r="F824" t="inlineStr">
        <is>
          <t>gasto_comercial</t>
        </is>
      </c>
      <c r="H824" t="inlineStr">
        <is>
          <t>Seguros</t>
        </is>
      </c>
      <c r="I824" t="n">
        <v>2000000</v>
      </c>
      <c r="J824" t="inlineStr">
        <is>
          <t>COP</t>
        </is>
      </c>
      <c r="L824">
        <f>IFERROR(INDEX(Diccionario!$B:$B,MATCH(F836,Diccionario!$C:$C,0)),"")</f>
        <v/>
      </c>
      <c r="M824">
        <f>IFERROR(INDEX(Diccionario!$H:$H,MATCH(F836,Diccionario!$C:$C,0)),"")</f>
        <v/>
      </c>
      <c r="N824">
        <f>IFERROR(INDEX(Diccionario!$N:$N,MATCH(F836,Diccionario!$C:$C,0)),"")</f>
        <v/>
      </c>
    </row>
    <row r="825" ht="14.25" customHeight="1" s="52">
      <c r="A825" t="inlineStr">
        <is>
          <t>2024-02</t>
        </is>
      </c>
      <c r="B825" t="inlineStr">
        <is>
          <t>Colombia</t>
        </is>
      </c>
      <c r="C825" t="inlineStr">
        <is>
          <t>Coco Colombia</t>
        </is>
      </c>
      <c r="D825" t="inlineStr">
        <is>
          <t>COP</t>
        </is>
      </c>
      <c r="E825" t="inlineStr">
        <is>
          <t>Real</t>
        </is>
      </c>
      <c r="F825" t="inlineStr">
        <is>
          <t>gasto_comercial</t>
        </is>
      </c>
      <c r="H825" t="inlineStr">
        <is>
          <t>Servicios</t>
        </is>
      </c>
      <c r="I825" t="n">
        <v>11000000</v>
      </c>
      <c r="J825" t="inlineStr">
        <is>
          <t>COP</t>
        </is>
      </c>
      <c r="L825">
        <f>IFERROR(INDEX(Diccionario!$B:$B,MATCH(F837,Diccionario!$C:$C,0)),"")</f>
        <v/>
      </c>
      <c r="M825">
        <f>IFERROR(INDEX(Diccionario!$H:$H,MATCH(F837,Diccionario!$C:$C,0)),"")</f>
        <v/>
      </c>
      <c r="N825">
        <f>IFERROR(INDEX(Diccionario!$N:$N,MATCH(F837,Diccionario!$C:$C,0)),"")</f>
        <v/>
      </c>
    </row>
    <row r="826" ht="14.25" customHeight="1" s="52">
      <c r="A826" t="inlineStr">
        <is>
          <t>2024-02</t>
        </is>
      </c>
      <c r="B826" t="inlineStr">
        <is>
          <t>Colombia</t>
        </is>
      </c>
      <c r="C826" t="inlineStr">
        <is>
          <t>Coco Colombia</t>
        </is>
      </c>
      <c r="D826" t="inlineStr">
        <is>
          <t>COP</t>
        </is>
      </c>
      <c r="E826" t="inlineStr">
        <is>
          <t>Real</t>
        </is>
      </c>
      <c r="F826" t="inlineStr">
        <is>
          <t>gasto_comercial</t>
        </is>
      </c>
      <c r="H826" t="inlineStr">
        <is>
          <t>Viajes</t>
        </is>
      </c>
      <c r="I826" t="n">
        <v>10000000</v>
      </c>
      <c r="J826" t="inlineStr">
        <is>
          <t>COP</t>
        </is>
      </c>
      <c r="L826">
        <f>IFERROR(INDEX(Diccionario!$B:$B,MATCH(F838,Diccionario!$C:$C,0)),"")</f>
        <v/>
      </c>
      <c r="M826">
        <f>IFERROR(INDEX(Diccionario!$H:$H,MATCH(F838,Diccionario!$C:$C,0)),"")</f>
        <v/>
      </c>
      <c r="N826">
        <f>IFERROR(INDEX(Diccionario!$N:$N,MATCH(F838,Diccionario!$C:$C,0)),"")</f>
        <v/>
      </c>
    </row>
    <row r="827" ht="14.25" customHeight="1" s="52">
      <c r="A827" t="inlineStr">
        <is>
          <t>2024-02</t>
        </is>
      </c>
      <c r="B827" t="inlineStr">
        <is>
          <t>Colombia</t>
        </is>
      </c>
      <c r="C827" t="inlineStr">
        <is>
          <t>Coco Colombia</t>
        </is>
      </c>
      <c r="D827" t="inlineStr">
        <is>
          <t>COP</t>
        </is>
      </c>
      <c r="E827" t="inlineStr">
        <is>
          <t>Real</t>
        </is>
      </c>
      <c r="F827" t="inlineStr">
        <is>
          <t>gasto_comercial</t>
        </is>
      </c>
      <c r="H827" t="inlineStr">
        <is>
          <t>Diversos</t>
        </is>
      </c>
      <c r="I827" t="n">
        <v>3000000</v>
      </c>
      <c r="J827" t="inlineStr">
        <is>
          <t>COP</t>
        </is>
      </c>
      <c r="L827">
        <f>IFERROR(INDEX(Diccionario!$B:$B,MATCH(F839,Diccionario!$C:$C,0)),"")</f>
        <v/>
      </c>
      <c r="M827">
        <f>IFERROR(INDEX(Diccionario!$H:$H,MATCH(F839,Diccionario!$C:$C,0)),"")</f>
        <v/>
      </c>
      <c r="N827">
        <f>IFERROR(INDEX(Diccionario!$N:$N,MATCH(F839,Diccionario!$C:$C,0)),"")</f>
        <v/>
      </c>
    </row>
    <row r="828" ht="14.25" customHeight="1" s="52">
      <c r="A828" t="inlineStr">
        <is>
          <t>2024-03</t>
        </is>
      </c>
      <c r="B828" t="inlineStr">
        <is>
          <t>Colombia</t>
        </is>
      </c>
      <c r="C828" t="inlineStr">
        <is>
          <t>Coco Colombia</t>
        </is>
      </c>
      <c r="D828" t="inlineStr">
        <is>
          <t>COP</t>
        </is>
      </c>
      <c r="E828" t="inlineStr">
        <is>
          <t>Real</t>
        </is>
      </c>
      <c r="F828" t="inlineStr">
        <is>
          <t>gasto_comercial</t>
        </is>
      </c>
      <c r="H828" t="inlineStr">
        <is>
          <t>Personal</t>
        </is>
      </c>
      <c r="I828" t="n">
        <v>63000000</v>
      </c>
      <c r="J828" t="inlineStr">
        <is>
          <t>COP</t>
        </is>
      </c>
      <c r="L828">
        <f>IFERROR(INDEX(Diccionario!$B:$B,MATCH(F840,Diccionario!$C:$C,0)),"")</f>
        <v/>
      </c>
      <c r="M828">
        <f>IFERROR(INDEX(Diccionario!$H:$H,MATCH(F840,Diccionario!$C:$C,0)),"")</f>
        <v/>
      </c>
      <c r="N828">
        <f>IFERROR(INDEX(Diccionario!$N:$N,MATCH(F840,Diccionario!$C:$C,0)),"")</f>
        <v/>
      </c>
    </row>
    <row r="829" ht="14.25" customHeight="1" s="52">
      <c r="A829" t="inlineStr">
        <is>
          <t>2024-03</t>
        </is>
      </c>
      <c r="B829" t="inlineStr">
        <is>
          <t>Colombia</t>
        </is>
      </c>
      <c r="C829" t="inlineStr">
        <is>
          <t>Coco Colombia</t>
        </is>
      </c>
      <c r="D829" t="inlineStr">
        <is>
          <t>COP</t>
        </is>
      </c>
      <c r="E829" t="inlineStr">
        <is>
          <t>Real</t>
        </is>
      </c>
      <c r="F829" t="inlineStr">
        <is>
          <t>gasto_comercial</t>
        </is>
      </c>
      <c r="H829" t="inlineStr">
        <is>
          <t>Honorario</t>
        </is>
      </c>
      <c r="I829" t="n">
        <v>6000000</v>
      </c>
      <c r="J829" t="inlineStr">
        <is>
          <t>COP</t>
        </is>
      </c>
      <c r="L829">
        <f>IFERROR(INDEX(Diccionario!$B:$B,MATCH(F841,Diccionario!$C:$C,0)),"")</f>
        <v/>
      </c>
      <c r="M829">
        <f>IFERROR(INDEX(Diccionario!$H:$H,MATCH(F841,Diccionario!$C:$C,0)),"")</f>
        <v/>
      </c>
      <c r="N829">
        <f>IFERROR(INDEX(Diccionario!$N:$N,MATCH(F841,Diccionario!$C:$C,0)),"")</f>
        <v/>
      </c>
    </row>
    <row r="830" ht="14.25" customHeight="1" s="52">
      <c r="A830" t="inlineStr">
        <is>
          <t>2024-03</t>
        </is>
      </c>
      <c r="B830" t="inlineStr">
        <is>
          <t>Colombia</t>
        </is>
      </c>
      <c r="C830" t="inlineStr">
        <is>
          <t>Coco Colombia</t>
        </is>
      </c>
      <c r="D830" t="inlineStr">
        <is>
          <t>COP</t>
        </is>
      </c>
      <c r="E830" t="inlineStr">
        <is>
          <t>Real</t>
        </is>
      </c>
      <c r="F830" t="inlineStr">
        <is>
          <t>gasto_comercial</t>
        </is>
      </c>
      <c r="H830" t="inlineStr">
        <is>
          <t>Seguros</t>
        </is>
      </c>
      <c r="I830" t="n">
        <v>1000000</v>
      </c>
      <c r="J830" t="inlineStr">
        <is>
          <t>COP</t>
        </is>
      </c>
      <c r="L830">
        <f>IFERROR(INDEX(Diccionario!$B:$B,MATCH(F842,Diccionario!$C:$C,0)),"")</f>
        <v/>
      </c>
      <c r="M830">
        <f>IFERROR(INDEX(Diccionario!$H:$H,MATCH(F842,Diccionario!$C:$C,0)),"")</f>
        <v/>
      </c>
      <c r="N830">
        <f>IFERROR(INDEX(Diccionario!$N:$N,MATCH(F842,Diccionario!$C:$C,0)),"")</f>
        <v/>
      </c>
    </row>
    <row r="831" ht="14.25" customHeight="1" s="52">
      <c r="A831" t="inlineStr">
        <is>
          <t>2024-03</t>
        </is>
      </c>
      <c r="B831" t="inlineStr">
        <is>
          <t>Colombia</t>
        </is>
      </c>
      <c r="C831" t="inlineStr">
        <is>
          <t>Coco Colombia</t>
        </is>
      </c>
      <c r="D831" t="inlineStr">
        <is>
          <t>COP</t>
        </is>
      </c>
      <c r="E831" t="inlineStr">
        <is>
          <t>Real</t>
        </is>
      </c>
      <c r="F831" t="inlineStr">
        <is>
          <t>gasto_comercial</t>
        </is>
      </c>
      <c r="H831" t="inlineStr">
        <is>
          <t>Servicios</t>
        </is>
      </c>
      <c r="I831" t="n">
        <v>46000000</v>
      </c>
      <c r="J831" t="inlineStr">
        <is>
          <t>COP</t>
        </is>
      </c>
      <c r="L831">
        <f>IFERROR(INDEX(Diccionario!$B:$B,MATCH(F843,Diccionario!$C:$C,0)),"")</f>
        <v/>
      </c>
      <c r="M831">
        <f>IFERROR(INDEX(Diccionario!$H:$H,MATCH(F843,Diccionario!$C:$C,0)),"")</f>
        <v/>
      </c>
      <c r="N831">
        <f>IFERROR(INDEX(Diccionario!$N:$N,MATCH(F843,Diccionario!$C:$C,0)),"")</f>
        <v/>
      </c>
    </row>
    <row r="832" ht="14.25" customHeight="1" s="52">
      <c r="A832" t="inlineStr">
        <is>
          <t>2024-03</t>
        </is>
      </c>
      <c r="B832" t="inlineStr">
        <is>
          <t>Colombia</t>
        </is>
      </c>
      <c r="C832" t="inlineStr">
        <is>
          <t>Coco Colombia</t>
        </is>
      </c>
      <c r="D832" t="inlineStr">
        <is>
          <t>COP</t>
        </is>
      </c>
      <c r="E832" t="inlineStr">
        <is>
          <t>Real</t>
        </is>
      </c>
      <c r="F832" t="inlineStr">
        <is>
          <t>gasto_comercial</t>
        </is>
      </c>
      <c r="H832" t="inlineStr">
        <is>
          <t>Diversos</t>
        </is>
      </c>
      <c r="I832" t="n">
        <v>2000000</v>
      </c>
      <c r="J832" t="inlineStr">
        <is>
          <t>COP</t>
        </is>
      </c>
      <c r="L832">
        <f>IFERROR(INDEX(Diccionario!$B:$B,MATCH(F844,Diccionario!$C:$C,0)),"")</f>
        <v/>
      </c>
      <c r="M832">
        <f>IFERROR(INDEX(Diccionario!$H:$H,MATCH(F844,Diccionario!$C:$C,0)),"")</f>
        <v/>
      </c>
      <c r="N832">
        <f>IFERROR(INDEX(Diccionario!$N:$N,MATCH(F844,Diccionario!$C:$C,0)),"")</f>
        <v/>
      </c>
    </row>
    <row r="833" ht="14.25" customHeight="1" s="52">
      <c r="A833" t="inlineStr">
        <is>
          <t>2024-04</t>
        </is>
      </c>
      <c r="B833" t="inlineStr">
        <is>
          <t>Colombia</t>
        </is>
      </c>
      <c r="C833" t="inlineStr">
        <is>
          <t>Coco Colombia</t>
        </is>
      </c>
      <c r="D833" t="inlineStr">
        <is>
          <t>COP</t>
        </is>
      </c>
      <c r="E833" t="inlineStr">
        <is>
          <t>Real</t>
        </is>
      </c>
      <c r="F833" t="inlineStr">
        <is>
          <t>gasto_comercial</t>
        </is>
      </c>
      <c r="H833" t="inlineStr">
        <is>
          <t>Personal</t>
        </is>
      </c>
      <c r="I833" t="n">
        <v>93000000</v>
      </c>
      <c r="J833" t="inlineStr">
        <is>
          <t>COP</t>
        </is>
      </c>
      <c r="L833">
        <f>IFERROR(INDEX(Diccionario!$B:$B,MATCH(F845,Diccionario!$C:$C,0)),"")</f>
        <v/>
      </c>
      <c r="M833">
        <f>IFERROR(INDEX(Diccionario!$H:$H,MATCH(F845,Diccionario!$C:$C,0)),"")</f>
        <v/>
      </c>
      <c r="N833">
        <f>IFERROR(INDEX(Diccionario!$N:$N,MATCH(F845,Diccionario!$C:$C,0)),"")</f>
        <v/>
      </c>
    </row>
    <row r="834" ht="14.25" customHeight="1" s="52">
      <c r="A834" t="inlineStr">
        <is>
          <t>2024-04</t>
        </is>
      </c>
      <c r="B834" t="inlineStr">
        <is>
          <t>Colombia</t>
        </is>
      </c>
      <c r="C834" t="inlineStr">
        <is>
          <t>Coco Colombia</t>
        </is>
      </c>
      <c r="D834" t="inlineStr">
        <is>
          <t>COP</t>
        </is>
      </c>
      <c r="E834" t="inlineStr">
        <is>
          <t>Real</t>
        </is>
      </c>
      <c r="F834" t="inlineStr">
        <is>
          <t>gasto_comercial</t>
        </is>
      </c>
      <c r="H834" t="inlineStr">
        <is>
          <t>Honorario</t>
        </is>
      </c>
      <c r="I834" t="n">
        <v>12000000</v>
      </c>
      <c r="J834" t="inlineStr">
        <is>
          <t>COP</t>
        </is>
      </c>
      <c r="L834">
        <f>IFERROR(INDEX(Diccionario!$B:$B,MATCH(F846,Diccionario!$C:$C,0)),"")</f>
        <v/>
      </c>
      <c r="M834">
        <f>IFERROR(INDEX(Diccionario!$H:$H,MATCH(F846,Diccionario!$C:$C,0)),"")</f>
        <v/>
      </c>
      <c r="N834">
        <f>IFERROR(INDEX(Diccionario!$N:$N,MATCH(F846,Diccionario!$C:$C,0)),"")</f>
        <v/>
      </c>
    </row>
    <row r="835" ht="14.25" customHeight="1" s="52">
      <c r="A835" t="inlineStr">
        <is>
          <t>2024-04</t>
        </is>
      </c>
      <c r="B835" t="inlineStr">
        <is>
          <t>Colombia</t>
        </is>
      </c>
      <c r="C835" t="inlineStr">
        <is>
          <t>Coco Colombia</t>
        </is>
      </c>
      <c r="D835" t="inlineStr">
        <is>
          <t>COP</t>
        </is>
      </c>
      <c r="E835" t="inlineStr">
        <is>
          <t>Real</t>
        </is>
      </c>
      <c r="F835" t="inlineStr">
        <is>
          <t>gasto_comercial</t>
        </is>
      </c>
      <c r="H835" t="inlineStr">
        <is>
          <t>Seguros</t>
        </is>
      </c>
      <c r="I835" t="n">
        <v>0</v>
      </c>
      <c r="J835" t="inlineStr">
        <is>
          <t>COP</t>
        </is>
      </c>
      <c r="L835">
        <f>IFERROR(INDEX(Diccionario!$B:$B,MATCH(F847,Diccionario!$C:$C,0)),"")</f>
        <v/>
      </c>
      <c r="M835">
        <f>IFERROR(INDEX(Diccionario!$H:$H,MATCH(F847,Diccionario!$C:$C,0)),"")</f>
        <v/>
      </c>
      <c r="N835">
        <f>IFERROR(INDEX(Diccionario!$N:$N,MATCH(F847,Diccionario!$C:$C,0)),"")</f>
        <v/>
      </c>
    </row>
    <row r="836" ht="14.25" customHeight="1" s="52">
      <c r="A836" t="inlineStr">
        <is>
          <t>2024-04</t>
        </is>
      </c>
      <c r="B836" t="inlineStr">
        <is>
          <t>Colombia</t>
        </is>
      </c>
      <c r="C836" t="inlineStr">
        <is>
          <t>Coco Colombia</t>
        </is>
      </c>
      <c r="D836" t="inlineStr">
        <is>
          <t>COP</t>
        </is>
      </c>
      <c r="E836" t="inlineStr">
        <is>
          <t>Real</t>
        </is>
      </c>
      <c r="F836" t="inlineStr">
        <is>
          <t>gasto_comercial</t>
        </is>
      </c>
      <c r="H836" t="inlineStr">
        <is>
          <t>Servicios</t>
        </is>
      </c>
      <c r="I836" t="n">
        <v>22000000</v>
      </c>
      <c r="J836" t="inlineStr">
        <is>
          <t>COP</t>
        </is>
      </c>
      <c r="L836">
        <f>IFERROR(INDEX(Diccionario!$B:$B,MATCH(F848,Diccionario!$C:$C,0)),"")</f>
        <v/>
      </c>
      <c r="M836">
        <f>IFERROR(INDEX(Diccionario!$H:$H,MATCH(F848,Diccionario!$C:$C,0)),"")</f>
        <v/>
      </c>
      <c r="N836">
        <f>IFERROR(INDEX(Diccionario!$N:$N,MATCH(F848,Diccionario!$C:$C,0)),"")</f>
        <v/>
      </c>
    </row>
    <row r="837" ht="14.25" customHeight="1" s="52">
      <c r="A837" t="inlineStr">
        <is>
          <t>2024-04</t>
        </is>
      </c>
      <c r="B837" t="inlineStr">
        <is>
          <t>Colombia</t>
        </is>
      </c>
      <c r="C837" t="inlineStr">
        <is>
          <t>Coco Colombia</t>
        </is>
      </c>
      <c r="D837" t="inlineStr">
        <is>
          <t>COP</t>
        </is>
      </c>
      <c r="E837" t="inlineStr">
        <is>
          <t>Real</t>
        </is>
      </c>
      <c r="F837" t="inlineStr">
        <is>
          <t>gasto_comercial</t>
        </is>
      </c>
      <c r="H837" t="inlineStr">
        <is>
          <t>Viajes</t>
        </is>
      </c>
      <c r="I837" t="n">
        <v>15000000</v>
      </c>
      <c r="J837" t="inlineStr">
        <is>
          <t>COP</t>
        </is>
      </c>
      <c r="L837">
        <f>IFERROR(INDEX(Diccionario!$B:$B,MATCH(F849,Diccionario!$C:$C,0)),"")</f>
        <v/>
      </c>
      <c r="M837">
        <f>IFERROR(INDEX(Diccionario!$H:$H,MATCH(F849,Diccionario!$C:$C,0)),"")</f>
        <v/>
      </c>
      <c r="N837">
        <f>IFERROR(INDEX(Diccionario!$N:$N,MATCH(F849,Diccionario!$C:$C,0)),"")</f>
        <v/>
      </c>
    </row>
    <row r="838" ht="14.25" customHeight="1" s="52">
      <c r="A838" t="inlineStr">
        <is>
          <t>2024-04</t>
        </is>
      </c>
      <c r="B838" t="inlineStr">
        <is>
          <t>Colombia</t>
        </is>
      </c>
      <c r="C838" t="inlineStr">
        <is>
          <t>Coco Colombia</t>
        </is>
      </c>
      <c r="D838" t="inlineStr">
        <is>
          <t>COP</t>
        </is>
      </c>
      <c r="E838" t="inlineStr">
        <is>
          <t>Real</t>
        </is>
      </c>
      <c r="F838" t="inlineStr">
        <is>
          <t>gasto_comercial</t>
        </is>
      </c>
      <c r="H838" t="inlineStr">
        <is>
          <t>Diversos</t>
        </is>
      </c>
      <c r="I838" t="n">
        <v>4000000</v>
      </c>
      <c r="J838" t="inlineStr">
        <is>
          <t>COP</t>
        </is>
      </c>
      <c r="L838">
        <f>IFERROR(INDEX(Diccionario!$B:$B,MATCH(F850,Diccionario!$C:$C,0)),"")</f>
        <v/>
      </c>
      <c r="M838">
        <f>IFERROR(INDEX(Diccionario!$H:$H,MATCH(F850,Diccionario!$C:$C,0)),"")</f>
        <v/>
      </c>
      <c r="N838">
        <f>IFERROR(INDEX(Diccionario!$N:$N,MATCH(F850,Diccionario!$C:$C,0)),"")</f>
        <v/>
      </c>
    </row>
    <row r="839" ht="14.25" customHeight="1" s="52">
      <c r="A839" t="inlineStr">
        <is>
          <t>2024-05</t>
        </is>
      </c>
      <c r="B839" t="inlineStr">
        <is>
          <t>Colombia</t>
        </is>
      </c>
      <c r="C839" t="inlineStr">
        <is>
          <t>Coco Colombia</t>
        </is>
      </c>
      <c r="D839" t="inlineStr">
        <is>
          <t>COP</t>
        </is>
      </c>
      <c r="E839" t="inlineStr">
        <is>
          <t>Real</t>
        </is>
      </c>
      <c r="F839" t="inlineStr">
        <is>
          <t>gasto_comercial</t>
        </is>
      </c>
      <c r="H839" t="inlineStr">
        <is>
          <t>Personal</t>
        </is>
      </c>
      <c r="I839" t="n">
        <v>65000000</v>
      </c>
      <c r="J839" t="inlineStr">
        <is>
          <t>COP</t>
        </is>
      </c>
      <c r="L839">
        <f>IFERROR(INDEX(Diccionario!$B:$B,MATCH(F851,Diccionario!$C:$C,0)),"")</f>
        <v/>
      </c>
      <c r="M839">
        <f>IFERROR(INDEX(Diccionario!$H:$H,MATCH(F851,Diccionario!$C:$C,0)),"")</f>
        <v/>
      </c>
      <c r="N839">
        <f>IFERROR(INDEX(Diccionario!$N:$N,MATCH(F851,Diccionario!$C:$C,0)),"")</f>
        <v/>
      </c>
    </row>
    <row r="840" ht="14.25" customHeight="1" s="52">
      <c r="A840" t="inlineStr">
        <is>
          <t>2024-05</t>
        </is>
      </c>
      <c r="B840" t="inlineStr">
        <is>
          <t>Colombia</t>
        </is>
      </c>
      <c r="C840" t="inlineStr">
        <is>
          <t>Coco Colombia</t>
        </is>
      </c>
      <c r="D840" t="inlineStr">
        <is>
          <t>COP</t>
        </is>
      </c>
      <c r="E840" t="inlineStr">
        <is>
          <t>Real</t>
        </is>
      </c>
      <c r="F840" t="inlineStr">
        <is>
          <t>gasto_comercial</t>
        </is>
      </c>
      <c r="H840" t="inlineStr">
        <is>
          <t>Honorario</t>
        </is>
      </c>
      <c r="I840" t="n">
        <v>14000000</v>
      </c>
      <c r="J840" t="inlineStr">
        <is>
          <t>COP</t>
        </is>
      </c>
      <c r="L840">
        <f>IFERROR(INDEX(Diccionario!$B:$B,MATCH(F852,Diccionario!$C:$C,0)),"")</f>
        <v/>
      </c>
      <c r="M840">
        <f>IFERROR(INDEX(Diccionario!$H:$H,MATCH(F852,Diccionario!$C:$C,0)),"")</f>
        <v/>
      </c>
      <c r="N840">
        <f>IFERROR(INDEX(Diccionario!$N:$N,MATCH(F852,Diccionario!$C:$C,0)),"")</f>
        <v/>
      </c>
    </row>
    <row r="841" ht="14.25" customHeight="1" s="52">
      <c r="A841" t="inlineStr">
        <is>
          <t>2024-05</t>
        </is>
      </c>
      <c r="B841" t="inlineStr">
        <is>
          <t>Colombia</t>
        </is>
      </c>
      <c r="C841" t="inlineStr">
        <is>
          <t>Coco Colombia</t>
        </is>
      </c>
      <c r="D841" t="inlineStr">
        <is>
          <t>COP</t>
        </is>
      </c>
      <c r="E841" t="inlineStr">
        <is>
          <t>Real</t>
        </is>
      </c>
      <c r="F841" t="inlineStr">
        <is>
          <t>gasto_comercial</t>
        </is>
      </c>
      <c r="H841" t="inlineStr">
        <is>
          <t>Seguros</t>
        </is>
      </c>
      <c r="I841" t="n">
        <v>1000000</v>
      </c>
      <c r="J841" t="inlineStr">
        <is>
          <t>COP</t>
        </is>
      </c>
      <c r="L841">
        <f>IFERROR(INDEX(Diccionario!$B:$B,MATCH(F853,Diccionario!$C:$C,0)),"")</f>
        <v/>
      </c>
      <c r="M841">
        <f>IFERROR(INDEX(Diccionario!$H:$H,MATCH(F853,Diccionario!$C:$C,0)),"")</f>
        <v/>
      </c>
      <c r="N841">
        <f>IFERROR(INDEX(Diccionario!$N:$N,MATCH(F853,Diccionario!$C:$C,0)),"")</f>
        <v/>
      </c>
    </row>
    <row r="842" ht="14.25" customHeight="1" s="52">
      <c r="A842" t="inlineStr">
        <is>
          <t>2024-05</t>
        </is>
      </c>
      <c r="B842" t="inlineStr">
        <is>
          <t>Colombia</t>
        </is>
      </c>
      <c r="C842" t="inlineStr">
        <is>
          <t>Coco Colombia</t>
        </is>
      </c>
      <c r="D842" t="inlineStr">
        <is>
          <t>COP</t>
        </is>
      </c>
      <c r="E842" t="inlineStr">
        <is>
          <t>Real</t>
        </is>
      </c>
      <c r="F842" t="inlineStr">
        <is>
          <t>gasto_comercial</t>
        </is>
      </c>
      <c r="H842" t="inlineStr">
        <is>
          <t>Servicios</t>
        </is>
      </c>
      <c r="I842" t="n">
        <v>17000000</v>
      </c>
      <c r="J842" t="inlineStr">
        <is>
          <t>COP</t>
        </is>
      </c>
      <c r="L842">
        <f>IFERROR(INDEX(Diccionario!$B:$B,MATCH(F854,Diccionario!$C:$C,0)),"")</f>
        <v/>
      </c>
      <c r="M842">
        <f>IFERROR(INDEX(Diccionario!$H:$H,MATCH(F854,Diccionario!$C:$C,0)),"")</f>
        <v/>
      </c>
      <c r="N842">
        <f>IFERROR(INDEX(Diccionario!$N:$N,MATCH(F854,Diccionario!$C:$C,0)),"")</f>
        <v/>
      </c>
    </row>
    <row r="843" ht="14.25" customHeight="1" s="52">
      <c r="A843" t="inlineStr">
        <is>
          <t>2024-05</t>
        </is>
      </c>
      <c r="B843" t="inlineStr">
        <is>
          <t>Colombia</t>
        </is>
      </c>
      <c r="C843" t="inlineStr">
        <is>
          <t>Coco Colombia</t>
        </is>
      </c>
      <c r="D843" t="inlineStr">
        <is>
          <t>COP</t>
        </is>
      </c>
      <c r="E843" t="inlineStr">
        <is>
          <t>Real</t>
        </is>
      </c>
      <c r="F843" t="inlineStr">
        <is>
          <t>gasto_comercial</t>
        </is>
      </c>
      <c r="H843" t="inlineStr">
        <is>
          <t>Viajes</t>
        </is>
      </c>
      <c r="I843" t="n">
        <v>18000000</v>
      </c>
      <c r="J843" t="inlineStr">
        <is>
          <t>COP</t>
        </is>
      </c>
      <c r="L843">
        <f>IFERROR(INDEX(Diccionario!$B:$B,MATCH(F855,Diccionario!$C:$C,0)),"")</f>
        <v/>
      </c>
      <c r="M843">
        <f>IFERROR(INDEX(Diccionario!$H:$H,MATCH(F855,Diccionario!$C:$C,0)),"")</f>
        <v/>
      </c>
      <c r="N843">
        <f>IFERROR(INDEX(Diccionario!$N:$N,MATCH(F855,Diccionario!$C:$C,0)),"")</f>
        <v/>
      </c>
    </row>
    <row r="844" ht="14.25" customHeight="1" s="52">
      <c r="A844" t="inlineStr">
        <is>
          <t>2024-05</t>
        </is>
      </c>
      <c r="B844" t="inlineStr">
        <is>
          <t>Colombia</t>
        </is>
      </c>
      <c r="C844" t="inlineStr">
        <is>
          <t>Coco Colombia</t>
        </is>
      </c>
      <c r="D844" t="inlineStr">
        <is>
          <t>COP</t>
        </is>
      </c>
      <c r="E844" t="inlineStr">
        <is>
          <t>Real</t>
        </is>
      </c>
      <c r="F844" t="inlineStr">
        <is>
          <t>gasto_comercial</t>
        </is>
      </c>
      <c r="H844" t="inlineStr">
        <is>
          <t>Diversos</t>
        </is>
      </c>
      <c r="I844" t="n">
        <v>3000000</v>
      </c>
      <c r="J844" t="inlineStr">
        <is>
          <t>COP</t>
        </is>
      </c>
      <c r="L844">
        <f>IFERROR(INDEX(Diccionario!$B:$B,MATCH(F856,Diccionario!$C:$C,0)),"")</f>
        <v/>
      </c>
      <c r="M844">
        <f>IFERROR(INDEX(Diccionario!$H:$H,MATCH(F856,Diccionario!$C:$C,0)),"")</f>
        <v/>
      </c>
      <c r="N844">
        <f>IFERROR(INDEX(Diccionario!$N:$N,MATCH(F856,Diccionario!$C:$C,0)),"")</f>
        <v/>
      </c>
    </row>
    <row r="845" ht="14.25" customHeight="1" s="52">
      <c r="A845" t="inlineStr">
        <is>
          <t>2024-06</t>
        </is>
      </c>
      <c r="B845" t="inlineStr">
        <is>
          <t>Colombia</t>
        </is>
      </c>
      <c r="C845" t="inlineStr">
        <is>
          <t>Coco Colombia</t>
        </is>
      </c>
      <c r="D845" t="inlineStr">
        <is>
          <t>COP</t>
        </is>
      </c>
      <c r="E845" t="inlineStr">
        <is>
          <t>Real</t>
        </is>
      </c>
      <c r="F845" t="inlineStr">
        <is>
          <t>gasto_comercial</t>
        </is>
      </c>
      <c r="H845" t="inlineStr">
        <is>
          <t>Personal</t>
        </is>
      </c>
      <c r="I845" t="n">
        <v>82000000</v>
      </c>
      <c r="J845" t="inlineStr">
        <is>
          <t>COP</t>
        </is>
      </c>
      <c r="L845">
        <f>IFERROR(INDEX(Diccionario!$B:$B,MATCH(F857,Diccionario!$C:$C,0)),"")</f>
        <v/>
      </c>
      <c r="M845">
        <f>IFERROR(INDEX(Diccionario!$H:$H,MATCH(F857,Diccionario!$C:$C,0)),"")</f>
        <v/>
      </c>
      <c r="N845">
        <f>IFERROR(INDEX(Diccionario!$N:$N,MATCH(F857,Diccionario!$C:$C,0)),"")</f>
        <v/>
      </c>
    </row>
    <row r="846" ht="14.25" customHeight="1" s="52">
      <c r="A846" t="inlineStr">
        <is>
          <t>2024-06</t>
        </is>
      </c>
      <c r="B846" t="inlineStr">
        <is>
          <t>Colombia</t>
        </is>
      </c>
      <c r="C846" t="inlineStr">
        <is>
          <t>Coco Colombia</t>
        </is>
      </c>
      <c r="D846" t="inlineStr">
        <is>
          <t>COP</t>
        </is>
      </c>
      <c r="E846" t="inlineStr">
        <is>
          <t>Real</t>
        </is>
      </c>
      <c r="F846" t="inlineStr">
        <is>
          <t>gasto_comercial</t>
        </is>
      </c>
      <c r="H846" t="inlineStr">
        <is>
          <t>Honorario</t>
        </is>
      </c>
      <c r="I846" t="n">
        <v>10000000</v>
      </c>
      <c r="J846" t="inlineStr">
        <is>
          <t>COP</t>
        </is>
      </c>
      <c r="L846">
        <f>IFERROR(INDEX(Diccionario!$B:$B,MATCH(F858,Diccionario!$C:$C,0)),"")</f>
        <v/>
      </c>
      <c r="M846">
        <f>IFERROR(INDEX(Diccionario!$H:$H,MATCH(F858,Diccionario!$C:$C,0)),"")</f>
        <v/>
      </c>
      <c r="N846">
        <f>IFERROR(INDEX(Diccionario!$N:$N,MATCH(F858,Diccionario!$C:$C,0)),"")</f>
        <v/>
      </c>
    </row>
    <row r="847" ht="14.25" customHeight="1" s="52">
      <c r="A847" t="inlineStr">
        <is>
          <t>2024-06</t>
        </is>
      </c>
      <c r="B847" t="inlineStr">
        <is>
          <t>Colombia</t>
        </is>
      </c>
      <c r="C847" t="inlineStr">
        <is>
          <t>Coco Colombia</t>
        </is>
      </c>
      <c r="D847" t="inlineStr">
        <is>
          <t>COP</t>
        </is>
      </c>
      <c r="E847" t="inlineStr">
        <is>
          <t>Real</t>
        </is>
      </c>
      <c r="F847" t="inlineStr">
        <is>
          <t>gasto_comercial</t>
        </is>
      </c>
      <c r="H847" t="inlineStr">
        <is>
          <t>Seguros</t>
        </is>
      </c>
      <c r="I847" t="n">
        <v>1000000</v>
      </c>
      <c r="J847" t="inlineStr">
        <is>
          <t>COP</t>
        </is>
      </c>
      <c r="L847">
        <f>IFERROR(INDEX(Diccionario!$B:$B,MATCH(F859,Diccionario!$C:$C,0)),"")</f>
        <v/>
      </c>
      <c r="M847">
        <f>IFERROR(INDEX(Diccionario!$H:$H,MATCH(F859,Diccionario!$C:$C,0)),"")</f>
        <v/>
      </c>
      <c r="N847">
        <f>IFERROR(INDEX(Diccionario!$N:$N,MATCH(F859,Diccionario!$C:$C,0)),"")</f>
        <v/>
      </c>
    </row>
    <row r="848" ht="14.25" customHeight="1" s="52">
      <c r="A848" t="inlineStr">
        <is>
          <t>2024-06</t>
        </is>
      </c>
      <c r="B848" t="inlineStr">
        <is>
          <t>Colombia</t>
        </is>
      </c>
      <c r="C848" t="inlineStr">
        <is>
          <t>Coco Colombia</t>
        </is>
      </c>
      <c r="D848" t="inlineStr">
        <is>
          <t>COP</t>
        </is>
      </c>
      <c r="E848" t="inlineStr">
        <is>
          <t>Real</t>
        </is>
      </c>
      <c r="F848" t="inlineStr">
        <is>
          <t>gasto_comercial</t>
        </is>
      </c>
      <c r="H848" t="inlineStr">
        <is>
          <t>Servicios</t>
        </is>
      </c>
      <c r="I848" t="n">
        <v>45000000</v>
      </c>
      <c r="J848" t="inlineStr">
        <is>
          <t>COP</t>
        </is>
      </c>
      <c r="L848">
        <f>IFERROR(INDEX(Diccionario!$B:$B,MATCH(F860,Diccionario!$C:$C,0)),"")</f>
        <v/>
      </c>
      <c r="M848">
        <f>IFERROR(INDEX(Diccionario!$H:$H,MATCH(F860,Diccionario!$C:$C,0)),"")</f>
        <v/>
      </c>
      <c r="N848">
        <f>IFERROR(INDEX(Diccionario!$N:$N,MATCH(F860,Diccionario!$C:$C,0)),"")</f>
        <v/>
      </c>
    </row>
    <row r="849" ht="14.25" customHeight="1" s="52">
      <c r="A849" t="inlineStr">
        <is>
          <t>2024-06</t>
        </is>
      </c>
      <c r="B849" t="inlineStr">
        <is>
          <t>Colombia</t>
        </is>
      </c>
      <c r="C849" t="inlineStr">
        <is>
          <t>Coco Colombia</t>
        </is>
      </c>
      <c r="D849" t="inlineStr">
        <is>
          <t>COP</t>
        </is>
      </c>
      <c r="E849" t="inlineStr">
        <is>
          <t>Real</t>
        </is>
      </c>
      <c r="F849" t="inlineStr">
        <is>
          <t>gasto_comercial</t>
        </is>
      </c>
      <c r="H849" t="inlineStr">
        <is>
          <t>Viajes</t>
        </is>
      </c>
      <c r="I849" t="n">
        <v>12000000</v>
      </c>
      <c r="J849" t="inlineStr">
        <is>
          <t>COP</t>
        </is>
      </c>
      <c r="L849">
        <f>IFERROR(INDEX(Diccionario!$B:$B,MATCH(F861,Diccionario!$C:$C,0)),"")</f>
        <v/>
      </c>
      <c r="M849">
        <f>IFERROR(INDEX(Diccionario!$H:$H,MATCH(F861,Diccionario!$C:$C,0)),"")</f>
        <v/>
      </c>
      <c r="N849">
        <f>IFERROR(INDEX(Diccionario!$N:$N,MATCH(F861,Diccionario!$C:$C,0)),"")</f>
        <v/>
      </c>
    </row>
    <row r="850" ht="14.25" customHeight="1" s="52">
      <c r="A850" t="inlineStr">
        <is>
          <t>2024-06</t>
        </is>
      </c>
      <c r="B850" t="inlineStr">
        <is>
          <t>Colombia</t>
        </is>
      </c>
      <c r="C850" t="inlineStr">
        <is>
          <t>Coco Colombia</t>
        </is>
      </c>
      <c r="D850" t="inlineStr">
        <is>
          <t>COP</t>
        </is>
      </c>
      <c r="E850" t="inlineStr">
        <is>
          <t>Real</t>
        </is>
      </c>
      <c r="F850" t="inlineStr">
        <is>
          <t>gasto_comercial</t>
        </is>
      </c>
      <c r="H850" t="inlineStr">
        <is>
          <t>Diversos</t>
        </is>
      </c>
      <c r="I850" t="n">
        <v>6000000</v>
      </c>
      <c r="J850" t="inlineStr">
        <is>
          <t>COP</t>
        </is>
      </c>
      <c r="L850">
        <f>IFERROR(INDEX(Diccionario!$B:$B,MATCH(F862,Diccionario!$C:$C,0)),"")</f>
        <v/>
      </c>
      <c r="M850">
        <f>IFERROR(INDEX(Diccionario!$H:$H,MATCH(F862,Diccionario!$C:$C,0)),"")</f>
        <v/>
      </c>
      <c r="N850">
        <f>IFERROR(INDEX(Diccionario!$N:$N,MATCH(F862,Diccionario!$C:$C,0)),"")</f>
        <v/>
      </c>
    </row>
    <row r="851" ht="14.25" customHeight="1" s="52">
      <c r="A851" t="inlineStr">
        <is>
          <t>2024-07</t>
        </is>
      </c>
      <c r="B851" t="inlineStr">
        <is>
          <t>Colombia</t>
        </is>
      </c>
      <c r="C851" t="inlineStr">
        <is>
          <t>Coco Colombia</t>
        </is>
      </c>
      <c r="D851" t="inlineStr">
        <is>
          <t>COP</t>
        </is>
      </c>
      <c r="E851" t="inlineStr">
        <is>
          <t>Real</t>
        </is>
      </c>
      <c r="F851" t="inlineStr">
        <is>
          <t>gasto_comercial</t>
        </is>
      </c>
      <c r="H851" t="inlineStr">
        <is>
          <t>Personal</t>
        </is>
      </c>
      <c r="I851" t="n">
        <v>93000000</v>
      </c>
      <c r="J851" t="inlineStr">
        <is>
          <t>COP</t>
        </is>
      </c>
      <c r="L851">
        <f>IFERROR(INDEX(Diccionario!$B:$B,MATCH(F863,Diccionario!$C:$C,0)),"")</f>
        <v/>
      </c>
      <c r="M851">
        <f>IFERROR(INDEX(Diccionario!$H:$H,MATCH(F863,Diccionario!$C:$C,0)),"")</f>
        <v/>
      </c>
      <c r="N851">
        <f>IFERROR(INDEX(Diccionario!$N:$N,MATCH(F863,Diccionario!$C:$C,0)),"")</f>
        <v/>
      </c>
    </row>
    <row r="852" ht="14.25" customHeight="1" s="52">
      <c r="A852" t="inlineStr">
        <is>
          <t>2024-07</t>
        </is>
      </c>
      <c r="B852" t="inlineStr">
        <is>
          <t>Colombia</t>
        </is>
      </c>
      <c r="C852" t="inlineStr">
        <is>
          <t>Coco Colombia</t>
        </is>
      </c>
      <c r="D852" t="inlineStr">
        <is>
          <t>COP</t>
        </is>
      </c>
      <c r="E852" t="inlineStr">
        <is>
          <t>Real</t>
        </is>
      </c>
      <c r="F852" t="inlineStr">
        <is>
          <t>gasto_comercial</t>
        </is>
      </c>
      <c r="H852" t="inlineStr">
        <is>
          <t>Honorario</t>
        </is>
      </c>
      <c r="I852" t="n">
        <v>7000000</v>
      </c>
      <c r="J852" t="inlineStr">
        <is>
          <t>COP</t>
        </is>
      </c>
      <c r="L852">
        <f>IFERROR(INDEX(Diccionario!$B:$B,MATCH(F864,Diccionario!$C:$C,0)),"")</f>
        <v/>
      </c>
      <c r="M852">
        <f>IFERROR(INDEX(Diccionario!$H:$H,MATCH(F864,Diccionario!$C:$C,0)),"")</f>
        <v/>
      </c>
      <c r="N852">
        <f>IFERROR(INDEX(Diccionario!$N:$N,MATCH(F864,Diccionario!$C:$C,0)),"")</f>
        <v/>
      </c>
    </row>
    <row r="853" ht="14.25" customHeight="1" s="52">
      <c r="A853" t="inlineStr">
        <is>
          <t>2024-07</t>
        </is>
      </c>
      <c r="B853" t="inlineStr">
        <is>
          <t>Colombia</t>
        </is>
      </c>
      <c r="C853" t="inlineStr">
        <is>
          <t>Coco Colombia</t>
        </is>
      </c>
      <c r="D853" t="inlineStr">
        <is>
          <t>COP</t>
        </is>
      </c>
      <c r="E853" t="inlineStr">
        <is>
          <t>Real</t>
        </is>
      </c>
      <c r="F853" t="inlineStr">
        <is>
          <t>gasto_comercial</t>
        </is>
      </c>
      <c r="H853" t="inlineStr">
        <is>
          <t>Seguros</t>
        </is>
      </c>
      <c r="I853" t="n">
        <v>0</v>
      </c>
      <c r="J853" t="inlineStr">
        <is>
          <t>COP</t>
        </is>
      </c>
      <c r="L853">
        <f>IFERROR(INDEX(Diccionario!$B:$B,MATCH(F865,Diccionario!$C:$C,0)),"")</f>
        <v/>
      </c>
      <c r="M853">
        <f>IFERROR(INDEX(Diccionario!$H:$H,MATCH(F865,Diccionario!$C:$C,0)),"")</f>
        <v/>
      </c>
      <c r="N853">
        <f>IFERROR(INDEX(Diccionario!$N:$N,MATCH(F865,Diccionario!$C:$C,0)),"")</f>
        <v/>
      </c>
    </row>
    <row r="854" ht="14.25" customHeight="1" s="52">
      <c r="A854" t="inlineStr">
        <is>
          <t>2024-07</t>
        </is>
      </c>
      <c r="B854" t="inlineStr">
        <is>
          <t>Colombia</t>
        </is>
      </c>
      <c r="C854" t="inlineStr">
        <is>
          <t>Coco Colombia</t>
        </is>
      </c>
      <c r="D854" t="inlineStr">
        <is>
          <t>COP</t>
        </is>
      </c>
      <c r="E854" t="inlineStr">
        <is>
          <t>Real</t>
        </is>
      </c>
      <c r="F854" t="inlineStr">
        <is>
          <t>gasto_comercial</t>
        </is>
      </c>
      <c r="H854" t="inlineStr">
        <is>
          <t>Servicios</t>
        </is>
      </c>
      <c r="I854" t="n">
        <v>34000000</v>
      </c>
      <c r="J854" t="inlineStr">
        <is>
          <t>COP</t>
        </is>
      </c>
      <c r="L854">
        <f>IFERROR(INDEX(Diccionario!$B:$B,MATCH(F866,Diccionario!$C:$C,0)),"")</f>
        <v/>
      </c>
      <c r="M854">
        <f>IFERROR(INDEX(Diccionario!$H:$H,MATCH(F866,Diccionario!$C:$C,0)),"")</f>
        <v/>
      </c>
      <c r="N854">
        <f>IFERROR(INDEX(Diccionario!$N:$N,MATCH(F866,Diccionario!$C:$C,0)),"")</f>
        <v/>
      </c>
    </row>
    <row r="855" ht="14.25" customHeight="1" s="52">
      <c r="A855" t="inlineStr">
        <is>
          <t>2024-07</t>
        </is>
      </c>
      <c r="B855" t="inlineStr">
        <is>
          <t>Colombia</t>
        </is>
      </c>
      <c r="C855" t="inlineStr">
        <is>
          <t>Coco Colombia</t>
        </is>
      </c>
      <c r="D855" t="inlineStr">
        <is>
          <t>COP</t>
        </is>
      </c>
      <c r="E855" t="inlineStr">
        <is>
          <t>Real</t>
        </is>
      </c>
      <c r="F855" t="inlineStr">
        <is>
          <t>gasto_comercial</t>
        </is>
      </c>
      <c r="H855" t="inlineStr">
        <is>
          <t>Viajes</t>
        </is>
      </c>
      <c r="I855" t="n">
        <v>24000000</v>
      </c>
      <c r="J855" t="inlineStr">
        <is>
          <t>COP</t>
        </is>
      </c>
      <c r="L855">
        <f>IFERROR(INDEX(Diccionario!$B:$B,MATCH(F867,Diccionario!$C:$C,0)),"")</f>
        <v/>
      </c>
      <c r="M855">
        <f>IFERROR(INDEX(Diccionario!$H:$H,MATCH(F867,Diccionario!$C:$C,0)),"")</f>
        <v/>
      </c>
      <c r="N855">
        <f>IFERROR(INDEX(Diccionario!$N:$N,MATCH(F867,Diccionario!$C:$C,0)),"")</f>
        <v/>
      </c>
    </row>
    <row r="856" ht="14.25" customHeight="1" s="52">
      <c r="A856" t="inlineStr">
        <is>
          <t>2024-07</t>
        </is>
      </c>
      <c r="B856" t="inlineStr">
        <is>
          <t>Colombia</t>
        </is>
      </c>
      <c r="C856" t="inlineStr">
        <is>
          <t>Coco Colombia</t>
        </is>
      </c>
      <c r="D856" t="inlineStr">
        <is>
          <t>COP</t>
        </is>
      </c>
      <c r="E856" t="inlineStr">
        <is>
          <t>Real</t>
        </is>
      </c>
      <c r="F856" t="inlineStr">
        <is>
          <t>gasto_comercial</t>
        </is>
      </c>
      <c r="H856" t="inlineStr">
        <is>
          <t>Diversos</t>
        </is>
      </c>
      <c r="I856" t="n">
        <v>3000000</v>
      </c>
      <c r="J856" t="inlineStr">
        <is>
          <t>COP</t>
        </is>
      </c>
      <c r="L856">
        <f>IFERROR(INDEX(Diccionario!$B:$B,MATCH(F868,Diccionario!$C:$C,0)),"")</f>
        <v/>
      </c>
      <c r="M856">
        <f>IFERROR(INDEX(Diccionario!$H:$H,MATCH(F868,Diccionario!$C:$C,0)),"")</f>
        <v/>
      </c>
      <c r="N856">
        <f>IFERROR(INDEX(Diccionario!$N:$N,MATCH(F868,Diccionario!$C:$C,0)),"")</f>
        <v/>
      </c>
    </row>
    <row r="857" ht="14.25" customHeight="1" s="52">
      <c r="A857" t="inlineStr">
        <is>
          <t>2024-08</t>
        </is>
      </c>
      <c r="B857" t="inlineStr">
        <is>
          <t>Colombia</t>
        </is>
      </c>
      <c r="C857" t="inlineStr">
        <is>
          <t>Coco Colombia</t>
        </is>
      </c>
      <c r="D857" t="inlineStr">
        <is>
          <t>COP</t>
        </is>
      </c>
      <c r="E857" t="inlineStr">
        <is>
          <t>Real</t>
        </is>
      </c>
      <c r="F857" t="inlineStr">
        <is>
          <t>gasto_comercial</t>
        </is>
      </c>
      <c r="H857" t="inlineStr">
        <is>
          <t>Personal</t>
        </is>
      </c>
      <c r="I857" t="n">
        <v>76000000</v>
      </c>
      <c r="J857" t="inlineStr">
        <is>
          <t>COP</t>
        </is>
      </c>
      <c r="L857">
        <f>IFERROR(INDEX(Diccionario!$B:$B,MATCH(F869,Diccionario!$C:$C,0)),"")</f>
        <v/>
      </c>
      <c r="M857">
        <f>IFERROR(INDEX(Diccionario!$H:$H,MATCH(F869,Diccionario!$C:$C,0)),"")</f>
        <v/>
      </c>
      <c r="N857">
        <f>IFERROR(INDEX(Diccionario!$N:$N,MATCH(F869,Diccionario!$C:$C,0)),"")</f>
        <v/>
      </c>
    </row>
    <row r="858" ht="14.25" customHeight="1" s="52">
      <c r="A858" t="inlineStr">
        <is>
          <t>2024-08</t>
        </is>
      </c>
      <c r="B858" t="inlineStr">
        <is>
          <t>Colombia</t>
        </is>
      </c>
      <c r="C858" t="inlineStr">
        <is>
          <t>Coco Colombia</t>
        </is>
      </c>
      <c r="D858" t="inlineStr">
        <is>
          <t>COP</t>
        </is>
      </c>
      <c r="E858" t="inlineStr">
        <is>
          <t>Real</t>
        </is>
      </c>
      <c r="F858" t="inlineStr">
        <is>
          <t>gasto_comercial</t>
        </is>
      </c>
      <c r="H858" t="inlineStr">
        <is>
          <t>Honorario</t>
        </is>
      </c>
      <c r="I858" t="n">
        <v>4000000</v>
      </c>
      <c r="J858" t="inlineStr">
        <is>
          <t>COP</t>
        </is>
      </c>
      <c r="L858">
        <f>IFERROR(INDEX(Diccionario!$B:$B,MATCH(F870,Diccionario!$C:$C,0)),"")</f>
        <v/>
      </c>
      <c r="M858">
        <f>IFERROR(INDEX(Diccionario!$H:$H,MATCH(F870,Diccionario!$C:$C,0)),"")</f>
        <v/>
      </c>
      <c r="N858">
        <f>IFERROR(INDEX(Diccionario!$N:$N,MATCH(F870,Diccionario!$C:$C,0)),"")</f>
        <v/>
      </c>
    </row>
    <row r="859" ht="14.25" customHeight="1" s="52">
      <c r="A859" t="inlineStr">
        <is>
          <t>2024-08</t>
        </is>
      </c>
      <c r="B859" t="inlineStr">
        <is>
          <t>Colombia</t>
        </is>
      </c>
      <c r="C859" t="inlineStr">
        <is>
          <t>Coco Colombia</t>
        </is>
      </c>
      <c r="D859" t="inlineStr">
        <is>
          <t>COP</t>
        </is>
      </c>
      <c r="E859" t="inlineStr">
        <is>
          <t>Real</t>
        </is>
      </c>
      <c r="F859" t="inlineStr">
        <is>
          <t>gasto_comercial</t>
        </is>
      </c>
      <c r="H859" t="inlineStr">
        <is>
          <t>Seguros</t>
        </is>
      </c>
      <c r="I859" t="n">
        <v>1000000</v>
      </c>
      <c r="J859" t="inlineStr">
        <is>
          <t>COP</t>
        </is>
      </c>
      <c r="L859">
        <f>IFERROR(INDEX(Diccionario!$B:$B,MATCH(F871,Diccionario!$C:$C,0)),"")</f>
        <v/>
      </c>
      <c r="M859">
        <f>IFERROR(INDEX(Diccionario!$H:$H,MATCH(F871,Diccionario!$C:$C,0)),"")</f>
        <v/>
      </c>
      <c r="N859">
        <f>IFERROR(INDEX(Diccionario!$N:$N,MATCH(F871,Diccionario!$C:$C,0)),"")</f>
        <v/>
      </c>
    </row>
    <row r="860" ht="14.25" customHeight="1" s="52">
      <c r="A860" t="inlineStr">
        <is>
          <t>2024-08</t>
        </is>
      </c>
      <c r="B860" t="inlineStr">
        <is>
          <t>Colombia</t>
        </is>
      </c>
      <c r="C860" t="inlineStr">
        <is>
          <t>Coco Colombia</t>
        </is>
      </c>
      <c r="D860" t="inlineStr">
        <is>
          <t>COP</t>
        </is>
      </c>
      <c r="E860" t="inlineStr">
        <is>
          <t>Real</t>
        </is>
      </c>
      <c r="F860" t="inlineStr">
        <is>
          <t>gasto_comercial</t>
        </is>
      </c>
      <c r="H860" t="inlineStr">
        <is>
          <t>Servicios</t>
        </is>
      </c>
      <c r="I860" t="n">
        <v>16000000</v>
      </c>
      <c r="J860" t="inlineStr">
        <is>
          <t>COP</t>
        </is>
      </c>
      <c r="L860">
        <f>IFERROR(INDEX(Diccionario!$B:$B,MATCH(F872,Diccionario!$C:$C,0)),"")</f>
        <v/>
      </c>
      <c r="M860">
        <f>IFERROR(INDEX(Diccionario!$H:$H,MATCH(F872,Diccionario!$C:$C,0)),"")</f>
        <v/>
      </c>
      <c r="N860">
        <f>IFERROR(INDEX(Diccionario!$N:$N,MATCH(F872,Diccionario!$C:$C,0)),"")</f>
        <v/>
      </c>
    </row>
    <row r="861" ht="14.25" customHeight="1" s="52">
      <c r="A861" t="inlineStr">
        <is>
          <t>2024-08</t>
        </is>
      </c>
      <c r="B861" t="inlineStr">
        <is>
          <t>Colombia</t>
        </is>
      </c>
      <c r="C861" t="inlineStr">
        <is>
          <t>Coco Colombia</t>
        </is>
      </c>
      <c r="D861" t="inlineStr">
        <is>
          <t>COP</t>
        </is>
      </c>
      <c r="E861" t="inlineStr">
        <is>
          <t>Real</t>
        </is>
      </c>
      <c r="F861" t="inlineStr">
        <is>
          <t>gasto_comercial</t>
        </is>
      </c>
      <c r="H861" t="inlineStr">
        <is>
          <t>Viajes</t>
        </is>
      </c>
      <c r="I861" t="n">
        <v>15000000</v>
      </c>
      <c r="J861" t="inlineStr">
        <is>
          <t>COP</t>
        </is>
      </c>
      <c r="L861">
        <f>IFERROR(INDEX(Diccionario!$B:$B,MATCH(F873,Diccionario!$C:$C,0)),"")</f>
        <v/>
      </c>
      <c r="M861">
        <f>IFERROR(INDEX(Diccionario!$H:$H,MATCH(F873,Diccionario!$C:$C,0)),"")</f>
        <v/>
      </c>
      <c r="N861">
        <f>IFERROR(INDEX(Diccionario!$N:$N,MATCH(F873,Diccionario!$C:$C,0)),"")</f>
        <v/>
      </c>
    </row>
    <row r="862" ht="14.25" customHeight="1" s="52">
      <c r="A862" t="inlineStr">
        <is>
          <t>2024-08</t>
        </is>
      </c>
      <c r="B862" t="inlineStr">
        <is>
          <t>Colombia</t>
        </is>
      </c>
      <c r="C862" t="inlineStr">
        <is>
          <t>Coco Colombia</t>
        </is>
      </c>
      <c r="D862" t="inlineStr">
        <is>
          <t>COP</t>
        </is>
      </c>
      <c r="E862" t="inlineStr">
        <is>
          <t>Real</t>
        </is>
      </c>
      <c r="F862" t="inlineStr">
        <is>
          <t>gasto_comercial</t>
        </is>
      </c>
      <c r="H862" t="inlineStr">
        <is>
          <t>Diversos</t>
        </is>
      </c>
      <c r="I862" t="n">
        <v>9000000</v>
      </c>
      <c r="J862" t="inlineStr">
        <is>
          <t>COP</t>
        </is>
      </c>
      <c r="L862">
        <f>IFERROR(INDEX(Diccionario!$B:$B,MATCH(F874,Diccionario!$C:$C,0)),"")</f>
        <v/>
      </c>
      <c r="M862">
        <f>IFERROR(INDEX(Diccionario!$H:$H,MATCH(F874,Diccionario!$C:$C,0)),"")</f>
        <v/>
      </c>
      <c r="N862">
        <f>IFERROR(INDEX(Diccionario!$N:$N,MATCH(F874,Diccionario!$C:$C,0)),"")</f>
        <v/>
      </c>
    </row>
    <row r="863" ht="14.25" customHeight="1" s="52">
      <c r="A863" t="inlineStr">
        <is>
          <t>2024-09</t>
        </is>
      </c>
      <c r="B863" t="inlineStr">
        <is>
          <t>Colombia</t>
        </is>
      </c>
      <c r="C863" t="inlineStr">
        <is>
          <t>Coco Colombia</t>
        </is>
      </c>
      <c r="D863" t="inlineStr">
        <is>
          <t>COP</t>
        </is>
      </c>
      <c r="E863" t="inlineStr">
        <is>
          <t>Real</t>
        </is>
      </c>
      <c r="F863" t="inlineStr">
        <is>
          <t>gasto_comercial</t>
        </is>
      </c>
      <c r="H863" t="inlineStr">
        <is>
          <t>Personal</t>
        </is>
      </c>
      <c r="I863" t="n">
        <v>91000000</v>
      </c>
      <c r="J863" t="inlineStr">
        <is>
          <t>COP</t>
        </is>
      </c>
      <c r="L863">
        <f>IFERROR(INDEX(Diccionario!$B:$B,MATCH(F875,Diccionario!$C:$C,0)),"")</f>
        <v/>
      </c>
      <c r="M863">
        <f>IFERROR(INDEX(Diccionario!$H:$H,MATCH(F875,Diccionario!$C:$C,0)),"")</f>
        <v/>
      </c>
      <c r="N863">
        <f>IFERROR(INDEX(Diccionario!$N:$N,MATCH(F875,Diccionario!$C:$C,0)),"")</f>
        <v/>
      </c>
    </row>
    <row r="864" ht="14.25" customHeight="1" s="52">
      <c r="A864" t="inlineStr">
        <is>
          <t>2024-09</t>
        </is>
      </c>
      <c r="B864" t="inlineStr">
        <is>
          <t>Colombia</t>
        </is>
      </c>
      <c r="C864" t="inlineStr">
        <is>
          <t>Coco Colombia</t>
        </is>
      </c>
      <c r="D864" t="inlineStr">
        <is>
          <t>COP</t>
        </is>
      </c>
      <c r="E864" t="inlineStr">
        <is>
          <t>Real</t>
        </is>
      </c>
      <c r="F864" t="inlineStr">
        <is>
          <t>gasto_comercial</t>
        </is>
      </c>
      <c r="H864" t="inlineStr">
        <is>
          <t>Honorario</t>
        </is>
      </c>
      <c r="I864" t="n">
        <v>13000000</v>
      </c>
      <c r="J864" t="inlineStr">
        <is>
          <t>COP</t>
        </is>
      </c>
      <c r="L864">
        <f>IFERROR(INDEX(Diccionario!$B:$B,MATCH(F876,Diccionario!$C:$C,0)),"")</f>
        <v/>
      </c>
      <c r="M864">
        <f>IFERROR(INDEX(Diccionario!$H:$H,MATCH(F876,Diccionario!$C:$C,0)),"")</f>
        <v/>
      </c>
      <c r="N864">
        <f>IFERROR(INDEX(Diccionario!$N:$N,MATCH(F876,Diccionario!$C:$C,0)),"")</f>
        <v/>
      </c>
    </row>
    <row r="865" ht="14.25" customHeight="1" s="52">
      <c r="A865" t="inlineStr">
        <is>
          <t>2024-09</t>
        </is>
      </c>
      <c r="B865" t="inlineStr">
        <is>
          <t>Colombia</t>
        </is>
      </c>
      <c r="C865" t="inlineStr">
        <is>
          <t>Coco Colombia</t>
        </is>
      </c>
      <c r="D865" t="inlineStr">
        <is>
          <t>COP</t>
        </is>
      </c>
      <c r="E865" t="inlineStr">
        <is>
          <t>Real</t>
        </is>
      </c>
      <c r="F865" t="inlineStr">
        <is>
          <t>gasto_comercial</t>
        </is>
      </c>
      <c r="H865" t="inlineStr">
        <is>
          <t>Seguros</t>
        </is>
      </c>
      <c r="I865" t="n">
        <v>1000000</v>
      </c>
      <c r="J865" t="inlineStr">
        <is>
          <t>COP</t>
        </is>
      </c>
      <c r="L865">
        <f>IFERROR(INDEX(Diccionario!$B:$B,MATCH(F877,Diccionario!$C:$C,0)),"")</f>
        <v/>
      </c>
      <c r="M865">
        <f>IFERROR(INDEX(Diccionario!$H:$H,MATCH(F877,Diccionario!$C:$C,0)),"")</f>
        <v/>
      </c>
      <c r="N865">
        <f>IFERROR(INDEX(Diccionario!$N:$N,MATCH(F877,Diccionario!$C:$C,0)),"")</f>
        <v/>
      </c>
    </row>
    <row r="866" ht="14.25" customHeight="1" s="52">
      <c r="A866" t="inlineStr">
        <is>
          <t>2024-09</t>
        </is>
      </c>
      <c r="B866" t="inlineStr">
        <is>
          <t>Colombia</t>
        </is>
      </c>
      <c r="C866" t="inlineStr">
        <is>
          <t>Coco Colombia</t>
        </is>
      </c>
      <c r="D866" t="inlineStr">
        <is>
          <t>COP</t>
        </is>
      </c>
      <c r="E866" t="inlineStr">
        <is>
          <t>Real</t>
        </is>
      </c>
      <c r="F866" t="inlineStr">
        <is>
          <t>gasto_comercial</t>
        </is>
      </c>
      <c r="H866" t="inlineStr">
        <is>
          <t>Servicios</t>
        </is>
      </c>
      <c r="I866" t="n">
        <v>28000000</v>
      </c>
      <c r="J866" t="inlineStr">
        <is>
          <t>COP</t>
        </is>
      </c>
      <c r="L866">
        <f>IFERROR(INDEX(Diccionario!$B:$B,MATCH(F878,Diccionario!$C:$C,0)),"")</f>
        <v/>
      </c>
      <c r="M866">
        <f>IFERROR(INDEX(Diccionario!$H:$H,MATCH(F878,Diccionario!$C:$C,0)),"")</f>
        <v/>
      </c>
      <c r="N866">
        <f>IFERROR(INDEX(Diccionario!$N:$N,MATCH(F878,Diccionario!$C:$C,0)),"")</f>
        <v/>
      </c>
    </row>
    <row r="867" ht="14.25" customHeight="1" s="52">
      <c r="A867" t="inlineStr">
        <is>
          <t>2024-09</t>
        </is>
      </c>
      <c r="B867" t="inlineStr">
        <is>
          <t>Colombia</t>
        </is>
      </c>
      <c r="C867" t="inlineStr">
        <is>
          <t>Coco Colombia</t>
        </is>
      </c>
      <c r="D867" t="inlineStr">
        <is>
          <t>COP</t>
        </is>
      </c>
      <c r="E867" t="inlineStr">
        <is>
          <t>Real</t>
        </is>
      </c>
      <c r="F867" t="inlineStr">
        <is>
          <t>gasto_comercial</t>
        </is>
      </c>
      <c r="H867" t="inlineStr">
        <is>
          <t>Viajes</t>
        </is>
      </c>
      <c r="I867" t="n">
        <v>29000000</v>
      </c>
      <c r="J867" t="inlineStr">
        <is>
          <t>COP</t>
        </is>
      </c>
      <c r="L867">
        <f>IFERROR(INDEX(Diccionario!$B:$B,MATCH(F879,Diccionario!$C:$C,0)),"")</f>
        <v/>
      </c>
      <c r="M867">
        <f>IFERROR(INDEX(Diccionario!$H:$H,MATCH(F879,Diccionario!$C:$C,0)),"")</f>
        <v/>
      </c>
      <c r="N867">
        <f>IFERROR(INDEX(Diccionario!$N:$N,MATCH(F879,Diccionario!$C:$C,0)),"")</f>
        <v/>
      </c>
    </row>
    <row r="868" ht="14.25" customHeight="1" s="52">
      <c r="A868" t="inlineStr">
        <is>
          <t>2024-09</t>
        </is>
      </c>
      <c r="B868" t="inlineStr">
        <is>
          <t>Colombia</t>
        </is>
      </c>
      <c r="C868" t="inlineStr">
        <is>
          <t>Coco Colombia</t>
        </is>
      </c>
      <c r="D868" t="inlineStr">
        <is>
          <t>COP</t>
        </is>
      </c>
      <c r="E868" t="inlineStr">
        <is>
          <t>Real</t>
        </is>
      </c>
      <c r="F868" t="inlineStr">
        <is>
          <t>gasto_comercial</t>
        </is>
      </c>
      <c r="H868" t="inlineStr">
        <is>
          <t>Diversos</t>
        </is>
      </c>
      <c r="I868" t="n">
        <v>7000000</v>
      </c>
      <c r="J868" t="inlineStr">
        <is>
          <t>COP</t>
        </is>
      </c>
      <c r="L868">
        <f>IFERROR(INDEX(Diccionario!$B:$B,MATCH(F880,Diccionario!$C:$C,0)),"")</f>
        <v/>
      </c>
      <c r="M868">
        <f>IFERROR(INDEX(Diccionario!$H:$H,MATCH(F880,Diccionario!$C:$C,0)),"")</f>
        <v/>
      </c>
      <c r="N868">
        <f>IFERROR(INDEX(Diccionario!$N:$N,MATCH(F880,Diccionario!$C:$C,0)),"")</f>
        <v/>
      </c>
    </row>
    <row r="869" ht="14.25" customHeight="1" s="52">
      <c r="A869" t="inlineStr">
        <is>
          <t>2024-10</t>
        </is>
      </c>
      <c r="B869" t="inlineStr">
        <is>
          <t>Colombia</t>
        </is>
      </c>
      <c r="C869" t="inlineStr">
        <is>
          <t>Coco Colombia</t>
        </is>
      </c>
      <c r="D869" t="inlineStr">
        <is>
          <t>COP</t>
        </is>
      </c>
      <c r="E869" t="inlineStr">
        <is>
          <t>Real</t>
        </is>
      </c>
      <c r="F869" t="inlineStr">
        <is>
          <t>gasto_comercial</t>
        </is>
      </c>
      <c r="H869" t="inlineStr">
        <is>
          <t>Personal</t>
        </is>
      </c>
      <c r="I869" t="n">
        <v>92000000</v>
      </c>
      <c r="J869" t="inlineStr">
        <is>
          <t>COP</t>
        </is>
      </c>
      <c r="L869">
        <f>IFERROR(INDEX(Diccionario!$B:$B,MATCH(F881,Diccionario!$C:$C,0)),"")</f>
        <v/>
      </c>
      <c r="M869">
        <f>IFERROR(INDEX(Diccionario!$H:$H,MATCH(F881,Diccionario!$C:$C,0)),"")</f>
        <v/>
      </c>
      <c r="N869">
        <f>IFERROR(INDEX(Diccionario!$N:$N,MATCH(F881,Diccionario!$C:$C,0)),"")</f>
        <v/>
      </c>
    </row>
    <row r="870" ht="14.25" customHeight="1" s="52">
      <c r="A870" t="inlineStr">
        <is>
          <t>2024-10</t>
        </is>
      </c>
      <c r="B870" t="inlineStr">
        <is>
          <t>Colombia</t>
        </is>
      </c>
      <c r="C870" t="inlineStr">
        <is>
          <t>Coco Colombia</t>
        </is>
      </c>
      <c r="D870" t="inlineStr">
        <is>
          <t>COP</t>
        </is>
      </c>
      <c r="E870" t="inlineStr">
        <is>
          <t>Real</t>
        </is>
      </c>
      <c r="F870" t="inlineStr">
        <is>
          <t>gasto_comercial</t>
        </is>
      </c>
      <c r="H870" t="inlineStr">
        <is>
          <t>Honorario</t>
        </is>
      </c>
      <c r="I870" t="n">
        <v>16000000</v>
      </c>
      <c r="J870" t="inlineStr">
        <is>
          <t>COP</t>
        </is>
      </c>
      <c r="L870">
        <f>IFERROR(INDEX(Diccionario!$B:$B,MATCH(F882,Diccionario!$C:$C,0)),"")</f>
        <v/>
      </c>
      <c r="M870">
        <f>IFERROR(INDEX(Diccionario!$H:$H,MATCH(F882,Diccionario!$C:$C,0)),"")</f>
        <v/>
      </c>
      <c r="N870">
        <f>IFERROR(INDEX(Diccionario!$N:$N,MATCH(F882,Diccionario!$C:$C,0)),"")</f>
        <v/>
      </c>
    </row>
    <row r="871" ht="14.25" customHeight="1" s="52">
      <c r="A871" t="inlineStr">
        <is>
          <t>2024-10</t>
        </is>
      </c>
      <c r="B871" t="inlineStr">
        <is>
          <t>Colombia</t>
        </is>
      </c>
      <c r="C871" t="inlineStr">
        <is>
          <t>Coco Colombia</t>
        </is>
      </c>
      <c r="D871" t="inlineStr">
        <is>
          <t>COP</t>
        </is>
      </c>
      <c r="E871" t="inlineStr">
        <is>
          <t>Real</t>
        </is>
      </c>
      <c r="F871" t="inlineStr">
        <is>
          <t>gasto_comercial</t>
        </is>
      </c>
      <c r="H871" t="inlineStr">
        <is>
          <t>Seguros</t>
        </is>
      </c>
      <c r="I871" t="n">
        <v>1000000</v>
      </c>
      <c r="J871" t="inlineStr">
        <is>
          <t>COP</t>
        </is>
      </c>
      <c r="L871">
        <f>IFERROR(INDEX(Diccionario!$B:$B,MATCH(F883,Diccionario!$C:$C,0)),"")</f>
        <v/>
      </c>
      <c r="M871">
        <f>IFERROR(INDEX(Diccionario!$H:$H,MATCH(F883,Diccionario!$C:$C,0)),"")</f>
        <v/>
      </c>
      <c r="N871">
        <f>IFERROR(INDEX(Diccionario!$N:$N,MATCH(F883,Diccionario!$C:$C,0)),"")</f>
        <v/>
      </c>
    </row>
    <row r="872" ht="14.25" customHeight="1" s="52">
      <c r="A872" t="inlineStr">
        <is>
          <t>2024-10</t>
        </is>
      </c>
      <c r="B872" t="inlineStr">
        <is>
          <t>Colombia</t>
        </is>
      </c>
      <c r="C872" t="inlineStr">
        <is>
          <t>Coco Colombia</t>
        </is>
      </c>
      <c r="D872" t="inlineStr">
        <is>
          <t>COP</t>
        </is>
      </c>
      <c r="E872" t="inlineStr">
        <is>
          <t>Real</t>
        </is>
      </c>
      <c r="F872" t="inlineStr">
        <is>
          <t>gasto_comercial</t>
        </is>
      </c>
      <c r="H872" t="inlineStr">
        <is>
          <t>Servicios</t>
        </is>
      </c>
      <c r="I872" t="n">
        <v>19000000</v>
      </c>
      <c r="J872" t="inlineStr">
        <is>
          <t>COP</t>
        </is>
      </c>
      <c r="L872">
        <f>IFERROR(INDEX(Diccionario!$B:$B,MATCH(F884,Diccionario!$C:$C,0)),"")</f>
        <v/>
      </c>
      <c r="M872">
        <f>IFERROR(INDEX(Diccionario!$H:$H,MATCH(F884,Diccionario!$C:$C,0)),"")</f>
        <v/>
      </c>
      <c r="N872">
        <f>IFERROR(INDEX(Diccionario!$N:$N,MATCH(F884,Diccionario!$C:$C,0)),"")</f>
        <v/>
      </c>
    </row>
    <row r="873" ht="14.25" customHeight="1" s="52">
      <c r="A873" t="inlineStr">
        <is>
          <t>2024-10</t>
        </is>
      </c>
      <c r="B873" t="inlineStr">
        <is>
          <t>Colombia</t>
        </is>
      </c>
      <c r="C873" t="inlineStr">
        <is>
          <t>Coco Colombia</t>
        </is>
      </c>
      <c r="D873" t="inlineStr">
        <is>
          <t>COP</t>
        </is>
      </c>
      <c r="E873" t="inlineStr">
        <is>
          <t>Real</t>
        </is>
      </c>
      <c r="F873" t="inlineStr">
        <is>
          <t>gasto_comercial</t>
        </is>
      </c>
      <c r="H873" t="inlineStr">
        <is>
          <t>Viajes</t>
        </is>
      </c>
      <c r="I873" t="n">
        <v>37000000</v>
      </c>
      <c r="J873" t="inlineStr">
        <is>
          <t>COP</t>
        </is>
      </c>
      <c r="L873">
        <f>IFERROR(INDEX(Diccionario!$B:$B,MATCH(F885,Diccionario!$C:$C,0)),"")</f>
        <v/>
      </c>
      <c r="M873">
        <f>IFERROR(INDEX(Diccionario!$H:$H,MATCH(F885,Diccionario!$C:$C,0)),"")</f>
        <v/>
      </c>
      <c r="N873">
        <f>IFERROR(INDEX(Diccionario!$N:$N,MATCH(F885,Diccionario!$C:$C,0)),"")</f>
        <v/>
      </c>
    </row>
    <row r="874" ht="14.25" customHeight="1" s="52">
      <c r="A874" t="inlineStr">
        <is>
          <t>2024-10</t>
        </is>
      </c>
      <c r="B874" t="inlineStr">
        <is>
          <t>Colombia</t>
        </is>
      </c>
      <c r="C874" t="inlineStr">
        <is>
          <t>Coco Colombia</t>
        </is>
      </c>
      <c r="D874" t="inlineStr">
        <is>
          <t>COP</t>
        </is>
      </c>
      <c r="E874" t="inlineStr">
        <is>
          <t>Real</t>
        </is>
      </c>
      <c r="F874" t="inlineStr">
        <is>
          <t>gasto_comercial</t>
        </is>
      </c>
      <c r="H874" t="inlineStr">
        <is>
          <t>Diversos</t>
        </is>
      </c>
      <c r="I874" t="n">
        <v>11000000</v>
      </c>
      <c r="J874" t="inlineStr">
        <is>
          <t>COP</t>
        </is>
      </c>
      <c r="L874">
        <f>IFERROR(INDEX(Diccionario!$B:$B,MATCH(F886,Diccionario!$C:$C,0)),"")</f>
        <v/>
      </c>
      <c r="M874">
        <f>IFERROR(INDEX(Diccionario!$H:$H,MATCH(F886,Diccionario!$C:$C,0)),"")</f>
        <v/>
      </c>
      <c r="N874">
        <f>IFERROR(INDEX(Diccionario!$N:$N,MATCH(F886,Diccionario!$C:$C,0)),"")</f>
        <v/>
      </c>
    </row>
    <row r="875" ht="14.25" customHeight="1" s="52">
      <c r="A875" t="inlineStr">
        <is>
          <t>2024-11</t>
        </is>
      </c>
      <c r="B875" t="inlineStr">
        <is>
          <t>Colombia</t>
        </is>
      </c>
      <c r="C875" t="inlineStr">
        <is>
          <t>Coco Colombia</t>
        </is>
      </c>
      <c r="D875" t="inlineStr">
        <is>
          <t>COP</t>
        </is>
      </c>
      <c r="E875" t="inlineStr">
        <is>
          <t>Real</t>
        </is>
      </c>
      <c r="F875" t="inlineStr">
        <is>
          <t>gasto_comercial</t>
        </is>
      </c>
      <c r="H875" t="inlineStr">
        <is>
          <t>Personal</t>
        </is>
      </c>
      <c r="I875" t="n">
        <v>88300000</v>
      </c>
      <c r="J875" t="inlineStr">
        <is>
          <t>COP</t>
        </is>
      </c>
      <c r="L875">
        <f>IFERROR(INDEX(Diccionario!$B:$B,MATCH(F887,Diccionario!$C:$C,0)),"")</f>
        <v/>
      </c>
      <c r="M875">
        <f>IFERROR(INDEX(Diccionario!$H:$H,MATCH(F887,Diccionario!$C:$C,0)),"")</f>
        <v/>
      </c>
      <c r="N875">
        <f>IFERROR(INDEX(Diccionario!$N:$N,MATCH(F887,Diccionario!$C:$C,0)),"")</f>
        <v/>
      </c>
    </row>
    <row r="876" ht="14.25" customHeight="1" s="52">
      <c r="A876" t="inlineStr">
        <is>
          <t>2024-11</t>
        </is>
      </c>
      <c r="B876" t="inlineStr">
        <is>
          <t>Colombia</t>
        </is>
      </c>
      <c r="C876" t="inlineStr">
        <is>
          <t>Coco Colombia</t>
        </is>
      </c>
      <c r="D876" t="inlineStr">
        <is>
          <t>COP</t>
        </is>
      </c>
      <c r="E876" t="inlineStr">
        <is>
          <t>Real</t>
        </is>
      </c>
      <c r="F876" t="inlineStr">
        <is>
          <t>gasto_comercial</t>
        </is>
      </c>
      <c r="H876" t="inlineStr">
        <is>
          <t>Honorario</t>
        </is>
      </c>
      <c r="I876" t="n">
        <v>23000000</v>
      </c>
      <c r="J876" t="inlineStr">
        <is>
          <t>COP</t>
        </is>
      </c>
      <c r="L876">
        <f>IFERROR(INDEX(Diccionario!$B:$B,MATCH(F888,Diccionario!$C:$C,0)),"")</f>
        <v/>
      </c>
      <c r="M876">
        <f>IFERROR(INDEX(Diccionario!$H:$H,MATCH(F888,Diccionario!$C:$C,0)),"")</f>
        <v/>
      </c>
      <c r="N876">
        <f>IFERROR(INDEX(Diccionario!$N:$N,MATCH(F888,Diccionario!$C:$C,0)),"")</f>
        <v/>
      </c>
    </row>
    <row r="877" ht="14.25" customHeight="1" s="52">
      <c r="A877" t="inlineStr">
        <is>
          <t>2024-11</t>
        </is>
      </c>
      <c r="B877" t="inlineStr">
        <is>
          <t>Colombia</t>
        </is>
      </c>
      <c r="C877" t="inlineStr">
        <is>
          <t>Coco Colombia</t>
        </is>
      </c>
      <c r="D877" t="inlineStr">
        <is>
          <t>COP</t>
        </is>
      </c>
      <c r="E877" t="inlineStr">
        <is>
          <t>Real</t>
        </is>
      </c>
      <c r="F877" t="inlineStr">
        <is>
          <t>gasto_comercial</t>
        </is>
      </c>
      <c r="H877" t="inlineStr">
        <is>
          <t>Seguros</t>
        </is>
      </c>
      <c r="I877" t="n">
        <v>150000</v>
      </c>
      <c r="J877" t="inlineStr">
        <is>
          <t>COP</t>
        </is>
      </c>
      <c r="L877">
        <f>IFERROR(INDEX(Diccionario!$B:$B,MATCH(F889,Diccionario!$C:$C,0)),"")</f>
        <v/>
      </c>
      <c r="M877">
        <f>IFERROR(INDEX(Diccionario!$H:$H,MATCH(F889,Diccionario!$C:$C,0)),"")</f>
        <v/>
      </c>
      <c r="N877">
        <f>IFERROR(INDEX(Diccionario!$N:$N,MATCH(F889,Diccionario!$C:$C,0)),"")</f>
        <v/>
      </c>
    </row>
    <row r="878" ht="14.25" customHeight="1" s="52">
      <c r="A878" t="inlineStr">
        <is>
          <t>2024-11</t>
        </is>
      </c>
      <c r="B878" t="inlineStr">
        <is>
          <t>Colombia</t>
        </is>
      </c>
      <c r="C878" t="inlineStr">
        <is>
          <t>Coco Colombia</t>
        </is>
      </c>
      <c r="D878" t="inlineStr">
        <is>
          <t>COP</t>
        </is>
      </c>
      <c r="E878" t="inlineStr">
        <is>
          <t>Real</t>
        </is>
      </c>
      <c r="F878" t="inlineStr">
        <is>
          <t>gasto_comercial</t>
        </is>
      </c>
      <c r="H878" t="inlineStr">
        <is>
          <t>Servicios</t>
        </is>
      </c>
      <c r="I878" t="n">
        <v>18000000</v>
      </c>
      <c r="J878" t="inlineStr">
        <is>
          <t>COP</t>
        </is>
      </c>
      <c r="L878">
        <f>IFERROR(INDEX(Diccionario!$B:$B,MATCH(F890,Diccionario!$C:$C,0)),"")</f>
        <v/>
      </c>
      <c r="M878">
        <f>IFERROR(INDEX(Diccionario!$H:$H,MATCH(F890,Diccionario!$C:$C,0)),"")</f>
        <v/>
      </c>
      <c r="N878">
        <f>IFERROR(INDEX(Diccionario!$N:$N,MATCH(F890,Diccionario!$C:$C,0)),"")</f>
        <v/>
      </c>
    </row>
    <row r="879" ht="14.25" customHeight="1" s="52">
      <c r="A879" t="inlineStr">
        <is>
          <t>2024-11</t>
        </is>
      </c>
      <c r="B879" t="inlineStr">
        <is>
          <t>Colombia</t>
        </is>
      </c>
      <c r="C879" t="inlineStr">
        <is>
          <t>Coco Colombia</t>
        </is>
      </c>
      <c r="D879" t="inlineStr">
        <is>
          <t>COP</t>
        </is>
      </c>
      <c r="E879" t="inlineStr">
        <is>
          <t>Real</t>
        </is>
      </c>
      <c r="F879" t="inlineStr">
        <is>
          <t>gasto_comercial</t>
        </is>
      </c>
      <c r="H879" t="inlineStr">
        <is>
          <t>Viajes</t>
        </is>
      </c>
      <c r="I879" t="n">
        <v>28300000</v>
      </c>
      <c r="J879" t="inlineStr">
        <is>
          <t>COP</t>
        </is>
      </c>
      <c r="L879">
        <f>IFERROR(INDEX(Diccionario!$B:$B,MATCH(F891,Diccionario!$C:$C,0)),"")</f>
        <v/>
      </c>
      <c r="M879">
        <f>IFERROR(INDEX(Diccionario!$H:$H,MATCH(F891,Diccionario!$C:$C,0)),"")</f>
        <v/>
      </c>
      <c r="N879">
        <f>IFERROR(INDEX(Diccionario!$N:$N,MATCH(F891,Diccionario!$C:$C,0)),"")</f>
        <v/>
      </c>
    </row>
    <row r="880" ht="14.25" customHeight="1" s="52">
      <c r="A880" t="inlineStr">
        <is>
          <t>2024-11</t>
        </is>
      </c>
      <c r="B880" t="inlineStr">
        <is>
          <t>Colombia</t>
        </is>
      </c>
      <c r="C880" t="inlineStr">
        <is>
          <t>Coco Colombia</t>
        </is>
      </c>
      <c r="D880" t="inlineStr">
        <is>
          <t>COP</t>
        </is>
      </c>
      <c r="E880" t="inlineStr">
        <is>
          <t>Real</t>
        </is>
      </c>
      <c r="F880" t="inlineStr">
        <is>
          <t>gasto_comercial</t>
        </is>
      </c>
      <c r="H880" t="inlineStr">
        <is>
          <t>Diversos</t>
        </is>
      </c>
      <c r="I880" t="n">
        <v>8100000</v>
      </c>
      <c r="J880" t="inlineStr">
        <is>
          <t>COP</t>
        </is>
      </c>
      <c r="L880">
        <f>IFERROR(INDEX(Diccionario!$B:$B,MATCH(F892,Diccionario!$C:$C,0)),"")</f>
        <v/>
      </c>
      <c r="M880">
        <f>IFERROR(INDEX(Diccionario!$H:$H,MATCH(F892,Diccionario!$C:$C,0)),"")</f>
        <v/>
      </c>
      <c r="N880">
        <f>IFERROR(INDEX(Diccionario!$N:$N,MATCH(F892,Diccionario!$C:$C,0)),"")</f>
        <v/>
      </c>
    </row>
    <row r="881" ht="14.25" customHeight="1" s="52">
      <c r="A881" t="inlineStr">
        <is>
          <t>2024-12</t>
        </is>
      </c>
      <c r="B881" t="inlineStr">
        <is>
          <t>Colombia</t>
        </is>
      </c>
      <c r="C881" t="inlineStr">
        <is>
          <t>Coco Colombia</t>
        </is>
      </c>
      <c r="D881" t="inlineStr">
        <is>
          <t>COP</t>
        </is>
      </c>
      <c r="E881" t="inlineStr">
        <is>
          <t>Real</t>
        </is>
      </c>
      <c r="F881" t="inlineStr">
        <is>
          <t>gasto_comercial</t>
        </is>
      </c>
      <c r="H881" t="inlineStr">
        <is>
          <t>Personal</t>
        </is>
      </c>
      <c r="I881" t="n">
        <v>79000000</v>
      </c>
      <c r="J881" t="inlineStr">
        <is>
          <t>COP</t>
        </is>
      </c>
      <c r="L881">
        <f>IFERROR(INDEX(Diccionario!$B:$B,MATCH(F893,Diccionario!$C:$C,0)),"")</f>
        <v/>
      </c>
      <c r="M881">
        <f>IFERROR(INDEX(Diccionario!$H:$H,MATCH(F893,Diccionario!$C:$C,0)),"")</f>
        <v/>
      </c>
      <c r="N881">
        <f>IFERROR(INDEX(Diccionario!$N:$N,MATCH(F893,Diccionario!$C:$C,0)),"")</f>
        <v/>
      </c>
    </row>
    <row r="882" ht="14.25" customHeight="1" s="52">
      <c r="A882" t="inlineStr">
        <is>
          <t>2024-12</t>
        </is>
      </c>
      <c r="B882" t="inlineStr">
        <is>
          <t>Colombia</t>
        </is>
      </c>
      <c r="C882" t="inlineStr">
        <is>
          <t>Coco Colombia</t>
        </is>
      </c>
      <c r="D882" t="inlineStr">
        <is>
          <t>COP</t>
        </is>
      </c>
      <c r="E882" t="inlineStr">
        <is>
          <t>Real</t>
        </is>
      </c>
      <c r="F882" t="inlineStr">
        <is>
          <t>gasto_comercial</t>
        </is>
      </c>
      <c r="H882" t="inlineStr">
        <is>
          <t>Honorario</t>
        </is>
      </c>
      <c r="I882" t="n">
        <v>37400000</v>
      </c>
      <c r="J882" t="inlineStr">
        <is>
          <t>COP</t>
        </is>
      </c>
      <c r="L882">
        <f>IFERROR(INDEX(Diccionario!$B:$B,MATCH(F894,Diccionario!$C:$C,0)),"")</f>
        <v/>
      </c>
      <c r="M882">
        <f>IFERROR(INDEX(Diccionario!$H:$H,MATCH(F894,Diccionario!$C:$C,0)),"")</f>
        <v/>
      </c>
      <c r="N882">
        <f>IFERROR(INDEX(Diccionario!$N:$N,MATCH(F894,Diccionario!$C:$C,0)),"")</f>
        <v/>
      </c>
    </row>
    <row r="883" ht="14.25" customHeight="1" s="52">
      <c r="A883" t="inlineStr">
        <is>
          <t>2024-12</t>
        </is>
      </c>
      <c r="B883" t="inlineStr">
        <is>
          <t>Colombia</t>
        </is>
      </c>
      <c r="C883" t="inlineStr">
        <is>
          <t>Coco Colombia</t>
        </is>
      </c>
      <c r="D883" t="inlineStr">
        <is>
          <t>COP</t>
        </is>
      </c>
      <c r="E883" t="inlineStr">
        <is>
          <t>Real</t>
        </is>
      </c>
      <c r="F883" t="inlineStr">
        <is>
          <t>gasto_comercial</t>
        </is>
      </c>
      <c r="H883" t="inlineStr">
        <is>
          <t>Seguros</t>
        </is>
      </c>
      <c r="I883" t="n">
        <v>270000</v>
      </c>
      <c r="J883" t="inlineStr">
        <is>
          <t>COP</t>
        </is>
      </c>
      <c r="L883">
        <f>IFERROR(INDEX(Diccionario!$B:$B,MATCH(F895,Diccionario!$C:$C,0)),"")</f>
        <v/>
      </c>
      <c r="M883">
        <f>IFERROR(INDEX(Diccionario!$H:$H,MATCH(F895,Diccionario!$C:$C,0)),"")</f>
        <v/>
      </c>
      <c r="N883">
        <f>IFERROR(INDEX(Diccionario!$N:$N,MATCH(F895,Diccionario!$C:$C,0)),"")</f>
        <v/>
      </c>
    </row>
    <row r="884" ht="14.25" customHeight="1" s="52">
      <c r="A884" t="inlineStr">
        <is>
          <t>2024-12</t>
        </is>
      </c>
      <c r="B884" t="inlineStr">
        <is>
          <t>Colombia</t>
        </is>
      </c>
      <c r="C884" t="inlineStr">
        <is>
          <t>Coco Colombia</t>
        </is>
      </c>
      <c r="D884" t="inlineStr">
        <is>
          <t>COP</t>
        </is>
      </c>
      <c r="E884" t="inlineStr">
        <is>
          <t>Real</t>
        </is>
      </c>
      <c r="F884" t="inlineStr">
        <is>
          <t>gasto_comercial</t>
        </is>
      </c>
      <c r="H884" t="inlineStr">
        <is>
          <t>Servicios</t>
        </is>
      </c>
      <c r="I884" t="n">
        <v>43800000</v>
      </c>
      <c r="J884" t="inlineStr">
        <is>
          <t>COP</t>
        </is>
      </c>
      <c r="L884">
        <f>IFERROR(INDEX(Diccionario!$B:$B,MATCH(F896,Diccionario!$C:$C,0)),"")</f>
        <v/>
      </c>
      <c r="M884">
        <f>IFERROR(INDEX(Diccionario!$H:$H,MATCH(F896,Diccionario!$C:$C,0)),"")</f>
        <v/>
      </c>
      <c r="N884">
        <f>IFERROR(INDEX(Diccionario!$N:$N,MATCH(F896,Diccionario!$C:$C,0)),"")</f>
        <v/>
      </c>
    </row>
    <row r="885" ht="14.25" customHeight="1" s="52">
      <c r="A885" t="inlineStr">
        <is>
          <t>2024-12</t>
        </is>
      </c>
      <c r="B885" t="inlineStr">
        <is>
          <t>Colombia</t>
        </is>
      </c>
      <c r="C885" t="inlineStr">
        <is>
          <t>Coco Colombia</t>
        </is>
      </c>
      <c r="D885" t="inlineStr">
        <is>
          <t>COP</t>
        </is>
      </c>
      <c r="E885" t="inlineStr">
        <is>
          <t>Real</t>
        </is>
      </c>
      <c r="F885" t="inlineStr">
        <is>
          <t>gasto_comercial</t>
        </is>
      </c>
      <c r="H885" t="inlineStr">
        <is>
          <t>Viajes</t>
        </is>
      </c>
      <c r="I885" t="n">
        <v>6000000</v>
      </c>
      <c r="J885" t="inlineStr">
        <is>
          <t>COP</t>
        </is>
      </c>
      <c r="L885">
        <f>IFERROR(INDEX(Diccionario!$B:$B,MATCH(F897,Diccionario!$C:$C,0)),"")</f>
        <v/>
      </c>
      <c r="M885">
        <f>IFERROR(INDEX(Diccionario!$H:$H,MATCH(F897,Diccionario!$C:$C,0)),"")</f>
        <v/>
      </c>
      <c r="N885">
        <f>IFERROR(INDEX(Diccionario!$N:$N,MATCH(F897,Diccionario!$C:$C,0)),"")</f>
        <v/>
      </c>
    </row>
    <row r="886" ht="14.25" customHeight="1" s="52">
      <c r="A886" t="inlineStr">
        <is>
          <t>2024-12</t>
        </is>
      </c>
      <c r="B886" t="inlineStr">
        <is>
          <t>Colombia</t>
        </is>
      </c>
      <c r="C886" t="inlineStr">
        <is>
          <t>Coco Colombia</t>
        </is>
      </c>
      <c r="D886" t="inlineStr">
        <is>
          <t>COP</t>
        </is>
      </c>
      <c r="E886" t="inlineStr">
        <is>
          <t>Real</t>
        </is>
      </c>
      <c r="F886" t="inlineStr">
        <is>
          <t>gasto_comercial</t>
        </is>
      </c>
      <c r="H886" t="inlineStr">
        <is>
          <t>Diversos</t>
        </is>
      </c>
      <c r="I886" t="n">
        <v>8700000</v>
      </c>
      <c r="J886" t="inlineStr">
        <is>
          <t>COP</t>
        </is>
      </c>
      <c r="L886">
        <f>IFERROR(INDEX(Diccionario!$B:$B,MATCH(F898,Diccionario!$C:$C,0)),"")</f>
        <v/>
      </c>
      <c r="M886">
        <f>IFERROR(INDEX(Diccionario!$H:$H,MATCH(F898,Diccionario!$C:$C,0)),"")</f>
        <v/>
      </c>
      <c r="N886">
        <f>IFERROR(INDEX(Diccionario!$N:$N,MATCH(F898,Diccionario!$C:$C,0)),"")</f>
        <v/>
      </c>
    </row>
    <row r="887" ht="14.25" customHeight="1" s="52">
      <c r="A887" t="inlineStr">
        <is>
          <t>2025-01</t>
        </is>
      </c>
      <c r="B887" t="inlineStr">
        <is>
          <t>Colombia</t>
        </is>
      </c>
      <c r="C887" t="inlineStr">
        <is>
          <t>Coco Colombia</t>
        </is>
      </c>
      <c r="D887" t="inlineStr">
        <is>
          <t>COP</t>
        </is>
      </c>
      <c r="E887" t="inlineStr">
        <is>
          <t>Real</t>
        </is>
      </c>
      <c r="F887" t="inlineStr">
        <is>
          <t>gasto_comercial</t>
        </is>
      </c>
      <c r="H887" t="inlineStr">
        <is>
          <t>Personal</t>
        </is>
      </c>
      <c r="I887" t="n">
        <v>94600000</v>
      </c>
      <c r="J887" t="inlineStr">
        <is>
          <t>COP</t>
        </is>
      </c>
      <c r="L887">
        <f>IFERROR(INDEX(Diccionario!$B:$B,MATCH(F899,Diccionario!$C:$C,0)),"")</f>
        <v/>
      </c>
      <c r="M887">
        <f>IFERROR(INDEX(Diccionario!$H:$H,MATCH(F899,Diccionario!$C:$C,0)),"")</f>
        <v/>
      </c>
      <c r="N887">
        <f>IFERROR(INDEX(Diccionario!$N:$N,MATCH(F899,Diccionario!$C:$C,0)),"")</f>
        <v/>
      </c>
    </row>
    <row r="888" ht="14.25" customHeight="1" s="52">
      <c r="A888" t="inlineStr">
        <is>
          <t>2025-01</t>
        </is>
      </c>
      <c r="B888" t="inlineStr">
        <is>
          <t>Colombia</t>
        </is>
      </c>
      <c r="C888" t="inlineStr">
        <is>
          <t>Coco Colombia</t>
        </is>
      </c>
      <c r="D888" t="inlineStr">
        <is>
          <t>COP</t>
        </is>
      </c>
      <c r="E888" t="inlineStr">
        <is>
          <t>Real</t>
        </is>
      </c>
      <c r="F888" t="inlineStr">
        <is>
          <t>gasto_comercial</t>
        </is>
      </c>
      <c r="H888" t="inlineStr">
        <is>
          <t>Honorario</t>
        </is>
      </c>
      <c r="I888" t="n">
        <v>0</v>
      </c>
      <c r="J888" t="inlineStr">
        <is>
          <t>COP</t>
        </is>
      </c>
      <c r="L888">
        <f>IFERROR(INDEX(Diccionario!$B:$B,MATCH(F900,Diccionario!$C:$C,0)),"")</f>
        <v/>
      </c>
      <c r="M888">
        <f>IFERROR(INDEX(Diccionario!$H:$H,MATCH(F900,Diccionario!$C:$C,0)),"")</f>
        <v/>
      </c>
      <c r="N888">
        <f>IFERROR(INDEX(Diccionario!$N:$N,MATCH(F900,Diccionario!$C:$C,0)),"")</f>
        <v/>
      </c>
    </row>
    <row r="889" ht="14.25" customHeight="1" s="52">
      <c r="A889" t="inlineStr">
        <is>
          <t>2025-01</t>
        </is>
      </c>
      <c r="B889" t="inlineStr">
        <is>
          <t>Colombia</t>
        </is>
      </c>
      <c r="C889" t="inlineStr">
        <is>
          <t>Coco Colombia</t>
        </is>
      </c>
      <c r="D889" t="inlineStr">
        <is>
          <t>COP</t>
        </is>
      </c>
      <c r="E889" t="inlineStr">
        <is>
          <t>Real</t>
        </is>
      </c>
      <c r="F889" t="inlineStr">
        <is>
          <t>gasto_comercial</t>
        </is>
      </c>
      <c r="H889" t="inlineStr">
        <is>
          <t>Seguros</t>
        </is>
      </c>
      <c r="I889" t="n">
        <v>0</v>
      </c>
      <c r="J889" t="inlineStr">
        <is>
          <t>COP</t>
        </is>
      </c>
      <c r="L889">
        <f>IFERROR(INDEX(Diccionario!$B:$B,MATCH(F901,Diccionario!$C:$C,0)),"")</f>
        <v/>
      </c>
      <c r="M889">
        <f>IFERROR(INDEX(Diccionario!$H:$H,MATCH(F901,Diccionario!$C:$C,0)),"")</f>
        <v/>
      </c>
      <c r="N889">
        <f>IFERROR(INDEX(Diccionario!$N:$N,MATCH(F901,Diccionario!$C:$C,0)),"")</f>
        <v/>
      </c>
    </row>
    <row r="890" ht="14.25" customHeight="1" s="52">
      <c r="A890" t="inlineStr">
        <is>
          <t>2025-01</t>
        </is>
      </c>
      <c r="B890" t="inlineStr">
        <is>
          <t>Colombia</t>
        </is>
      </c>
      <c r="C890" t="inlineStr">
        <is>
          <t>Coco Colombia</t>
        </is>
      </c>
      <c r="D890" t="inlineStr">
        <is>
          <t>COP</t>
        </is>
      </c>
      <c r="E890" t="inlineStr">
        <is>
          <t>Real</t>
        </is>
      </c>
      <c r="F890" t="inlineStr">
        <is>
          <t>gasto_comercial</t>
        </is>
      </c>
      <c r="H890" t="inlineStr">
        <is>
          <t>Servicios</t>
        </is>
      </c>
      <c r="I890" t="n">
        <v>24800000</v>
      </c>
      <c r="J890" t="inlineStr">
        <is>
          <t>COP</t>
        </is>
      </c>
      <c r="L890">
        <f>IFERROR(INDEX(Diccionario!$B:$B,MATCH(F902,Diccionario!$C:$C,0)),"")</f>
        <v/>
      </c>
      <c r="M890">
        <f>IFERROR(INDEX(Diccionario!$H:$H,MATCH(F902,Diccionario!$C:$C,0)),"")</f>
        <v/>
      </c>
      <c r="N890">
        <f>IFERROR(INDEX(Diccionario!$N:$N,MATCH(F902,Diccionario!$C:$C,0)),"")</f>
        <v/>
      </c>
    </row>
    <row r="891" ht="14.25" customHeight="1" s="52">
      <c r="A891" t="inlineStr">
        <is>
          <t>2025-01</t>
        </is>
      </c>
      <c r="B891" t="inlineStr">
        <is>
          <t>Colombia</t>
        </is>
      </c>
      <c r="C891" t="inlineStr">
        <is>
          <t>Coco Colombia</t>
        </is>
      </c>
      <c r="D891" t="inlineStr">
        <is>
          <t>COP</t>
        </is>
      </c>
      <c r="E891" t="inlineStr">
        <is>
          <t>Real</t>
        </is>
      </c>
      <c r="F891" t="inlineStr">
        <is>
          <t>gasto_comercial</t>
        </is>
      </c>
      <c r="H891" t="inlineStr">
        <is>
          <t>Viajes</t>
        </is>
      </c>
      <c r="I891" t="n">
        <v>35500000</v>
      </c>
      <c r="J891" t="inlineStr">
        <is>
          <t>COP</t>
        </is>
      </c>
      <c r="L891">
        <f>IFERROR(INDEX(Diccionario!$B:$B,MATCH(F903,Diccionario!$C:$C,0)),"")</f>
        <v/>
      </c>
      <c r="M891">
        <f>IFERROR(INDEX(Diccionario!$H:$H,MATCH(F903,Diccionario!$C:$C,0)),"")</f>
        <v/>
      </c>
      <c r="N891">
        <f>IFERROR(INDEX(Diccionario!$N:$N,MATCH(F903,Diccionario!$C:$C,0)),"")</f>
        <v/>
      </c>
    </row>
    <row r="892" ht="14.25" customHeight="1" s="52">
      <c r="A892" t="inlineStr">
        <is>
          <t>2025-01</t>
        </is>
      </c>
      <c r="B892" t="inlineStr">
        <is>
          <t>Colombia</t>
        </is>
      </c>
      <c r="C892" t="inlineStr">
        <is>
          <t>Coco Colombia</t>
        </is>
      </c>
      <c r="D892" t="inlineStr">
        <is>
          <t>COP</t>
        </is>
      </c>
      <c r="E892" t="inlineStr">
        <is>
          <t>Real</t>
        </is>
      </c>
      <c r="F892" t="inlineStr">
        <is>
          <t>gasto_comercial</t>
        </is>
      </c>
      <c r="H892" t="inlineStr">
        <is>
          <t>Diversos</t>
        </is>
      </c>
      <c r="I892" t="n">
        <v>8400000</v>
      </c>
      <c r="J892" t="inlineStr">
        <is>
          <t>COP</t>
        </is>
      </c>
      <c r="L892">
        <f>IFERROR(INDEX(Diccionario!$B:$B,MATCH(F904,Diccionario!$C:$C,0)),"")</f>
        <v/>
      </c>
      <c r="M892">
        <f>IFERROR(INDEX(Diccionario!$H:$H,MATCH(F904,Diccionario!$C:$C,0)),"")</f>
        <v/>
      </c>
      <c r="N892">
        <f>IFERROR(INDEX(Diccionario!$N:$N,MATCH(F904,Diccionario!$C:$C,0)),"")</f>
        <v/>
      </c>
    </row>
    <row r="893" ht="14.25" customHeight="1" s="52">
      <c r="A893" t="inlineStr">
        <is>
          <t>2025-02</t>
        </is>
      </c>
      <c r="B893" t="inlineStr">
        <is>
          <t>Colombia</t>
        </is>
      </c>
      <c r="C893" t="inlineStr">
        <is>
          <t>Coco Colombia</t>
        </is>
      </c>
      <c r="D893" t="inlineStr">
        <is>
          <t>COP</t>
        </is>
      </c>
      <c r="E893" t="inlineStr">
        <is>
          <t>Real</t>
        </is>
      </c>
      <c r="F893" t="inlineStr">
        <is>
          <t>gasto_comercial</t>
        </is>
      </c>
      <c r="H893" t="inlineStr">
        <is>
          <t>Personal</t>
        </is>
      </c>
      <c r="I893" t="n">
        <v>110000000</v>
      </c>
      <c r="J893" t="inlineStr">
        <is>
          <t>COP</t>
        </is>
      </c>
      <c r="L893">
        <f>IFERROR(INDEX(Diccionario!$B:$B,MATCH(F905,Diccionario!$C:$C,0)),"")</f>
        <v/>
      </c>
      <c r="M893">
        <f>IFERROR(INDEX(Diccionario!$H:$H,MATCH(F905,Diccionario!$C:$C,0)),"")</f>
        <v/>
      </c>
      <c r="N893">
        <f>IFERROR(INDEX(Diccionario!$N:$N,MATCH(F905,Diccionario!$C:$C,0)),"")</f>
        <v/>
      </c>
    </row>
    <row r="894" ht="14.25" customHeight="1" s="52">
      <c r="A894" t="inlineStr">
        <is>
          <t>2025-02</t>
        </is>
      </c>
      <c r="B894" t="inlineStr">
        <is>
          <t>Colombia</t>
        </is>
      </c>
      <c r="C894" t="inlineStr">
        <is>
          <t>Coco Colombia</t>
        </is>
      </c>
      <c r="D894" t="inlineStr">
        <is>
          <t>COP</t>
        </is>
      </c>
      <c r="E894" t="inlineStr">
        <is>
          <t>Real</t>
        </is>
      </c>
      <c r="F894" t="inlineStr">
        <is>
          <t>gasto_comercial</t>
        </is>
      </c>
      <c r="H894" t="inlineStr">
        <is>
          <t>Honorario</t>
        </is>
      </c>
      <c r="I894" t="n">
        <v>29300000</v>
      </c>
      <c r="J894" t="inlineStr">
        <is>
          <t>COP</t>
        </is>
      </c>
      <c r="L894">
        <f>IFERROR(INDEX(Diccionario!$B:$B,MATCH(F906,Diccionario!$C:$C,0)),"")</f>
        <v/>
      </c>
      <c r="M894">
        <f>IFERROR(INDEX(Diccionario!$H:$H,MATCH(F906,Diccionario!$C:$C,0)),"")</f>
        <v/>
      </c>
      <c r="N894">
        <f>IFERROR(INDEX(Diccionario!$N:$N,MATCH(F906,Diccionario!$C:$C,0)),"")</f>
        <v/>
      </c>
    </row>
    <row r="895" ht="14.25" customHeight="1" s="52">
      <c r="A895" t="inlineStr">
        <is>
          <t>2025-02</t>
        </is>
      </c>
      <c r="B895" t="inlineStr">
        <is>
          <t>Colombia</t>
        </is>
      </c>
      <c r="C895" t="inlineStr">
        <is>
          <t>Coco Colombia</t>
        </is>
      </c>
      <c r="D895" t="inlineStr">
        <is>
          <t>COP</t>
        </is>
      </c>
      <c r="E895" t="inlineStr">
        <is>
          <t>Real</t>
        </is>
      </c>
      <c r="F895" t="inlineStr">
        <is>
          <t>gasto_comercial</t>
        </is>
      </c>
      <c r="H895" t="inlineStr">
        <is>
          <t>Seguros</t>
        </is>
      </c>
      <c r="I895" t="n">
        <v>1500000</v>
      </c>
      <c r="J895" t="inlineStr">
        <is>
          <t>COP</t>
        </is>
      </c>
      <c r="L895">
        <f>IFERROR(INDEX(Diccionario!$B:$B,MATCH(F907,Diccionario!$C:$C,0)),"")</f>
        <v/>
      </c>
      <c r="M895">
        <f>IFERROR(INDEX(Diccionario!$H:$H,MATCH(F907,Diccionario!$C:$C,0)),"")</f>
        <v/>
      </c>
      <c r="N895">
        <f>IFERROR(INDEX(Diccionario!$N:$N,MATCH(F907,Diccionario!$C:$C,0)),"")</f>
        <v/>
      </c>
    </row>
    <row r="896" ht="14.25" customHeight="1" s="52">
      <c r="A896" t="inlineStr">
        <is>
          <t>2025-02</t>
        </is>
      </c>
      <c r="B896" t="inlineStr">
        <is>
          <t>Colombia</t>
        </is>
      </c>
      <c r="C896" t="inlineStr">
        <is>
          <t>Coco Colombia</t>
        </is>
      </c>
      <c r="D896" t="inlineStr">
        <is>
          <t>COP</t>
        </is>
      </c>
      <c r="E896" t="inlineStr">
        <is>
          <t>Real</t>
        </is>
      </c>
      <c r="F896" t="inlineStr">
        <is>
          <t>gasto_comercial</t>
        </is>
      </c>
      <c r="H896" t="inlineStr">
        <is>
          <t>Servicios</t>
        </is>
      </c>
      <c r="I896" t="n">
        <v>38400000</v>
      </c>
      <c r="J896" t="inlineStr">
        <is>
          <t>COP</t>
        </is>
      </c>
      <c r="L896">
        <f>IFERROR(INDEX(Diccionario!$B:$B,MATCH(F908,Diccionario!$C:$C,0)),"")</f>
        <v/>
      </c>
      <c r="M896">
        <f>IFERROR(INDEX(Diccionario!$H:$H,MATCH(F908,Diccionario!$C:$C,0)),"")</f>
        <v/>
      </c>
      <c r="N896">
        <f>IFERROR(INDEX(Diccionario!$N:$N,MATCH(F908,Diccionario!$C:$C,0)),"")</f>
        <v/>
      </c>
    </row>
    <row r="897" ht="14.25" customHeight="1" s="52">
      <c r="A897" t="inlineStr">
        <is>
          <t>2025-02</t>
        </is>
      </c>
      <c r="B897" t="inlineStr">
        <is>
          <t>Colombia</t>
        </is>
      </c>
      <c r="C897" t="inlineStr">
        <is>
          <t>Coco Colombia</t>
        </is>
      </c>
      <c r="D897" t="inlineStr">
        <is>
          <t>COP</t>
        </is>
      </c>
      <c r="E897" t="inlineStr">
        <is>
          <t>Real</t>
        </is>
      </c>
      <c r="F897" t="inlineStr">
        <is>
          <t>gasto_comercial</t>
        </is>
      </c>
      <c r="H897" t="inlineStr">
        <is>
          <t>Viajes</t>
        </is>
      </c>
      <c r="I897" t="n">
        <v>48100000</v>
      </c>
      <c r="J897" t="inlineStr">
        <is>
          <t>COP</t>
        </is>
      </c>
      <c r="L897">
        <f>IFERROR(INDEX(Diccionario!$B:$B,MATCH(F909,Diccionario!$C:$C,0)),"")</f>
        <v/>
      </c>
      <c r="M897">
        <f>IFERROR(INDEX(Diccionario!$H:$H,MATCH(F909,Diccionario!$C:$C,0)),"")</f>
        <v/>
      </c>
      <c r="N897">
        <f>IFERROR(INDEX(Diccionario!$N:$N,MATCH(F909,Diccionario!$C:$C,0)),"")</f>
        <v/>
      </c>
    </row>
    <row r="898" ht="14.25" customHeight="1" s="52">
      <c r="A898" t="inlineStr">
        <is>
          <t>2025-02</t>
        </is>
      </c>
      <c r="B898" t="inlineStr">
        <is>
          <t>Colombia</t>
        </is>
      </c>
      <c r="C898" t="inlineStr">
        <is>
          <t>Coco Colombia</t>
        </is>
      </c>
      <c r="D898" t="inlineStr">
        <is>
          <t>COP</t>
        </is>
      </c>
      <c r="E898" t="inlineStr">
        <is>
          <t>Real</t>
        </is>
      </c>
      <c r="F898" t="inlineStr">
        <is>
          <t>gasto_comercial</t>
        </is>
      </c>
      <c r="H898" t="inlineStr">
        <is>
          <t>Diversos</t>
        </is>
      </c>
      <c r="I898" t="n">
        <v>5800000</v>
      </c>
      <c r="J898" t="inlineStr">
        <is>
          <t>COP</t>
        </is>
      </c>
      <c r="L898">
        <f>IFERROR(INDEX(Diccionario!$B:$B,MATCH(F910,Diccionario!$C:$C,0)),"")</f>
        <v/>
      </c>
      <c r="M898">
        <f>IFERROR(INDEX(Diccionario!$H:$H,MATCH(F910,Diccionario!$C:$C,0)),"")</f>
        <v/>
      </c>
      <c r="N898">
        <f>IFERROR(INDEX(Diccionario!$N:$N,MATCH(F910,Diccionario!$C:$C,0)),"")</f>
        <v/>
      </c>
    </row>
    <row r="899" ht="14.25" customHeight="1" s="52">
      <c r="A899" t="inlineStr">
        <is>
          <t>2025-03</t>
        </is>
      </c>
      <c r="B899" t="inlineStr">
        <is>
          <t>Colombia</t>
        </is>
      </c>
      <c r="C899" t="inlineStr">
        <is>
          <t>Coco Colombia</t>
        </is>
      </c>
      <c r="D899" t="inlineStr">
        <is>
          <t>COP</t>
        </is>
      </c>
      <c r="E899" t="inlineStr">
        <is>
          <t>Real</t>
        </is>
      </c>
      <c r="F899" t="inlineStr">
        <is>
          <t>gasto_comercial</t>
        </is>
      </c>
      <c r="H899" t="inlineStr">
        <is>
          <t>Personal</t>
        </is>
      </c>
      <c r="I899" t="n">
        <v>112400000</v>
      </c>
      <c r="J899" t="inlineStr">
        <is>
          <t>COP</t>
        </is>
      </c>
      <c r="L899">
        <f>IFERROR(INDEX(Diccionario!$B:$B,MATCH(F911,Diccionario!$C:$C,0)),"")</f>
        <v/>
      </c>
      <c r="M899">
        <f>IFERROR(INDEX(Diccionario!$H:$H,MATCH(F911,Diccionario!$C:$C,0)),"")</f>
        <v/>
      </c>
      <c r="N899">
        <f>IFERROR(INDEX(Diccionario!$N:$N,MATCH(F911,Diccionario!$C:$C,0)),"")</f>
        <v/>
      </c>
    </row>
    <row r="900" ht="14.25" customHeight="1" s="52">
      <c r="A900" t="inlineStr">
        <is>
          <t>2025-03</t>
        </is>
      </c>
      <c r="B900" t="inlineStr">
        <is>
          <t>Colombia</t>
        </is>
      </c>
      <c r="C900" t="inlineStr">
        <is>
          <t>Coco Colombia</t>
        </is>
      </c>
      <c r="D900" t="inlineStr">
        <is>
          <t>COP</t>
        </is>
      </c>
      <c r="E900" t="inlineStr">
        <is>
          <t>Real</t>
        </is>
      </c>
      <c r="F900" t="inlineStr">
        <is>
          <t>gasto_comercial</t>
        </is>
      </c>
      <c r="H900" t="inlineStr">
        <is>
          <t>Honorario</t>
        </is>
      </c>
      <c r="I900" t="n">
        <v>28800000</v>
      </c>
      <c r="J900" t="inlineStr">
        <is>
          <t>COP</t>
        </is>
      </c>
      <c r="L900">
        <f>IFERROR(INDEX(Diccionario!$B:$B,MATCH(F912,Diccionario!$C:$C,0)),"")</f>
        <v/>
      </c>
      <c r="M900">
        <f>IFERROR(INDEX(Diccionario!$H:$H,MATCH(F912,Diccionario!$C:$C,0)),"")</f>
        <v/>
      </c>
      <c r="N900">
        <f>IFERROR(INDEX(Diccionario!$N:$N,MATCH(F912,Diccionario!$C:$C,0)),"")</f>
        <v/>
      </c>
    </row>
    <row r="901" ht="14.25" customHeight="1" s="52">
      <c r="A901" t="inlineStr">
        <is>
          <t>2025-03</t>
        </is>
      </c>
      <c r="B901" t="inlineStr">
        <is>
          <t>Colombia</t>
        </is>
      </c>
      <c r="C901" t="inlineStr">
        <is>
          <t>Coco Colombia</t>
        </is>
      </c>
      <c r="D901" t="inlineStr">
        <is>
          <t>COP</t>
        </is>
      </c>
      <c r="E901" t="inlineStr">
        <is>
          <t>Real</t>
        </is>
      </c>
      <c r="F901" t="inlineStr">
        <is>
          <t>gasto_comercial</t>
        </is>
      </c>
      <c r="H901" t="inlineStr">
        <is>
          <t>Seguros</t>
        </is>
      </c>
      <c r="I901" t="n">
        <v>1600000</v>
      </c>
      <c r="J901" t="inlineStr">
        <is>
          <t>COP</t>
        </is>
      </c>
      <c r="L901">
        <f>IFERROR(INDEX(Diccionario!$B:$B,MATCH(F913,Diccionario!$C:$C,0)),"")</f>
        <v/>
      </c>
      <c r="M901">
        <f>IFERROR(INDEX(Diccionario!$H:$H,MATCH(F913,Diccionario!$C:$C,0)),"")</f>
        <v/>
      </c>
      <c r="N901">
        <f>IFERROR(INDEX(Diccionario!$N:$N,MATCH(F913,Diccionario!$C:$C,0)),"")</f>
        <v/>
      </c>
    </row>
    <row r="902" ht="14.25" customHeight="1" s="52">
      <c r="A902" t="inlineStr">
        <is>
          <t>2025-03</t>
        </is>
      </c>
      <c r="B902" t="inlineStr">
        <is>
          <t>Colombia</t>
        </is>
      </c>
      <c r="C902" t="inlineStr">
        <is>
          <t>Coco Colombia</t>
        </is>
      </c>
      <c r="D902" t="inlineStr">
        <is>
          <t>COP</t>
        </is>
      </c>
      <c r="E902" t="inlineStr">
        <is>
          <t>Real</t>
        </is>
      </c>
      <c r="F902" t="inlineStr">
        <is>
          <t>gasto_comercial</t>
        </is>
      </c>
      <c r="H902" t="inlineStr">
        <is>
          <t>Servicios</t>
        </is>
      </c>
      <c r="I902" t="n">
        <v>43100000</v>
      </c>
      <c r="J902" t="inlineStr">
        <is>
          <t>COP</t>
        </is>
      </c>
      <c r="L902">
        <f>IFERROR(INDEX(Diccionario!$B:$B,MATCH(F914,Diccionario!$C:$C,0)),"")</f>
        <v/>
      </c>
      <c r="M902">
        <f>IFERROR(INDEX(Diccionario!$H:$H,MATCH(F914,Diccionario!$C:$C,0)),"")</f>
        <v/>
      </c>
      <c r="N902">
        <f>IFERROR(INDEX(Diccionario!$N:$N,MATCH(F914,Diccionario!$C:$C,0)),"")</f>
        <v/>
      </c>
    </row>
    <row r="903" ht="14.25" customHeight="1" s="52">
      <c r="A903" t="inlineStr">
        <is>
          <t>2025-03</t>
        </is>
      </c>
      <c r="B903" t="inlineStr">
        <is>
          <t>Colombia</t>
        </is>
      </c>
      <c r="C903" t="inlineStr">
        <is>
          <t>Coco Colombia</t>
        </is>
      </c>
      <c r="D903" t="inlineStr">
        <is>
          <t>COP</t>
        </is>
      </c>
      <c r="E903" t="inlineStr">
        <is>
          <t>Real</t>
        </is>
      </c>
      <c r="F903" t="inlineStr">
        <is>
          <t>gasto_comercial</t>
        </is>
      </c>
      <c r="H903" t="inlineStr">
        <is>
          <t>Viajes</t>
        </is>
      </c>
      <c r="I903" t="n">
        <v>33200000</v>
      </c>
      <c r="J903" t="inlineStr">
        <is>
          <t>COP</t>
        </is>
      </c>
      <c r="L903">
        <f>IFERROR(INDEX(Diccionario!$B:$B,MATCH(F915,Diccionario!$C:$C,0)),"")</f>
        <v/>
      </c>
      <c r="M903">
        <f>IFERROR(INDEX(Diccionario!$H:$H,MATCH(F915,Diccionario!$C:$C,0)),"")</f>
        <v/>
      </c>
      <c r="N903">
        <f>IFERROR(INDEX(Diccionario!$N:$N,MATCH(F915,Diccionario!$C:$C,0)),"")</f>
        <v/>
      </c>
    </row>
    <row r="904" ht="14.25" customHeight="1" s="52">
      <c r="A904" t="inlineStr">
        <is>
          <t>2025-03</t>
        </is>
      </c>
      <c r="B904" t="inlineStr">
        <is>
          <t>Colombia</t>
        </is>
      </c>
      <c r="C904" t="inlineStr">
        <is>
          <t>Coco Colombia</t>
        </is>
      </c>
      <c r="D904" t="inlineStr">
        <is>
          <t>COP</t>
        </is>
      </c>
      <c r="E904" t="inlineStr">
        <is>
          <t>Real</t>
        </is>
      </c>
      <c r="F904" t="inlineStr">
        <is>
          <t>gasto_comercial</t>
        </is>
      </c>
      <c r="H904" t="inlineStr">
        <is>
          <t>Diversos</t>
        </is>
      </c>
      <c r="I904" t="n">
        <v>8300000</v>
      </c>
      <c r="J904" t="inlineStr">
        <is>
          <t>COP</t>
        </is>
      </c>
      <c r="L904">
        <f>IFERROR(INDEX(Diccionario!$B:$B,MATCH(F916,Diccionario!$C:$C,0)),"")</f>
        <v/>
      </c>
      <c r="M904">
        <f>IFERROR(INDEX(Diccionario!$H:$H,MATCH(F916,Diccionario!$C:$C,0)),"")</f>
        <v/>
      </c>
      <c r="N904">
        <f>IFERROR(INDEX(Diccionario!$N:$N,MATCH(F916,Diccionario!$C:$C,0)),"")</f>
        <v/>
      </c>
    </row>
    <row r="905" ht="14.25" customHeight="1" s="52">
      <c r="A905" t="inlineStr">
        <is>
          <t>2025-04</t>
        </is>
      </c>
      <c r="B905" t="inlineStr">
        <is>
          <t>Colombia</t>
        </is>
      </c>
      <c r="C905" t="inlineStr">
        <is>
          <t>Coco Colombia</t>
        </is>
      </c>
      <c r="D905" t="inlineStr">
        <is>
          <t>COP</t>
        </is>
      </c>
      <c r="E905" t="inlineStr">
        <is>
          <t>Real</t>
        </is>
      </c>
      <c r="F905" t="inlineStr">
        <is>
          <t>gasto_comercial</t>
        </is>
      </c>
      <c r="H905" t="inlineStr">
        <is>
          <t>Personal</t>
        </is>
      </c>
      <c r="I905" t="n">
        <v>96200000</v>
      </c>
      <c r="J905" t="inlineStr">
        <is>
          <t>COP</t>
        </is>
      </c>
      <c r="L905">
        <f>IFERROR(INDEX(Diccionario!$B:$B,MATCH(F917,Diccionario!$C:$C,0)),"")</f>
        <v/>
      </c>
      <c r="M905">
        <f>IFERROR(INDEX(Diccionario!$H:$H,MATCH(F917,Diccionario!$C:$C,0)),"")</f>
        <v/>
      </c>
      <c r="N905">
        <f>IFERROR(INDEX(Diccionario!$N:$N,MATCH(F917,Diccionario!$C:$C,0)),"")</f>
        <v/>
      </c>
    </row>
    <row r="906" ht="14.25" customHeight="1" s="52">
      <c r="A906" t="inlineStr">
        <is>
          <t>2025-04</t>
        </is>
      </c>
      <c r="B906" t="inlineStr">
        <is>
          <t>Colombia</t>
        </is>
      </c>
      <c r="C906" t="inlineStr">
        <is>
          <t>Coco Colombia</t>
        </is>
      </c>
      <c r="D906" t="inlineStr">
        <is>
          <t>COP</t>
        </is>
      </c>
      <c r="E906" t="inlineStr">
        <is>
          <t>Real</t>
        </is>
      </c>
      <c r="F906" t="inlineStr">
        <is>
          <t>gasto_comercial</t>
        </is>
      </c>
      <c r="H906" t="inlineStr">
        <is>
          <t>Honorario</t>
        </is>
      </c>
      <c r="I906" t="n">
        <v>60000000</v>
      </c>
      <c r="J906" t="inlineStr">
        <is>
          <t>COP</t>
        </is>
      </c>
      <c r="L906">
        <f>IFERROR(INDEX(Diccionario!$B:$B,MATCH(F918,Diccionario!$C:$C,0)),"")</f>
        <v/>
      </c>
      <c r="M906">
        <f>IFERROR(INDEX(Diccionario!$H:$H,MATCH(F918,Diccionario!$C:$C,0)),"")</f>
        <v/>
      </c>
      <c r="N906">
        <f>IFERROR(INDEX(Diccionario!$N:$N,MATCH(F918,Diccionario!$C:$C,0)),"")</f>
        <v/>
      </c>
    </row>
    <row r="907" ht="14.25" customHeight="1" s="52">
      <c r="A907" t="inlineStr">
        <is>
          <t>2025-04</t>
        </is>
      </c>
      <c r="B907" t="inlineStr">
        <is>
          <t>Colombia</t>
        </is>
      </c>
      <c r="C907" t="inlineStr">
        <is>
          <t>Coco Colombia</t>
        </is>
      </c>
      <c r="D907" t="inlineStr">
        <is>
          <t>COP</t>
        </is>
      </c>
      <c r="E907" t="inlineStr">
        <is>
          <t>Real</t>
        </is>
      </c>
      <c r="F907" t="inlineStr">
        <is>
          <t>gasto_comercial</t>
        </is>
      </c>
      <c r="H907" t="inlineStr">
        <is>
          <t>Seguros</t>
        </is>
      </c>
      <c r="I907" t="n">
        <v>1500000</v>
      </c>
      <c r="J907" t="inlineStr">
        <is>
          <t>COP</t>
        </is>
      </c>
      <c r="L907">
        <f>IFERROR(INDEX(Diccionario!$B:$B,MATCH(F919,Diccionario!$C:$C,0)),"")</f>
        <v/>
      </c>
      <c r="M907">
        <f>IFERROR(INDEX(Diccionario!$H:$H,MATCH(F919,Diccionario!$C:$C,0)),"")</f>
        <v/>
      </c>
      <c r="N907">
        <f>IFERROR(INDEX(Diccionario!$N:$N,MATCH(F919,Diccionario!$C:$C,0)),"")</f>
        <v/>
      </c>
    </row>
    <row r="908" ht="14.25" customHeight="1" s="52">
      <c r="A908" t="inlineStr">
        <is>
          <t>2025-04</t>
        </is>
      </c>
      <c r="B908" t="inlineStr">
        <is>
          <t>Colombia</t>
        </is>
      </c>
      <c r="C908" t="inlineStr">
        <is>
          <t>Coco Colombia</t>
        </is>
      </c>
      <c r="D908" t="inlineStr">
        <is>
          <t>COP</t>
        </is>
      </c>
      <c r="E908" t="inlineStr">
        <is>
          <t>Real</t>
        </is>
      </c>
      <c r="F908" t="inlineStr">
        <is>
          <t>gasto_comercial</t>
        </is>
      </c>
      <c r="H908" t="inlineStr">
        <is>
          <t>Servicios</t>
        </is>
      </c>
      <c r="I908" t="n">
        <v>22000000</v>
      </c>
      <c r="J908" t="inlineStr">
        <is>
          <t>COP</t>
        </is>
      </c>
      <c r="L908">
        <f>IFERROR(INDEX(Diccionario!$B:$B,MATCH(F920,Diccionario!$C:$C,0)),"")</f>
        <v/>
      </c>
      <c r="M908">
        <f>IFERROR(INDEX(Diccionario!$H:$H,MATCH(F920,Diccionario!$C:$C,0)),"")</f>
        <v/>
      </c>
      <c r="N908">
        <f>IFERROR(INDEX(Diccionario!$N:$N,MATCH(F920,Diccionario!$C:$C,0)),"")</f>
        <v/>
      </c>
    </row>
    <row r="909" ht="14.25" customHeight="1" s="52">
      <c r="A909" t="inlineStr">
        <is>
          <t>2025-04</t>
        </is>
      </c>
      <c r="B909" t="inlineStr">
        <is>
          <t>Colombia</t>
        </is>
      </c>
      <c r="C909" t="inlineStr">
        <is>
          <t>Coco Colombia</t>
        </is>
      </c>
      <c r="D909" t="inlineStr">
        <is>
          <t>COP</t>
        </is>
      </c>
      <c r="E909" t="inlineStr">
        <is>
          <t>Real</t>
        </is>
      </c>
      <c r="F909" t="inlineStr">
        <is>
          <t>gasto_comercial</t>
        </is>
      </c>
      <c r="H909" t="inlineStr">
        <is>
          <t>Viajes</t>
        </is>
      </c>
      <c r="I909" t="n">
        <v>31600000</v>
      </c>
      <c r="J909" t="inlineStr">
        <is>
          <t>COP</t>
        </is>
      </c>
      <c r="L909">
        <f>IFERROR(INDEX(Diccionario!$B:$B,MATCH(F921,Diccionario!$C:$C,0)),"")</f>
        <v/>
      </c>
      <c r="M909">
        <f>IFERROR(INDEX(Diccionario!$H:$H,MATCH(F921,Diccionario!$C:$C,0)),"")</f>
        <v/>
      </c>
      <c r="N909">
        <f>IFERROR(INDEX(Diccionario!$N:$N,MATCH(F921,Diccionario!$C:$C,0)),"")</f>
        <v/>
      </c>
    </row>
    <row r="910" ht="14.25" customHeight="1" s="52">
      <c r="A910" t="inlineStr">
        <is>
          <t>2025-04</t>
        </is>
      </c>
      <c r="B910" t="inlineStr">
        <is>
          <t>Colombia</t>
        </is>
      </c>
      <c r="C910" t="inlineStr">
        <is>
          <t>Coco Colombia</t>
        </is>
      </c>
      <c r="D910" t="inlineStr">
        <is>
          <t>COP</t>
        </is>
      </c>
      <c r="E910" t="inlineStr">
        <is>
          <t>Real</t>
        </is>
      </c>
      <c r="F910" t="inlineStr">
        <is>
          <t>gasto_comercial</t>
        </is>
      </c>
      <c r="H910" t="inlineStr">
        <is>
          <t>Diversos</t>
        </is>
      </c>
      <c r="I910" t="n">
        <v>17500000</v>
      </c>
      <c r="J910" t="inlineStr">
        <is>
          <t>COP</t>
        </is>
      </c>
      <c r="L910">
        <f>IFERROR(INDEX(Diccionario!$B:$B,MATCH(F922,Diccionario!$C:$C,0)),"")</f>
        <v/>
      </c>
      <c r="M910">
        <f>IFERROR(INDEX(Diccionario!$H:$H,MATCH(F922,Diccionario!$C:$C,0)),"")</f>
        <v/>
      </c>
      <c r="N910">
        <f>IFERROR(INDEX(Diccionario!$N:$N,MATCH(F922,Diccionario!$C:$C,0)),"")</f>
        <v/>
      </c>
    </row>
    <row r="911" ht="14.25" customHeight="1" s="52">
      <c r="A911" t="inlineStr">
        <is>
          <t>2025-05</t>
        </is>
      </c>
      <c r="B911" t="inlineStr">
        <is>
          <t>Colombia</t>
        </is>
      </c>
      <c r="C911" t="inlineStr">
        <is>
          <t>Coco Colombia</t>
        </is>
      </c>
      <c r="D911" t="inlineStr">
        <is>
          <t>COP</t>
        </is>
      </c>
      <c r="E911" t="inlineStr">
        <is>
          <t>Real</t>
        </is>
      </c>
      <c r="F911" t="inlineStr">
        <is>
          <t>gasto_comercial</t>
        </is>
      </c>
      <c r="H911" t="inlineStr">
        <is>
          <t>Personal</t>
        </is>
      </c>
      <c r="I911" t="n">
        <v>103300000</v>
      </c>
      <c r="J911" t="inlineStr">
        <is>
          <t>COP</t>
        </is>
      </c>
      <c r="L911">
        <f>IFERROR(INDEX(Diccionario!$B:$B,MATCH(F923,Diccionario!$C:$C,0)),"")</f>
        <v/>
      </c>
      <c r="M911">
        <f>IFERROR(INDEX(Diccionario!$H:$H,MATCH(F923,Diccionario!$C:$C,0)),"")</f>
        <v/>
      </c>
      <c r="N911">
        <f>IFERROR(INDEX(Diccionario!$N:$N,MATCH(F923,Diccionario!$C:$C,0)),"")</f>
        <v/>
      </c>
    </row>
    <row r="912" ht="14.25" customHeight="1" s="52">
      <c r="A912" t="inlineStr">
        <is>
          <t>2025-05</t>
        </is>
      </c>
      <c r="B912" t="inlineStr">
        <is>
          <t>Colombia</t>
        </is>
      </c>
      <c r="C912" t="inlineStr">
        <is>
          <t>Coco Colombia</t>
        </is>
      </c>
      <c r="D912" t="inlineStr">
        <is>
          <t>COP</t>
        </is>
      </c>
      <c r="E912" t="inlineStr">
        <is>
          <t>Real</t>
        </is>
      </c>
      <c r="F912" t="inlineStr">
        <is>
          <t>gasto_comercial</t>
        </is>
      </c>
      <c r="H912" t="inlineStr">
        <is>
          <t>Honorario</t>
        </is>
      </c>
      <c r="I912" t="n">
        <v>45000000</v>
      </c>
      <c r="J912" t="inlineStr">
        <is>
          <t>COP</t>
        </is>
      </c>
      <c r="L912">
        <f>IFERROR(INDEX(Diccionario!$B:$B,MATCH(F924,Diccionario!$C:$C,0)),"")</f>
        <v/>
      </c>
      <c r="M912">
        <f>IFERROR(INDEX(Diccionario!$H:$H,MATCH(F924,Diccionario!$C:$C,0)),"")</f>
        <v/>
      </c>
      <c r="N912">
        <f>IFERROR(INDEX(Diccionario!$N:$N,MATCH(F924,Diccionario!$C:$C,0)),"")</f>
        <v/>
      </c>
    </row>
    <row r="913" ht="14.25" customHeight="1" s="52">
      <c r="A913" t="inlineStr">
        <is>
          <t>2025-05</t>
        </is>
      </c>
      <c r="B913" t="inlineStr">
        <is>
          <t>Colombia</t>
        </is>
      </c>
      <c r="C913" t="inlineStr">
        <is>
          <t>Coco Colombia</t>
        </is>
      </c>
      <c r="D913" t="inlineStr">
        <is>
          <t>COP</t>
        </is>
      </c>
      <c r="E913" t="inlineStr">
        <is>
          <t>Real</t>
        </is>
      </c>
      <c r="F913" t="inlineStr">
        <is>
          <t>gasto_comercial</t>
        </is>
      </c>
      <c r="H913" t="inlineStr">
        <is>
          <t>Seguros</t>
        </is>
      </c>
      <c r="I913" t="n">
        <v>0</v>
      </c>
      <c r="J913" t="inlineStr">
        <is>
          <t>COP</t>
        </is>
      </c>
      <c r="L913">
        <f>IFERROR(INDEX(Diccionario!$B:$B,MATCH(F925,Diccionario!$C:$C,0)),"")</f>
        <v/>
      </c>
      <c r="M913">
        <f>IFERROR(INDEX(Diccionario!$H:$H,MATCH(F925,Diccionario!$C:$C,0)),"")</f>
        <v/>
      </c>
      <c r="N913">
        <f>IFERROR(INDEX(Diccionario!$N:$N,MATCH(F925,Diccionario!$C:$C,0)),"")</f>
        <v/>
      </c>
    </row>
    <row r="914" ht="14.25" customHeight="1" s="52">
      <c r="A914" t="inlineStr">
        <is>
          <t>2025-05</t>
        </is>
      </c>
      <c r="B914" t="inlineStr">
        <is>
          <t>Colombia</t>
        </is>
      </c>
      <c r="C914" t="inlineStr">
        <is>
          <t>Coco Colombia</t>
        </is>
      </c>
      <c r="D914" t="inlineStr">
        <is>
          <t>COP</t>
        </is>
      </c>
      <c r="E914" t="inlineStr">
        <is>
          <t>Real</t>
        </is>
      </c>
      <c r="F914" t="inlineStr">
        <is>
          <t>gasto_comercial</t>
        </is>
      </c>
      <c r="H914" t="inlineStr">
        <is>
          <t>Servicios</t>
        </is>
      </c>
      <c r="I914" t="n">
        <v>9500000</v>
      </c>
      <c r="J914" t="inlineStr">
        <is>
          <t>COP</t>
        </is>
      </c>
      <c r="L914">
        <f>IFERROR(INDEX(Diccionario!$B:$B,MATCH(F926,Diccionario!$C:$C,0)),"")</f>
        <v/>
      </c>
      <c r="M914">
        <f>IFERROR(INDEX(Diccionario!$H:$H,MATCH(F926,Diccionario!$C:$C,0)),"")</f>
        <v/>
      </c>
      <c r="N914">
        <f>IFERROR(INDEX(Diccionario!$N:$N,MATCH(F926,Diccionario!$C:$C,0)),"")</f>
        <v/>
      </c>
    </row>
    <row r="915" ht="14.25" customHeight="1" s="52">
      <c r="A915" t="inlineStr">
        <is>
          <t>2025-05</t>
        </is>
      </c>
      <c r="B915" t="inlineStr">
        <is>
          <t>Colombia</t>
        </is>
      </c>
      <c r="C915" t="inlineStr">
        <is>
          <t>Coco Colombia</t>
        </is>
      </c>
      <c r="D915" t="inlineStr">
        <is>
          <t>COP</t>
        </is>
      </c>
      <c r="E915" t="inlineStr">
        <is>
          <t>Real</t>
        </is>
      </c>
      <c r="F915" t="inlineStr">
        <is>
          <t>gasto_comercial</t>
        </is>
      </c>
      <c r="H915" t="inlineStr">
        <is>
          <t>Viajes</t>
        </is>
      </c>
      <c r="I915" t="n">
        <v>25600000</v>
      </c>
      <c r="J915" t="inlineStr">
        <is>
          <t>COP</t>
        </is>
      </c>
      <c r="L915">
        <f>IFERROR(INDEX(Diccionario!$B:$B,MATCH(F927,Diccionario!$C:$C,0)),"")</f>
        <v/>
      </c>
      <c r="M915">
        <f>IFERROR(INDEX(Diccionario!$H:$H,MATCH(F927,Diccionario!$C:$C,0)),"")</f>
        <v/>
      </c>
      <c r="N915">
        <f>IFERROR(INDEX(Diccionario!$N:$N,MATCH(F927,Diccionario!$C:$C,0)),"")</f>
        <v/>
      </c>
    </row>
    <row r="916" ht="14.25" customHeight="1" s="52">
      <c r="A916" t="inlineStr">
        <is>
          <t>2025-05</t>
        </is>
      </c>
      <c r="B916" t="inlineStr">
        <is>
          <t>Colombia</t>
        </is>
      </c>
      <c r="C916" t="inlineStr">
        <is>
          <t>Coco Colombia</t>
        </is>
      </c>
      <c r="D916" t="inlineStr">
        <is>
          <t>COP</t>
        </is>
      </c>
      <c r="E916" t="inlineStr">
        <is>
          <t>Real</t>
        </is>
      </c>
      <c r="F916" t="inlineStr">
        <is>
          <t>gasto_comercial</t>
        </is>
      </c>
      <c r="H916" t="inlineStr">
        <is>
          <t>Diversos</t>
        </is>
      </c>
      <c r="I916" t="n">
        <v>9900000</v>
      </c>
      <c r="J916" t="inlineStr">
        <is>
          <t>COP</t>
        </is>
      </c>
      <c r="L916">
        <f>IFERROR(INDEX(Diccionario!$B:$B,MATCH(F928,Diccionario!$C:$C,0)),"")</f>
        <v/>
      </c>
      <c r="M916">
        <f>IFERROR(INDEX(Diccionario!$H:$H,MATCH(F928,Diccionario!$C:$C,0)),"")</f>
        <v/>
      </c>
      <c r="N916">
        <f>IFERROR(INDEX(Diccionario!$N:$N,MATCH(F928,Diccionario!$C:$C,0)),"")</f>
        <v/>
      </c>
    </row>
    <row r="917" ht="14.25" customHeight="1" s="52">
      <c r="A917" t="inlineStr">
        <is>
          <t>2025-06</t>
        </is>
      </c>
      <c r="B917" t="inlineStr">
        <is>
          <t>Colombia</t>
        </is>
      </c>
      <c r="C917" t="inlineStr">
        <is>
          <t>Coco Colombia</t>
        </is>
      </c>
      <c r="D917" t="inlineStr">
        <is>
          <t>COP</t>
        </is>
      </c>
      <c r="E917" t="inlineStr">
        <is>
          <t>Real</t>
        </is>
      </c>
      <c r="F917" t="inlineStr">
        <is>
          <t>gasto_comercial</t>
        </is>
      </c>
      <c r="H917" t="inlineStr">
        <is>
          <t>Personal</t>
        </is>
      </c>
      <c r="I917" t="n">
        <v>105800000</v>
      </c>
      <c r="J917" t="inlineStr">
        <is>
          <t>COP</t>
        </is>
      </c>
      <c r="L917">
        <f>IFERROR(INDEX(Diccionario!$B:$B,MATCH(F929,Diccionario!$C:$C,0)),"")</f>
        <v/>
      </c>
      <c r="M917">
        <f>IFERROR(INDEX(Diccionario!$H:$H,MATCH(F929,Diccionario!$C:$C,0)),"")</f>
        <v/>
      </c>
      <c r="N917">
        <f>IFERROR(INDEX(Diccionario!$N:$N,MATCH(F929,Diccionario!$C:$C,0)),"")</f>
        <v/>
      </c>
    </row>
    <row r="918" ht="14.25" customHeight="1" s="52">
      <c r="A918" t="inlineStr">
        <is>
          <t>2025-06</t>
        </is>
      </c>
      <c r="B918" t="inlineStr">
        <is>
          <t>Colombia</t>
        </is>
      </c>
      <c r="C918" t="inlineStr">
        <is>
          <t>Coco Colombia</t>
        </is>
      </c>
      <c r="D918" t="inlineStr">
        <is>
          <t>COP</t>
        </is>
      </c>
      <c r="E918" t="inlineStr">
        <is>
          <t>Real</t>
        </is>
      </c>
      <c r="F918" t="inlineStr">
        <is>
          <t>gasto_comercial</t>
        </is>
      </c>
      <c r="H918" t="inlineStr">
        <is>
          <t>Honorario</t>
        </is>
      </c>
      <c r="I918" t="n">
        <v>39961000</v>
      </c>
      <c r="J918" t="inlineStr">
        <is>
          <t>COP</t>
        </is>
      </c>
      <c r="L918">
        <f>IFERROR(INDEX(Diccionario!$B:$B,MATCH(F930,Diccionario!$C:$C,0)),"")</f>
        <v/>
      </c>
      <c r="M918">
        <f>IFERROR(INDEX(Diccionario!$H:$H,MATCH(F930,Diccionario!$C:$C,0)),"")</f>
        <v/>
      </c>
      <c r="N918">
        <f>IFERROR(INDEX(Diccionario!$N:$N,MATCH(F930,Diccionario!$C:$C,0)),"")</f>
        <v/>
      </c>
    </row>
    <row r="919" ht="14.25" customHeight="1" s="52">
      <c r="A919" t="inlineStr">
        <is>
          <t>2025-06</t>
        </is>
      </c>
      <c r="B919" t="inlineStr">
        <is>
          <t>Colombia</t>
        </is>
      </c>
      <c r="C919" t="inlineStr">
        <is>
          <t>Coco Colombia</t>
        </is>
      </c>
      <c r="D919" t="inlineStr">
        <is>
          <t>COP</t>
        </is>
      </c>
      <c r="E919" t="inlineStr">
        <is>
          <t>Real</t>
        </is>
      </c>
      <c r="F919" t="inlineStr">
        <is>
          <t>gasto_comercial</t>
        </is>
      </c>
      <c r="H919" t="inlineStr">
        <is>
          <t>Seguros</t>
        </is>
      </c>
      <c r="I919" t="n">
        <v>0</v>
      </c>
      <c r="J919" t="inlineStr">
        <is>
          <t>COP</t>
        </is>
      </c>
      <c r="L919">
        <f>IFERROR(INDEX(Diccionario!$B:$B,MATCH(F931,Diccionario!$C:$C,0)),"")</f>
        <v/>
      </c>
      <c r="M919">
        <f>IFERROR(INDEX(Diccionario!$H:$H,MATCH(F931,Diccionario!$C:$C,0)),"")</f>
        <v/>
      </c>
      <c r="N919">
        <f>IFERROR(INDEX(Diccionario!$N:$N,MATCH(F931,Diccionario!$C:$C,0)),"")</f>
        <v/>
      </c>
    </row>
    <row r="920" ht="14.25" customHeight="1" s="52">
      <c r="A920" t="inlineStr">
        <is>
          <t>2025-06</t>
        </is>
      </c>
      <c r="B920" t="inlineStr">
        <is>
          <t>Colombia</t>
        </is>
      </c>
      <c r="C920" t="inlineStr">
        <is>
          <t>Coco Colombia</t>
        </is>
      </c>
      <c r="D920" t="inlineStr">
        <is>
          <t>COP</t>
        </is>
      </c>
      <c r="E920" t="inlineStr">
        <is>
          <t>Real</t>
        </is>
      </c>
      <c r="F920" t="inlineStr">
        <is>
          <t>gasto_comercial</t>
        </is>
      </c>
      <c r="H920" t="inlineStr">
        <is>
          <t>Servicios</t>
        </is>
      </c>
      <c r="I920" t="n">
        <v>26300000</v>
      </c>
      <c r="J920" t="inlineStr">
        <is>
          <t>COP</t>
        </is>
      </c>
      <c r="L920">
        <f>IFERROR(INDEX(Diccionario!$B:$B,MATCH(F932,Diccionario!$C:$C,0)),"")</f>
        <v/>
      </c>
      <c r="M920">
        <f>IFERROR(INDEX(Diccionario!$H:$H,MATCH(F932,Diccionario!$C:$C,0)),"")</f>
        <v/>
      </c>
      <c r="N920">
        <f>IFERROR(INDEX(Diccionario!$N:$N,MATCH(F932,Diccionario!$C:$C,0)),"")</f>
        <v/>
      </c>
    </row>
    <row r="921" ht="14.25" customHeight="1" s="52">
      <c r="A921" t="inlineStr">
        <is>
          <t>2025-06</t>
        </is>
      </c>
      <c r="B921" t="inlineStr">
        <is>
          <t>Colombia</t>
        </is>
      </c>
      <c r="C921" t="inlineStr">
        <is>
          <t>Coco Colombia</t>
        </is>
      </c>
      <c r="D921" t="inlineStr">
        <is>
          <t>COP</t>
        </is>
      </c>
      <c r="E921" t="inlineStr">
        <is>
          <t>Real</t>
        </is>
      </c>
      <c r="F921" t="inlineStr">
        <is>
          <t>gasto_comercial</t>
        </is>
      </c>
      <c r="H921" t="inlineStr">
        <is>
          <t>Viajes</t>
        </is>
      </c>
      <c r="I921" t="n">
        <v>44990000</v>
      </c>
      <c r="J921" t="inlineStr">
        <is>
          <t>COP</t>
        </is>
      </c>
      <c r="L921">
        <f>IFERROR(INDEX(Diccionario!$B:$B,MATCH(F933,Diccionario!$C:$C,0)),"")</f>
        <v/>
      </c>
      <c r="M921">
        <f>IFERROR(INDEX(Diccionario!$H:$H,MATCH(F933,Diccionario!$C:$C,0)),"")</f>
        <v/>
      </c>
      <c r="N921">
        <f>IFERROR(INDEX(Diccionario!$N:$N,MATCH(F933,Diccionario!$C:$C,0)),"")</f>
        <v/>
      </c>
    </row>
    <row r="922" ht="14.25" customHeight="1" s="52">
      <c r="A922" t="inlineStr">
        <is>
          <t>2025-06</t>
        </is>
      </c>
      <c r="B922" t="inlineStr">
        <is>
          <t>Colombia</t>
        </is>
      </c>
      <c r="C922" t="inlineStr">
        <is>
          <t>Coco Colombia</t>
        </is>
      </c>
      <c r="D922" t="inlineStr">
        <is>
          <t>COP</t>
        </is>
      </c>
      <c r="E922" t="inlineStr">
        <is>
          <t>Real</t>
        </is>
      </c>
      <c r="F922" t="inlineStr">
        <is>
          <t>gasto_comercial</t>
        </is>
      </c>
      <c r="H922" t="inlineStr">
        <is>
          <t>Diversos</t>
        </is>
      </c>
      <c r="I922" t="n">
        <v>8800000</v>
      </c>
      <c r="J922" t="inlineStr">
        <is>
          <t>COP</t>
        </is>
      </c>
      <c r="L922">
        <f>IFERROR(INDEX(Diccionario!$B:$B,MATCH(F934,Diccionario!$C:$C,0)),"")</f>
        <v/>
      </c>
      <c r="M922">
        <f>IFERROR(INDEX(Diccionario!$H:$H,MATCH(F934,Diccionario!$C:$C,0)),"")</f>
        <v/>
      </c>
      <c r="N922">
        <f>IFERROR(INDEX(Diccionario!$N:$N,MATCH(F934,Diccionario!$C:$C,0)),"")</f>
        <v/>
      </c>
    </row>
    <row r="923" ht="14.25" customHeight="1" s="52">
      <c r="A923" t="inlineStr">
        <is>
          <t>2025-07</t>
        </is>
      </c>
      <c r="B923" t="inlineStr">
        <is>
          <t>Colombia</t>
        </is>
      </c>
      <c r="C923" t="inlineStr">
        <is>
          <t>Coco Colombia</t>
        </is>
      </c>
      <c r="D923" t="inlineStr">
        <is>
          <t>COP</t>
        </is>
      </c>
      <c r="E923" t="inlineStr">
        <is>
          <t>Real</t>
        </is>
      </c>
      <c r="F923" t="inlineStr">
        <is>
          <t>gasto_comercial</t>
        </is>
      </c>
      <c r="H923" t="inlineStr">
        <is>
          <t>Personal</t>
        </is>
      </c>
      <c r="I923" t="n">
        <v>91900000</v>
      </c>
      <c r="J923" t="inlineStr">
        <is>
          <t>COP</t>
        </is>
      </c>
      <c r="L923">
        <f>IFERROR(INDEX(Diccionario!$B:$B,MATCH(F935,Diccionario!$C:$C,0)),"")</f>
        <v/>
      </c>
      <c r="M923">
        <f>IFERROR(INDEX(Diccionario!$H:$H,MATCH(F935,Diccionario!$C:$C,0)),"")</f>
        <v/>
      </c>
      <c r="N923">
        <f>IFERROR(INDEX(Diccionario!$N:$N,MATCH(F935,Diccionario!$C:$C,0)),"")</f>
        <v/>
      </c>
    </row>
    <row r="924" ht="14.25" customHeight="1" s="52">
      <c r="A924" t="inlineStr">
        <is>
          <t>2025-07</t>
        </is>
      </c>
      <c r="B924" t="inlineStr">
        <is>
          <t>Colombia</t>
        </is>
      </c>
      <c r="C924" t="inlineStr">
        <is>
          <t>Coco Colombia</t>
        </is>
      </c>
      <c r="D924" t="inlineStr">
        <is>
          <t>COP</t>
        </is>
      </c>
      <c r="E924" t="inlineStr">
        <is>
          <t>Real</t>
        </is>
      </c>
      <c r="F924" t="inlineStr">
        <is>
          <t>gasto_comercial</t>
        </is>
      </c>
      <c r="H924" t="inlineStr">
        <is>
          <t>Honorario</t>
        </is>
      </c>
      <c r="I924" t="n">
        <v>54765000</v>
      </c>
      <c r="J924" t="inlineStr">
        <is>
          <t>COP</t>
        </is>
      </c>
      <c r="L924">
        <f>IFERROR(INDEX(Diccionario!$B:$B,MATCH(F936,Diccionario!$C:$C,0)),"")</f>
        <v/>
      </c>
      <c r="M924">
        <f>IFERROR(INDEX(Diccionario!$H:$H,MATCH(F936,Diccionario!$C:$C,0)),"")</f>
        <v/>
      </c>
      <c r="N924">
        <f>IFERROR(INDEX(Diccionario!$N:$N,MATCH(F936,Diccionario!$C:$C,0)),"")</f>
        <v/>
      </c>
    </row>
    <row r="925" ht="14.25" customHeight="1" s="52">
      <c r="A925" t="inlineStr">
        <is>
          <t>2025-07</t>
        </is>
      </c>
      <c r="B925" t="inlineStr">
        <is>
          <t>Colombia</t>
        </is>
      </c>
      <c r="C925" t="inlineStr">
        <is>
          <t>Coco Colombia</t>
        </is>
      </c>
      <c r="D925" t="inlineStr">
        <is>
          <t>COP</t>
        </is>
      </c>
      <c r="E925" t="inlineStr">
        <is>
          <t>Real</t>
        </is>
      </c>
      <c r="F925" t="inlineStr">
        <is>
          <t>gasto_comercial</t>
        </is>
      </c>
      <c r="H925" t="inlineStr">
        <is>
          <t>Seguros</t>
        </is>
      </c>
      <c r="I925" t="n">
        <v>300000</v>
      </c>
      <c r="J925" t="inlineStr">
        <is>
          <t>COP</t>
        </is>
      </c>
      <c r="L925">
        <f>IFERROR(INDEX(Diccionario!$B:$B,MATCH(F937,Diccionario!$C:$C,0)),"")</f>
        <v/>
      </c>
      <c r="M925">
        <f>IFERROR(INDEX(Diccionario!$H:$H,MATCH(F937,Diccionario!$C:$C,0)),"")</f>
        <v/>
      </c>
      <c r="N925">
        <f>IFERROR(INDEX(Diccionario!$N:$N,MATCH(F937,Diccionario!$C:$C,0)),"")</f>
        <v/>
      </c>
    </row>
    <row r="926" ht="14.25" customHeight="1" s="52">
      <c r="A926" t="inlineStr">
        <is>
          <t>2025-07</t>
        </is>
      </c>
      <c r="B926" t="inlineStr">
        <is>
          <t>Colombia</t>
        </is>
      </c>
      <c r="C926" t="inlineStr">
        <is>
          <t>Coco Colombia</t>
        </is>
      </c>
      <c r="D926" t="inlineStr">
        <is>
          <t>COP</t>
        </is>
      </c>
      <c r="E926" t="inlineStr">
        <is>
          <t>Real</t>
        </is>
      </c>
      <c r="F926" t="inlineStr">
        <is>
          <t>gasto_comercial</t>
        </is>
      </c>
      <c r="H926" t="inlineStr">
        <is>
          <t>Servicios</t>
        </is>
      </c>
      <c r="I926" t="n">
        <v>58200000</v>
      </c>
      <c r="J926" t="inlineStr">
        <is>
          <t>COP</t>
        </is>
      </c>
      <c r="L926">
        <f>IFERROR(INDEX(Diccionario!$B:$B,MATCH(F938,Diccionario!$C:$C,0)),"")</f>
        <v/>
      </c>
      <c r="M926">
        <f>IFERROR(INDEX(Diccionario!$H:$H,MATCH(F938,Diccionario!$C:$C,0)),"")</f>
        <v/>
      </c>
      <c r="N926">
        <f>IFERROR(INDEX(Diccionario!$N:$N,MATCH(F938,Diccionario!$C:$C,0)),"")</f>
        <v/>
      </c>
    </row>
    <row r="927" ht="14.25" customHeight="1" s="52">
      <c r="A927" t="inlineStr">
        <is>
          <t>2025-07</t>
        </is>
      </c>
      <c r="B927" t="inlineStr">
        <is>
          <t>Colombia</t>
        </is>
      </c>
      <c r="C927" t="inlineStr">
        <is>
          <t>Coco Colombia</t>
        </is>
      </c>
      <c r="D927" t="inlineStr">
        <is>
          <t>COP</t>
        </is>
      </c>
      <c r="E927" t="inlineStr">
        <is>
          <t>Real</t>
        </is>
      </c>
      <c r="F927" t="inlineStr">
        <is>
          <t>gasto_comercial</t>
        </is>
      </c>
      <c r="H927" t="inlineStr">
        <is>
          <t>Viajes</t>
        </is>
      </c>
      <c r="I927" t="n">
        <v>23400000</v>
      </c>
      <c r="J927" t="inlineStr">
        <is>
          <t>COP</t>
        </is>
      </c>
      <c r="L927">
        <f>IFERROR(INDEX(Diccionario!$B:$B,MATCH(F939,Diccionario!$C:$C,0)),"")</f>
        <v/>
      </c>
      <c r="M927">
        <f>IFERROR(INDEX(Diccionario!$H:$H,MATCH(F939,Diccionario!$C:$C,0)),"")</f>
        <v/>
      </c>
      <c r="N927">
        <f>IFERROR(INDEX(Diccionario!$N:$N,MATCH(F939,Diccionario!$C:$C,0)),"")</f>
        <v/>
      </c>
    </row>
    <row r="928" ht="14.25" customHeight="1" s="52">
      <c r="A928" t="inlineStr">
        <is>
          <t>2025-07</t>
        </is>
      </c>
      <c r="B928" t="inlineStr">
        <is>
          <t>Colombia</t>
        </is>
      </c>
      <c r="C928" t="inlineStr">
        <is>
          <t>Coco Colombia</t>
        </is>
      </c>
      <c r="D928" t="inlineStr">
        <is>
          <t>COP</t>
        </is>
      </c>
      <c r="E928" t="inlineStr">
        <is>
          <t>Real</t>
        </is>
      </c>
      <c r="F928" t="inlineStr">
        <is>
          <t>gasto_comercial</t>
        </is>
      </c>
      <c r="H928" t="inlineStr">
        <is>
          <t>Diversos</t>
        </is>
      </c>
      <c r="I928" t="n">
        <v>11100000</v>
      </c>
      <c r="J928" t="inlineStr">
        <is>
          <t>COP</t>
        </is>
      </c>
      <c r="L928">
        <f>IFERROR(INDEX(Diccionario!$B:$B,MATCH(F940,Diccionario!$C:$C,0)),"")</f>
        <v/>
      </c>
      <c r="M928">
        <f>IFERROR(INDEX(Diccionario!$H:$H,MATCH(F940,Diccionario!$C:$C,0)),"")</f>
        <v/>
      </c>
      <c r="N928">
        <f>IFERROR(INDEX(Diccionario!$N:$N,MATCH(F940,Diccionario!$C:$C,0)),"")</f>
        <v/>
      </c>
    </row>
    <row r="929" ht="14.25" customHeight="1" s="52">
      <c r="A929" t="inlineStr">
        <is>
          <t>2025-08</t>
        </is>
      </c>
      <c r="B929" t="inlineStr">
        <is>
          <t>Colombia</t>
        </is>
      </c>
      <c r="C929" t="inlineStr">
        <is>
          <t>Coco Colombia</t>
        </is>
      </c>
      <c r="D929" t="inlineStr">
        <is>
          <t>COP</t>
        </is>
      </c>
      <c r="E929" t="inlineStr">
        <is>
          <t>Real</t>
        </is>
      </c>
      <c r="F929" t="inlineStr">
        <is>
          <t>gasto_comercial</t>
        </is>
      </c>
      <c r="H929" t="inlineStr">
        <is>
          <t>Personal</t>
        </is>
      </c>
      <c r="I929" t="n">
        <v>77100000</v>
      </c>
      <c r="J929" t="inlineStr">
        <is>
          <t>COP</t>
        </is>
      </c>
      <c r="L929">
        <f>IFERROR(INDEX(Diccionario!$B:$B,MATCH(F941,Diccionario!$C:$C,0)),"")</f>
        <v/>
      </c>
      <c r="M929">
        <f>IFERROR(INDEX(Diccionario!$H:$H,MATCH(F941,Diccionario!$C:$C,0)),"")</f>
        <v/>
      </c>
      <c r="N929">
        <f>IFERROR(INDEX(Diccionario!$N:$N,MATCH(F941,Diccionario!$C:$C,0)),"")</f>
        <v/>
      </c>
    </row>
    <row r="930" ht="14.25" customHeight="1" s="52">
      <c r="A930" t="inlineStr">
        <is>
          <t>2025-08</t>
        </is>
      </c>
      <c r="B930" t="inlineStr">
        <is>
          <t>Colombia</t>
        </is>
      </c>
      <c r="C930" t="inlineStr">
        <is>
          <t>Coco Colombia</t>
        </is>
      </c>
      <c r="D930" t="inlineStr">
        <is>
          <t>COP</t>
        </is>
      </c>
      <c r="E930" t="inlineStr">
        <is>
          <t>Real</t>
        </is>
      </c>
      <c r="F930" t="inlineStr">
        <is>
          <t>gasto_comercial</t>
        </is>
      </c>
      <c r="H930" t="inlineStr">
        <is>
          <t>Honorario</t>
        </is>
      </c>
      <c r="I930" t="n">
        <v>24700000</v>
      </c>
      <c r="J930" t="inlineStr">
        <is>
          <t>COP</t>
        </is>
      </c>
      <c r="L930">
        <f>IFERROR(INDEX(Diccionario!$B:$B,MATCH(F942,Diccionario!$C:$C,0)),"")</f>
        <v/>
      </c>
      <c r="M930">
        <f>IFERROR(INDEX(Diccionario!$H:$H,MATCH(F942,Diccionario!$C:$C,0)),"")</f>
        <v/>
      </c>
      <c r="N930">
        <f>IFERROR(INDEX(Diccionario!$N:$N,MATCH(F942,Diccionario!$C:$C,0)),"")</f>
        <v/>
      </c>
    </row>
    <row r="931" ht="14.25" customHeight="1" s="52">
      <c r="A931" t="inlineStr">
        <is>
          <t>2025-08</t>
        </is>
      </c>
      <c r="B931" t="inlineStr">
        <is>
          <t>Colombia</t>
        </is>
      </c>
      <c r="C931" t="inlineStr">
        <is>
          <t>Coco Colombia</t>
        </is>
      </c>
      <c r="D931" t="inlineStr">
        <is>
          <t>COP</t>
        </is>
      </c>
      <c r="E931" t="inlineStr">
        <is>
          <t>Real</t>
        </is>
      </c>
      <c r="F931" t="inlineStr">
        <is>
          <t>gasto_comercial</t>
        </is>
      </c>
      <c r="H931" t="inlineStr">
        <is>
          <t>Seguros</t>
        </is>
      </c>
      <c r="I931" t="n">
        <v>0</v>
      </c>
      <c r="J931" t="inlineStr">
        <is>
          <t>COP</t>
        </is>
      </c>
      <c r="L931">
        <f>IFERROR(INDEX(Diccionario!$B:$B,MATCH(F943,Diccionario!$C:$C,0)),"")</f>
        <v/>
      </c>
      <c r="M931">
        <f>IFERROR(INDEX(Diccionario!$H:$H,MATCH(F943,Diccionario!$C:$C,0)),"")</f>
        <v/>
      </c>
      <c r="N931">
        <f>IFERROR(INDEX(Diccionario!$N:$N,MATCH(F943,Diccionario!$C:$C,0)),"")</f>
        <v/>
      </c>
    </row>
    <row r="932" ht="14.25" customHeight="1" s="52">
      <c r="A932" t="inlineStr">
        <is>
          <t>2025-08</t>
        </is>
      </c>
      <c r="B932" t="inlineStr">
        <is>
          <t>Colombia</t>
        </is>
      </c>
      <c r="C932" t="inlineStr">
        <is>
          <t>Coco Colombia</t>
        </is>
      </c>
      <c r="D932" t="inlineStr">
        <is>
          <t>COP</t>
        </is>
      </c>
      <c r="E932" t="inlineStr">
        <is>
          <t>Real</t>
        </is>
      </c>
      <c r="F932" t="inlineStr">
        <is>
          <t>gasto_comercial</t>
        </is>
      </c>
      <c r="H932" t="inlineStr">
        <is>
          <t>Servicios</t>
        </is>
      </c>
      <c r="I932" t="n">
        <v>33200000</v>
      </c>
      <c r="J932" t="inlineStr">
        <is>
          <t>COP</t>
        </is>
      </c>
      <c r="L932">
        <f>IFERROR(INDEX(Diccionario!$B:$B,MATCH(F944,Diccionario!$C:$C,0)),"")</f>
        <v/>
      </c>
      <c r="M932">
        <f>IFERROR(INDEX(Diccionario!$H:$H,MATCH(F944,Diccionario!$C:$C,0)),"")</f>
        <v/>
      </c>
      <c r="N932">
        <f>IFERROR(INDEX(Diccionario!$N:$N,MATCH(F944,Diccionario!$C:$C,0)),"")</f>
        <v/>
      </c>
    </row>
    <row r="933" ht="14.25" customHeight="1" s="52">
      <c r="A933" t="inlineStr">
        <is>
          <t>2025-08</t>
        </is>
      </c>
      <c r="B933" t="inlineStr">
        <is>
          <t>Colombia</t>
        </is>
      </c>
      <c r="C933" t="inlineStr">
        <is>
          <t>Coco Colombia</t>
        </is>
      </c>
      <c r="D933" t="inlineStr">
        <is>
          <t>COP</t>
        </is>
      </c>
      <c r="E933" t="inlineStr">
        <is>
          <t>Real</t>
        </is>
      </c>
      <c r="F933" t="inlineStr">
        <is>
          <t>gasto_comercial</t>
        </is>
      </c>
      <c r="H933" t="inlineStr">
        <is>
          <t>Viajes</t>
        </is>
      </c>
      <c r="I933" t="n">
        <v>26700000</v>
      </c>
      <c r="J933" t="inlineStr">
        <is>
          <t>COP</t>
        </is>
      </c>
      <c r="L933">
        <f>IFERROR(INDEX(Diccionario!$B:$B,MATCH(F945,Diccionario!$C:$C,0)),"")</f>
        <v/>
      </c>
      <c r="M933">
        <f>IFERROR(INDEX(Diccionario!$H:$H,MATCH(F945,Diccionario!$C:$C,0)),"")</f>
        <v/>
      </c>
      <c r="N933">
        <f>IFERROR(INDEX(Diccionario!$N:$N,MATCH(F945,Diccionario!$C:$C,0)),"")</f>
        <v/>
      </c>
    </row>
    <row r="934" ht="14.25" customHeight="1" s="52">
      <c r="A934" t="inlineStr">
        <is>
          <t>2025-08</t>
        </is>
      </c>
      <c r="B934" t="inlineStr">
        <is>
          <t>Colombia</t>
        </is>
      </c>
      <c r="C934" t="inlineStr">
        <is>
          <t>Coco Colombia</t>
        </is>
      </c>
      <c r="D934" t="inlineStr">
        <is>
          <t>COP</t>
        </is>
      </c>
      <c r="E934" t="inlineStr">
        <is>
          <t>Real</t>
        </is>
      </c>
      <c r="F934" t="inlineStr">
        <is>
          <t>gasto_comercial</t>
        </is>
      </c>
      <c r="H934" t="inlineStr">
        <is>
          <t>Diversos</t>
        </is>
      </c>
      <c r="I934" t="n">
        <v>7600000</v>
      </c>
      <c r="J934" t="inlineStr">
        <is>
          <t>COP</t>
        </is>
      </c>
      <c r="L934">
        <f>IFERROR(INDEX(Diccionario!$B:$B,MATCH(F946,Diccionario!$C:$C,0)),"")</f>
        <v/>
      </c>
      <c r="M934">
        <f>IFERROR(INDEX(Diccionario!$H:$H,MATCH(F946,Diccionario!$C:$C,0)),"")</f>
        <v/>
      </c>
      <c r="N934">
        <f>IFERROR(INDEX(Diccionario!$N:$N,MATCH(F946,Diccionario!$C:$C,0)),"")</f>
        <v/>
      </c>
    </row>
    <row r="935" ht="14.25" customHeight="1" s="52">
      <c r="A935" t="inlineStr">
        <is>
          <t>2025-09</t>
        </is>
      </c>
      <c r="B935" t="inlineStr">
        <is>
          <t>Colombia</t>
        </is>
      </c>
      <c r="C935" t="inlineStr">
        <is>
          <t>Coco Colombia</t>
        </is>
      </c>
      <c r="D935" t="inlineStr">
        <is>
          <t>COP</t>
        </is>
      </c>
      <c r="E935" t="inlineStr">
        <is>
          <t>Real</t>
        </is>
      </c>
      <c r="F935" t="inlineStr">
        <is>
          <t>gasto_comercial</t>
        </is>
      </c>
      <c r="H935" t="inlineStr">
        <is>
          <t>Personal</t>
        </is>
      </c>
      <c r="I935" t="n">
        <v>66220000</v>
      </c>
      <c r="J935" t="inlineStr">
        <is>
          <t>COP</t>
        </is>
      </c>
      <c r="L935">
        <f>IFERROR(INDEX(Diccionario!$B:$B,MATCH(F947,Diccionario!$C:$C,0)),"")</f>
        <v/>
      </c>
      <c r="M935">
        <f>IFERROR(INDEX(Diccionario!$H:$H,MATCH(F947,Diccionario!$C:$C,0)),"")</f>
        <v/>
      </c>
      <c r="N935">
        <f>IFERROR(INDEX(Diccionario!$N:$N,MATCH(F947,Diccionario!$C:$C,0)),"")</f>
        <v/>
      </c>
    </row>
    <row r="936" ht="14.25" customHeight="1" s="52">
      <c r="A936" t="inlineStr">
        <is>
          <t>2025-09</t>
        </is>
      </c>
      <c r="B936" t="inlineStr">
        <is>
          <t>Colombia</t>
        </is>
      </c>
      <c r="C936" t="inlineStr">
        <is>
          <t>Coco Colombia</t>
        </is>
      </c>
      <c r="D936" t="inlineStr">
        <is>
          <t>COP</t>
        </is>
      </c>
      <c r="E936" t="inlineStr">
        <is>
          <t>Real</t>
        </is>
      </c>
      <c r="F936" t="inlineStr">
        <is>
          <t>gasto_comercial</t>
        </is>
      </c>
      <c r="H936" t="inlineStr">
        <is>
          <t>Honorario</t>
        </is>
      </c>
      <c r="I936" t="n">
        <v>38000000</v>
      </c>
      <c r="J936" t="inlineStr">
        <is>
          <t>COP</t>
        </is>
      </c>
      <c r="L936">
        <f>IFERROR(INDEX(Diccionario!$B:$B,MATCH(F948,Diccionario!$C:$C,0)),"")</f>
        <v/>
      </c>
      <c r="M936">
        <f>IFERROR(INDEX(Diccionario!$H:$H,MATCH(F948,Diccionario!$C:$C,0)),"")</f>
        <v/>
      </c>
      <c r="N936">
        <f>IFERROR(INDEX(Diccionario!$N:$N,MATCH(F948,Diccionario!$C:$C,0)),"")</f>
        <v/>
      </c>
    </row>
    <row r="937" ht="14.25" customHeight="1" s="52">
      <c r="A937" t="inlineStr">
        <is>
          <t>2025-09</t>
        </is>
      </c>
      <c r="B937" t="inlineStr">
        <is>
          <t>Colombia</t>
        </is>
      </c>
      <c r="C937" t="inlineStr">
        <is>
          <t>Coco Colombia</t>
        </is>
      </c>
      <c r="D937" t="inlineStr">
        <is>
          <t>COP</t>
        </is>
      </c>
      <c r="E937" t="inlineStr">
        <is>
          <t>Real</t>
        </is>
      </c>
      <c r="F937" t="inlineStr">
        <is>
          <t>gasto_comercial</t>
        </is>
      </c>
      <c r="H937" t="inlineStr">
        <is>
          <t>Seguros</t>
        </is>
      </c>
      <c r="I937" t="n">
        <v>1900000</v>
      </c>
      <c r="J937" t="inlineStr">
        <is>
          <t>COP</t>
        </is>
      </c>
      <c r="L937">
        <f>IFERROR(INDEX(Diccionario!$B:$B,MATCH(F949,Diccionario!$C:$C,0)),"")</f>
        <v/>
      </c>
      <c r="M937">
        <f>IFERROR(INDEX(Diccionario!$H:$H,MATCH(F949,Diccionario!$C:$C,0)),"")</f>
        <v/>
      </c>
      <c r="N937">
        <f>IFERROR(INDEX(Diccionario!$N:$N,MATCH(F949,Diccionario!$C:$C,0)),"")</f>
        <v/>
      </c>
    </row>
    <row r="938" ht="14.25" customHeight="1" s="52">
      <c r="A938" t="inlineStr">
        <is>
          <t>2025-09</t>
        </is>
      </c>
      <c r="B938" t="inlineStr">
        <is>
          <t>Colombia</t>
        </is>
      </c>
      <c r="C938" t="inlineStr">
        <is>
          <t>Coco Colombia</t>
        </is>
      </c>
      <c r="D938" t="inlineStr">
        <is>
          <t>COP</t>
        </is>
      </c>
      <c r="E938" t="inlineStr">
        <is>
          <t>Real</t>
        </is>
      </c>
      <c r="F938" t="inlineStr">
        <is>
          <t>gasto_comercial</t>
        </is>
      </c>
      <c r="H938" t="inlineStr">
        <is>
          <t>Servicios</t>
        </is>
      </c>
      <c r="I938" t="n">
        <v>52800000</v>
      </c>
      <c r="J938" t="inlineStr">
        <is>
          <t>COP</t>
        </is>
      </c>
      <c r="L938">
        <f>IFERROR(INDEX(Diccionario!$B:$B,MATCH(F950,Diccionario!$C:$C,0)),"")</f>
        <v/>
      </c>
      <c r="M938">
        <f>IFERROR(INDEX(Diccionario!$H:$H,MATCH(F950,Diccionario!$C:$C,0)),"")</f>
        <v/>
      </c>
      <c r="N938">
        <f>IFERROR(INDEX(Diccionario!$N:$N,MATCH(F950,Diccionario!$C:$C,0)),"")</f>
        <v/>
      </c>
    </row>
    <row r="939" ht="14.25" customHeight="1" s="52">
      <c r="A939" t="inlineStr">
        <is>
          <t>2025-09</t>
        </is>
      </c>
      <c r="B939" t="inlineStr">
        <is>
          <t>Colombia</t>
        </is>
      </c>
      <c r="C939" t="inlineStr">
        <is>
          <t>Coco Colombia</t>
        </is>
      </c>
      <c r="D939" t="inlineStr">
        <is>
          <t>COP</t>
        </is>
      </c>
      <c r="E939" t="inlineStr">
        <is>
          <t>Real</t>
        </is>
      </c>
      <c r="F939" t="inlineStr">
        <is>
          <t>gasto_comercial</t>
        </is>
      </c>
      <c r="H939" t="inlineStr">
        <is>
          <t>Viajes</t>
        </is>
      </c>
      <c r="I939" t="n">
        <v>19100000</v>
      </c>
      <c r="J939" t="inlineStr">
        <is>
          <t>COP</t>
        </is>
      </c>
      <c r="L939">
        <f>IFERROR(INDEX(Diccionario!$B:$B,MATCH(F951,Diccionario!$C:$C,0)),"")</f>
        <v/>
      </c>
      <c r="M939">
        <f>IFERROR(INDEX(Diccionario!$H:$H,MATCH(F951,Diccionario!$C:$C,0)),"")</f>
        <v/>
      </c>
      <c r="N939">
        <f>IFERROR(INDEX(Diccionario!$N:$N,MATCH(F951,Diccionario!$C:$C,0)),"")</f>
        <v/>
      </c>
    </row>
    <row r="940" ht="14.25" customHeight="1" s="52">
      <c r="A940" t="inlineStr">
        <is>
          <t>2025-09</t>
        </is>
      </c>
      <c r="B940" t="inlineStr">
        <is>
          <t>Colombia</t>
        </is>
      </c>
      <c r="C940" t="inlineStr">
        <is>
          <t>Coco Colombia</t>
        </is>
      </c>
      <c r="D940" t="inlineStr">
        <is>
          <t>COP</t>
        </is>
      </c>
      <c r="E940" t="inlineStr">
        <is>
          <t>Real</t>
        </is>
      </c>
      <c r="F940" t="inlineStr">
        <is>
          <t>gasto_comercial</t>
        </is>
      </c>
      <c r="H940" t="inlineStr">
        <is>
          <t>Diversos</t>
        </is>
      </c>
      <c r="I940" t="n">
        <v>10600000</v>
      </c>
      <c r="J940" t="inlineStr">
        <is>
          <t>COP</t>
        </is>
      </c>
      <c r="L940">
        <f>IFERROR(INDEX(Diccionario!$B:$B,MATCH(F952,Diccionario!$C:$C,0)),"")</f>
        <v/>
      </c>
      <c r="M940">
        <f>IFERROR(INDEX(Diccionario!$H:$H,MATCH(F952,Diccionario!$C:$C,0)),"")</f>
        <v/>
      </c>
      <c r="N940">
        <f>IFERROR(INDEX(Diccionario!$N:$N,MATCH(F952,Diccionario!$C:$C,0)),"")</f>
        <v/>
      </c>
    </row>
    <row r="941" ht="14.25" customHeight="1" s="52">
      <c r="A941" t="inlineStr">
        <is>
          <t>2025-10</t>
        </is>
      </c>
      <c r="B941" t="inlineStr">
        <is>
          <t>Colombia</t>
        </is>
      </c>
      <c r="C941" t="inlineStr">
        <is>
          <t>Coco Colombia</t>
        </is>
      </c>
      <c r="D941" t="inlineStr">
        <is>
          <t>COP</t>
        </is>
      </c>
      <c r="E941" t="inlineStr">
        <is>
          <t>Real</t>
        </is>
      </c>
      <c r="F941" t="inlineStr">
        <is>
          <t>gasto_comercial</t>
        </is>
      </c>
      <c r="H941" t="inlineStr">
        <is>
          <t>Personal</t>
        </is>
      </c>
      <c r="I941" t="n">
        <v>80100000</v>
      </c>
      <c r="J941" t="inlineStr">
        <is>
          <t>COP</t>
        </is>
      </c>
      <c r="L941">
        <f>IFERROR(INDEX(Diccionario!$B:$B,MATCH(F953,Diccionario!$C:$C,0)),"")</f>
        <v/>
      </c>
      <c r="M941">
        <f>IFERROR(INDEX(Diccionario!$H:$H,MATCH(F953,Diccionario!$C:$C,0)),"")</f>
        <v/>
      </c>
      <c r="N941">
        <f>IFERROR(INDEX(Diccionario!$N:$N,MATCH(F953,Diccionario!$C:$C,0)),"")</f>
        <v/>
      </c>
    </row>
    <row r="942" ht="14.25" customHeight="1" s="52">
      <c r="A942" t="inlineStr">
        <is>
          <t>2025-10</t>
        </is>
      </c>
      <c r="B942" t="inlineStr">
        <is>
          <t>Colombia</t>
        </is>
      </c>
      <c r="C942" t="inlineStr">
        <is>
          <t>Coco Colombia</t>
        </is>
      </c>
      <c r="D942" t="inlineStr">
        <is>
          <t>COP</t>
        </is>
      </c>
      <c r="E942" t="inlineStr">
        <is>
          <t>Real</t>
        </is>
      </c>
      <c r="F942" t="inlineStr">
        <is>
          <t>gasto_comercial</t>
        </is>
      </c>
      <c r="H942" t="inlineStr">
        <is>
          <t>Honorario</t>
        </is>
      </c>
      <c r="I942" t="n">
        <v>38600000</v>
      </c>
      <c r="J942" t="inlineStr">
        <is>
          <t>COP</t>
        </is>
      </c>
      <c r="L942">
        <f>IFERROR(INDEX(Diccionario!$B:$B,MATCH(F954,Diccionario!$C:$C,0)),"")</f>
        <v/>
      </c>
      <c r="M942">
        <f>IFERROR(INDEX(Diccionario!$H:$H,MATCH(F954,Diccionario!$C:$C,0)),"")</f>
        <v/>
      </c>
      <c r="N942">
        <f>IFERROR(INDEX(Diccionario!$N:$N,MATCH(F954,Diccionario!$C:$C,0)),"")</f>
        <v/>
      </c>
    </row>
    <row r="943" ht="14.25" customHeight="1" s="52">
      <c r="A943" t="inlineStr">
        <is>
          <t>2025-10</t>
        </is>
      </c>
      <c r="B943" t="inlineStr">
        <is>
          <t>Colombia</t>
        </is>
      </c>
      <c r="C943" t="inlineStr">
        <is>
          <t>Coco Colombia</t>
        </is>
      </c>
      <c r="D943" t="inlineStr">
        <is>
          <t>COP</t>
        </is>
      </c>
      <c r="E943" t="inlineStr">
        <is>
          <t>Real</t>
        </is>
      </c>
      <c r="F943" t="inlineStr">
        <is>
          <t>gasto_comercial</t>
        </is>
      </c>
      <c r="H943" t="inlineStr">
        <is>
          <t>Seguros</t>
        </is>
      </c>
      <c r="I943" t="n">
        <v>100000</v>
      </c>
      <c r="J943" t="inlineStr">
        <is>
          <t>COP</t>
        </is>
      </c>
      <c r="L943">
        <f>IFERROR(INDEX(Diccionario!$B:$B,MATCH(F955,Diccionario!$C:$C,0)),"")</f>
        <v/>
      </c>
      <c r="M943">
        <f>IFERROR(INDEX(Diccionario!$H:$H,MATCH(F955,Diccionario!$C:$C,0)),"")</f>
        <v/>
      </c>
      <c r="N943">
        <f>IFERROR(INDEX(Diccionario!$N:$N,MATCH(F955,Diccionario!$C:$C,0)),"")</f>
        <v/>
      </c>
    </row>
    <row r="944" ht="14.25" customHeight="1" s="52">
      <c r="A944" t="inlineStr">
        <is>
          <t>2025-10</t>
        </is>
      </c>
      <c r="B944" t="inlineStr">
        <is>
          <t>Colombia</t>
        </is>
      </c>
      <c r="C944" t="inlineStr">
        <is>
          <t>Coco Colombia</t>
        </is>
      </c>
      <c r="D944" t="inlineStr">
        <is>
          <t>COP</t>
        </is>
      </c>
      <c r="E944" t="inlineStr">
        <is>
          <t>Real</t>
        </is>
      </c>
      <c r="F944" t="inlineStr">
        <is>
          <t>gasto_comercial</t>
        </is>
      </c>
      <c r="H944" t="inlineStr">
        <is>
          <t>Servicios</t>
        </is>
      </c>
      <c r="I944" t="n">
        <v>14000000</v>
      </c>
      <c r="J944" t="inlineStr">
        <is>
          <t>COP</t>
        </is>
      </c>
      <c r="L944">
        <f>IFERROR(INDEX(Diccionario!$B:$B,MATCH(F956,Diccionario!$C:$C,0)),"")</f>
        <v/>
      </c>
      <c r="M944">
        <f>IFERROR(INDEX(Diccionario!$H:$H,MATCH(F956,Diccionario!$C:$C,0)),"")</f>
        <v/>
      </c>
      <c r="N944">
        <f>IFERROR(INDEX(Diccionario!$N:$N,MATCH(F956,Diccionario!$C:$C,0)),"")</f>
        <v/>
      </c>
    </row>
    <row r="945" ht="14.25" customHeight="1" s="52">
      <c r="A945" t="inlineStr">
        <is>
          <t>2025-10</t>
        </is>
      </c>
      <c r="B945" t="inlineStr">
        <is>
          <t>Colombia</t>
        </is>
      </c>
      <c r="C945" t="inlineStr">
        <is>
          <t>Coco Colombia</t>
        </is>
      </c>
      <c r="D945" t="inlineStr">
        <is>
          <t>COP</t>
        </is>
      </c>
      <c r="E945" t="inlineStr">
        <is>
          <t>Real</t>
        </is>
      </c>
      <c r="F945" t="inlineStr">
        <is>
          <t>gasto_comercial</t>
        </is>
      </c>
      <c r="H945" t="inlineStr">
        <is>
          <t>Viajes</t>
        </is>
      </c>
      <c r="I945" t="n">
        <v>23200000</v>
      </c>
      <c r="J945" t="inlineStr">
        <is>
          <t>COP</t>
        </is>
      </c>
      <c r="L945">
        <f>IFERROR(INDEX(Diccionario!$B:$B,MATCH(F957,Diccionario!$C:$C,0)),"")</f>
        <v/>
      </c>
      <c r="M945">
        <f>IFERROR(INDEX(Diccionario!$H:$H,MATCH(F957,Diccionario!$C:$C,0)),"")</f>
        <v/>
      </c>
      <c r="N945">
        <f>IFERROR(INDEX(Diccionario!$N:$N,MATCH(F957,Diccionario!$C:$C,0)),"")</f>
        <v/>
      </c>
    </row>
    <row r="946" ht="14.25" customHeight="1" s="52">
      <c r="A946" t="inlineStr">
        <is>
          <t>2025-10</t>
        </is>
      </c>
      <c r="B946" t="inlineStr">
        <is>
          <t>Colombia</t>
        </is>
      </c>
      <c r="C946" t="inlineStr">
        <is>
          <t>Coco Colombia</t>
        </is>
      </c>
      <c r="D946" t="inlineStr">
        <is>
          <t>COP</t>
        </is>
      </c>
      <c r="E946" t="inlineStr">
        <is>
          <t>Real</t>
        </is>
      </c>
      <c r="F946" t="inlineStr">
        <is>
          <t>gasto_comercial</t>
        </is>
      </c>
      <c r="H946" t="inlineStr">
        <is>
          <t>Diversos</t>
        </is>
      </c>
      <c r="I946" t="n">
        <v>9000000</v>
      </c>
      <c r="J946" t="inlineStr">
        <is>
          <t>COP</t>
        </is>
      </c>
      <c r="L946">
        <f>IFERROR(INDEX(Diccionario!$B:$B,MATCH(F958,Diccionario!$C:$C,0)),"")</f>
        <v/>
      </c>
      <c r="M946">
        <f>IFERROR(INDEX(Diccionario!$H:$H,MATCH(F958,Diccionario!$C:$C,0)),"")</f>
        <v/>
      </c>
      <c r="N946">
        <f>IFERROR(INDEX(Diccionario!$N:$N,MATCH(F958,Diccionario!$C:$C,0)),"")</f>
        <v/>
      </c>
    </row>
    <row r="947" ht="14.25" customHeight="1" s="52">
      <c r="A947" t="inlineStr">
        <is>
          <t>2025-11</t>
        </is>
      </c>
      <c r="B947" t="inlineStr">
        <is>
          <t>Colombia</t>
        </is>
      </c>
      <c r="C947" t="inlineStr">
        <is>
          <t>Coco Colombia</t>
        </is>
      </c>
      <c r="D947" t="inlineStr">
        <is>
          <t>COP</t>
        </is>
      </c>
      <c r="E947" t="inlineStr">
        <is>
          <t>Real</t>
        </is>
      </c>
      <c r="F947" t="inlineStr">
        <is>
          <t>gasto_comercial</t>
        </is>
      </c>
      <c r="H947" t="inlineStr">
        <is>
          <t>Personal</t>
        </is>
      </c>
      <c r="I947" t="n">
        <v>107200000</v>
      </c>
      <c r="J947" t="inlineStr">
        <is>
          <t>COP</t>
        </is>
      </c>
      <c r="L947">
        <f>IFERROR(INDEX(Diccionario!$B:$B,MATCH(F959,Diccionario!$C:$C,0)),"")</f>
        <v/>
      </c>
      <c r="M947">
        <f>IFERROR(INDEX(Diccionario!$H:$H,MATCH(F959,Diccionario!$C:$C,0)),"")</f>
        <v/>
      </c>
      <c r="N947">
        <f>IFERROR(INDEX(Diccionario!$N:$N,MATCH(F959,Diccionario!$C:$C,0)),"")</f>
        <v/>
      </c>
    </row>
    <row r="948" ht="14.25" customHeight="1" s="52">
      <c r="A948" t="inlineStr">
        <is>
          <t>2025-11</t>
        </is>
      </c>
      <c r="B948" t="inlineStr">
        <is>
          <t>Colombia</t>
        </is>
      </c>
      <c r="C948" t="inlineStr">
        <is>
          <t>Coco Colombia</t>
        </is>
      </c>
      <c r="D948" t="inlineStr">
        <is>
          <t>COP</t>
        </is>
      </c>
      <c r="E948" t="inlineStr">
        <is>
          <t>Real</t>
        </is>
      </c>
      <c r="F948" t="inlineStr">
        <is>
          <t>gasto_comercial</t>
        </is>
      </c>
      <c r="H948" t="inlineStr">
        <is>
          <t>Honorario</t>
        </is>
      </c>
      <c r="I948" t="n">
        <v>16500000</v>
      </c>
      <c r="J948" t="inlineStr">
        <is>
          <t>COP</t>
        </is>
      </c>
      <c r="L948">
        <f>IFERROR(INDEX(Diccionario!$B:$B,MATCH(F960,Diccionario!$C:$C,0)),"")</f>
        <v/>
      </c>
      <c r="M948">
        <f>IFERROR(INDEX(Diccionario!$H:$H,MATCH(F960,Diccionario!$C:$C,0)),"")</f>
        <v/>
      </c>
      <c r="N948">
        <f>IFERROR(INDEX(Diccionario!$N:$N,MATCH(F960,Diccionario!$C:$C,0)),"")</f>
        <v/>
      </c>
    </row>
    <row r="949" ht="14.25" customHeight="1" s="52">
      <c r="A949" t="inlineStr">
        <is>
          <t>2025-11</t>
        </is>
      </c>
      <c r="B949" t="inlineStr">
        <is>
          <t>Colombia</t>
        </is>
      </c>
      <c r="C949" t="inlineStr">
        <is>
          <t>Coco Colombia</t>
        </is>
      </c>
      <c r="D949" t="inlineStr">
        <is>
          <t>COP</t>
        </is>
      </c>
      <c r="E949" t="inlineStr">
        <is>
          <t>Real</t>
        </is>
      </c>
      <c r="F949" t="inlineStr">
        <is>
          <t>gasto_comercial</t>
        </is>
      </c>
      <c r="H949" t="inlineStr">
        <is>
          <t>Seguros</t>
        </is>
      </c>
      <c r="I949" t="n">
        <v>400000</v>
      </c>
      <c r="J949" t="inlineStr">
        <is>
          <t>COP</t>
        </is>
      </c>
      <c r="L949">
        <f>IFERROR(INDEX(Diccionario!$B:$B,MATCH(F961,Diccionario!$C:$C,0)),"")</f>
        <v/>
      </c>
      <c r="M949">
        <f>IFERROR(INDEX(Diccionario!$H:$H,MATCH(F961,Diccionario!$C:$C,0)),"")</f>
        <v/>
      </c>
      <c r="N949">
        <f>IFERROR(INDEX(Diccionario!$N:$N,MATCH(F961,Diccionario!$C:$C,0)),"")</f>
        <v/>
      </c>
    </row>
    <row r="950" ht="14.25" customHeight="1" s="52">
      <c r="A950" t="inlineStr">
        <is>
          <t>2025-11</t>
        </is>
      </c>
      <c r="B950" t="inlineStr">
        <is>
          <t>Colombia</t>
        </is>
      </c>
      <c r="C950" t="inlineStr">
        <is>
          <t>Coco Colombia</t>
        </is>
      </c>
      <c r="D950" t="inlineStr">
        <is>
          <t>COP</t>
        </is>
      </c>
      <c r="E950" t="inlineStr">
        <is>
          <t>Real</t>
        </is>
      </c>
      <c r="F950" t="inlineStr">
        <is>
          <t>gasto_comercial</t>
        </is>
      </c>
      <c r="H950" t="inlineStr">
        <is>
          <t>Servicios</t>
        </is>
      </c>
      <c r="I950" t="n">
        <v>21600000</v>
      </c>
      <c r="J950" t="inlineStr">
        <is>
          <t>COP</t>
        </is>
      </c>
      <c r="L950">
        <f>IFERROR(INDEX(Diccionario!$B:$B,MATCH(F962,Diccionario!$C:$C,0)),"")</f>
        <v/>
      </c>
      <c r="M950">
        <f>IFERROR(INDEX(Diccionario!$H:$H,MATCH(F962,Diccionario!$C:$C,0)),"")</f>
        <v/>
      </c>
      <c r="N950">
        <f>IFERROR(INDEX(Diccionario!$N:$N,MATCH(F962,Diccionario!$C:$C,0)),"")</f>
        <v/>
      </c>
    </row>
    <row r="951" ht="14.25" customHeight="1" s="52">
      <c r="A951" t="inlineStr">
        <is>
          <t>2025-11</t>
        </is>
      </c>
      <c r="B951" t="inlineStr">
        <is>
          <t>Colombia</t>
        </is>
      </c>
      <c r="C951" t="inlineStr">
        <is>
          <t>Coco Colombia</t>
        </is>
      </c>
      <c r="D951" t="inlineStr">
        <is>
          <t>COP</t>
        </is>
      </c>
      <c r="E951" t="inlineStr">
        <is>
          <t>Real</t>
        </is>
      </c>
      <c r="F951" t="inlineStr">
        <is>
          <t>gasto_comercial</t>
        </is>
      </c>
      <c r="H951" t="inlineStr">
        <is>
          <t>Viajes</t>
        </is>
      </c>
      <c r="I951" t="n">
        <v>9300000</v>
      </c>
      <c r="J951" t="inlineStr">
        <is>
          <t>COP</t>
        </is>
      </c>
      <c r="L951">
        <f>IFERROR(INDEX(Diccionario!$B:$B,MATCH(F963,Diccionario!$C:$C,0)),"")</f>
        <v/>
      </c>
      <c r="M951">
        <f>IFERROR(INDEX(Diccionario!$H:$H,MATCH(F963,Diccionario!$C:$C,0)),"")</f>
        <v/>
      </c>
      <c r="N951">
        <f>IFERROR(INDEX(Diccionario!$N:$N,MATCH(F963,Diccionario!$C:$C,0)),"")</f>
        <v/>
      </c>
    </row>
    <row r="952" ht="14.25" customHeight="1" s="52">
      <c r="A952" t="inlineStr">
        <is>
          <t>2025-11</t>
        </is>
      </c>
      <c r="B952" t="inlineStr">
        <is>
          <t>Colombia</t>
        </is>
      </c>
      <c r="C952" t="inlineStr">
        <is>
          <t>Coco Colombia</t>
        </is>
      </c>
      <c r="D952" t="inlineStr">
        <is>
          <t>COP</t>
        </is>
      </c>
      <c r="E952" t="inlineStr">
        <is>
          <t>Real</t>
        </is>
      </c>
      <c r="F952" t="inlineStr">
        <is>
          <t>gasto_comercial</t>
        </is>
      </c>
      <c r="H952" t="inlineStr">
        <is>
          <t>Diversos</t>
        </is>
      </c>
      <c r="I952" t="n">
        <v>16100000</v>
      </c>
      <c r="J952" t="inlineStr">
        <is>
          <t>COP</t>
        </is>
      </c>
      <c r="L952">
        <f>IFERROR(INDEX(Diccionario!$B:$B,MATCH(F964,Diccionario!$C:$C,0)),"")</f>
        <v/>
      </c>
      <c r="M952">
        <f>IFERROR(INDEX(Diccionario!$H:$H,MATCH(F964,Diccionario!$C:$C,0)),"")</f>
        <v/>
      </c>
      <c r="N952">
        <f>IFERROR(INDEX(Diccionario!$N:$N,MATCH(F964,Diccionario!$C:$C,0)),"")</f>
        <v/>
      </c>
    </row>
    <row r="953" ht="14.25" customHeight="1" s="52">
      <c r="A953" t="inlineStr">
        <is>
          <t>2025-12</t>
        </is>
      </c>
      <c r="B953" t="inlineStr">
        <is>
          <t>Colombia</t>
        </is>
      </c>
      <c r="C953" t="inlineStr">
        <is>
          <t>Coco Colombia</t>
        </is>
      </c>
      <c r="D953" t="inlineStr">
        <is>
          <t>COP</t>
        </is>
      </c>
      <c r="E953" t="inlineStr">
        <is>
          <t>Real</t>
        </is>
      </c>
      <c r="F953" t="inlineStr">
        <is>
          <t>gasto_comercial</t>
        </is>
      </c>
      <c r="H953" t="inlineStr">
        <is>
          <t>Personal</t>
        </is>
      </c>
      <c r="I953" t="n">
        <v>99200000</v>
      </c>
      <c r="J953" t="inlineStr">
        <is>
          <t>COP</t>
        </is>
      </c>
      <c r="L953">
        <f>IFERROR(INDEX(Diccionario!$B:$B,MATCH(F965,Diccionario!$C:$C,0)),"")</f>
        <v/>
      </c>
      <c r="M953">
        <f>IFERROR(INDEX(Diccionario!$H:$H,MATCH(F965,Diccionario!$C:$C,0)),"")</f>
        <v/>
      </c>
      <c r="N953">
        <f>IFERROR(INDEX(Diccionario!$N:$N,MATCH(F965,Diccionario!$C:$C,0)),"")</f>
        <v/>
      </c>
    </row>
    <row r="954" ht="14.25" customHeight="1" s="52">
      <c r="A954" t="inlineStr">
        <is>
          <t>2025-12</t>
        </is>
      </c>
      <c r="B954" t="inlineStr">
        <is>
          <t>Colombia</t>
        </is>
      </c>
      <c r="C954" t="inlineStr">
        <is>
          <t>Coco Colombia</t>
        </is>
      </c>
      <c r="D954" t="inlineStr">
        <is>
          <t>COP</t>
        </is>
      </c>
      <c r="E954" t="inlineStr">
        <is>
          <t>Real</t>
        </is>
      </c>
      <c r="F954" t="inlineStr">
        <is>
          <t>gasto_comercial</t>
        </is>
      </c>
      <c r="H954" t="inlineStr">
        <is>
          <t>Honorario</t>
        </is>
      </c>
      <c r="I954" t="n">
        <v>47800000</v>
      </c>
      <c r="J954" t="inlineStr">
        <is>
          <t>COP</t>
        </is>
      </c>
      <c r="L954">
        <f>IFERROR(INDEX(Diccionario!$B:$B,MATCH(F966,Diccionario!$C:$C,0)),"")</f>
        <v/>
      </c>
      <c r="M954">
        <f>IFERROR(INDEX(Diccionario!$H:$H,MATCH(F966,Diccionario!$C:$C,0)),"")</f>
        <v/>
      </c>
      <c r="N954">
        <f>IFERROR(INDEX(Diccionario!$N:$N,MATCH(F966,Diccionario!$C:$C,0)),"")</f>
        <v/>
      </c>
    </row>
    <row r="955" ht="14.25" customHeight="1" s="52">
      <c r="A955" t="inlineStr">
        <is>
          <t>2025-12</t>
        </is>
      </c>
      <c r="B955" t="inlineStr">
        <is>
          <t>Colombia</t>
        </is>
      </c>
      <c r="C955" t="inlineStr">
        <is>
          <t>Coco Colombia</t>
        </is>
      </c>
      <c r="D955" t="inlineStr">
        <is>
          <t>COP</t>
        </is>
      </c>
      <c r="E955" t="inlineStr">
        <is>
          <t>Real</t>
        </is>
      </c>
      <c r="F955" t="inlineStr">
        <is>
          <t>gasto_comercial</t>
        </is>
      </c>
      <c r="H955" t="inlineStr">
        <is>
          <t>Seguros</t>
        </is>
      </c>
      <c r="I955" t="n">
        <v>700000</v>
      </c>
      <c r="J955" t="inlineStr">
        <is>
          <t>COP</t>
        </is>
      </c>
      <c r="L955">
        <f>IFERROR(INDEX(Diccionario!$B:$B,MATCH(F967,Diccionario!$C:$C,0)),"")</f>
        <v/>
      </c>
      <c r="M955">
        <f>IFERROR(INDEX(Diccionario!$H:$H,MATCH(F967,Diccionario!$C:$C,0)),"")</f>
        <v/>
      </c>
      <c r="N955">
        <f>IFERROR(INDEX(Diccionario!$N:$N,MATCH(F967,Diccionario!$C:$C,0)),"")</f>
        <v/>
      </c>
    </row>
    <row r="956" ht="14.25" customHeight="1" s="52">
      <c r="A956" t="inlineStr">
        <is>
          <t>2025-12</t>
        </is>
      </c>
      <c r="B956" t="inlineStr">
        <is>
          <t>Colombia</t>
        </is>
      </c>
      <c r="C956" t="inlineStr">
        <is>
          <t>Coco Colombia</t>
        </is>
      </c>
      <c r="D956" t="inlineStr">
        <is>
          <t>COP</t>
        </is>
      </c>
      <c r="E956" t="inlineStr">
        <is>
          <t>Real</t>
        </is>
      </c>
      <c r="F956" t="inlineStr">
        <is>
          <t>gasto_comercial</t>
        </is>
      </c>
      <c r="H956" t="inlineStr">
        <is>
          <t>Servicios</t>
        </is>
      </c>
      <c r="I956" t="n">
        <v>23300000</v>
      </c>
      <c r="J956" t="inlineStr">
        <is>
          <t>COP</t>
        </is>
      </c>
      <c r="L956">
        <f>IFERROR(INDEX(Diccionario!$B:$B,MATCH(F968,Diccionario!$C:$C,0)),"")</f>
        <v/>
      </c>
      <c r="M956">
        <f>IFERROR(INDEX(Diccionario!$H:$H,MATCH(F968,Diccionario!$C:$C,0)),"")</f>
        <v/>
      </c>
      <c r="N956">
        <f>IFERROR(INDEX(Diccionario!$N:$N,MATCH(F968,Diccionario!$C:$C,0)),"")</f>
        <v/>
      </c>
    </row>
    <row r="957" ht="14.25" customHeight="1" s="52">
      <c r="A957" t="inlineStr">
        <is>
          <t>2025-12</t>
        </is>
      </c>
      <c r="B957" t="inlineStr">
        <is>
          <t>Colombia</t>
        </is>
      </c>
      <c r="C957" t="inlineStr">
        <is>
          <t>Coco Colombia</t>
        </is>
      </c>
      <c r="D957" t="inlineStr">
        <is>
          <t>COP</t>
        </is>
      </c>
      <c r="E957" t="inlineStr">
        <is>
          <t>Real</t>
        </is>
      </c>
      <c r="F957" t="inlineStr">
        <is>
          <t>gasto_comercial</t>
        </is>
      </c>
      <c r="H957" t="inlineStr">
        <is>
          <t>Viajes</t>
        </is>
      </c>
      <c r="I957" t="n">
        <v>11400000</v>
      </c>
      <c r="J957" t="inlineStr">
        <is>
          <t>COP</t>
        </is>
      </c>
      <c r="L957">
        <f>IFERROR(INDEX(Diccionario!$B:$B,MATCH(F969,Diccionario!$C:$C,0)),"")</f>
        <v/>
      </c>
      <c r="M957">
        <f>IFERROR(INDEX(Diccionario!$H:$H,MATCH(F969,Diccionario!$C:$C,0)),"")</f>
        <v/>
      </c>
      <c r="N957">
        <f>IFERROR(INDEX(Diccionario!$N:$N,MATCH(F969,Diccionario!$C:$C,0)),"")</f>
        <v/>
      </c>
    </row>
    <row r="958" ht="14.25" customHeight="1" s="52">
      <c r="A958" t="inlineStr">
        <is>
          <t>2025-12</t>
        </is>
      </c>
      <c r="B958" t="inlineStr">
        <is>
          <t>Colombia</t>
        </is>
      </c>
      <c r="C958" t="inlineStr">
        <is>
          <t>Coco Colombia</t>
        </is>
      </c>
      <c r="D958" t="inlineStr">
        <is>
          <t>COP</t>
        </is>
      </c>
      <c r="E958" t="inlineStr">
        <is>
          <t>Real</t>
        </is>
      </c>
      <c r="F958" t="inlineStr">
        <is>
          <t>gasto_comercial</t>
        </is>
      </c>
      <c r="H958" t="inlineStr">
        <is>
          <t>Diversos</t>
        </is>
      </c>
      <c r="I958" t="n">
        <v>12200000</v>
      </c>
      <c r="J958" t="inlineStr">
        <is>
          <t>COP</t>
        </is>
      </c>
      <c r="L958">
        <f>IFERROR(INDEX(Diccionario!$B:$B,MATCH(F970,Diccionario!$C:$C,0)),"")</f>
        <v/>
      </c>
      <c r="M958">
        <f>IFERROR(INDEX(Diccionario!$H:$H,MATCH(F970,Diccionario!$C:$C,0)),"")</f>
        <v/>
      </c>
      <c r="N958">
        <f>IFERROR(INDEX(Diccionario!$N:$N,MATCH(F970,Diccionario!$C:$C,0)),"")</f>
        <v/>
      </c>
    </row>
    <row r="959" ht="14.25" customHeight="1" s="52">
      <c r="A959" t="inlineStr">
        <is>
          <t>2026-01</t>
        </is>
      </c>
      <c r="B959" t="inlineStr">
        <is>
          <t>Colombia</t>
        </is>
      </c>
      <c r="C959" t="inlineStr">
        <is>
          <t>Coco Colombia</t>
        </is>
      </c>
      <c r="D959" t="inlineStr">
        <is>
          <t>COP</t>
        </is>
      </c>
      <c r="E959" t="inlineStr">
        <is>
          <t>Real</t>
        </is>
      </c>
      <c r="F959" t="inlineStr">
        <is>
          <t>gasto_comercial</t>
        </is>
      </c>
      <c r="H959" t="inlineStr">
        <is>
          <t>Personal</t>
        </is>
      </c>
      <c r="I959" t="n">
        <v>72020000</v>
      </c>
      <c r="J959" t="inlineStr">
        <is>
          <t>COP</t>
        </is>
      </c>
      <c r="L959">
        <f>IFERROR(INDEX(Diccionario!$B:$B,MATCH(F971,Diccionario!$C:$C,0)),"")</f>
        <v/>
      </c>
      <c r="M959">
        <f>IFERROR(INDEX(Diccionario!$H:$H,MATCH(F971,Diccionario!$C:$C,0)),"")</f>
        <v/>
      </c>
      <c r="N959">
        <f>IFERROR(INDEX(Diccionario!$N:$N,MATCH(F971,Diccionario!$C:$C,0)),"")</f>
        <v/>
      </c>
    </row>
    <row r="960" ht="14.25" customHeight="1" s="52">
      <c r="A960" t="inlineStr">
        <is>
          <t>2026-01</t>
        </is>
      </c>
      <c r="B960" t="inlineStr">
        <is>
          <t>Colombia</t>
        </is>
      </c>
      <c r="C960" t="inlineStr">
        <is>
          <t>Coco Colombia</t>
        </is>
      </c>
      <c r="D960" t="inlineStr">
        <is>
          <t>COP</t>
        </is>
      </c>
      <c r="E960" t="inlineStr">
        <is>
          <t>Real</t>
        </is>
      </c>
      <c r="F960" t="inlineStr">
        <is>
          <t>gasto_comercial</t>
        </is>
      </c>
      <c r="H960" t="inlineStr">
        <is>
          <t>Honorario</t>
        </is>
      </c>
      <c r="I960" t="n">
        <v>29800000</v>
      </c>
      <c r="J960" t="inlineStr">
        <is>
          <t>COP</t>
        </is>
      </c>
      <c r="L960">
        <f>IFERROR(INDEX(Diccionario!$B:$B,MATCH(F972,Diccionario!$C:$C,0)),"")</f>
        <v/>
      </c>
      <c r="M960">
        <f>IFERROR(INDEX(Diccionario!$H:$H,MATCH(F972,Diccionario!$C:$C,0)),"")</f>
        <v/>
      </c>
      <c r="N960">
        <f>IFERROR(INDEX(Diccionario!$N:$N,MATCH(F972,Diccionario!$C:$C,0)),"")</f>
        <v/>
      </c>
    </row>
    <row r="961" ht="14.25" customHeight="1" s="52">
      <c r="A961" t="inlineStr">
        <is>
          <t>2026-01</t>
        </is>
      </c>
      <c r="B961" t="inlineStr">
        <is>
          <t>Colombia</t>
        </is>
      </c>
      <c r="C961" t="inlineStr">
        <is>
          <t>Coco Colombia</t>
        </is>
      </c>
      <c r="D961" t="inlineStr">
        <is>
          <t>COP</t>
        </is>
      </c>
      <c r="E961" t="inlineStr">
        <is>
          <t>Real</t>
        </is>
      </c>
      <c r="F961" t="inlineStr">
        <is>
          <t>gasto_comercial</t>
        </is>
      </c>
      <c r="H961" t="inlineStr">
        <is>
          <t>Seguros</t>
        </is>
      </c>
      <c r="I961" t="n">
        <v>2700000</v>
      </c>
      <c r="J961" t="inlineStr">
        <is>
          <t>COP</t>
        </is>
      </c>
      <c r="L961">
        <f>IFERROR(INDEX(Diccionario!$B:$B,MATCH(F973,Diccionario!$C:$C,0)),"")</f>
        <v/>
      </c>
      <c r="M961">
        <f>IFERROR(INDEX(Diccionario!$H:$H,MATCH(F973,Diccionario!$C:$C,0)),"")</f>
        <v/>
      </c>
      <c r="N961">
        <f>IFERROR(INDEX(Diccionario!$N:$N,MATCH(F973,Diccionario!$C:$C,0)),"")</f>
        <v/>
      </c>
    </row>
    <row r="962" ht="14.25" customHeight="1" s="52">
      <c r="A962" t="inlineStr">
        <is>
          <t>2026-01</t>
        </is>
      </c>
      <c r="B962" t="inlineStr">
        <is>
          <t>Colombia</t>
        </is>
      </c>
      <c r="C962" t="inlineStr">
        <is>
          <t>Coco Colombia</t>
        </is>
      </c>
      <c r="D962" t="inlineStr">
        <is>
          <t>COP</t>
        </is>
      </c>
      <c r="E962" t="inlineStr">
        <is>
          <t>Real</t>
        </is>
      </c>
      <c r="F962" t="inlineStr">
        <is>
          <t>gasto_comercial</t>
        </is>
      </c>
      <c r="H962" t="inlineStr">
        <is>
          <t>Servicios</t>
        </is>
      </c>
      <c r="I962" t="n">
        <v>8600000</v>
      </c>
      <c r="J962" t="inlineStr">
        <is>
          <t>COP</t>
        </is>
      </c>
      <c r="L962">
        <f>IFERROR(INDEX(Diccionario!$B:$B,MATCH(F974,Diccionario!$C:$C,0)),"")</f>
        <v/>
      </c>
      <c r="M962">
        <f>IFERROR(INDEX(Diccionario!$H:$H,MATCH(F974,Diccionario!$C:$C,0)),"")</f>
        <v/>
      </c>
      <c r="N962">
        <f>IFERROR(INDEX(Diccionario!$N:$N,MATCH(F974,Diccionario!$C:$C,0)),"")</f>
        <v/>
      </c>
    </row>
    <row r="963" ht="14.25" customHeight="1" s="52">
      <c r="A963" t="inlineStr">
        <is>
          <t>2026-01</t>
        </is>
      </c>
      <c r="B963" t="inlineStr">
        <is>
          <t>Colombia</t>
        </is>
      </c>
      <c r="C963" t="inlineStr">
        <is>
          <t>Coco Colombia</t>
        </is>
      </c>
      <c r="D963" t="inlineStr">
        <is>
          <t>COP</t>
        </is>
      </c>
      <c r="E963" t="inlineStr">
        <is>
          <t>Real</t>
        </is>
      </c>
      <c r="F963" t="inlineStr">
        <is>
          <t>gasto_comercial</t>
        </is>
      </c>
      <c r="H963" t="inlineStr">
        <is>
          <t>Viajes</t>
        </is>
      </c>
      <c r="I963" t="n">
        <v>8100000</v>
      </c>
      <c r="J963" t="inlineStr">
        <is>
          <t>COP</t>
        </is>
      </c>
      <c r="L963">
        <f>IFERROR(INDEX(Diccionario!$B:$B,MATCH(F975,Diccionario!$C:$C,0)),"")</f>
        <v/>
      </c>
      <c r="M963">
        <f>IFERROR(INDEX(Diccionario!$H:$H,MATCH(F975,Diccionario!$C:$C,0)),"")</f>
        <v/>
      </c>
      <c r="N963">
        <f>IFERROR(INDEX(Diccionario!$N:$N,MATCH(F975,Diccionario!$C:$C,0)),"")</f>
        <v/>
      </c>
    </row>
    <row r="964" ht="14.25" customHeight="1" s="52">
      <c r="A964" t="inlineStr">
        <is>
          <t>2026-01</t>
        </is>
      </c>
      <c r="B964" t="inlineStr">
        <is>
          <t>Colombia</t>
        </is>
      </c>
      <c r="C964" t="inlineStr">
        <is>
          <t>Coco Colombia</t>
        </is>
      </c>
      <c r="D964" t="inlineStr">
        <is>
          <t>COP</t>
        </is>
      </c>
      <c r="E964" t="inlineStr">
        <is>
          <t>Real</t>
        </is>
      </c>
      <c r="F964" t="inlineStr">
        <is>
          <t>gasto_comercial</t>
        </is>
      </c>
      <c r="H964" t="inlineStr">
        <is>
          <t>Diversos</t>
        </is>
      </c>
      <c r="I964" t="n">
        <v>10300000</v>
      </c>
      <c r="J964" t="inlineStr">
        <is>
          <t>COP</t>
        </is>
      </c>
      <c r="L964">
        <f>IFERROR(INDEX(Diccionario!$B:$B,MATCH(F976,Diccionario!$C:$C,0)),"")</f>
        <v/>
      </c>
      <c r="M964">
        <f>IFERROR(INDEX(Diccionario!$H:$H,MATCH(F976,Diccionario!$C:$C,0)),"")</f>
        <v/>
      </c>
      <c r="N964">
        <f>IFERROR(INDEX(Diccionario!$N:$N,MATCH(F976,Diccionario!$C:$C,0)),"")</f>
        <v/>
      </c>
    </row>
    <row r="965" ht="14.25" customHeight="1" s="52">
      <c r="A965" t="inlineStr">
        <is>
          <t>2026-02</t>
        </is>
      </c>
      <c r="B965" t="inlineStr">
        <is>
          <t>Colombia</t>
        </is>
      </c>
      <c r="C965" t="inlineStr">
        <is>
          <t>Coco Colombia</t>
        </is>
      </c>
      <c r="D965" t="inlineStr">
        <is>
          <t>COP</t>
        </is>
      </c>
      <c r="E965" t="inlineStr">
        <is>
          <t>Real</t>
        </is>
      </c>
      <c r="F965" t="inlineStr">
        <is>
          <t>gasto_comercial</t>
        </is>
      </c>
      <c r="H965" t="inlineStr">
        <is>
          <t>Personal</t>
        </is>
      </c>
      <c r="I965" t="n">
        <v>97900000</v>
      </c>
      <c r="J965" t="inlineStr">
        <is>
          <t>COP</t>
        </is>
      </c>
      <c r="L965">
        <f>IFERROR(INDEX(Diccionario!$B:$B,MATCH(F977,Diccionario!$C:$C,0)),"")</f>
        <v/>
      </c>
      <c r="M965">
        <f>IFERROR(INDEX(Diccionario!$H:$H,MATCH(F977,Diccionario!$C:$C,0)),"")</f>
        <v/>
      </c>
      <c r="N965">
        <f>IFERROR(INDEX(Diccionario!$N:$N,MATCH(F977,Diccionario!$C:$C,0)),"")</f>
        <v/>
      </c>
    </row>
    <row r="966" ht="14.25" customHeight="1" s="52">
      <c r="A966" t="inlineStr">
        <is>
          <t>2026-02</t>
        </is>
      </c>
      <c r="B966" t="inlineStr">
        <is>
          <t>Colombia</t>
        </is>
      </c>
      <c r="C966" t="inlineStr">
        <is>
          <t>Coco Colombia</t>
        </is>
      </c>
      <c r="D966" t="inlineStr">
        <is>
          <t>COP</t>
        </is>
      </c>
      <c r="E966" t="inlineStr">
        <is>
          <t>Real</t>
        </is>
      </c>
      <c r="F966" t="inlineStr">
        <is>
          <t>gasto_comercial</t>
        </is>
      </c>
      <c r="H966" t="inlineStr">
        <is>
          <t>Honorario</t>
        </is>
      </c>
      <c r="I966" t="n">
        <v>19400000</v>
      </c>
      <c r="J966" t="inlineStr">
        <is>
          <t>COP</t>
        </is>
      </c>
      <c r="L966">
        <f>IFERROR(INDEX(Diccionario!$B:$B,MATCH(F978,Diccionario!$C:$C,0)),"")</f>
        <v/>
      </c>
      <c r="M966">
        <f>IFERROR(INDEX(Diccionario!$H:$H,MATCH(F978,Diccionario!$C:$C,0)),"")</f>
        <v/>
      </c>
      <c r="N966">
        <f>IFERROR(INDEX(Diccionario!$N:$N,MATCH(F978,Diccionario!$C:$C,0)),"")</f>
        <v/>
      </c>
    </row>
    <row r="967" ht="14.25" customHeight="1" s="52">
      <c r="A967" t="inlineStr">
        <is>
          <t>2026-02</t>
        </is>
      </c>
      <c r="B967" t="inlineStr">
        <is>
          <t>Colombia</t>
        </is>
      </c>
      <c r="C967" t="inlineStr">
        <is>
          <t>Coco Colombia</t>
        </is>
      </c>
      <c r="D967" t="inlineStr">
        <is>
          <t>COP</t>
        </is>
      </c>
      <c r="E967" t="inlineStr">
        <is>
          <t>Real</t>
        </is>
      </c>
      <c r="F967" t="inlineStr">
        <is>
          <t>gasto_comercial</t>
        </is>
      </c>
      <c r="H967" t="inlineStr">
        <is>
          <t>Seguros</t>
        </is>
      </c>
      <c r="I967" t="n">
        <v>400000</v>
      </c>
      <c r="J967" t="inlineStr">
        <is>
          <t>COP</t>
        </is>
      </c>
      <c r="L967">
        <f>IFERROR(INDEX(Diccionario!$B:$B,MATCH(F979,Diccionario!$C:$C,0)),"")</f>
        <v/>
      </c>
      <c r="M967">
        <f>IFERROR(INDEX(Diccionario!$H:$H,MATCH(F979,Diccionario!$C:$C,0)),"")</f>
        <v/>
      </c>
      <c r="N967">
        <f>IFERROR(INDEX(Diccionario!$N:$N,MATCH(F979,Diccionario!$C:$C,0)),"")</f>
        <v/>
      </c>
    </row>
    <row r="968" ht="14.25" customHeight="1" s="52">
      <c r="A968" t="inlineStr">
        <is>
          <t>2026-02</t>
        </is>
      </c>
      <c r="B968" t="inlineStr">
        <is>
          <t>Colombia</t>
        </is>
      </c>
      <c r="C968" t="inlineStr">
        <is>
          <t>Coco Colombia</t>
        </is>
      </c>
      <c r="D968" t="inlineStr">
        <is>
          <t>COP</t>
        </is>
      </c>
      <c r="E968" t="inlineStr">
        <is>
          <t>Real</t>
        </is>
      </c>
      <c r="F968" t="inlineStr">
        <is>
          <t>gasto_comercial</t>
        </is>
      </c>
      <c r="H968" t="inlineStr">
        <is>
          <t>Servicios</t>
        </is>
      </c>
      <c r="I968" t="n">
        <v>20200000</v>
      </c>
      <c r="J968" t="inlineStr">
        <is>
          <t>COP</t>
        </is>
      </c>
      <c r="L968">
        <f>IFERROR(INDEX(Diccionario!$B:$B,MATCH(F980,Diccionario!$C:$C,0)),"")</f>
        <v/>
      </c>
      <c r="M968">
        <f>IFERROR(INDEX(Diccionario!$H:$H,MATCH(F980,Diccionario!$C:$C,0)),"")</f>
        <v/>
      </c>
      <c r="N968">
        <f>IFERROR(INDEX(Diccionario!$N:$N,MATCH(F980,Diccionario!$C:$C,0)),"")</f>
        <v/>
      </c>
    </row>
    <row r="969" ht="14.25" customHeight="1" s="52">
      <c r="A969" t="inlineStr">
        <is>
          <t>2026-02</t>
        </is>
      </c>
      <c r="B969" t="inlineStr">
        <is>
          <t>Colombia</t>
        </is>
      </c>
      <c r="C969" t="inlineStr">
        <is>
          <t>Coco Colombia</t>
        </is>
      </c>
      <c r="D969" t="inlineStr">
        <is>
          <t>COP</t>
        </is>
      </c>
      <c r="E969" t="inlineStr">
        <is>
          <t>Real</t>
        </is>
      </c>
      <c r="F969" t="inlineStr">
        <is>
          <t>gasto_comercial</t>
        </is>
      </c>
      <c r="H969" t="inlineStr">
        <is>
          <t>Viajes</t>
        </is>
      </c>
      <c r="I969" t="n">
        <v>10200000</v>
      </c>
      <c r="J969" t="inlineStr">
        <is>
          <t>COP</t>
        </is>
      </c>
      <c r="L969">
        <f>IFERROR(INDEX(Diccionario!$B:$B,MATCH(F981,Diccionario!$C:$C,0)),"")</f>
        <v/>
      </c>
      <c r="M969">
        <f>IFERROR(INDEX(Diccionario!$H:$H,MATCH(F981,Diccionario!$C:$C,0)),"")</f>
        <v/>
      </c>
      <c r="N969">
        <f>IFERROR(INDEX(Diccionario!$N:$N,MATCH(F981,Diccionario!$C:$C,0)),"")</f>
        <v/>
      </c>
    </row>
    <row r="970" ht="14.25" customHeight="1" s="52">
      <c r="A970" t="inlineStr">
        <is>
          <t>2026-02</t>
        </is>
      </c>
      <c r="B970" t="inlineStr">
        <is>
          <t>Colombia</t>
        </is>
      </c>
      <c r="C970" t="inlineStr">
        <is>
          <t>Coco Colombia</t>
        </is>
      </c>
      <c r="D970" t="inlineStr">
        <is>
          <t>COP</t>
        </is>
      </c>
      <c r="E970" t="inlineStr">
        <is>
          <t>Real</t>
        </is>
      </c>
      <c r="F970" t="inlineStr">
        <is>
          <t>gasto_comercial</t>
        </is>
      </c>
      <c r="H970" t="inlineStr">
        <is>
          <t>Diversos</t>
        </is>
      </c>
      <c r="I970" t="n">
        <v>11000000</v>
      </c>
      <c r="J970" t="inlineStr">
        <is>
          <t>COP</t>
        </is>
      </c>
      <c r="L970">
        <f>IFERROR(INDEX(Diccionario!$B:$B,MATCH(F982,Diccionario!$C:$C,0)),"")</f>
        <v/>
      </c>
      <c r="M970">
        <f>IFERROR(INDEX(Diccionario!$H:$H,MATCH(F982,Diccionario!$C:$C,0)),"")</f>
        <v/>
      </c>
      <c r="N970">
        <f>IFERROR(INDEX(Diccionario!$N:$N,MATCH(F982,Diccionario!$C:$C,0)),"")</f>
        <v/>
      </c>
    </row>
    <row r="971" ht="14.25" customHeight="1" s="52">
      <c r="A971" t="inlineStr">
        <is>
          <t>2026-03</t>
        </is>
      </c>
      <c r="B971" t="inlineStr">
        <is>
          <t>Colombia</t>
        </is>
      </c>
      <c r="C971" t="inlineStr">
        <is>
          <t>Coco Colombia</t>
        </is>
      </c>
      <c r="D971" t="inlineStr">
        <is>
          <t>COP</t>
        </is>
      </c>
      <c r="E971" t="inlineStr">
        <is>
          <t>Real</t>
        </is>
      </c>
      <c r="F971" t="inlineStr">
        <is>
          <t>gasto_comercial</t>
        </is>
      </c>
      <c r="H971" t="inlineStr">
        <is>
          <t>Personal</t>
        </is>
      </c>
      <c r="I971" t="n">
        <v>81200000</v>
      </c>
      <c r="J971" t="inlineStr">
        <is>
          <t>COP</t>
        </is>
      </c>
      <c r="L971">
        <f>IFERROR(INDEX(Diccionario!$B:$B,MATCH(F983,Diccionario!$C:$C,0)),"")</f>
        <v/>
      </c>
      <c r="M971">
        <f>IFERROR(INDEX(Diccionario!$H:$H,MATCH(F983,Diccionario!$C:$C,0)),"")</f>
        <v/>
      </c>
      <c r="N971">
        <f>IFERROR(INDEX(Diccionario!$N:$N,MATCH(F983,Diccionario!$C:$C,0)),"")</f>
        <v/>
      </c>
    </row>
    <row r="972" ht="14.25" customHeight="1" s="52">
      <c r="A972" t="inlineStr">
        <is>
          <t>2026-03</t>
        </is>
      </c>
      <c r="B972" t="inlineStr">
        <is>
          <t>Colombia</t>
        </is>
      </c>
      <c r="C972" t="inlineStr">
        <is>
          <t>Coco Colombia</t>
        </is>
      </c>
      <c r="D972" t="inlineStr">
        <is>
          <t>COP</t>
        </is>
      </c>
      <c r="E972" t="inlineStr">
        <is>
          <t>Real</t>
        </is>
      </c>
      <c r="F972" t="inlineStr">
        <is>
          <t>gasto_comercial</t>
        </is>
      </c>
      <c r="H972" t="inlineStr">
        <is>
          <t>Honorario</t>
        </is>
      </c>
      <c r="I972" t="n">
        <v>25400000</v>
      </c>
      <c r="J972" t="inlineStr">
        <is>
          <t>COP</t>
        </is>
      </c>
      <c r="L972">
        <f>IFERROR(INDEX(Diccionario!$B:$B,MATCH(F984,Diccionario!$C:$C,0)),"")</f>
        <v/>
      </c>
      <c r="M972">
        <f>IFERROR(INDEX(Diccionario!$H:$H,MATCH(F984,Diccionario!$C:$C,0)),"")</f>
        <v/>
      </c>
      <c r="N972">
        <f>IFERROR(INDEX(Diccionario!$N:$N,MATCH(F984,Diccionario!$C:$C,0)),"")</f>
        <v/>
      </c>
    </row>
    <row r="973" ht="14.25" customHeight="1" s="52">
      <c r="A973" t="inlineStr">
        <is>
          <t>2026-03</t>
        </is>
      </c>
      <c r="B973" t="inlineStr">
        <is>
          <t>Colombia</t>
        </is>
      </c>
      <c r="C973" t="inlineStr">
        <is>
          <t>Coco Colombia</t>
        </is>
      </c>
      <c r="D973" t="inlineStr">
        <is>
          <t>COP</t>
        </is>
      </c>
      <c r="E973" t="inlineStr">
        <is>
          <t>Real</t>
        </is>
      </c>
      <c r="F973" t="inlineStr">
        <is>
          <t>gasto_comercial</t>
        </is>
      </c>
      <c r="H973" t="inlineStr">
        <is>
          <t>Seguros</t>
        </is>
      </c>
      <c r="I973" t="n">
        <v>256000</v>
      </c>
      <c r="J973" t="inlineStr">
        <is>
          <t>COP</t>
        </is>
      </c>
      <c r="L973">
        <f>IFERROR(INDEX(Diccionario!$B:$B,MATCH(F985,Diccionario!$C:$C,0)),"")</f>
        <v/>
      </c>
      <c r="M973">
        <f>IFERROR(INDEX(Diccionario!$H:$H,MATCH(F985,Diccionario!$C:$C,0)),"")</f>
        <v/>
      </c>
      <c r="N973">
        <f>IFERROR(INDEX(Diccionario!$N:$N,MATCH(F985,Diccionario!$C:$C,0)),"")</f>
        <v/>
      </c>
    </row>
    <row r="974" ht="14.25" customHeight="1" s="52">
      <c r="A974" t="inlineStr">
        <is>
          <t>2026-03</t>
        </is>
      </c>
      <c r="B974" t="inlineStr">
        <is>
          <t>Colombia</t>
        </is>
      </c>
      <c r="C974" t="inlineStr">
        <is>
          <t>Coco Colombia</t>
        </is>
      </c>
      <c r="D974" t="inlineStr">
        <is>
          <t>COP</t>
        </is>
      </c>
      <c r="E974" t="inlineStr">
        <is>
          <t>Real</t>
        </is>
      </c>
      <c r="F974" t="inlineStr">
        <is>
          <t>gasto_comercial</t>
        </is>
      </c>
      <c r="H974" t="inlineStr">
        <is>
          <t>Servicios</t>
        </is>
      </c>
      <c r="I974" t="n">
        <v>10900000</v>
      </c>
      <c r="J974" t="inlineStr">
        <is>
          <t>COP</t>
        </is>
      </c>
      <c r="L974">
        <f>IFERROR(INDEX(Diccionario!$B:$B,MATCH(F986,Diccionario!$C:$C,0)),"")</f>
        <v/>
      </c>
      <c r="M974">
        <f>IFERROR(INDEX(Diccionario!$H:$H,MATCH(F986,Diccionario!$C:$C,0)),"")</f>
        <v/>
      </c>
      <c r="N974">
        <f>IFERROR(INDEX(Diccionario!$N:$N,MATCH(F986,Diccionario!$C:$C,0)),"")</f>
        <v/>
      </c>
    </row>
    <row r="975" ht="14.25" customHeight="1" s="52">
      <c r="A975" t="inlineStr">
        <is>
          <t>2026-03</t>
        </is>
      </c>
      <c r="B975" t="inlineStr">
        <is>
          <t>Colombia</t>
        </is>
      </c>
      <c r="C975" t="inlineStr">
        <is>
          <t>Coco Colombia</t>
        </is>
      </c>
      <c r="D975" t="inlineStr">
        <is>
          <t>COP</t>
        </is>
      </c>
      <c r="E975" t="inlineStr">
        <is>
          <t>Real</t>
        </is>
      </c>
      <c r="F975" t="inlineStr">
        <is>
          <t>gasto_comercial</t>
        </is>
      </c>
      <c r="H975" t="inlineStr">
        <is>
          <t>Viajes</t>
        </is>
      </c>
      <c r="I975" t="n">
        <v>7600000</v>
      </c>
      <c r="J975" t="inlineStr">
        <is>
          <t>COP</t>
        </is>
      </c>
      <c r="L975">
        <f>IFERROR(INDEX(Diccionario!$B:$B,MATCH(F987,Diccionario!$C:$C,0)),"")</f>
        <v/>
      </c>
      <c r="M975">
        <f>IFERROR(INDEX(Diccionario!$H:$H,MATCH(F987,Diccionario!$C:$C,0)),"")</f>
        <v/>
      </c>
      <c r="N975">
        <f>IFERROR(INDEX(Diccionario!$N:$N,MATCH(F987,Diccionario!$C:$C,0)),"")</f>
        <v/>
      </c>
    </row>
    <row r="976" ht="14.25" customHeight="1" s="52">
      <c r="A976" t="inlineStr">
        <is>
          <t>2026-03</t>
        </is>
      </c>
      <c r="B976" t="inlineStr">
        <is>
          <t>Colombia</t>
        </is>
      </c>
      <c r="C976" t="inlineStr">
        <is>
          <t>Coco Colombia</t>
        </is>
      </c>
      <c r="D976" t="inlineStr">
        <is>
          <t>COP</t>
        </is>
      </c>
      <c r="E976" t="inlineStr">
        <is>
          <t>Real</t>
        </is>
      </c>
      <c r="F976" t="inlineStr">
        <is>
          <t>gasto_comercial</t>
        </is>
      </c>
      <c r="H976" t="inlineStr">
        <is>
          <t>Diversos</t>
        </is>
      </c>
      <c r="I976" t="n">
        <v>18500000</v>
      </c>
      <c r="J976" t="inlineStr">
        <is>
          <t>COP</t>
        </is>
      </c>
      <c r="L976">
        <f>IFERROR(INDEX(Diccionario!$B:$B,MATCH(F988,Diccionario!$C:$C,0)),"")</f>
        <v/>
      </c>
      <c r="M976">
        <f>IFERROR(INDEX(Diccionario!$H:$H,MATCH(F988,Diccionario!$C:$C,0)),"")</f>
        <v/>
      </c>
      <c r="N976">
        <f>IFERROR(INDEX(Diccionario!$N:$N,MATCH(F988,Diccionario!$C:$C,0)),"")</f>
        <v/>
      </c>
    </row>
    <row r="977" ht="14.25" customHeight="1" s="52">
      <c r="A977" t="inlineStr">
        <is>
          <t>2026-04</t>
        </is>
      </c>
      <c r="B977" t="inlineStr">
        <is>
          <t>Colombia</t>
        </is>
      </c>
      <c r="C977" t="inlineStr">
        <is>
          <t>Coco Colombia</t>
        </is>
      </c>
      <c r="D977" t="inlineStr">
        <is>
          <t>COP</t>
        </is>
      </c>
      <c r="E977" t="inlineStr">
        <is>
          <t>Real</t>
        </is>
      </c>
      <c r="F977" t="inlineStr">
        <is>
          <t>gasto_comercial</t>
        </is>
      </c>
      <c r="H977" t="inlineStr">
        <is>
          <t>Personal</t>
        </is>
      </c>
      <c r="I977" t="n">
        <v>61100000</v>
      </c>
      <c r="J977" t="inlineStr">
        <is>
          <t>COP</t>
        </is>
      </c>
      <c r="L977">
        <f>IFERROR(INDEX(Diccionario!$B:$B,MATCH(F989,Diccionario!$C:$C,0)),"")</f>
        <v/>
      </c>
      <c r="M977">
        <f>IFERROR(INDEX(Diccionario!$H:$H,MATCH(F989,Diccionario!$C:$C,0)),"")</f>
        <v/>
      </c>
      <c r="N977">
        <f>IFERROR(INDEX(Diccionario!$N:$N,MATCH(F989,Diccionario!$C:$C,0)),"")</f>
        <v/>
      </c>
    </row>
    <row r="978" ht="14.25" customHeight="1" s="52">
      <c r="A978" t="inlineStr">
        <is>
          <t>2026-04</t>
        </is>
      </c>
      <c r="B978" t="inlineStr">
        <is>
          <t>Colombia</t>
        </is>
      </c>
      <c r="C978" t="inlineStr">
        <is>
          <t>Coco Colombia</t>
        </is>
      </c>
      <c r="D978" t="inlineStr">
        <is>
          <t>COP</t>
        </is>
      </c>
      <c r="E978" t="inlineStr">
        <is>
          <t>Real</t>
        </is>
      </c>
      <c r="F978" t="inlineStr">
        <is>
          <t>gasto_comercial</t>
        </is>
      </c>
      <c r="H978" t="inlineStr">
        <is>
          <t>Honorario</t>
        </is>
      </c>
      <c r="I978" t="n">
        <v>28900000</v>
      </c>
      <c r="J978" t="inlineStr">
        <is>
          <t>COP</t>
        </is>
      </c>
      <c r="L978">
        <f>IFERROR(INDEX(Diccionario!$B:$B,MATCH(F990,Diccionario!$C:$C,0)),"")</f>
        <v/>
      </c>
      <c r="M978">
        <f>IFERROR(INDEX(Diccionario!$H:$H,MATCH(F990,Diccionario!$C:$C,0)),"")</f>
        <v/>
      </c>
      <c r="N978">
        <f>IFERROR(INDEX(Diccionario!$N:$N,MATCH(F990,Diccionario!$C:$C,0)),"")</f>
        <v/>
      </c>
    </row>
    <row r="979" ht="14.25" customHeight="1" s="52">
      <c r="A979" t="inlineStr">
        <is>
          <t>2026-04</t>
        </is>
      </c>
      <c r="B979" t="inlineStr">
        <is>
          <t>Colombia</t>
        </is>
      </c>
      <c r="C979" t="inlineStr">
        <is>
          <t>Coco Colombia</t>
        </is>
      </c>
      <c r="D979" t="inlineStr">
        <is>
          <t>COP</t>
        </is>
      </c>
      <c r="E979" t="inlineStr">
        <is>
          <t>Real</t>
        </is>
      </c>
      <c r="F979" t="inlineStr">
        <is>
          <t>gasto_comercial</t>
        </is>
      </c>
      <c r="H979" t="inlineStr">
        <is>
          <t>Seguros</t>
        </is>
      </c>
      <c r="I979" t="n">
        <v>100000</v>
      </c>
      <c r="J979" t="inlineStr">
        <is>
          <t>COP</t>
        </is>
      </c>
      <c r="L979">
        <f>IFERROR(INDEX(Diccionario!$B:$B,MATCH(F991,Diccionario!$C:$C,0)),"")</f>
        <v/>
      </c>
      <c r="M979">
        <f>IFERROR(INDEX(Diccionario!$H:$H,MATCH(F991,Diccionario!$C:$C,0)),"")</f>
        <v/>
      </c>
      <c r="N979">
        <f>IFERROR(INDEX(Diccionario!$N:$N,MATCH(F991,Diccionario!$C:$C,0)),"")</f>
        <v/>
      </c>
    </row>
    <row r="980" ht="14.25" customHeight="1" s="52">
      <c r="A980" t="inlineStr">
        <is>
          <t>2026-04</t>
        </is>
      </c>
      <c r="B980" t="inlineStr">
        <is>
          <t>Colombia</t>
        </is>
      </c>
      <c r="C980" t="inlineStr">
        <is>
          <t>Coco Colombia</t>
        </is>
      </c>
      <c r="D980" t="inlineStr">
        <is>
          <t>COP</t>
        </is>
      </c>
      <c r="E980" t="inlineStr">
        <is>
          <t>Real</t>
        </is>
      </c>
      <c r="F980" t="inlineStr">
        <is>
          <t>gasto_comercial</t>
        </is>
      </c>
      <c r="H980" t="inlineStr">
        <is>
          <t>Servicios</t>
        </is>
      </c>
      <c r="I980" t="n">
        <v>23100000</v>
      </c>
      <c r="J980" t="inlineStr">
        <is>
          <t>COP</t>
        </is>
      </c>
      <c r="L980">
        <f>IFERROR(INDEX(Diccionario!$B:$B,MATCH(F992,Diccionario!$C:$C,0)),"")</f>
        <v/>
      </c>
      <c r="M980">
        <f>IFERROR(INDEX(Diccionario!$H:$H,MATCH(F992,Diccionario!$C:$C,0)),"")</f>
        <v/>
      </c>
      <c r="N980">
        <f>IFERROR(INDEX(Diccionario!$N:$N,MATCH(F992,Diccionario!$C:$C,0)),"")</f>
        <v/>
      </c>
    </row>
    <row r="981" ht="14.25" customHeight="1" s="52">
      <c r="A981" t="inlineStr">
        <is>
          <t>2026-04</t>
        </is>
      </c>
      <c r="B981" t="inlineStr">
        <is>
          <t>Colombia</t>
        </is>
      </c>
      <c r="C981" t="inlineStr">
        <is>
          <t>Coco Colombia</t>
        </is>
      </c>
      <c r="D981" t="inlineStr">
        <is>
          <t>COP</t>
        </is>
      </c>
      <c r="E981" t="inlineStr">
        <is>
          <t>Real</t>
        </is>
      </c>
      <c r="F981" t="inlineStr">
        <is>
          <t>gasto_comercial</t>
        </is>
      </c>
      <c r="H981" t="inlineStr">
        <is>
          <t>Viajes</t>
        </is>
      </c>
      <c r="I981" t="n">
        <v>7700000</v>
      </c>
      <c r="J981" t="inlineStr">
        <is>
          <t>COP</t>
        </is>
      </c>
      <c r="L981">
        <f>IFERROR(INDEX(Diccionario!$B:$B,MATCH(F993,Diccionario!$C:$C,0)),"")</f>
        <v/>
      </c>
      <c r="M981">
        <f>IFERROR(INDEX(Diccionario!$H:$H,MATCH(F993,Diccionario!$C:$C,0)),"")</f>
        <v/>
      </c>
      <c r="N981">
        <f>IFERROR(INDEX(Diccionario!$N:$N,MATCH(F993,Diccionario!$C:$C,0)),"")</f>
        <v/>
      </c>
    </row>
    <row r="982" ht="14.25" customHeight="1" s="52">
      <c r="A982" t="inlineStr">
        <is>
          <t>2026-04</t>
        </is>
      </c>
      <c r="B982" t="inlineStr">
        <is>
          <t>Colombia</t>
        </is>
      </c>
      <c r="C982" t="inlineStr">
        <is>
          <t>Coco Colombia</t>
        </is>
      </c>
      <c r="D982" t="inlineStr">
        <is>
          <t>COP</t>
        </is>
      </c>
      <c r="E982" t="inlineStr">
        <is>
          <t>Real</t>
        </is>
      </c>
      <c r="F982" t="inlineStr">
        <is>
          <t>gasto_comercial</t>
        </is>
      </c>
      <c r="H982" t="inlineStr">
        <is>
          <t>Diversos</t>
        </is>
      </c>
      <c r="I982" t="n">
        <v>9100000</v>
      </c>
      <c r="J982" t="inlineStr">
        <is>
          <t>COP</t>
        </is>
      </c>
      <c r="L982">
        <f>IFERROR(INDEX(Diccionario!$B:$B,MATCH(F994,Diccionario!$C:$C,0)),"")</f>
        <v/>
      </c>
      <c r="M982">
        <f>IFERROR(INDEX(Diccionario!$H:$H,MATCH(F994,Diccionario!$C:$C,0)),"")</f>
        <v/>
      </c>
      <c r="N982">
        <f>IFERROR(INDEX(Diccionario!$N:$N,MATCH(F994,Diccionario!$C:$C,0)),"")</f>
        <v/>
      </c>
    </row>
    <row r="983" ht="14.25" customHeight="1" s="52">
      <c r="A983" t="inlineStr">
        <is>
          <t>2026-05</t>
        </is>
      </c>
      <c r="B983" t="inlineStr">
        <is>
          <t>Colombia</t>
        </is>
      </c>
      <c r="C983" t="inlineStr">
        <is>
          <t>Coco Colombia</t>
        </is>
      </c>
      <c r="D983" t="inlineStr">
        <is>
          <t>COP</t>
        </is>
      </c>
      <c r="E983" t="inlineStr">
        <is>
          <t>Real</t>
        </is>
      </c>
      <c r="F983" t="inlineStr">
        <is>
          <t>gasto_comercial</t>
        </is>
      </c>
      <c r="H983" t="inlineStr">
        <is>
          <t>Personal</t>
        </is>
      </c>
      <c r="I983" t="n">
        <v>54300000</v>
      </c>
      <c r="J983" t="inlineStr">
        <is>
          <t>COP</t>
        </is>
      </c>
      <c r="L983">
        <f>IFERROR(INDEX(Diccionario!$B:$B,MATCH(F995,Diccionario!$C:$C,0)),"")</f>
        <v/>
      </c>
      <c r="M983">
        <f>IFERROR(INDEX(Diccionario!$H:$H,MATCH(F995,Diccionario!$C:$C,0)),"")</f>
        <v/>
      </c>
      <c r="N983">
        <f>IFERROR(INDEX(Diccionario!$N:$N,MATCH(F995,Diccionario!$C:$C,0)),"")</f>
        <v/>
      </c>
    </row>
    <row r="984" ht="14.25" customHeight="1" s="52">
      <c r="A984" t="inlineStr">
        <is>
          <t>2026-05</t>
        </is>
      </c>
      <c r="B984" t="inlineStr">
        <is>
          <t>Colombia</t>
        </is>
      </c>
      <c r="C984" t="inlineStr">
        <is>
          <t>Coco Colombia</t>
        </is>
      </c>
      <c r="D984" t="inlineStr">
        <is>
          <t>COP</t>
        </is>
      </c>
      <c r="E984" t="inlineStr">
        <is>
          <t>Real</t>
        </is>
      </c>
      <c r="F984" t="inlineStr">
        <is>
          <t>gasto_comercial</t>
        </is>
      </c>
      <c r="H984" t="inlineStr">
        <is>
          <t>Honorario</t>
        </is>
      </c>
      <c r="I984" t="n">
        <v>30600000</v>
      </c>
      <c r="J984" t="inlineStr">
        <is>
          <t>COP</t>
        </is>
      </c>
      <c r="L984">
        <f>IFERROR(INDEX(Diccionario!$B:$B,MATCH(F996,Diccionario!$C:$C,0)),"")</f>
        <v/>
      </c>
      <c r="M984">
        <f>IFERROR(INDEX(Diccionario!$H:$H,MATCH(F996,Diccionario!$C:$C,0)),"")</f>
        <v/>
      </c>
      <c r="N984">
        <f>IFERROR(INDEX(Diccionario!$N:$N,MATCH(F996,Diccionario!$C:$C,0)),"")</f>
        <v/>
      </c>
    </row>
    <row r="985" ht="14.25" customHeight="1" s="52">
      <c r="A985" t="inlineStr">
        <is>
          <t>2026-05</t>
        </is>
      </c>
      <c r="B985" t="inlineStr">
        <is>
          <t>Colombia</t>
        </is>
      </c>
      <c r="C985" t="inlineStr">
        <is>
          <t>Coco Colombia</t>
        </is>
      </c>
      <c r="D985" t="inlineStr">
        <is>
          <t>COP</t>
        </is>
      </c>
      <c r="E985" t="inlineStr">
        <is>
          <t>Real</t>
        </is>
      </c>
      <c r="F985" t="inlineStr">
        <is>
          <t>gasto_comercial</t>
        </is>
      </c>
      <c r="H985" t="inlineStr">
        <is>
          <t>Seguros</t>
        </is>
      </c>
      <c r="I985" t="n">
        <v>2100000</v>
      </c>
      <c r="J985" t="inlineStr">
        <is>
          <t>COP</t>
        </is>
      </c>
      <c r="L985">
        <f>IFERROR(INDEX(Diccionario!$B:$B,MATCH(F997,Diccionario!$C:$C,0)),"")</f>
        <v/>
      </c>
      <c r="M985">
        <f>IFERROR(INDEX(Diccionario!$H:$H,MATCH(F997,Diccionario!$C:$C,0)),"")</f>
        <v/>
      </c>
      <c r="N985">
        <f>IFERROR(INDEX(Diccionario!$N:$N,MATCH(F997,Diccionario!$C:$C,0)),"")</f>
        <v/>
      </c>
    </row>
    <row r="986" ht="14.25" customHeight="1" s="52">
      <c r="A986" t="inlineStr">
        <is>
          <t>2026-05</t>
        </is>
      </c>
      <c r="B986" t="inlineStr">
        <is>
          <t>Colombia</t>
        </is>
      </c>
      <c r="C986" t="inlineStr">
        <is>
          <t>Coco Colombia</t>
        </is>
      </c>
      <c r="D986" t="inlineStr">
        <is>
          <t>COP</t>
        </is>
      </c>
      <c r="E986" t="inlineStr">
        <is>
          <t>Real</t>
        </is>
      </c>
      <c r="F986" t="inlineStr">
        <is>
          <t>gasto_comercial</t>
        </is>
      </c>
      <c r="H986" t="inlineStr">
        <is>
          <t>Servicios</t>
        </is>
      </c>
      <c r="I986" t="n">
        <v>12200000</v>
      </c>
      <c r="J986" t="inlineStr">
        <is>
          <t>COP</t>
        </is>
      </c>
      <c r="L986">
        <f>IFERROR(INDEX(Diccionario!$B:$B,MATCH(F998,Diccionario!$C:$C,0)),"")</f>
        <v/>
      </c>
      <c r="M986">
        <f>IFERROR(INDEX(Diccionario!$H:$H,MATCH(F998,Diccionario!$C:$C,0)),"")</f>
        <v/>
      </c>
      <c r="N986">
        <f>IFERROR(INDEX(Diccionario!$N:$N,MATCH(F998,Diccionario!$C:$C,0)),"")</f>
        <v/>
      </c>
    </row>
    <row r="987" ht="14.25" customHeight="1" s="52">
      <c r="A987" t="inlineStr">
        <is>
          <t>2026-05</t>
        </is>
      </c>
      <c r="B987" t="inlineStr">
        <is>
          <t>Colombia</t>
        </is>
      </c>
      <c r="C987" t="inlineStr">
        <is>
          <t>Coco Colombia</t>
        </is>
      </c>
      <c r="D987" t="inlineStr">
        <is>
          <t>COP</t>
        </is>
      </c>
      <c r="E987" t="inlineStr">
        <is>
          <t>Real</t>
        </is>
      </c>
      <c r="F987" t="inlineStr">
        <is>
          <t>gasto_comercial</t>
        </is>
      </c>
      <c r="H987" t="inlineStr">
        <is>
          <t>Viajes</t>
        </is>
      </c>
      <c r="I987" t="n">
        <v>9100000</v>
      </c>
      <c r="J987" t="inlineStr">
        <is>
          <t>COP</t>
        </is>
      </c>
      <c r="L987">
        <f>IFERROR(INDEX(Diccionario!$B:$B,MATCH(F999,Diccionario!$C:$C,0)),"")</f>
        <v/>
      </c>
      <c r="M987">
        <f>IFERROR(INDEX(Diccionario!$H:$H,MATCH(F999,Diccionario!$C:$C,0)),"")</f>
        <v/>
      </c>
      <c r="N987">
        <f>IFERROR(INDEX(Diccionario!$N:$N,MATCH(F999,Diccionario!$C:$C,0)),"")</f>
        <v/>
      </c>
    </row>
    <row r="988" ht="14.25" customHeight="1" s="52">
      <c r="A988" t="inlineStr">
        <is>
          <t>2026-05</t>
        </is>
      </c>
      <c r="B988" t="inlineStr">
        <is>
          <t>Colombia</t>
        </is>
      </c>
      <c r="C988" t="inlineStr">
        <is>
          <t>Coco Colombia</t>
        </is>
      </c>
      <c r="D988" t="inlineStr">
        <is>
          <t>COP</t>
        </is>
      </c>
      <c r="E988" t="inlineStr">
        <is>
          <t>Real</t>
        </is>
      </c>
      <c r="F988" t="inlineStr">
        <is>
          <t>gasto_comercial</t>
        </is>
      </c>
      <c r="H988" t="inlineStr">
        <is>
          <t>Diversos</t>
        </is>
      </c>
      <c r="I988" t="n">
        <v>11600000</v>
      </c>
      <c r="J988" t="inlineStr">
        <is>
          <t>COP</t>
        </is>
      </c>
      <c r="L988">
        <f>IFERROR(INDEX(Diccionario!$B:$B,MATCH(F1000,Diccionario!$C:$C,0)),"")</f>
        <v/>
      </c>
      <c r="M988">
        <f>IFERROR(INDEX(Diccionario!$H:$H,MATCH(F1000,Diccionario!$C:$C,0)),"")</f>
        <v/>
      </c>
      <c r="N988">
        <f>IFERROR(INDEX(Diccionario!$N:$N,MATCH(F1000,Diccionario!$C:$C,0)),"")</f>
        <v/>
      </c>
    </row>
    <row r="989" ht="14.25" customHeight="1" s="52">
      <c r="A989" t="inlineStr">
        <is>
          <t>2024-04</t>
        </is>
      </c>
      <c r="B989" t="inlineStr">
        <is>
          <t>Colombia</t>
        </is>
      </c>
      <c r="C989" t="inlineStr">
        <is>
          <t>Coco Colombia</t>
        </is>
      </c>
      <c r="E989" t="inlineStr">
        <is>
          <t>Real</t>
        </is>
      </c>
      <c r="F989" t="inlineStr">
        <is>
          <t>costo_proveedor_ventas_pct</t>
        </is>
      </c>
      <c r="I989" t="n">
        <v>22.66</v>
      </c>
      <c r="J989" t="inlineStr">
        <is>
          <t>%</t>
        </is>
      </c>
      <c r="L989">
        <f>IFERROR(INDEX(Diccionario!$B:$B,MATCH(F1001,Diccionario!$C:$C,0)),"")</f>
        <v/>
      </c>
      <c r="M989">
        <f>IFERROR(INDEX(Diccionario!$H:$H,MATCH(F1001,Diccionario!$C:$C,0)),"")</f>
        <v/>
      </c>
      <c r="N989">
        <f>IFERROR(INDEX(Diccionario!$N:$N,MATCH(F1001,Diccionario!$C:$C,0)),"")</f>
        <v/>
      </c>
    </row>
    <row r="990" ht="14.25" customHeight="1" s="52">
      <c r="A990" t="inlineStr">
        <is>
          <t>2024-05</t>
        </is>
      </c>
      <c r="B990" t="inlineStr">
        <is>
          <t>Colombia</t>
        </is>
      </c>
      <c r="C990" t="inlineStr">
        <is>
          <t>Coco Colombia</t>
        </is>
      </c>
      <c r="E990" t="inlineStr">
        <is>
          <t>Real</t>
        </is>
      </c>
      <c r="F990" t="inlineStr">
        <is>
          <t>costo_proveedor_ventas_pct</t>
        </is>
      </c>
      <c r="I990" t="n">
        <v>22.39</v>
      </c>
      <c r="J990" t="inlineStr">
        <is>
          <t>%</t>
        </is>
      </c>
      <c r="L990">
        <f>IFERROR(INDEX(Diccionario!$B:$B,MATCH(F1002,Diccionario!$C:$C,0)),"")</f>
        <v/>
      </c>
      <c r="M990">
        <f>IFERROR(INDEX(Diccionario!$H:$H,MATCH(F1002,Diccionario!$C:$C,0)),"")</f>
        <v/>
      </c>
      <c r="N990">
        <f>IFERROR(INDEX(Diccionario!$N:$N,MATCH(F1002,Diccionario!$C:$C,0)),"")</f>
        <v/>
      </c>
    </row>
    <row r="991" ht="14.25" customHeight="1" s="52">
      <c r="A991" t="inlineStr">
        <is>
          <t>2024-06</t>
        </is>
      </c>
      <c r="B991" t="inlineStr">
        <is>
          <t>Colombia</t>
        </is>
      </c>
      <c r="C991" t="inlineStr">
        <is>
          <t>Coco Colombia</t>
        </is>
      </c>
      <c r="E991" t="inlineStr">
        <is>
          <t>Real</t>
        </is>
      </c>
      <c r="F991" t="inlineStr">
        <is>
          <t>costo_proveedor_ventas_pct</t>
        </is>
      </c>
      <c r="I991" t="n">
        <v>24.42</v>
      </c>
      <c r="J991" t="inlineStr">
        <is>
          <t>%</t>
        </is>
      </c>
      <c r="L991">
        <f>IFERROR(INDEX(Diccionario!$B:$B,MATCH(F1003,Diccionario!$C:$C,0)),"")</f>
        <v/>
      </c>
      <c r="M991">
        <f>IFERROR(INDEX(Diccionario!$H:$H,MATCH(F1003,Diccionario!$C:$C,0)),"")</f>
        <v/>
      </c>
      <c r="N991">
        <f>IFERROR(INDEX(Diccionario!$N:$N,MATCH(F1003,Diccionario!$C:$C,0)),"")</f>
        <v/>
      </c>
    </row>
    <row r="992" ht="14.25" customHeight="1" s="52">
      <c r="A992" t="inlineStr">
        <is>
          <t>2024-07</t>
        </is>
      </c>
      <c r="B992" t="inlineStr">
        <is>
          <t>Colombia</t>
        </is>
      </c>
      <c r="C992" t="inlineStr">
        <is>
          <t>Coco Colombia</t>
        </is>
      </c>
      <c r="E992" t="inlineStr">
        <is>
          <t>Real</t>
        </is>
      </c>
      <c r="F992" t="inlineStr">
        <is>
          <t>costo_proveedor_ventas_pct</t>
        </is>
      </c>
      <c r="I992" t="n">
        <v>13.1</v>
      </c>
      <c r="J992" t="inlineStr">
        <is>
          <t>%</t>
        </is>
      </c>
      <c r="L992">
        <f>IFERROR(INDEX(Diccionario!$B:$B,MATCH(F1004,Diccionario!$C:$C,0)),"")</f>
        <v/>
      </c>
      <c r="M992">
        <f>IFERROR(INDEX(Diccionario!$H:$H,MATCH(F1004,Diccionario!$C:$C,0)),"")</f>
        <v/>
      </c>
      <c r="N992">
        <f>IFERROR(INDEX(Diccionario!$N:$N,MATCH(F1004,Diccionario!$C:$C,0)),"")</f>
        <v/>
      </c>
    </row>
    <row r="993" ht="14.25" customHeight="1" s="52">
      <c r="A993" t="inlineStr">
        <is>
          <t>2024-08</t>
        </is>
      </c>
      <c r="B993" t="inlineStr">
        <is>
          <t>Colombia</t>
        </is>
      </c>
      <c r="C993" t="inlineStr">
        <is>
          <t>Coco Colombia</t>
        </is>
      </c>
      <c r="E993" t="inlineStr">
        <is>
          <t>Real</t>
        </is>
      </c>
      <c r="F993" t="inlineStr">
        <is>
          <t>costo_proveedor_ventas_pct</t>
        </is>
      </c>
      <c r="I993" t="n">
        <v>26.07</v>
      </c>
      <c r="J993" t="inlineStr">
        <is>
          <t>%</t>
        </is>
      </c>
      <c r="L993">
        <f>IFERROR(INDEX(Diccionario!$B:$B,MATCH(F1005,Diccionario!$C:$C,0)),"")</f>
        <v/>
      </c>
      <c r="M993">
        <f>IFERROR(INDEX(Diccionario!$H:$H,MATCH(F1005,Diccionario!$C:$C,0)),"")</f>
        <v/>
      </c>
      <c r="N993">
        <f>IFERROR(INDEX(Diccionario!$N:$N,MATCH(F1005,Diccionario!$C:$C,0)),"")</f>
        <v/>
      </c>
    </row>
    <row r="994" ht="14.25" customHeight="1" s="52">
      <c r="A994" t="inlineStr">
        <is>
          <t>2024-09</t>
        </is>
      </c>
      <c r="B994" t="inlineStr">
        <is>
          <t>Colombia</t>
        </is>
      </c>
      <c r="C994" t="inlineStr">
        <is>
          <t>Coco Colombia</t>
        </is>
      </c>
      <c r="E994" t="inlineStr">
        <is>
          <t>Real</t>
        </is>
      </c>
      <c r="F994" t="inlineStr">
        <is>
          <t>costo_proveedor_ventas_pct</t>
        </is>
      </c>
      <c r="I994" t="n">
        <v>25.49</v>
      </c>
      <c r="J994" t="inlineStr">
        <is>
          <t>%</t>
        </is>
      </c>
      <c r="L994">
        <f>IFERROR(INDEX(Diccionario!$B:$B,MATCH(F1006,Diccionario!$C:$C,0)),"")</f>
        <v/>
      </c>
      <c r="M994">
        <f>IFERROR(INDEX(Diccionario!$H:$H,MATCH(F1006,Diccionario!$C:$C,0)),"")</f>
        <v/>
      </c>
      <c r="N994">
        <f>IFERROR(INDEX(Diccionario!$N:$N,MATCH(F1006,Diccionario!$C:$C,0)),"")</f>
        <v/>
      </c>
    </row>
    <row r="995" ht="14.25" customHeight="1" s="52">
      <c r="A995" t="inlineStr">
        <is>
          <t>2024-10</t>
        </is>
      </c>
      <c r="B995" t="inlineStr">
        <is>
          <t>Colombia</t>
        </is>
      </c>
      <c r="C995" t="inlineStr">
        <is>
          <t>Coco Colombia</t>
        </is>
      </c>
      <c r="E995" t="inlineStr">
        <is>
          <t>Real</t>
        </is>
      </c>
      <c r="F995" t="inlineStr">
        <is>
          <t>costo_proveedor_ventas_pct</t>
        </is>
      </c>
      <c r="I995" t="n">
        <v>30.65</v>
      </c>
      <c r="J995" t="inlineStr">
        <is>
          <t>%</t>
        </is>
      </c>
      <c r="L995">
        <f>IFERROR(INDEX(Diccionario!$B:$B,MATCH(F1007,Diccionario!$C:$C,0)),"")</f>
        <v/>
      </c>
      <c r="M995">
        <f>IFERROR(INDEX(Diccionario!$H:$H,MATCH(F1007,Diccionario!$C:$C,0)),"")</f>
        <v/>
      </c>
      <c r="N995">
        <f>IFERROR(INDEX(Diccionario!$N:$N,MATCH(F1007,Diccionario!$C:$C,0)),"")</f>
        <v/>
      </c>
    </row>
    <row r="996" ht="14.25" customHeight="1" s="52">
      <c r="A996" t="inlineStr">
        <is>
          <t>2024-11</t>
        </is>
      </c>
      <c r="B996" t="inlineStr">
        <is>
          <t>Colombia</t>
        </is>
      </c>
      <c r="C996" t="inlineStr">
        <is>
          <t>Coco Colombia</t>
        </is>
      </c>
      <c r="E996" t="inlineStr">
        <is>
          <t>Real</t>
        </is>
      </c>
      <c r="F996" t="inlineStr">
        <is>
          <t>costo_proveedor_ventas_pct</t>
        </is>
      </c>
      <c r="I996" t="n">
        <v>23.39</v>
      </c>
      <c r="J996" t="inlineStr">
        <is>
          <t>%</t>
        </is>
      </c>
      <c r="L996">
        <f>IFERROR(INDEX(Diccionario!$B:$B,MATCH(F1008,Diccionario!$C:$C,0)),"")</f>
        <v/>
      </c>
      <c r="M996">
        <f>IFERROR(INDEX(Diccionario!$H:$H,MATCH(F1008,Diccionario!$C:$C,0)),"")</f>
        <v/>
      </c>
      <c r="N996">
        <f>IFERROR(INDEX(Diccionario!$N:$N,MATCH(F1008,Diccionario!$C:$C,0)),"")</f>
        <v/>
      </c>
    </row>
    <row r="997" ht="14.25" customHeight="1" s="52">
      <c r="A997" t="inlineStr">
        <is>
          <t>2024-12</t>
        </is>
      </c>
      <c r="B997" t="inlineStr">
        <is>
          <t>Colombia</t>
        </is>
      </c>
      <c r="C997" t="inlineStr">
        <is>
          <t>Coco Colombia</t>
        </is>
      </c>
      <c r="E997" t="inlineStr">
        <is>
          <t>Real</t>
        </is>
      </c>
      <c r="F997" t="inlineStr">
        <is>
          <t>costo_proveedor_ventas_pct</t>
        </is>
      </c>
      <c r="I997" t="n">
        <v>14.18</v>
      </c>
      <c r="J997" t="inlineStr">
        <is>
          <t>%</t>
        </is>
      </c>
      <c r="L997">
        <f>IFERROR(INDEX(Diccionario!$B:$B,MATCH(F1009,Diccionario!$C:$C,0)),"")</f>
        <v/>
      </c>
      <c r="M997">
        <f>IFERROR(INDEX(Diccionario!$H:$H,MATCH(F1009,Diccionario!$C:$C,0)),"")</f>
        <v/>
      </c>
      <c r="N997">
        <f>IFERROR(INDEX(Diccionario!$N:$N,MATCH(F1009,Diccionario!$C:$C,0)),"")</f>
        <v/>
      </c>
    </row>
    <row r="998" ht="14.25" customHeight="1" s="52">
      <c r="A998" t="inlineStr">
        <is>
          <t>2025-02</t>
        </is>
      </c>
      <c r="B998" t="inlineStr">
        <is>
          <t>Colombia</t>
        </is>
      </c>
      <c r="C998" t="inlineStr">
        <is>
          <t>Coco Colombia</t>
        </is>
      </c>
      <c r="E998" t="inlineStr">
        <is>
          <t>Real</t>
        </is>
      </c>
      <c r="F998" t="inlineStr">
        <is>
          <t>costo_proveedor_ventas_pct</t>
        </is>
      </c>
      <c r="I998" t="n">
        <v>8.210000000000001</v>
      </c>
      <c r="J998" t="inlineStr">
        <is>
          <t>%</t>
        </is>
      </c>
      <c r="L998">
        <f>IFERROR(INDEX(Diccionario!$B:$B,MATCH(F1010,Diccionario!$C:$C,0)),"")</f>
        <v/>
      </c>
      <c r="M998">
        <f>IFERROR(INDEX(Diccionario!$H:$H,MATCH(F1010,Diccionario!$C:$C,0)),"")</f>
        <v/>
      </c>
      <c r="N998">
        <f>IFERROR(INDEX(Diccionario!$N:$N,MATCH(F1010,Diccionario!$C:$C,0)),"")</f>
        <v/>
      </c>
    </row>
    <row r="999" ht="14.25" customHeight="1" s="52">
      <c r="A999" t="inlineStr">
        <is>
          <t>2025-03</t>
        </is>
      </c>
      <c r="B999" t="inlineStr">
        <is>
          <t>Colombia</t>
        </is>
      </c>
      <c r="C999" t="inlineStr">
        <is>
          <t>Coco Colombia</t>
        </is>
      </c>
      <c r="E999" t="inlineStr">
        <is>
          <t>Real</t>
        </is>
      </c>
      <c r="F999" t="inlineStr">
        <is>
          <t>costo_proveedor_ventas_pct</t>
        </is>
      </c>
      <c r="I999" t="n">
        <v>29.93</v>
      </c>
      <c r="J999" t="inlineStr">
        <is>
          <t>%</t>
        </is>
      </c>
      <c r="L999">
        <f>IFERROR(INDEX(Diccionario!$B:$B,MATCH(F1011,Diccionario!$C:$C,0)),"")</f>
        <v/>
      </c>
      <c r="M999">
        <f>IFERROR(INDEX(Diccionario!$H:$H,MATCH(F1011,Diccionario!$C:$C,0)),"")</f>
        <v/>
      </c>
      <c r="N999">
        <f>IFERROR(INDEX(Diccionario!$N:$N,MATCH(F1011,Diccionario!$C:$C,0)),"")</f>
        <v/>
      </c>
    </row>
    <row r="1000" ht="14.25" customHeight="1" s="52">
      <c r="A1000" t="inlineStr">
        <is>
          <t>2025-04</t>
        </is>
      </c>
      <c r="B1000" t="inlineStr">
        <is>
          <t>Colombia</t>
        </is>
      </c>
      <c r="C1000" t="inlineStr">
        <is>
          <t>Coco Colombia</t>
        </is>
      </c>
      <c r="E1000" t="inlineStr">
        <is>
          <t>Real</t>
        </is>
      </c>
      <c r="F1000" t="inlineStr">
        <is>
          <t>costo_proveedor_ventas_pct</t>
        </is>
      </c>
      <c r="I1000" t="n">
        <v>26.97</v>
      </c>
      <c r="J1000" t="inlineStr">
        <is>
          <t>%</t>
        </is>
      </c>
      <c r="L1000">
        <f>IFERROR(INDEX(Diccionario!$B:$B,MATCH(F1012,Diccionario!$C:$C,0)),"")</f>
        <v/>
      </c>
      <c r="M1000">
        <f>IFERROR(INDEX(Diccionario!$H:$H,MATCH(F1012,Diccionario!$C:$C,0)),"")</f>
        <v/>
      </c>
      <c r="N1000">
        <f>IFERROR(INDEX(Diccionario!$N:$N,MATCH(F1012,Diccionario!$C:$C,0)),"")</f>
        <v/>
      </c>
    </row>
    <row r="1001" ht="14.25" customHeight="1" s="52">
      <c r="A1001" t="inlineStr">
        <is>
          <t>2025-05</t>
        </is>
      </c>
      <c r="B1001" t="inlineStr">
        <is>
          <t>Colombia</t>
        </is>
      </c>
      <c r="C1001" t="inlineStr">
        <is>
          <t>Coco Colombia</t>
        </is>
      </c>
      <c r="E1001" t="inlineStr">
        <is>
          <t>Real</t>
        </is>
      </c>
      <c r="F1001" t="inlineStr">
        <is>
          <t>costo_proveedor_ventas_pct</t>
        </is>
      </c>
      <c r="I1001" t="n">
        <v>21.93</v>
      </c>
      <c r="J1001" t="inlineStr">
        <is>
          <t>%</t>
        </is>
      </c>
      <c r="L1001">
        <f>IFERROR(INDEX(Diccionario!$B:$B,MATCH(F1013,Diccionario!$C:$C,0)),"")</f>
        <v/>
      </c>
      <c r="M1001">
        <f>IFERROR(INDEX(Diccionario!$H:$H,MATCH(F1013,Diccionario!$C:$C,0)),"")</f>
        <v/>
      </c>
      <c r="N1001">
        <f>IFERROR(INDEX(Diccionario!$N:$N,MATCH(F1013,Diccionario!$C:$C,0)),"")</f>
        <v/>
      </c>
    </row>
    <row r="1002" ht="14.25" customHeight="1" s="52">
      <c r="A1002" t="inlineStr">
        <is>
          <t>2025-06</t>
        </is>
      </c>
      <c r="B1002" t="inlineStr">
        <is>
          <t>Colombia</t>
        </is>
      </c>
      <c r="C1002" t="inlineStr">
        <is>
          <t>Coco Colombia</t>
        </is>
      </c>
      <c r="E1002" t="inlineStr">
        <is>
          <t>Real</t>
        </is>
      </c>
      <c r="F1002" t="inlineStr">
        <is>
          <t>costo_proveedor_ventas_pct</t>
        </is>
      </c>
      <c r="I1002" t="n">
        <v>19.54</v>
      </c>
      <c r="J1002" t="inlineStr">
        <is>
          <t>%</t>
        </is>
      </c>
      <c r="L1002">
        <f>IFERROR(INDEX(Diccionario!$B:$B,MATCH(F1014,Diccionario!$C:$C,0)),"")</f>
        <v/>
      </c>
      <c r="M1002">
        <f>IFERROR(INDEX(Diccionario!$H:$H,MATCH(F1014,Diccionario!$C:$C,0)),"")</f>
        <v/>
      </c>
      <c r="N1002">
        <f>IFERROR(INDEX(Diccionario!$N:$N,MATCH(F1014,Diccionario!$C:$C,0)),"")</f>
        <v/>
      </c>
    </row>
    <row r="1003" ht="14.25" customHeight="1" s="52">
      <c r="A1003" t="inlineStr">
        <is>
          <t>2025-07</t>
        </is>
      </c>
      <c r="B1003" t="inlineStr">
        <is>
          <t>Colombia</t>
        </is>
      </c>
      <c r="C1003" t="inlineStr">
        <is>
          <t>Coco Colombia</t>
        </is>
      </c>
      <c r="E1003" t="inlineStr">
        <is>
          <t>Real</t>
        </is>
      </c>
      <c r="F1003" t="inlineStr">
        <is>
          <t>costo_proveedor_ventas_pct</t>
        </is>
      </c>
      <c r="I1003" t="n">
        <v>46.64</v>
      </c>
      <c r="J1003" t="inlineStr">
        <is>
          <t>%</t>
        </is>
      </c>
      <c r="L1003">
        <f>IFERROR(INDEX(Diccionario!$B:$B,MATCH(F1015,Diccionario!$C:$C,0)),"")</f>
        <v/>
      </c>
      <c r="M1003">
        <f>IFERROR(INDEX(Diccionario!$H:$H,MATCH(F1015,Diccionario!$C:$C,0)),"")</f>
        <v/>
      </c>
      <c r="N1003">
        <f>IFERROR(INDEX(Diccionario!$N:$N,MATCH(F1015,Diccionario!$C:$C,0)),"")</f>
        <v/>
      </c>
    </row>
    <row r="1004" ht="14.25" customHeight="1" s="52">
      <c r="A1004" t="inlineStr">
        <is>
          <t>2025-08</t>
        </is>
      </c>
      <c r="B1004" t="inlineStr">
        <is>
          <t>Colombia</t>
        </is>
      </c>
      <c r="C1004" t="inlineStr">
        <is>
          <t>Coco Colombia</t>
        </is>
      </c>
      <c r="E1004" t="inlineStr">
        <is>
          <t>Real</t>
        </is>
      </c>
      <c r="F1004" t="inlineStr">
        <is>
          <t>costo_proveedor_ventas_pct</t>
        </is>
      </c>
      <c r="I1004" t="n">
        <v>7.9</v>
      </c>
      <c r="J1004" t="inlineStr">
        <is>
          <t>%</t>
        </is>
      </c>
      <c r="L1004">
        <f>IFERROR(INDEX(Diccionario!$B:$B,MATCH(F1016,Diccionario!$C:$C,0)),"")</f>
        <v/>
      </c>
      <c r="M1004">
        <f>IFERROR(INDEX(Diccionario!$H:$H,MATCH(F1016,Diccionario!$C:$C,0)),"")</f>
        <v/>
      </c>
      <c r="N1004">
        <f>IFERROR(INDEX(Diccionario!$N:$N,MATCH(F1016,Diccionario!$C:$C,0)),"")</f>
        <v/>
      </c>
    </row>
    <row r="1005" ht="14.25" customHeight="1" s="52">
      <c r="A1005" t="inlineStr">
        <is>
          <t>2025-09</t>
        </is>
      </c>
      <c r="B1005" t="inlineStr">
        <is>
          <t>Colombia</t>
        </is>
      </c>
      <c r="C1005" t="inlineStr">
        <is>
          <t>Coco Colombia</t>
        </is>
      </c>
      <c r="E1005" t="inlineStr">
        <is>
          <t>Real</t>
        </is>
      </c>
      <c r="F1005" t="inlineStr">
        <is>
          <t>costo_proveedor_ventas_pct</t>
        </is>
      </c>
      <c r="I1005" t="n">
        <v>13.35</v>
      </c>
      <c r="J1005" t="inlineStr">
        <is>
          <t>%</t>
        </is>
      </c>
      <c r="L1005">
        <f>IFERROR(INDEX(Diccionario!$B:$B,MATCH(F1017,Diccionario!$C:$C,0)),"")</f>
        <v/>
      </c>
      <c r="M1005">
        <f>IFERROR(INDEX(Diccionario!$H:$H,MATCH(F1017,Diccionario!$C:$C,0)),"")</f>
        <v/>
      </c>
      <c r="N1005">
        <f>IFERROR(INDEX(Diccionario!$N:$N,MATCH(F1017,Diccionario!$C:$C,0)),"")</f>
        <v/>
      </c>
    </row>
    <row r="1006" ht="14.25" customHeight="1" s="52">
      <c r="A1006" t="inlineStr">
        <is>
          <t>2025-10</t>
        </is>
      </c>
      <c r="B1006" t="inlineStr">
        <is>
          <t>Colombia</t>
        </is>
      </c>
      <c r="C1006" t="inlineStr">
        <is>
          <t>Coco Colombia</t>
        </is>
      </c>
      <c r="E1006" t="inlineStr">
        <is>
          <t>Real</t>
        </is>
      </c>
      <c r="F1006" t="inlineStr">
        <is>
          <t>costo_proveedor_ventas_pct</t>
        </is>
      </c>
      <c r="I1006" t="n">
        <v>25.04</v>
      </c>
      <c r="J1006" t="inlineStr">
        <is>
          <t>%</t>
        </is>
      </c>
      <c r="L1006">
        <f>IFERROR(INDEX(Diccionario!$B:$B,MATCH(F1018,Diccionario!$C:$C,0)),"")</f>
        <v/>
      </c>
      <c r="M1006">
        <f>IFERROR(INDEX(Diccionario!$H:$H,MATCH(F1018,Diccionario!$C:$C,0)),"")</f>
        <v/>
      </c>
      <c r="N1006">
        <f>IFERROR(INDEX(Diccionario!$N:$N,MATCH(F1018,Diccionario!$C:$C,0)),"")</f>
        <v/>
      </c>
    </row>
    <row r="1007" ht="14.25" customHeight="1" s="52">
      <c r="A1007" t="inlineStr">
        <is>
          <t>2025-11</t>
        </is>
      </c>
      <c r="B1007" t="inlineStr">
        <is>
          <t>Colombia</t>
        </is>
      </c>
      <c r="C1007" t="inlineStr">
        <is>
          <t>Coco Colombia</t>
        </is>
      </c>
      <c r="E1007" t="inlineStr">
        <is>
          <t>Real</t>
        </is>
      </c>
      <c r="F1007" t="inlineStr">
        <is>
          <t>costo_proveedor_ventas_pct</t>
        </is>
      </c>
      <c r="I1007" t="n">
        <v>39.69</v>
      </c>
      <c r="J1007" t="inlineStr">
        <is>
          <t>%</t>
        </is>
      </c>
      <c r="L1007">
        <f>IFERROR(INDEX(Diccionario!$B:$B,MATCH(F1019,Diccionario!$C:$C,0)),"")</f>
        <v/>
      </c>
      <c r="M1007">
        <f>IFERROR(INDEX(Diccionario!$H:$H,MATCH(F1019,Diccionario!$C:$C,0)),"")</f>
        <v/>
      </c>
      <c r="N1007">
        <f>IFERROR(INDEX(Diccionario!$N:$N,MATCH(F1019,Diccionario!$C:$C,0)),"")</f>
        <v/>
      </c>
    </row>
    <row r="1008" ht="14.25" customHeight="1" s="52">
      <c r="A1008" t="inlineStr">
        <is>
          <t>2025-12</t>
        </is>
      </c>
      <c r="B1008" t="inlineStr">
        <is>
          <t>Colombia</t>
        </is>
      </c>
      <c r="C1008" t="inlineStr">
        <is>
          <t>Coco Colombia</t>
        </is>
      </c>
      <c r="E1008" t="inlineStr">
        <is>
          <t>Real</t>
        </is>
      </c>
      <c r="F1008" t="inlineStr">
        <is>
          <t>costo_proveedor_ventas_pct</t>
        </is>
      </c>
      <c r="I1008" t="n">
        <v>20.96</v>
      </c>
      <c r="J1008" t="inlineStr">
        <is>
          <t>%</t>
        </is>
      </c>
      <c r="L1008">
        <f>IFERROR(INDEX(Diccionario!$B:$B,MATCH(F1020,Diccionario!$C:$C,0)),"")</f>
        <v/>
      </c>
      <c r="M1008">
        <f>IFERROR(INDEX(Diccionario!$H:$H,MATCH(F1020,Diccionario!$C:$C,0)),"")</f>
        <v/>
      </c>
      <c r="N1008">
        <f>IFERROR(INDEX(Diccionario!$N:$N,MATCH(F1020,Diccionario!$C:$C,0)),"")</f>
        <v/>
      </c>
    </row>
    <row r="1009" ht="14.25" customHeight="1" s="52">
      <c r="A1009" t="inlineStr">
        <is>
          <t>2026-01</t>
        </is>
      </c>
      <c r="B1009" t="inlineStr">
        <is>
          <t>Colombia</t>
        </is>
      </c>
      <c r="C1009" t="inlineStr">
        <is>
          <t>Coco Colombia</t>
        </is>
      </c>
      <c r="E1009" t="inlineStr">
        <is>
          <t>Real</t>
        </is>
      </c>
      <c r="F1009" t="inlineStr">
        <is>
          <t>costo_proveedor_ventas_pct</t>
        </is>
      </c>
      <c r="I1009" t="n">
        <v>10.55</v>
      </c>
      <c r="J1009" t="inlineStr">
        <is>
          <t>%</t>
        </is>
      </c>
      <c r="L1009">
        <f>IFERROR(INDEX(Diccionario!$B:$B,MATCH(F1021,Diccionario!$C:$C,0)),"")</f>
        <v/>
      </c>
      <c r="M1009">
        <f>IFERROR(INDEX(Diccionario!$H:$H,MATCH(F1021,Diccionario!$C:$C,0)),"")</f>
        <v/>
      </c>
      <c r="N1009">
        <f>IFERROR(INDEX(Diccionario!$N:$N,MATCH(F1021,Diccionario!$C:$C,0)),"")</f>
        <v/>
      </c>
    </row>
    <row r="1010" ht="14.25" customHeight="1" s="52">
      <c r="A1010" t="inlineStr">
        <is>
          <t>2026-02</t>
        </is>
      </c>
      <c r="B1010" t="inlineStr">
        <is>
          <t>Colombia</t>
        </is>
      </c>
      <c r="C1010" t="inlineStr">
        <is>
          <t>Coco Colombia</t>
        </is>
      </c>
      <c r="E1010" t="inlineStr">
        <is>
          <t>Real</t>
        </is>
      </c>
      <c r="F1010" t="inlineStr">
        <is>
          <t>costo_proveedor_ventas_pct</t>
        </is>
      </c>
      <c r="I1010" t="n">
        <v>23.86</v>
      </c>
      <c r="J1010" t="inlineStr">
        <is>
          <t>%</t>
        </is>
      </c>
      <c r="L1010">
        <f>IFERROR(INDEX(Diccionario!$B:$B,MATCH(F1022,Diccionario!$C:$C,0)),"")</f>
        <v/>
      </c>
      <c r="M1010">
        <f>IFERROR(INDEX(Diccionario!$H:$H,MATCH(F1022,Diccionario!$C:$C,0)),"")</f>
        <v/>
      </c>
      <c r="N1010">
        <f>IFERROR(INDEX(Diccionario!$N:$N,MATCH(F1022,Diccionario!$C:$C,0)),"")</f>
        <v/>
      </c>
    </row>
    <row r="1011" ht="14.25" customHeight="1" s="52">
      <c r="A1011" t="inlineStr">
        <is>
          <t>2026-03</t>
        </is>
      </c>
      <c r="B1011" t="inlineStr">
        <is>
          <t>Colombia</t>
        </is>
      </c>
      <c r="C1011" t="inlineStr">
        <is>
          <t>Coco Colombia</t>
        </is>
      </c>
      <c r="E1011" t="inlineStr">
        <is>
          <t>Real</t>
        </is>
      </c>
      <c r="F1011" t="inlineStr">
        <is>
          <t>costo_proveedor_ventas_pct</t>
        </is>
      </c>
      <c r="I1011" t="n">
        <v>35.68</v>
      </c>
      <c r="J1011" t="inlineStr">
        <is>
          <t>%</t>
        </is>
      </c>
      <c r="L1011">
        <f>IFERROR(INDEX(Diccionario!$B:$B,MATCH(F1023,Diccionario!$C:$C,0)),"")</f>
        <v/>
      </c>
      <c r="M1011">
        <f>IFERROR(INDEX(Diccionario!$H:$H,MATCH(F1023,Diccionario!$C:$C,0)),"")</f>
        <v/>
      </c>
      <c r="N1011">
        <f>IFERROR(INDEX(Diccionario!$N:$N,MATCH(F1023,Diccionario!$C:$C,0)),"")</f>
        <v/>
      </c>
    </row>
    <row r="1012" ht="14.25" customHeight="1" s="52">
      <c r="A1012" t="inlineStr">
        <is>
          <t>2026-04</t>
        </is>
      </c>
      <c r="B1012" t="inlineStr">
        <is>
          <t>Colombia</t>
        </is>
      </c>
      <c r="C1012" t="inlineStr">
        <is>
          <t>Coco Colombia</t>
        </is>
      </c>
      <c r="E1012" t="inlineStr">
        <is>
          <t>Real</t>
        </is>
      </c>
      <c r="F1012" t="inlineStr">
        <is>
          <t>costo_proveedor_ventas_pct</t>
        </is>
      </c>
      <c r="I1012" t="n">
        <v>25.72</v>
      </c>
      <c r="J1012" t="inlineStr">
        <is>
          <t>%</t>
        </is>
      </c>
      <c r="L1012">
        <f>IFERROR(INDEX(Diccionario!$B:$B,MATCH(F1024,Diccionario!$C:$C,0)),"")</f>
        <v/>
      </c>
      <c r="M1012">
        <f>IFERROR(INDEX(Diccionario!$H:$H,MATCH(F1024,Diccionario!$C:$C,0)),"")</f>
        <v/>
      </c>
      <c r="N1012">
        <f>IFERROR(INDEX(Diccionario!$N:$N,MATCH(F1024,Diccionario!$C:$C,0)),"")</f>
        <v/>
      </c>
    </row>
    <row r="1013" ht="14.25" customHeight="1" s="52">
      <c r="A1013" t="inlineStr">
        <is>
          <t>2026-05</t>
        </is>
      </c>
      <c r="B1013" t="inlineStr">
        <is>
          <t>Colombia</t>
        </is>
      </c>
      <c r="C1013" t="inlineStr">
        <is>
          <t>Coco Colombia</t>
        </is>
      </c>
      <c r="E1013" t="inlineStr">
        <is>
          <t>Real</t>
        </is>
      </c>
      <c r="F1013" t="inlineStr">
        <is>
          <t>costo_proveedor_ventas_pct</t>
        </is>
      </c>
      <c r="I1013" t="n">
        <v>22.96</v>
      </c>
      <c r="J1013" t="inlineStr">
        <is>
          <t>%</t>
        </is>
      </c>
      <c r="L1013">
        <f>IFERROR(INDEX(Diccionario!$B:$B,MATCH(F1025,Diccionario!$C:$C,0)),"")</f>
        <v/>
      </c>
      <c r="M1013">
        <f>IFERROR(INDEX(Diccionario!$H:$H,MATCH(F1025,Diccionario!$C:$C,0)),"")</f>
        <v/>
      </c>
      <c r="N1013">
        <f>IFERROR(INDEX(Diccionario!$N:$N,MATCH(F1025,Diccionario!$C:$C,0)),"")</f>
        <v/>
      </c>
    </row>
    <row r="1014" ht="14.25" customHeight="1" s="52">
      <c r="A1014" t="inlineStr">
        <is>
          <t>2024-01</t>
        </is>
      </c>
      <c r="B1014" t="inlineStr">
        <is>
          <t>Colombia</t>
        </is>
      </c>
      <c r="C1014" t="inlineStr">
        <is>
          <t>Coco Colombia</t>
        </is>
      </c>
      <c r="D1014" t="inlineStr">
        <is>
          <t>COP</t>
        </is>
      </c>
      <c r="E1014" t="inlineStr">
        <is>
          <t>Real</t>
        </is>
      </c>
      <c r="F1014" t="inlineStr">
        <is>
          <t>ingresos_recurrentes</t>
        </is>
      </c>
      <c r="I1014" t="n">
        <v>393759551</v>
      </c>
      <c r="J1014" t="inlineStr">
        <is>
          <t>COP</t>
        </is>
      </c>
      <c r="L1014">
        <f>IFERROR(INDEX(Diccionario!$B:$B,MATCH(F1026,Diccionario!$C:$C,0)),"")</f>
        <v/>
      </c>
      <c r="M1014">
        <f>IFERROR(INDEX(Diccionario!$H:$H,MATCH(F1026,Diccionario!$C:$C,0)),"")</f>
        <v/>
      </c>
      <c r="N1014">
        <f>IFERROR(INDEX(Diccionario!$N:$N,MATCH(F1026,Diccionario!$C:$C,0)),"")</f>
        <v/>
      </c>
    </row>
    <row r="1015" ht="14.25" customHeight="1" s="52">
      <c r="A1015" t="inlineStr">
        <is>
          <t>2024-02</t>
        </is>
      </c>
      <c r="B1015" t="inlineStr">
        <is>
          <t>Colombia</t>
        </is>
      </c>
      <c r="C1015" t="inlineStr">
        <is>
          <t>Coco Colombia</t>
        </is>
      </c>
      <c r="D1015" t="inlineStr">
        <is>
          <t>COP</t>
        </is>
      </c>
      <c r="E1015" t="inlineStr">
        <is>
          <t>Real</t>
        </is>
      </c>
      <c r="F1015" t="inlineStr">
        <is>
          <t>ingresos_recurrentes</t>
        </is>
      </c>
      <c r="I1015" t="n">
        <v>546983304</v>
      </c>
      <c r="J1015" t="inlineStr">
        <is>
          <t>COP</t>
        </is>
      </c>
      <c r="L1015">
        <f>IFERROR(INDEX(Diccionario!$B:$B,MATCH(F1027,Diccionario!$C:$C,0)),"")</f>
        <v/>
      </c>
      <c r="M1015">
        <f>IFERROR(INDEX(Diccionario!$H:$H,MATCH(F1027,Diccionario!$C:$C,0)),"")</f>
        <v/>
      </c>
      <c r="N1015">
        <f>IFERROR(INDEX(Diccionario!$N:$N,MATCH(F1027,Diccionario!$C:$C,0)),"")</f>
        <v/>
      </c>
    </row>
    <row r="1016" ht="14.25" customHeight="1" s="52">
      <c r="A1016" t="inlineStr">
        <is>
          <t>2024-03</t>
        </is>
      </c>
      <c r="B1016" t="inlineStr">
        <is>
          <t>Colombia</t>
        </is>
      </c>
      <c r="C1016" t="inlineStr">
        <is>
          <t>Coco Colombia</t>
        </is>
      </c>
      <c r="D1016" t="inlineStr">
        <is>
          <t>COP</t>
        </is>
      </c>
      <c r="E1016" t="inlineStr">
        <is>
          <t>Real</t>
        </is>
      </c>
      <c r="F1016" t="inlineStr">
        <is>
          <t>ingresos_recurrentes</t>
        </is>
      </c>
      <c r="I1016" t="n">
        <v>543692148</v>
      </c>
      <c r="J1016" t="inlineStr">
        <is>
          <t>COP</t>
        </is>
      </c>
      <c r="L1016">
        <f>IFERROR(INDEX(Diccionario!$B:$B,MATCH(F1028,Diccionario!$C:$C,0)),"")</f>
        <v/>
      </c>
      <c r="M1016">
        <f>IFERROR(INDEX(Diccionario!$H:$H,MATCH(F1028,Diccionario!$C:$C,0)),"")</f>
        <v/>
      </c>
      <c r="N1016">
        <f>IFERROR(INDEX(Diccionario!$N:$N,MATCH(F1028,Diccionario!$C:$C,0)),"")</f>
        <v/>
      </c>
    </row>
    <row r="1017" ht="14.25" customHeight="1" s="52">
      <c r="A1017" t="inlineStr">
        <is>
          <t>2024-04</t>
        </is>
      </c>
      <c r="B1017" t="inlineStr">
        <is>
          <t>Colombia</t>
        </is>
      </c>
      <c r="C1017" t="inlineStr">
        <is>
          <t>Coco Colombia</t>
        </is>
      </c>
      <c r="D1017" t="inlineStr">
        <is>
          <t>COP</t>
        </is>
      </c>
      <c r="E1017" t="inlineStr">
        <is>
          <t>Real</t>
        </is>
      </c>
      <c r="F1017" t="inlineStr">
        <is>
          <t>ingresos_recurrentes</t>
        </is>
      </c>
      <c r="I1017" t="n">
        <v>529778177</v>
      </c>
      <c r="J1017" t="inlineStr">
        <is>
          <t>COP</t>
        </is>
      </c>
      <c r="L1017">
        <f>IFERROR(INDEX(Diccionario!$B:$B,MATCH(F1029,Diccionario!$C:$C,0)),"")</f>
        <v/>
      </c>
      <c r="M1017">
        <f>IFERROR(INDEX(Diccionario!$H:$H,MATCH(F1029,Diccionario!$C:$C,0)),"")</f>
        <v/>
      </c>
      <c r="N1017">
        <f>IFERROR(INDEX(Diccionario!$N:$N,MATCH(F1029,Diccionario!$C:$C,0)),"")</f>
        <v/>
      </c>
    </row>
    <row r="1018" ht="14.25" customHeight="1" s="52">
      <c r="A1018" t="inlineStr">
        <is>
          <t>2024-05</t>
        </is>
      </c>
      <c r="B1018" t="inlineStr">
        <is>
          <t>Colombia</t>
        </is>
      </c>
      <c r="C1018" t="inlineStr">
        <is>
          <t>Coco Colombia</t>
        </is>
      </c>
      <c r="D1018" t="inlineStr">
        <is>
          <t>COP</t>
        </is>
      </c>
      <c r="E1018" t="inlineStr">
        <is>
          <t>Real</t>
        </is>
      </c>
      <c r="F1018" t="inlineStr">
        <is>
          <t>ingresos_recurrentes</t>
        </is>
      </c>
      <c r="I1018" t="n">
        <v>605227323</v>
      </c>
      <c r="J1018" t="inlineStr">
        <is>
          <t>COP</t>
        </is>
      </c>
      <c r="L1018">
        <f>IFERROR(INDEX(Diccionario!$B:$B,MATCH(F1030,Diccionario!$C:$C,0)),"")</f>
        <v/>
      </c>
      <c r="M1018">
        <f>IFERROR(INDEX(Diccionario!$H:$H,MATCH(F1030,Diccionario!$C:$C,0)),"")</f>
        <v/>
      </c>
      <c r="N1018">
        <f>IFERROR(INDEX(Diccionario!$N:$N,MATCH(F1030,Diccionario!$C:$C,0)),"")</f>
        <v/>
      </c>
    </row>
    <row r="1019" ht="14.25" customHeight="1" s="52">
      <c r="A1019" t="inlineStr">
        <is>
          <t>2024-06</t>
        </is>
      </c>
      <c r="B1019" t="inlineStr">
        <is>
          <t>Colombia</t>
        </is>
      </c>
      <c r="C1019" t="inlineStr">
        <is>
          <t>Coco Colombia</t>
        </is>
      </c>
      <c r="D1019" t="inlineStr">
        <is>
          <t>COP</t>
        </is>
      </c>
      <c r="E1019" t="inlineStr">
        <is>
          <t>Real</t>
        </is>
      </c>
      <c r="F1019" t="inlineStr">
        <is>
          <t>ingresos_recurrentes</t>
        </is>
      </c>
      <c r="I1019" t="n">
        <v>547523725</v>
      </c>
      <c r="J1019" t="inlineStr">
        <is>
          <t>COP</t>
        </is>
      </c>
      <c r="L1019">
        <f>IFERROR(INDEX(Diccionario!$B:$B,MATCH(F1031,Diccionario!$C:$C,0)),"")</f>
        <v/>
      </c>
      <c r="M1019">
        <f>IFERROR(INDEX(Diccionario!$H:$H,MATCH(F1031,Diccionario!$C:$C,0)),"")</f>
        <v/>
      </c>
      <c r="N1019">
        <f>IFERROR(INDEX(Diccionario!$N:$N,MATCH(F1031,Diccionario!$C:$C,0)),"")</f>
        <v/>
      </c>
    </row>
    <row r="1020" ht="14.25" customHeight="1" s="52">
      <c r="A1020" t="inlineStr">
        <is>
          <t>2024-07</t>
        </is>
      </c>
      <c r="B1020" t="inlineStr">
        <is>
          <t>Colombia</t>
        </is>
      </c>
      <c r="C1020" t="inlineStr">
        <is>
          <t>Coco Colombia</t>
        </is>
      </c>
      <c r="D1020" t="inlineStr">
        <is>
          <t>COP</t>
        </is>
      </c>
      <c r="E1020" t="inlineStr">
        <is>
          <t>Real</t>
        </is>
      </c>
      <c r="F1020" t="inlineStr">
        <is>
          <t>ingresos_recurrentes</t>
        </is>
      </c>
      <c r="I1020" t="n">
        <v>578363325</v>
      </c>
      <c r="J1020" t="inlineStr">
        <is>
          <t>COP</t>
        </is>
      </c>
      <c r="L1020">
        <f>IFERROR(INDEX(Diccionario!$B:$B,MATCH(F1032,Diccionario!$C:$C,0)),"")</f>
        <v/>
      </c>
      <c r="M1020">
        <f>IFERROR(INDEX(Diccionario!$H:$H,MATCH(F1032,Diccionario!$C:$C,0)),"")</f>
        <v/>
      </c>
      <c r="N1020">
        <f>IFERROR(INDEX(Diccionario!$N:$N,MATCH(F1032,Diccionario!$C:$C,0)),"")</f>
        <v/>
      </c>
    </row>
    <row r="1021" ht="14.25" customHeight="1" s="52">
      <c r="A1021" t="inlineStr">
        <is>
          <t>2024-08</t>
        </is>
      </c>
      <c r="B1021" t="inlineStr">
        <is>
          <t>Colombia</t>
        </is>
      </c>
      <c r="C1021" t="inlineStr">
        <is>
          <t>Coco Colombia</t>
        </is>
      </c>
      <c r="D1021" t="inlineStr">
        <is>
          <t>COP</t>
        </is>
      </c>
      <c r="E1021" t="inlineStr">
        <is>
          <t>Real</t>
        </is>
      </c>
      <c r="F1021" t="inlineStr">
        <is>
          <t>ingresos_recurrentes</t>
        </is>
      </c>
      <c r="I1021" t="n">
        <v>602616989</v>
      </c>
      <c r="J1021" t="inlineStr">
        <is>
          <t>COP</t>
        </is>
      </c>
      <c r="L1021">
        <f>IFERROR(INDEX(Diccionario!$B:$B,MATCH(F1033,Diccionario!$C:$C,0)),"")</f>
        <v/>
      </c>
      <c r="M1021">
        <f>IFERROR(INDEX(Diccionario!$H:$H,MATCH(F1033,Diccionario!$C:$C,0)),"")</f>
        <v/>
      </c>
      <c r="N1021">
        <f>IFERROR(INDEX(Diccionario!$N:$N,MATCH(F1033,Diccionario!$C:$C,0)),"")</f>
        <v/>
      </c>
    </row>
    <row r="1022" ht="14.25" customHeight="1" s="52">
      <c r="A1022" t="inlineStr">
        <is>
          <t>2024-09</t>
        </is>
      </c>
      <c r="B1022" t="inlineStr">
        <is>
          <t>Colombia</t>
        </is>
      </c>
      <c r="C1022" t="inlineStr">
        <is>
          <t>Coco Colombia</t>
        </is>
      </c>
      <c r="D1022" t="inlineStr">
        <is>
          <t>COP</t>
        </is>
      </c>
      <c r="E1022" t="inlineStr">
        <is>
          <t>Real</t>
        </is>
      </c>
      <c r="F1022" t="inlineStr">
        <is>
          <t>ingresos_recurrentes</t>
        </is>
      </c>
      <c r="I1022" t="n">
        <v>594469220</v>
      </c>
      <c r="J1022" t="inlineStr">
        <is>
          <t>COP</t>
        </is>
      </c>
      <c r="L1022">
        <f>IFERROR(INDEX(Diccionario!$B:$B,MATCH(F1034,Diccionario!$C:$C,0)),"")</f>
        <v/>
      </c>
      <c r="M1022">
        <f>IFERROR(INDEX(Diccionario!$H:$H,MATCH(F1034,Diccionario!$C:$C,0)),"")</f>
        <v/>
      </c>
      <c r="N1022">
        <f>IFERROR(INDEX(Diccionario!$N:$N,MATCH(F1034,Diccionario!$C:$C,0)),"")</f>
        <v/>
      </c>
    </row>
    <row r="1023" ht="14.25" customHeight="1" s="52">
      <c r="A1023" t="inlineStr">
        <is>
          <t>2024-10</t>
        </is>
      </c>
      <c r="B1023" t="inlineStr">
        <is>
          <t>Colombia</t>
        </is>
      </c>
      <c r="C1023" t="inlineStr">
        <is>
          <t>Coco Colombia</t>
        </is>
      </c>
      <c r="D1023" t="inlineStr">
        <is>
          <t>COP</t>
        </is>
      </c>
      <c r="E1023" t="inlineStr">
        <is>
          <t>Real</t>
        </is>
      </c>
      <c r="F1023" t="inlineStr">
        <is>
          <t>ingresos_recurrentes</t>
        </is>
      </c>
      <c r="I1023" t="n">
        <v>627068547</v>
      </c>
      <c r="J1023" t="inlineStr">
        <is>
          <t>COP</t>
        </is>
      </c>
      <c r="L1023">
        <f>IFERROR(INDEX(Diccionario!$B:$B,MATCH(F1035,Diccionario!$C:$C,0)),"")</f>
        <v/>
      </c>
      <c r="M1023">
        <f>IFERROR(INDEX(Diccionario!$H:$H,MATCH(F1035,Diccionario!$C:$C,0)),"")</f>
        <v/>
      </c>
      <c r="N1023">
        <f>IFERROR(INDEX(Diccionario!$N:$N,MATCH(F1035,Diccionario!$C:$C,0)),"")</f>
        <v/>
      </c>
    </row>
    <row r="1024" ht="14.25" customHeight="1" s="52">
      <c r="A1024" t="inlineStr">
        <is>
          <t>2024-11</t>
        </is>
      </c>
      <c r="B1024" t="inlineStr">
        <is>
          <t>Colombia</t>
        </is>
      </c>
      <c r="C1024" t="inlineStr">
        <is>
          <t>Coco Colombia</t>
        </is>
      </c>
      <c r="D1024" t="inlineStr">
        <is>
          <t>COP</t>
        </is>
      </c>
      <c r="E1024" t="inlineStr">
        <is>
          <t>Real</t>
        </is>
      </c>
      <c r="F1024" t="inlineStr">
        <is>
          <t>ingresos_recurrentes</t>
        </is>
      </c>
      <c r="I1024" t="n">
        <v>702199047</v>
      </c>
      <c r="J1024" t="inlineStr">
        <is>
          <t>COP</t>
        </is>
      </c>
      <c r="L1024">
        <f>IFERROR(INDEX(Diccionario!$B:$B,MATCH(F1036,Diccionario!$C:$C,0)),"")</f>
        <v/>
      </c>
      <c r="M1024">
        <f>IFERROR(INDEX(Diccionario!$H:$H,MATCH(F1036,Diccionario!$C:$C,0)),"")</f>
        <v/>
      </c>
      <c r="N1024">
        <f>IFERROR(INDEX(Diccionario!$N:$N,MATCH(F1036,Diccionario!$C:$C,0)),"")</f>
        <v/>
      </c>
    </row>
    <row r="1025" ht="14.25" customHeight="1" s="52">
      <c r="A1025" t="inlineStr">
        <is>
          <t>2024-12</t>
        </is>
      </c>
      <c r="B1025" t="inlineStr">
        <is>
          <t>Colombia</t>
        </is>
      </c>
      <c r="C1025" t="inlineStr">
        <is>
          <t>Coco Colombia</t>
        </is>
      </c>
      <c r="D1025" t="inlineStr">
        <is>
          <t>COP</t>
        </is>
      </c>
      <c r="E1025" t="inlineStr">
        <is>
          <t>Real</t>
        </is>
      </c>
      <c r="F1025" t="inlineStr">
        <is>
          <t>ingresos_recurrentes</t>
        </is>
      </c>
      <c r="I1025" t="n">
        <v>895000000</v>
      </c>
      <c r="J1025" t="inlineStr">
        <is>
          <t>COP</t>
        </is>
      </c>
      <c r="L1025">
        <f>IFERROR(INDEX(Diccionario!$B:$B,MATCH(F1037,Diccionario!$C:$C,0)),"")</f>
        <v/>
      </c>
      <c r="M1025">
        <f>IFERROR(INDEX(Diccionario!$H:$H,MATCH(F1037,Diccionario!$C:$C,0)),"")</f>
        <v/>
      </c>
      <c r="N1025">
        <f>IFERROR(INDEX(Diccionario!$N:$N,MATCH(F1037,Diccionario!$C:$C,0)),"")</f>
        <v/>
      </c>
    </row>
    <row r="1026" ht="14.25" customHeight="1" s="52">
      <c r="A1026" t="inlineStr">
        <is>
          <t>2025-01</t>
        </is>
      </c>
      <c r="B1026" t="inlineStr">
        <is>
          <t>Colombia</t>
        </is>
      </c>
      <c r="C1026" t="inlineStr">
        <is>
          <t>Coco Colombia</t>
        </is>
      </c>
      <c r="D1026" t="inlineStr">
        <is>
          <t>COP</t>
        </is>
      </c>
      <c r="E1026" t="inlineStr">
        <is>
          <t>Real</t>
        </is>
      </c>
      <c r="F1026" t="inlineStr">
        <is>
          <t>ingresos_recurrentes</t>
        </is>
      </c>
      <c r="I1026" t="n">
        <v>507300096</v>
      </c>
      <c r="J1026" t="inlineStr">
        <is>
          <t>COP</t>
        </is>
      </c>
      <c r="L1026">
        <f>IFERROR(INDEX(Diccionario!$B:$B,MATCH(F1038,Diccionario!$C:$C,0)),"")</f>
        <v/>
      </c>
      <c r="M1026">
        <f>IFERROR(INDEX(Diccionario!$H:$H,MATCH(F1038,Diccionario!$C:$C,0)),"")</f>
        <v/>
      </c>
      <c r="N1026">
        <f>IFERROR(INDEX(Diccionario!$N:$N,MATCH(F1038,Diccionario!$C:$C,0)),"")</f>
        <v/>
      </c>
    </row>
    <row r="1027" ht="14.25" customHeight="1" s="52">
      <c r="A1027" t="inlineStr">
        <is>
          <t>2025-02</t>
        </is>
      </c>
      <c r="B1027" t="inlineStr">
        <is>
          <t>Colombia</t>
        </is>
      </c>
      <c r="C1027" t="inlineStr">
        <is>
          <t>Coco Colombia</t>
        </is>
      </c>
      <c r="D1027" t="inlineStr">
        <is>
          <t>COP</t>
        </is>
      </c>
      <c r="E1027" t="inlineStr">
        <is>
          <t>Real</t>
        </is>
      </c>
      <c r="F1027" t="inlineStr">
        <is>
          <t>ingresos_recurrentes</t>
        </is>
      </c>
      <c r="I1027" t="n">
        <v>571613281</v>
      </c>
      <c r="J1027" t="inlineStr">
        <is>
          <t>COP</t>
        </is>
      </c>
      <c r="L1027">
        <f>IFERROR(INDEX(Diccionario!$B:$B,MATCH(F1039,Diccionario!$C:$C,0)),"")</f>
        <v/>
      </c>
      <c r="M1027">
        <f>IFERROR(INDEX(Diccionario!$H:$H,MATCH(F1039,Diccionario!$C:$C,0)),"")</f>
        <v/>
      </c>
      <c r="N1027">
        <f>IFERROR(INDEX(Diccionario!$N:$N,MATCH(F1039,Diccionario!$C:$C,0)),"")</f>
        <v/>
      </c>
    </row>
    <row r="1028" ht="14.25" customHeight="1" s="52">
      <c r="A1028" t="inlineStr">
        <is>
          <t>2025-03</t>
        </is>
      </c>
      <c r="B1028" t="inlineStr">
        <is>
          <t>Colombia</t>
        </is>
      </c>
      <c r="C1028" t="inlineStr">
        <is>
          <t>Coco Colombia</t>
        </is>
      </c>
      <c r="D1028" t="inlineStr">
        <is>
          <t>COP</t>
        </is>
      </c>
      <c r="E1028" t="inlineStr">
        <is>
          <t>Real</t>
        </is>
      </c>
      <c r="F1028" t="inlineStr">
        <is>
          <t>ingresos_recurrentes</t>
        </is>
      </c>
      <c r="I1028" t="n">
        <v>674275375</v>
      </c>
      <c r="J1028" t="inlineStr">
        <is>
          <t>COP</t>
        </is>
      </c>
      <c r="L1028">
        <f>IFERROR(INDEX(Diccionario!$B:$B,MATCH(F1040,Diccionario!$C:$C,0)),"")</f>
        <v/>
      </c>
      <c r="M1028">
        <f>IFERROR(INDEX(Diccionario!$H:$H,MATCH(F1040,Diccionario!$C:$C,0)),"")</f>
        <v/>
      </c>
      <c r="N1028">
        <f>IFERROR(INDEX(Diccionario!$N:$N,MATCH(F1040,Diccionario!$C:$C,0)),"")</f>
        <v/>
      </c>
    </row>
    <row r="1029" ht="14.25" customHeight="1" s="52">
      <c r="A1029" t="inlineStr">
        <is>
          <t>2025-04</t>
        </is>
      </c>
      <c r="B1029" t="inlineStr">
        <is>
          <t>Colombia</t>
        </is>
      </c>
      <c r="C1029" t="inlineStr">
        <is>
          <t>Coco Colombia</t>
        </is>
      </c>
      <c r="D1029" t="inlineStr">
        <is>
          <t>COP</t>
        </is>
      </c>
      <c r="E1029" t="inlineStr">
        <is>
          <t>Real</t>
        </is>
      </c>
      <c r="F1029" t="inlineStr">
        <is>
          <t>ingresos_recurrentes</t>
        </is>
      </c>
      <c r="I1029" t="n">
        <v>583911889</v>
      </c>
      <c r="J1029" t="inlineStr">
        <is>
          <t>COP</t>
        </is>
      </c>
      <c r="L1029">
        <f>IFERROR(INDEX(Diccionario!$B:$B,MATCH(F1041,Diccionario!$C:$C,0)),"")</f>
        <v/>
      </c>
      <c r="M1029">
        <f>IFERROR(INDEX(Diccionario!$H:$H,MATCH(F1041,Diccionario!$C:$C,0)),"")</f>
        <v/>
      </c>
      <c r="N1029">
        <f>IFERROR(INDEX(Diccionario!$N:$N,MATCH(F1041,Diccionario!$C:$C,0)),"")</f>
        <v/>
      </c>
    </row>
    <row r="1030" ht="14.25" customHeight="1" s="52">
      <c r="A1030" t="inlineStr">
        <is>
          <t>2025-05</t>
        </is>
      </c>
      <c r="B1030" t="inlineStr">
        <is>
          <t>Colombia</t>
        </is>
      </c>
      <c r="C1030" t="inlineStr">
        <is>
          <t>Coco Colombia</t>
        </is>
      </c>
      <c r="D1030" t="inlineStr">
        <is>
          <t>COP</t>
        </is>
      </c>
      <c r="E1030" t="inlineStr">
        <is>
          <t>Real</t>
        </is>
      </c>
      <c r="F1030" t="inlineStr">
        <is>
          <t>ingresos_recurrentes</t>
        </is>
      </c>
      <c r="I1030" t="n">
        <v>697602788</v>
      </c>
      <c r="J1030" t="inlineStr">
        <is>
          <t>COP</t>
        </is>
      </c>
      <c r="L1030">
        <f>IFERROR(INDEX(Diccionario!$B:$B,MATCH(F1042,Diccionario!$C:$C,0)),"")</f>
        <v/>
      </c>
      <c r="M1030">
        <f>IFERROR(INDEX(Diccionario!$H:$H,MATCH(F1042,Diccionario!$C:$C,0)),"")</f>
        <v/>
      </c>
      <c r="N1030">
        <f>IFERROR(INDEX(Diccionario!$N:$N,MATCH(F1042,Diccionario!$C:$C,0)),"")</f>
        <v/>
      </c>
    </row>
    <row r="1031" ht="14.25" customHeight="1" s="52">
      <c r="A1031" t="inlineStr">
        <is>
          <t>2025-06</t>
        </is>
      </c>
      <c r="B1031" t="inlineStr">
        <is>
          <t>Colombia</t>
        </is>
      </c>
      <c r="C1031" t="inlineStr">
        <is>
          <t>Coco Colombia</t>
        </is>
      </c>
      <c r="D1031" t="inlineStr">
        <is>
          <t>COP</t>
        </is>
      </c>
      <c r="E1031" t="inlineStr">
        <is>
          <t>Real</t>
        </is>
      </c>
      <c r="F1031" t="inlineStr">
        <is>
          <t>ingresos_recurrentes</t>
        </is>
      </c>
      <c r="I1031" t="n">
        <v>589403143</v>
      </c>
      <c r="J1031" t="inlineStr">
        <is>
          <t>COP</t>
        </is>
      </c>
      <c r="L1031">
        <f>IFERROR(INDEX(Diccionario!$B:$B,MATCH(F1043,Diccionario!$C:$C,0)),"")</f>
        <v/>
      </c>
      <c r="M1031">
        <f>IFERROR(INDEX(Diccionario!$H:$H,MATCH(F1043,Diccionario!$C:$C,0)),"")</f>
        <v/>
      </c>
      <c r="N1031">
        <f>IFERROR(INDEX(Diccionario!$N:$N,MATCH(F1043,Diccionario!$C:$C,0)),"")</f>
        <v/>
      </c>
    </row>
    <row r="1032" ht="14.25" customHeight="1" s="52">
      <c r="A1032" t="inlineStr">
        <is>
          <t>2025-07</t>
        </is>
      </c>
      <c r="B1032" t="inlineStr">
        <is>
          <t>Colombia</t>
        </is>
      </c>
      <c r="C1032" t="inlineStr">
        <is>
          <t>Coco Colombia</t>
        </is>
      </c>
      <c r="D1032" t="inlineStr">
        <is>
          <t>COP</t>
        </is>
      </c>
      <c r="E1032" t="inlineStr">
        <is>
          <t>Real</t>
        </is>
      </c>
      <c r="F1032" t="inlineStr">
        <is>
          <t>ingresos_recurrentes</t>
        </is>
      </c>
      <c r="I1032" t="n">
        <v>641951176</v>
      </c>
      <c r="J1032" t="inlineStr">
        <is>
          <t>COP</t>
        </is>
      </c>
      <c r="L1032">
        <f>IFERROR(INDEX(Diccionario!$B:$B,MATCH(F1044,Diccionario!$C:$C,0)),"")</f>
        <v/>
      </c>
      <c r="M1032">
        <f>IFERROR(INDEX(Diccionario!$H:$H,MATCH(F1044,Diccionario!$C:$C,0)),"")</f>
        <v/>
      </c>
      <c r="N1032">
        <f>IFERROR(INDEX(Diccionario!$N:$N,MATCH(F1044,Diccionario!$C:$C,0)),"")</f>
        <v/>
      </c>
    </row>
    <row r="1033" ht="14.25" customHeight="1" s="52">
      <c r="A1033" t="inlineStr">
        <is>
          <t>2025-08</t>
        </is>
      </c>
      <c r="B1033" t="inlineStr">
        <is>
          <t>Colombia</t>
        </is>
      </c>
      <c r="C1033" t="inlineStr">
        <is>
          <t>Coco Colombia</t>
        </is>
      </c>
      <c r="D1033" t="inlineStr">
        <is>
          <t>COP</t>
        </is>
      </c>
      <c r="E1033" t="inlineStr">
        <is>
          <t>Real</t>
        </is>
      </c>
      <c r="F1033" t="inlineStr">
        <is>
          <t>ingresos_recurrentes</t>
        </is>
      </c>
      <c r="I1033" t="n">
        <v>631848159</v>
      </c>
      <c r="J1033" t="inlineStr">
        <is>
          <t>COP</t>
        </is>
      </c>
      <c r="L1033">
        <f>IFERROR(INDEX(Diccionario!$B:$B,MATCH(F1045,Diccionario!$C:$C,0)),"")</f>
        <v/>
      </c>
      <c r="M1033">
        <f>IFERROR(INDEX(Diccionario!$H:$H,MATCH(F1045,Diccionario!$C:$C,0)),"")</f>
        <v/>
      </c>
      <c r="N1033">
        <f>IFERROR(INDEX(Diccionario!$N:$N,MATCH(F1045,Diccionario!$C:$C,0)),"")</f>
        <v/>
      </c>
    </row>
    <row r="1034" ht="14.25" customHeight="1" s="52">
      <c r="A1034" t="inlineStr">
        <is>
          <t>2025-09</t>
        </is>
      </c>
      <c r="B1034" t="inlineStr">
        <is>
          <t>Colombia</t>
        </is>
      </c>
      <c r="C1034" t="inlineStr">
        <is>
          <t>Coco Colombia</t>
        </is>
      </c>
      <c r="D1034" t="inlineStr">
        <is>
          <t>COP</t>
        </is>
      </c>
      <c r="E1034" t="inlineStr">
        <is>
          <t>Real</t>
        </is>
      </c>
      <c r="F1034" t="inlineStr">
        <is>
          <t>ingresos_recurrentes</t>
        </is>
      </c>
      <c r="I1034" t="n">
        <v>697647109</v>
      </c>
      <c r="J1034" t="inlineStr">
        <is>
          <t>COP</t>
        </is>
      </c>
      <c r="L1034">
        <f>IFERROR(INDEX(Diccionario!$B:$B,MATCH(F1046,Diccionario!$C:$C,0)),"")</f>
        <v/>
      </c>
      <c r="M1034">
        <f>IFERROR(INDEX(Diccionario!$H:$H,MATCH(F1046,Diccionario!$C:$C,0)),"")</f>
        <v/>
      </c>
      <c r="N1034">
        <f>IFERROR(INDEX(Diccionario!$N:$N,MATCH(F1046,Diccionario!$C:$C,0)),"")</f>
        <v/>
      </c>
    </row>
    <row r="1035" ht="14.25" customHeight="1" s="52">
      <c r="A1035" t="inlineStr">
        <is>
          <t>2025-10</t>
        </is>
      </c>
      <c r="B1035" t="inlineStr">
        <is>
          <t>Colombia</t>
        </is>
      </c>
      <c r="C1035" t="inlineStr">
        <is>
          <t>Coco Colombia</t>
        </is>
      </c>
      <c r="D1035" t="inlineStr">
        <is>
          <t>COP</t>
        </is>
      </c>
      <c r="E1035" t="inlineStr">
        <is>
          <t>Real</t>
        </is>
      </c>
      <c r="F1035" t="inlineStr">
        <is>
          <t>ingresos_recurrentes</t>
        </is>
      </c>
      <c r="I1035" t="n">
        <v>673186093</v>
      </c>
      <c r="J1035" t="inlineStr">
        <is>
          <t>COP</t>
        </is>
      </c>
      <c r="L1035">
        <f>IFERROR(INDEX(Diccionario!$B:$B,MATCH(F1047,Diccionario!$C:$C,0)),"")</f>
        <v/>
      </c>
      <c r="M1035">
        <f>IFERROR(INDEX(Diccionario!$H:$H,MATCH(F1047,Diccionario!$C:$C,0)),"")</f>
        <v/>
      </c>
      <c r="N1035">
        <f>IFERROR(INDEX(Diccionario!$N:$N,MATCH(F1047,Diccionario!$C:$C,0)),"")</f>
        <v/>
      </c>
    </row>
    <row r="1036" ht="14.25" customHeight="1" s="52">
      <c r="A1036" t="inlineStr">
        <is>
          <t>2025-11</t>
        </is>
      </c>
      <c r="B1036" t="inlineStr">
        <is>
          <t>Colombia</t>
        </is>
      </c>
      <c r="C1036" t="inlineStr">
        <is>
          <t>Coco Colombia</t>
        </is>
      </c>
      <c r="D1036" t="inlineStr">
        <is>
          <t>COP</t>
        </is>
      </c>
      <c r="E1036" t="inlineStr">
        <is>
          <t>Real</t>
        </is>
      </c>
      <c r="F1036" t="inlineStr">
        <is>
          <t>ingresos_recurrentes</t>
        </is>
      </c>
      <c r="I1036" t="n">
        <v>676346785</v>
      </c>
      <c r="J1036" t="inlineStr">
        <is>
          <t>COP</t>
        </is>
      </c>
      <c r="L1036">
        <f>IFERROR(INDEX(Diccionario!$B:$B,MATCH(F1048,Diccionario!$C:$C,0)),"")</f>
        <v/>
      </c>
      <c r="M1036">
        <f>IFERROR(INDEX(Diccionario!$H:$H,MATCH(F1048,Diccionario!$C:$C,0)),"")</f>
        <v/>
      </c>
      <c r="N1036">
        <f>IFERROR(INDEX(Diccionario!$N:$N,MATCH(F1048,Diccionario!$C:$C,0)),"")</f>
        <v/>
      </c>
    </row>
    <row r="1037" ht="14.25" customHeight="1" s="52">
      <c r="A1037" t="inlineStr">
        <is>
          <t>2025-12</t>
        </is>
      </c>
      <c r="B1037" t="inlineStr">
        <is>
          <t>Colombia</t>
        </is>
      </c>
      <c r="C1037" t="inlineStr">
        <is>
          <t>Coco Colombia</t>
        </is>
      </c>
      <c r="D1037" t="inlineStr">
        <is>
          <t>COP</t>
        </is>
      </c>
      <c r="E1037" t="inlineStr">
        <is>
          <t>Real</t>
        </is>
      </c>
      <c r="F1037" t="inlineStr">
        <is>
          <t>ingresos_recurrentes</t>
        </is>
      </c>
      <c r="I1037" t="n">
        <v>678500265</v>
      </c>
      <c r="J1037" t="inlineStr">
        <is>
          <t>COP</t>
        </is>
      </c>
      <c r="L1037">
        <f>IFERROR(INDEX(Diccionario!$B:$B,MATCH(F1049,Diccionario!$C:$C,0)),"")</f>
        <v/>
      </c>
      <c r="M1037">
        <f>IFERROR(INDEX(Diccionario!$H:$H,MATCH(F1049,Diccionario!$C:$C,0)),"")</f>
        <v/>
      </c>
      <c r="N1037">
        <f>IFERROR(INDEX(Diccionario!$N:$N,MATCH(F1049,Diccionario!$C:$C,0)),"")</f>
        <v/>
      </c>
    </row>
    <row r="1038" ht="14.25" customHeight="1" s="52">
      <c r="A1038" t="inlineStr">
        <is>
          <t>2026-01</t>
        </is>
      </c>
      <c r="B1038" t="inlineStr">
        <is>
          <t>Colombia</t>
        </is>
      </c>
      <c r="C1038" t="inlineStr">
        <is>
          <t>Coco Colombia</t>
        </is>
      </c>
      <c r="D1038" t="inlineStr">
        <is>
          <t>COP</t>
        </is>
      </c>
      <c r="E1038" t="inlineStr">
        <is>
          <t>Real</t>
        </is>
      </c>
      <c r="F1038" t="inlineStr">
        <is>
          <t>ingresos_recurrentes</t>
        </is>
      </c>
      <c r="I1038" t="n">
        <v>580720049</v>
      </c>
      <c r="J1038" t="inlineStr">
        <is>
          <t>COP</t>
        </is>
      </c>
      <c r="L1038">
        <f>IFERROR(INDEX(Diccionario!$B:$B,MATCH(F1050,Diccionario!$C:$C,0)),"")</f>
        <v/>
      </c>
      <c r="M1038">
        <f>IFERROR(INDEX(Diccionario!$H:$H,MATCH(F1050,Diccionario!$C:$C,0)),"")</f>
        <v/>
      </c>
      <c r="N1038">
        <f>IFERROR(INDEX(Diccionario!$N:$N,MATCH(F1050,Diccionario!$C:$C,0)),"")</f>
        <v/>
      </c>
    </row>
    <row r="1039" ht="14.25" customHeight="1" s="52">
      <c r="A1039" t="inlineStr">
        <is>
          <t>2026-02</t>
        </is>
      </c>
      <c r="B1039" t="inlineStr">
        <is>
          <t>Colombia</t>
        </is>
      </c>
      <c r="C1039" t="inlineStr">
        <is>
          <t>Coco Colombia</t>
        </is>
      </c>
      <c r="D1039" t="inlineStr">
        <is>
          <t>COP</t>
        </is>
      </c>
      <c r="E1039" t="inlineStr">
        <is>
          <t>Real</t>
        </is>
      </c>
      <c r="F1039" t="inlineStr">
        <is>
          <t>ingresos_recurrentes</t>
        </is>
      </c>
      <c r="I1039" t="n">
        <v>678104625</v>
      </c>
      <c r="J1039" t="inlineStr">
        <is>
          <t>COP</t>
        </is>
      </c>
      <c r="L1039">
        <f>IFERROR(INDEX(Diccionario!$B:$B,MATCH(F1051,Diccionario!$C:$C,0)),"")</f>
        <v/>
      </c>
      <c r="M1039">
        <f>IFERROR(INDEX(Diccionario!$H:$H,MATCH(F1051,Diccionario!$C:$C,0)),"")</f>
        <v/>
      </c>
      <c r="N1039">
        <f>IFERROR(INDEX(Diccionario!$N:$N,MATCH(F1051,Diccionario!$C:$C,0)),"")</f>
        <v/>
      </c>
    </row>
    <row r="1040" ht="14.25" customHeight="1" s="52">
      <c r="A1040" t="inlineStr">
        <is>
          <t>2026-03</t>
        </is>
      </c>
      <c r="B1040" t="inlineStr">
        <is>
          <t>Colombia</t>
        </is>
      </c>
      <c r="C1040" t="inlineStr">
        <is>
          <t>Coco Colombia</t>
        </is>
      </c>
      <c r="D1040" t="inlineStr">
        <is>
          <t>COP</t>
        </is>
      </c>
      <c r="E1040" t="inlineStr">
        <is>
          <t>Real</t>
        </is>
      </c>
      <c r="F1040" t="inlineStr">
        <is>
          <t>ingresos_recurrentes</t>
        </is>
      </c>
      <c r="I1040" t="n">
        <v>714287498</v>
      </c>
      <c r="J1040" t="inlineStr">
        <is>
          <t>COP</t>
        </is>
      </c>
      <c r="L1040">
        <f>IFERROR(INDEX(Diccionario!$B:$B,MATCH(F1052,Diccionario!$C:$C,0)),"")</f>
        <v/>
      </c>
      <c r="M1040">
        <f>IFERROR(INDEX(Diccionario!$H:$H,MATCH(F1052,Diccionario!$C:$C,0)),"")</f>
        <v/>
      </c>
      <c r="N1040">
        <f>IFERROR(INDEX(Diccionario!$N:$N,MATCH(F1052,Diccionario!$C:$C,0)),"")</f>
        <v/>
      </c>
    </row>
    <row r="1041" ht="14.25" customHeight="1" s="52">
      <c r="A1041" t="inlineStr">
        <is>
          <t>2026-04</t>
        </is>
      </c>
      <c r="B1041" t="inlineStr">
        <is>
          <t>Colombia</t>
        </is>
      </c>
      <c r="C1041" t="inlineStr">
        <is>
          <t>Coco Colombia</t>
        </is>
      </c>
      <c r="D1041" t="inlineStr">
        <is>
          <t>COP</t>
        </is>
      </c>
      <c r="E1041" t="inlineStr">
        <is>
          <t>Real</t>
        </is>
      </c>
      <c r="F1041" t="inlineStr">
        <is>
          <t>ingresos_recurrentes</t>
        </is>
      </c>
      <c r="I1041" t="n">
        <v>728855485</v>
      </c>
      <c r="J1041" t="inlineStr">
        <is>
          <t>COP</t>
        </is>
      </c>
      <c r="L1041">
        <f>IFERROR(INDEX(Diccionario!$B:$B,MATCH(F1053,Diccionario!$C:$C,0)),"")</f>
        <v/>
      </c>
      <c r="M1041">
        <f>IFERROR(INDEX(Diccionario!$H:$H,MATCH(F1053,Diccionario!$C:$C,0)),"")</f>
        <v/>
      </c>
      <c r="N1041">
        <f>IFERROR(INDEX(Diccionario!$N:$N,MATCH(F1053,Diccionario!$C:$C,0)),"")</f>
        <v/>
      </c>
    </row>
    <row r="1042" ht="14.25" customHeight="1" s="52">
      <c r="A1042" t="inlineStr">
        <is>
          <t>2026-05</t>
        </is>
      </c>
      <c r="B1042" t="inlineStr">
        <is>
          <t>Colombia</t>
        </is>
      </c>
      <c r="C1042" t="inlineStr">
        <is>
          <t>Coco Colombia</t>
        </is>
      </c>
      <c r="D1042" t="inlineStr">
        <is>
          <t>COP</t>
        </is>
      </c>
      <c r="E1042" t="inlineStr">
        <is>
          <t>Real</t>
        </is>
      </c>
      <c r="F1042" t="inlineStr">
        <is>
          <t>ingresos_recurrentes</t>
        </is>
      </c>
      <c r="I1042" t="n">
        <v>774122623</v>
      </c>
      <c r="J1042" t="inlineStr">
        <is>
          <t>COP</t>
        </is>
      </c>
      <c r="L1042">
        <f>IFERROR(INDEX(Diccionario!$B:$B,MATCH(F1054,Diccionario!$C:$C,0)),"")</f>
        <v/>
      </c>
      <c r="M1042">
        <f>IFERROR(INDEX(Diccionario!$H:$H,MATCH(F1054,Diccionario!$C:$C,0)),"")</f>
        <v/>
      </c>
      <c r="N1042">
        <f>IFERROR(INDEX(Diccionario!$N:$N,MATCH(F1054,Diccionario!$C:$C,0)),"")</f>
        <v/>
      </c>
    </row>
    <row r="1043" ht="14.25" customHeight="1" s="52">
      <c r="A1043" t="inlineStr">
        <is>
          <t>2024-01</t>
        </is>
      </c>
      <c r="B1043" t="inlineStr">
        <is>
          <t>Colombia</t>
        </is>
      </c>
      <c r="C1043" t="inlineStr">
        <is>
          <t>Coco Colombia</t>
        </is>
      </c>
      <c r="D1043" t="inlineStr">
        <is>
          <t>COP</t>
        </is>
      </c>
      <c r="E1043" t="inlineStr">
        <is>
          <t>Real</t>
        </is>
      </c>
      <c r="F1043" t="inlineStr">
        <is>
          <t>ingresos_no_recurrentes</t>
        </is>
      </c>
      <c r="I1043" t="n">
        <v>24800000</v>
      </c>
      <c r="J1043" t="inlineStr">
        <is>
          <t>COP</t>
        </is>
      </c>
      <c r="L1043">
        <f>IFERROR(INDEX(Diccionario!$B:$B,MATCH(F1055,Diccionario!$C:$C,0)),"")</f>
        <v/>
      </c>
      <c r="M1043">
        <f>IFERROR(INDEX(Diccionario!$H:$H,MATCH(F1055,Diccionario!$C:$C,0)),"")</f>
        <v/>
      </c>
      <c r="N1043">
        <f>IFERROR(INDEX(Diccionario!$N:$N,MATCH(F1055,Diccionario!$C:$C,0)),"")</f>
        <v/>
      </c>
    </row>
    <row r="1044" ht="14.25" customHeight="1" s="52">
      <c r="A1044" t="inlineStr">
        <is>
          <t>2024-02</t>
        </is>
      </c>
      <c r="B1044" t="inlineStr">
        <is>
          <t>Colombia</t>
        </is>
      </c>
      <c r="C1044" t="inlineStr">
        <is>
          <t>Coco Colombia</t>
        </is>
      </c>
      <c r="D1044" t="inlineStr">
        <is>
          <t>COP</t>
        </is>
      </c>
      <c r="E1044" t="inlineStr">
        <is>
          <t>Real</t>
        </is>
      </c>
      <c r="F1044" t="inlineStr">
        <is>
          <t>ingresos_no_recurrentes</t>
        </is>
      </c>
      <c r="I1044" t="n">
        <v>118729053</v>
      </c>
      <c r="J1044" t="inlineStr">
        <is>
          <t>COP</t>
        </is>
      </c>
      <c r="L1044">
        <f>IFERROR(INDEX(Diccionario!$B:$B,MATCH(F1056,Diccionario!$C:$C,0)),"")</f>
        <v/>
      </c>
      <c r="M1044">
        <f>IFERROR(INDEX(Diccionario!$H:$H,MATCH(F1056,Diccionario!$C:$C,0)),"")</f>
        <v/>
      </c>
      <c r="N1044">
        <f>IFERROR(INDEX(Diccionario!$N:$N,MATCH(F1056,Diccionario!$C:$C,0)),"")</f>
        <v/>
      </c>
    </row>
    <row r="1045" ht="14.25" customHeight="1" s="52">
      <c r="A1045" t="inlineStr">
        <is>
          <t>2024-03</t>
        </is>
      </c>
      <c r="B1045" t="inlineStr">
        <is>
          <t>Colombia</t>
        </is>
      </c>
      <c r="C1045" t="inlineStr">
        <is>
          <t>Coco Colombia</t>
        </is>
      </c>
      <c r="D1045" t="inlineStr">
        <is>
          <t>COP</t>
        </is>
      </c>
      <c r="E1045" t="inlineStr">
        <is>
          <t>Real</t>
        </is>
      </c>
      <c r="F1045" t="inlineStr">
        <is>
          <t>ingresos_no_recurrentes</t>
        </is>
      </c>
      <c r="I1045" t="n">
        <v>12750000</v>
      </c>
      <c r="J1045" t="inlineStr">
        <is>
          <t>COP</t>
        </is>
      </c>
      <c r="L1045">
        <f>IFERROR(INDEX(Diccionario!$B:$B,MATCH(F1057,Diccionario!$C:$C,0)),"")</f>
        <v/>
      </c>
      <c r="M1045">
        <f>IFERROR(INDEX(Diccionario!$H:$H,MATCH(F1057,Diccionario!$C:$C,0)),"")</f>
        <v/>
      </c>
      <c r="N1045">
        <f>IFERROR(INDEX(Diccionario!$N:$N,MATCH(F1057,Diccionario!$C:$C,0)),"")</f>
        <v/>
      </c>
    </row>
    <row r="1046" ht="14.25" customHeight="1" s="52">
      <c r="A1046" t="inlineStr">
        <is>
          <t>2024-04</t>
        </is>
      </c>
      <c r="B1046" t="inlineStr">
        <is>
          <t>Colombia</t>
        </is>
      </c>
      <c r="C1046" t="inlineStr">
        <is>
          <t>Coco Colombia</t>
        </is>
      </c>
      <c r="D1046" t="inlineStr">
        <is>
          <t>COP</t>
        </is>
      </c>
      <c r="E1046" t="inlineStr">
        <is>
          <t>Real</t>
        </is>
      </c>
      <c r="F1046" t="inlineStr">
        <is>
          <t>ingresos_no_recurrentes</t>
        </is>
      </c>
      <c r="I1046" t="n">
        <v>39644578</v>
      </c>
      <c r="J1046" t="inlineStr">
        <is>
          <t>COP</t>
        </is>
      </c>
      <c r="L1046">
        <f>IFERROR(INDEX(Diccionario!$B:$B,MATCH(F1058,Diccionario!$C:$C,0)),"")</f>
        <v/>
      </c>
      <c r="M1046">
        <f>IFERROR(INDEX(Diccionario!$H:$H,MATCH(F1058,Diccionario!$C:$C,0)),"")</f>
        <v/>
      </c>
      <c r="N1046">
        <f>IFERROR(INDEX(Diccionario!$N:$N,MATCH(F1058,Diccionario!$C:$C,0)),"")</f>
        <v/>
      </c>
    </row>
    <row r="1047" ht="14.25" customHeight="1" s="52">
      <c r="A1047" t="inlineStr">
        <is>
          <t>2024-05</t>
        </is>
      </c>
      <c r="B1047" t="inlineStr">
        <is>
          <t>Colombia</t>
        </is>
      </c>
      <c r="C1047" t="inlineStr">
        <is>
          <t>Coco Colombia</t>
        </is>
      </c>
      <c r="D1047" t="inlineStr">
        <is>
          <t>COP</t>
        </is>
      </c>
      <c r="E1047" t="inlineStr">
        <is>
          <t>Real</t>
        </is>
      </c>
      <c r="F1047" t="inlineStr">
        <is>
          <t>ingresos_no_recurrentes</t>
        </is>
      </c>
      <c r="I1047" t="n">
        <v>43120258</v>
      </c>
      <c r="J1047" t="inlineStr">
        <is>
          <t>COP</t>
        </is>
      </c>
      <c r="L1047">
        <f>IFERROR(INDEX(Diccionario!$B:$B,MATCH(F1059,Diccionario!$C:$C,0)),"")</f>
        <v/>
      </c>
      <c r="M1047">
        <f>IFERROR(INDEX(Diccionario!$H:$H,MATCH(F1059,Diccionario!$C:$C,0)),"")</f>
        <v/>
      </c>
      <c r="N1047">
        <f>IFERROR(INDEX(Diccionario!$N:$N,MATCH(F1059,Diccionario!$C:$C,0)),"")</f>
        <v/>
      </c>
    </row>
    <row r="1048" ht="14.25" customHeight="1" s="52">
      <c r="A1048" t="inlineStr">
        <is>
          <t>2024-06</t>
        </is>
      </c>
      <c r="B1048" t="inlineStr">
        <is>
          <t>Colombia</t>
        </is>
      </c>
      <c r="C1048" t="inlineStr">
        <is>
          <t>Coco Colombia</t>
        </is>
      </c>
      <c r="D1048" t="inlineStr">
        <is>
          <t>COP</t>
        </is>
      </c>
      <c r="E1048" t="inlineStr">
        <is>
          <t>Real</t>
        </is>
      </c>
      <c r="F1048" t="inlineStr">
        <is>
          <t>ingresos_no_recurrentes</t>
        </is>
      </c>
      <c r="I1048" t="n">
        <v>104205606</v>
      </c>
      <c r="J1048" t="inlineStr">
        <is>
          <t>COP</t>
        </is>
      </c>
      <c r="L1048">
        <f>IFERROR(INDEX(Diccionario!$B:$B,MATCH(F1060,Diccionario!$C:$C,0)),"")</f>
        <v/>
      </c>
      <c r="M1048">
        <f>IFERROR(INDEX(Diccionario!$H:$H,MATCH(F1060,Diccionario!$C:$C,0)),"")</f>
        <v/>
      </c>
      <c r="N1048">
        <f>IFERROR(INDEX(Diccionario!$N:$N,MATCH(F1060,Diccionario!$C:$C,0)),"")</f>
        <v/>
      </c>
    </row>
    <row r="1049" ht="14.25" customHeight="1" s="52">
      <c r="A1049" t="inlineStr">
        <is>
          <t>2024-07</t>
        </is>
      </c>
      <c r="B1049" t="inlineStr">
        <is>
          <t>Colombia</t>
        </is>
      </c>
      <c r="C1049" t="inlineStr">
        <is>
          <t>Coco Colombia</t>
        </is>
      </c>
      <c r="D1049" t="inlineStr">
        <is>
          <t>COP</t>
        </is>
      </c>
      <c r="E1049" t="inlineStr">
        <is>
          <t>Real</t>
        </is>
      </c>
      <c r="F1049" t="inlineStr">
        <is>
          <t>ingresos_no_recurrentes</t>
        </is>
      </c>
      <c r="I1049" t="n">
        <v>38194640</v>
      </c>
      <c r="J1049" t="inlineStr">
        <is>
          <t>COP</t>
        </is>
      </c>
      <c r="L1049">
        <f>IFERROR(INDEX(Diccionario!$B:$B,MATCH(F1061,Diccionario!$C:$C,0)),"")</f>
        <v/>
      </c>
      <c r="M1049">
        <f>IFERROR(INDEX(Diccionario!$H:$H,MATCH(F1061,Diccionario!$C:$C,0)),"")</f>
        <v/>
      </c>
      <c r="N1049">
        <f>IFERROR(INDEX(Diccionario!$N:$N,MATCH(F1061,Diccionario!$C:$C,0)),"")</f>
        <v/>
      </c>
    </row>
    <row r="1050" ht="14.25" customHeight="1" s="52">
      <c r="A1050" t="inlineStr">
        <is>
          <t>2024-08</t>
        </is>
      </c>
      <c r="B1050" t="inlineStr">
        <is>
          <t>Colombia</t>
        </is>
      </c>
      <c r="C1050" t="inlineStr">
        <is>
          <t>Coco Colombia</t>
        </is>
      </c>
      <c r="D1050" t="inlineStr">
        <is>
          <t>COP</t>
        </is>
      </c>
      <c r="E1050" t="inlineStr">
        <is>
          <t>Real</t>
        </is>
      </c>
      <c r="F1050" t="inlineStr">
        <is>
          <t>ingresos_no_recurrentes</t>
        </is>
      </c>
      <c r="I1050" t="n">
        <v>39148433</v>
      </c>
      <c r="J1050" t="inlineStr">
        <is>
          <t>COP</t>
        </is>
      </c>
      <c r="L1050">
        <f>IFERROR(INDEX(Diccionario!$B:$B,MATCH(F1062,Diccionario!$C:$C,0)),"")</f>
        <v/>
      </c>
      <c r="M1050">
        <f>IFERROR(INDEX(Diccionario!$H:$H,MATCH(F1062,Diccionario!$C:$C,0)),"")</f>
        <v/>
      </c>
      <c r="N1050">
        <f>IFERROR(INDEX(Diccionario!$N:$N,MATCH(F1062,Diccionario!$C:$C,0)),"")</f>
        <v/>
      </c>
    </row>
    <row r="1051" ht="14.25" customHeight="1" s="52">
      <c r="A1051" t="inlineStr">
        <is>
          <t>2024-09</t>
        </is>
      </c>
      <c r="B1051" t="inlineStr">
        <is>
          <t>Colombia</t>
        </is>
      </c>
      <c r="C1051" t="inlineStr">
        <is>
          <t>Coco Colombia</t>
        </is>
      </c>
      <c r="D1051" t="inlineStr">
        <is>
          <t>COP</t>
        </is>
      </c>
      <c r="E1051" t="inlineStr">
        <is>
          <t>Real</t>
        </is>
      </c>
      <c r="F1051" t="inlineStr">
        <is>
          <t>ingresos_no_recurrentes</t>
        </is>
      </c>
      <c r="I1051" t="n">
        <v>38448771</v>
      </c>
      <c r="J1051" t="inlineStr">
        <is>
          <t>COP</t>
        </is>
      </c>
      <c r="L1051">
        <f>IFERROR(INDEX(Diccionario!$B:$B,MATCH(F1063,Diccionario!$C:$C,0)),"")</f>
        <v/>
      </c>
      <c r="M1051">
        <f>IFERROR(INDEX(Diccionario!$H:$H,MATCH(F1063,Diccionario!$C:$C,0)),"")</f>
        <v/>
      </c>
      <c r="N1051">
        <f>IFERROR(INDEX(Diccionario!$N:$N,MATCH(F1063,Diccionario!$C:$C,0)),"")</f>
        <v/>
      </c>
    </row>
    <row r="1052" ht="14.25" customHeight="1" s="52">
      <c r="A1052" t="inlineStr">
        <is>
          <t>2024-10</t>
        </is>
      </c>
      <c r="B1052" t="inlineStr">
        <is>
          <t>Colombia</t>
        </is>
      </c>
      <c r="C1052" t="inlineStr">
        <is>
          <t>Coco Colombia</t>
        </is>
      </c>
      <c r="D1052" t="inlineStr">
        <is>
          <t>COP</t>
        </is>
      </c>
      <c r="E1052" t="inlineStr">
        <is>
          <t>Real</t>
        </is>
      </c>
      <c r="F1052" t="inlineStr">
        <is>
          <t>ingresos_no_recurrentes</t>
        </is>
      </c>
      <c r="I1052" t="n">
        <v>17301320</v>
      </c>
      <c r="J1052" t="inlineStr">
        <is>
          <t>COP</t>
        </is>
      </c>
      <c r="L1052">
        <f>IFERROR(INDEX(Diccionario!$B:$B,MATCH(F1064,Diccionario!$C:$C,0)),"")</f>
        <v/>
      </c>
      <c r="M1052">
        <f>IFERROR(INDEX(Diccionario!$H:$H,MATCH(F1064,Diccionario!$C:$C,0)),"")</f>
        <v/>
      </c>
      <c r="N1052">
        <f>IFERROR(INDEX(Diccionario!$N:$N,MATCH(F1064,Diccionario!$C:$C,0)),"")</f>
        <v/>
      </c>
    </row>
    <row r="1053" ht="14.25" customHeight="1" s="52">
      <c r="A1053" t="inlineStr">
        <is>
          <t>2024-11</t>
        </is>
      </c>
      <c r="B1053" t="inlineStr">
        <is>
          <t>Colombia</t>
        </is>
      </c>
      <c r="C1053" t="inlineStr">
        <is>
          <t>Coco Colombia</t>
        </is>
      </c>
      <c r="D1053" t="inlineStr">
        <is>
          <t>COP</t>
        </is>
      </c>
      <c r="E1053" t="inlineStr">
        <is>
          <t>Real</t>
        </is>
      </c>
      <c r="F1053" t="inlineStr">
        <is>
          <t>ingresos_no_recurrentes</t>
        </is>
      </c>
      <c r="I1053" t="n">
        <v>25645918</v>
      </c>
      <c r="J1053" t="inlineStr">
        <is>
          <t>COP</t>
        </is>
      </c>
      <c r="L1053">
        <f>IFERROR(INDEX(Diccionario!$B:$B,MATCH(F1065,Diccionario!$C:$C,0)),"")</f>
        <v/>
      </c>
      <c r="M1053">
        <f>IFERROR(INDEX(Diccionario!$H:$H,MATCH(F1065,Diccionario!$C:$C,0)),"")</f>
        <v/>
      </c>
      <c r="N1053">
        <f>IFERROR(INDEX(Diccionario!$N:$N,MATCH(F1065,Diccionario!$C:$C,0)),"")</f>
        <v/>
      </c>
    </row>
    <row r="1054" ht="14.25" customHeight="1" s="52">
      <c r="A1054" t="inlineStr">
        <is>
          <t>2024-12</t>
        </is>
      </c>
      <c r="B1054" t="inlineStr">
        <is>
          <t>Colombia</t>
        </is>
      </c>
      <c r="C1054" t="inlineStr">
        <is>
          <t>Coco Colombia</t>
        </is>
      </c>
      <c r="D1054" t="inlineStr">
        <is>
          <t>COP</t>
        </is>
      </c>
      <c r="E1054" t="inlineStr">
        <is>
          <t>Real</t>
        </is>
      </c>
      <c r="F1054" t="inlineStr">
        <is>
          <t>ingresos_no_recurrentes</t>
        </is>
      </c>
      <c r="I1054" t="n">
        <v>252667553</v>
      </c>
      <c r="J1054" t="inlineStr">
        <is>
          <t>COP</t>
        </is>
      </c>
      <c r="L1054">
        <f>IFERROR(INDEX(Diccionario!$B:$B,MATCH(F1066,Diccionario!$C:$C,0)),"")</f>
        <v/>
      </c>
      <c r="M1054">
        <f>IFERROR(INDEX(Diccionario!$H:$H,MATCH(F1066,Diccionario!$C:$C,0)),"")</f>
        <v/>
      </c>
      <c r="N1054">
        <f>IFERROR(INDEX(Diccionario!$N:$N,MATCH(F1066,Diccionario!$C:$C,0)),"")</f>
        <v/>
      </c>
    </row>
    <row r="1055" ht="14.25" customHeight="1" s="52">
      <c r="A1055" t="inlineStr">
        <is>
          <t>2025-01</t>
        </is>
      </c>
      <c r="B1055" t="inlineStr">
        <is>
          <t>Colombia</t>
        </is>
      </c>
      <c r="C1055" t="inlineStr">
        <is>
          <t>Coco Colombia</t>
        </is>
      </c>
      <c r="D1055" t="inlineStr">
        <is>
          <t>COP</t>
        </is>
      </c>
      <c r="E1055" t="inlineStr">
        <is>
          <t>Real</t>
        </is>
      </c>
      <c r="F1055" t="inlineStr">
        <is>
          <t>ingresos_no_recurrentes</t>
        </is>
      </c>
      <c r="I1055" t="n">
        <v>5800000</v>
      </c>
      <c r="J1055" t="inlineStr">
        <is>
          <t>COP</t>
        </is>
      </c>
      <c r="L1055">
        <f>IFERROR(INDEX(Diccionario!$B:$B,MATCH(F1067,Diccionario!$C:$C,0)),"")</f>
        <v/>
      </c>
      <c r="M1055">
        <f>IFERROR(INDEX(Diccionario!$H:$H,MATCH(F1067,Diccionario!$C:$C,0)),"")</f>
        <v/>
      </c>
      <c r="N1055">
        <f>IFERROR(INDEX(Diccionario!$N:$N,MATCH(F1067,Diccionario!$C:$C,0)),"")</f>
        <v/>
      </c>
    </row>
    <row r="1056" ht="14.25" customHeight="1" s="52">
      <c r="A1056" t="inlineStr">
        <is>
          <t>2025-02</t>
        </is>
      </c>
      <c r="B1056" t="inlineStr">
        <is>
          <t>Colombia</t>
        </is>
      </c>
      <c r="C1056" t="inlineStr">
        <is>
          <t>Coco Colombia</t>
        </is>
      </c>
      <c r="D1056" t="inlineStr">
        <is>
          <t>COP</t>
        </is>
      </c>
      <c r="E1056" t="inlineStr">
        <is>
          <t>Real</t>
        </is>
      </c>
      <c r="F1056" t="inlineStr">
        <is>
          <t>ingresos_no_recurrentes</t>
        </is>
      </c>
      <c r="I1056" t="n">
        <v>0</v>
      </c>
      <c r="J1056" t="inlineStr">
        <is>
          <t>COP</t>
        </is>
      </c>
      <c r="L1056">
        <f>IFERROR(INDEX(Diccionario!$B:$B,MATCH(F1068,Diccionario!$C:$C,0)),"")</f>
        <v/>
      </c>
      <c r="M1056">
        <f>IFERROR(INDEX(Diccionario!$H:$H,MATCH(F1068,Diccionario!$C:$C,0)),"")</f>
        <v/>
      </c>
      <c r="N1056">
        <f>IFERROR(INDEX(Diccionario!$N:$N,MATCH(F1068,Diccionario!$C:$C,0)),"")</f>
        <v/>
      </c>
    </row>
    <row r="1057" ht="14.25" customHeight="1" s="52">
      <c r="A1057" t="inlineStr">
        <is>
          <t>2025-03</t>
        </is>
      </c>
      <c r="B1057" t="inlineStr">
        <is>
          <t>Colombia</t>
        </is>
      </c>
      <c r="C1057" t="inlineStr">
        <is>
          <t>Coco Colombia</t>
        </is>
      </c>
      <c r="D1057" t="inlineStr">
        <is>
          <t>COP</t>
        </is>
      </c>
      <c r="E1057" t="inlineStr">
        <is>
          <t>Real</t>
        </is>
      </c>
      <c r="F1057" t="inlineStr">
        <is>
          <t>ingresos_no_recurrentes</t>
        </is>
      </c>
      <c r="I1057" t="n">
        <v>2546881</v>
      </c>
      <c r="J1057" t="inlineStr">
        <is>
          <t>COP</t>
        </is>
      </c>
      <c r="L1057">
        <f>IFERROR(INDEX(Diccionario!$B:$B,MATCH(F1069,Diccionario!$C:$C,0)),"")</f>
        <v/>
      </c>
      <c r="M1057">
        <f>IFERROR(INDEX(Diccionario!$H:$H,MATCH(F1069,Diccionario!$C:$C,0)),"")</f>
        <v/>
      </c>
      <c r="N1057">
        <f>IFERROR(INDEX(Diccionario!$N:$N,MATCH(F1069,Diccionario!$C:$C,0)),"")</f>
        <v/>
      </c>
    </row>
    <row r="1058" ht="14.25" customHeight="1" s="52">
      <c r="A1058" t="inlineStr">
        <is>
          <t>2025-04</t>
        </is>
      </c>
      <c r="B1058" t="inlineStr">
        <is>
          <t>Colombia</t>
        </is>
      </c>
      <c r="C1058" t="inlineStr">
        <is>
          <t>Coco Colombia</t>
        </is>
      </c>
      <c r="D1058" t="inlineStr">
        <is>
          <t>COP</t>
        </is>
      </c>
      <c r="E1058" t="inlineStr">
        <is>
          <t>Real</t>
        </is>
      </c>
      <c r="F1058" t="inlineStr">
        <is>
          <t>ingresos_no_recurrentes</t>
        </is>
      </c>
      <c r="I1058" t="n">
        <v>2546881</v>
      </c>
      <c r="J1058" t="inlineStr">
        <is>
          <t>COP</t>
        </is>
      </c>
      <c r="L1058">
        <f>IFERROR(INDEX(Diccionario!$B:$B,MATCH(F1070,Diccionario!$C:$C,0)),"")</f>
        <v/>
      </c>
      <c r="M1058">
        <f>IFERROR(INDEX(Diccionario!$H:$H,MATCH(F1070,Diccionario!$C:$C,0)),"")</f>
        <v/>
      </c>
      <c r="N1058">
        <f>IFERROR(INDEX(Diccionario!$N:$N,MATCH(F1070,Diccionario!$C:$C,0)),"")</f>
        <v/>
      </c>
    </row>
    <row r="1059" ht="14.25" customHeight="1" s="52">
      <c r="A1059" t="inlineStr">
        <is>
          <t>2025-05</t>
        </is>
      </c>
      <c r="B1059" t="inlineStr">
        <is>
          <t>Colombia</t>
        </is>
      </c>
      <c r="C1059" t="inlineStr">
        <is>
          <t>Coco Colombia</t>
        </is>
      </c>
      <c r="D1059" t="inlineStr">
        <is>
          <t>COP</t>
        </is>
      </c>
      <c r="E1059" t="inlineStr">
        <is>
          <t>Real</t>
        </is>
      </c>
      <c r="F1059" t="inlineStr">
        <is>
          <t>ingresos_no_recurrentes</t>
        </is>
      </c>
      <c r="I1059" t="n">
        <v>26543424</v>
      </c>
      <c r="J1059" t="inlineStr">
        <is>
          <t>COP</t>
        </is>
      </c>
      <c r="L1059">
        <f>IFERROR(INDEX(Diccionario!$B:$B,MATCH(F1071,Diccionario!$C:$C,0)),"")</f>
        <v/>
      </c>
      <c r="M1059">
        <f>IFERROR(INDEX(Diccionario!$H:$H,MATCH(F1071,Diccionario!$C:$C,0)),"")</f>
        <v/>
      </c>
      <c r="N1059">
        <f>IFERROR(INDEX(Diccionario!$N:$N,MATCH(F1071,Diccionario!$C:$C,0)),"")</f>
        <v/>
      </c>
    </row>
    <row r="1060" ht="14.25" customHeight="1" s="52">
      <c r="A1060" t="inlineStr">
        <is>
          <t>2025-06</t>
        </is>
      </c>
      <c r="B1060" t="inlineStr">
        <is>
          <t>Colombia</t>
        </is>
      </c>
      <c r="C1060" t="inlineStr">
        <is>
          <t>Coco Colombia</t>
        </is>
      </c>
      <c r="D1060" t="inlineStr">
        <is>
          <t>COP</t>
        </is>
      </c>
      <c r="E1060" t="inlineStr">
        <is>
          <t>Real</t>
        </is>
      </c>
      <c r="F1060" t="inlineStr">
        <is>
          <t>ingresos_no_recurrentes</t>
        </is>
      </c>
      <c r="I1060" t="n">
        <v>21130000</v>
      </c>
      <c r="J1060" t="inlineStr">
        <is>
          <t>COP</t>
        </is>
      </c>
      <c r="L1060">
        <f>IFERROR(INDEX(Diccionario!$B:$B,MATCH(F1072,Diccionario!$C:$C,0)),"")</f>
        <v/>
      </c>
      <c r="M1060">
        <f>IFERROR(INDEX(Diccionario!$H:$H,MATCH(F1072,Diccionario!$C:$C,0)),"")</f>
        <v/>
      </c>
      <c r="N1060">
        <f>IFERROR(INDEX(Diccionario!$N:$N,MATCH(F1072,Diccionario!$C:$C,0)),"")</f>
        <v/>
      </c>
    </row>
    <row r="1061" ht="14.25" customHeight="1" s="52">
      <c r="A1061" t="inlineStr">
        <is>
          <t>2025-07</t>
        </is>
      </c>
      <c r="B1061" t="inlineStr">
        <is>
          <t>Colombia</t>
        </is>
      </c>
      <c r="C1061" t="inlineStr">
        <is>
          <t>Coco Colombia</t>
        </is>
      </c>
      <c r="D1061" t="inlineStr">
        <is>
          <t>COP</t>
        </is>
      </c>
      <c r="E1061" t="inlineStr">
        <is>
          <t>Real</t>
        </is>
      </c>
      <c r="F1061" t="inlineStr">
        <is>
          <t>ingresos_no_recurrentes</t>
        </is>
      </c>
      <c r="I1061" t="n">
        <v>27206633</v>
      </c>
      <c r="J1061" t="inlineStr">
        <is>
          <t>COP</t>
        </is>
      </c>
      <c r="L1061">
        <f>IFERROR(INDEX(Diccionario!$B:$B,MATCH(F1073,Diccionario!$C:$C,0)),"")</f>
        <v/>
      </c>
      <c r="M1061">
        <f>IFERROR(INDEX(Diccionario!$H:$H,MATCH(F1073,Diccionario!$C:$C,0)),"")</f>
        <v/>
      </c>
      <c r="N1061">
        <f>IFERROR(INDEX(Diccionario!$N:$N,MATCH(F1073,Diccionario!$C:$C,0)),"")</f>
        <v/>
      </c>
    </row>
    <row r="1062" ht="14.25" customHeight="1" s="52">
      <c r="A1062" t="inlineStr">
        <is>
          <t>2025-08</t>
        </is>
      </c>
      <c r="B1062" t="inlineStr">
        <is>
          <t>Colombia</t>
        </is>
      </c>
      <c r="C1062" t="inlineStr">
        <is>
          <t>Coco Colombia</t>
        </is>
      </c>
      <c r="D1062" t="inlineStr">
        <is>
          <t>COP</t>
        </is>
      </c>
      <c r="E1062" t="inlineStr">
        <is>
          <t>Real</t>
        </is>
      </c>
      <c r="F1062" t="inlineStr">
        <is>
          <t>ingresos_no_recurrentes</t>
        </is>
      </c>
      <c r="I1062" t="n">
        <v>30397673</v>
      </c>
      <c r="J1062" t="inlineStr">
        <is>
          <t>COP</t>
        </is>
      </c>
      <c r="L1062">
        <f>IFERROR(INDEX(Diccionario!$B:$B,MATCH(F1074,Diccionario!$C:$C,0)),"")</f>
        <v/>
      </c>
      <c r="M1062">
        <f>IFERROR(INDEX(Diccionario!$H:$H,MATCH(F1074,Diccionario!$C:$C,0)),"")</f>
        <v/>
      </c>
      <c r="N1062">
        <f>IFERROR(INDEX(Diccionario!$N:$N,MATCH(F1074,Diccionario!$C:$C,0)),"")</f>
        <v/>
      </c>
    </row>
    <row r="1063" ht="14.25" customHeight="1" s="52">
      <c r="A1063" t="inlineStr">
        <is>
          <t>2025-09</t>
        </is>
      </c>
      <c r="B1063" t="inlineStr">
        <is>
          <t>Colombia</t>
        </is>
      </c>
      <c r="C1063" t="inlineStr">
        <is>
          <t>Coco Colombia</t>
        </is>
      </c>
      <c r="D1063" t="inlineStr">
        <is>
          <t>COP</t>
        </is>
      </c>
      <c r="E1063" t="inlineStr">
        <is>
          <t>Real</t>
        </is>
      </c>
      <c r="F1063" t="inlineStr">
        <is>
          <t>ingresos_no_recurrentes</t>
        </is>
      </c>
      <c r="I1063" t="n">
        <v>56793147</v>
      </c>
      <c r="J1063" t="inlineStr">
        <is>
          <t>COP</t>
        </is>
      </c>
      <c r="L1063">
        <f>IFERROR(INDEX(Diccionario!$B:$B,MATCH(F1075,Diccionario!$C:$C,0)),"")</f>
        <v/>
      </c>
      <c r="M1063">
        <f>IFERROR(INDEX(Diccionario!$H:$H,MATCH(F1075,Diccionario!$C:$C,0)),"")</f>
        <v/>
      </c>
      <c r="N1063">
        <f>IFERROR(INDEX(Diccionario!$N:$N,MATCH(F1075,Diccionario!$C:$C,0)),"")</f>
        <v/>
      </c>
    </row>
    <row r="1064" ht="14.25" customHeight="1" s="52">
      <c r="A1064" t="inlineStr">
        <is>
          <t>2025-10</t>
        </is>
      </c>
      <c r="B1064" t="inlineStr">
        <is>
          <t>Colombia</t>
        </is>
      </c>
      <c r="C1064" t="inlineStr">
        <is>
          <t>Coco Colombia</t>
        </is>
      </c>
      <c r="D1064" t="inlineStr">
        <is>
          <t>COP</t>
        </is>
      </c>
      <c r="E1064" t="inlineStr">
        <is>
          <t>Real</t>
        </is>
      </c>
      <c r="F1064" t="inlineStr">
        <is>
          <t>ingresos_no_recurrentes</t>
        </is>
      </c>
      <c r="I1064" t="n">
        <v>17650000</v>
      </c>
      <c r="J1064" t="inlineStr">
        <is>
          <t>COP</t>
        </is>
      </c>
      <c r="L1064">
        <f>IFERROR(INDEX(Diccionario!$B:$B,MATCH(F1076,Diccionario!$C:$C,0)),"")</f>
        <v/>
      </c>
      <c r="M1064">
        <f>IFERROR(INDEX(Diccionario!$H:$H,MATCH(F1076,Diccionario!$C:$C,0)),"")</f>
        <v/>
      </c>
      <c r="N1064">
        <f>IFERROR(INDEX(Diccionario!$N:$N,MATCH(F1076,Diccionario!$C:$C,0)),"")</f>
        <v/>
      </c>
    </row>
    <row r="1065" ht="14.25" customHeight="1" s="52">
      <c r="A1065" t="inlineStr">
        <is>
          <t>2025-11</t>
        </is>
      </c>
      <c r="B1065" t="inlineStr">
        <is>
          <t>Colombia</t>
        </is>
      </c>
      <c r="C1065" t="inlineStr">
        <is>
          <t>Coco Colombia</t>
        </is>
      </c>
      <c r="D1065" t="inlineStr">
        <is>
          <t>COP</t>
        </is>
      </c>
      <c r="E1065" t="inlineStr">
        <is>
          <t>Real</t>
        </is>
      </c>
      <c r="F1065" t="inlineStr">
        <is>
          <t>ingresos_no_recurrentes</t>
        </is>
      </c>
      <c r="I1065" t="n">
        <v>1</v>
      </c>
      <c r="J1065" t="inlineStr">
        <is>
          <t>COP</t>
        </is>
      </c>
      <c r="L1065">
        <f>IFERROR(INDEX(Diccionario!$B:$B,MATCH(F1077,Diccionario!$C:$C,0)),"")</f>
        <v/>
      </c>
      <c r="M1065">
        <f>IFERROR(INDEX(Diccionario!$H:$H,MATCH(F1077,Diccionario!$C:$C,0)),"")</f>
        <v/>
      </c>
      <c r="N1065">
        <f>IFERROR(INDEX(Diccionario!$N:$N,MATCH(F1077,Diccionario!$C:$C,0)),"")</f>
        <v/>
      </c>
    </row>
    <row r="1066" ht="14.25" customHeight="1" s="52">
      <c r="A1066" t="inlineStr">
        <is>
          <t>2025-12</t>
        </is>
      </c>
      <c r="B1066" t="inlineStr">
        <is>
          <t>Colombia</t>
        </is>
      </c>
      <c r="C1066" t="inlineStr">
        <is>
          <t>Coco Colombia</t>
        </is>
      </c>
      <c r="D1066" t="inlineStr">
        <is>
          <t>COP</t>
        </is>
      </c>
      <c r="E1066" t="inlineStr">
        <is>
          <t>Real</t>
        </is>
      </c>
      <c r="F1066" t="inlineStr">
        <is>
          <t>ingresos_no_recurrentes</t>
        </is>
      </c>
      <c r="I1066" t="n">
        <v>71452835</v>
      </c>
      <c r="J1066" t="inlineStr">
        <is>
          <t>COP</t>
        </is>
      </c>
      <c r="L1066">
        <f>IFERROR(INDEX(Diccionario!$B:$B,MATCH(F1078,Diccionario!$C:$C,0)),"")</f>
        <v/>
      </c>
      <c r="M1066">
        <f>IFERROR(INDEX(Diccionario!$H:$H,MATCH(F1078,Diccionario!$C:$C,0)),"")</f>
        <v/>
      </c>
      <c r="N1066">
        <f>IFERROR(INDEX(Diccionario!$N:$N,MATCH(F1078,Diccionario!$C:$C,0)),"")</f>
        <v/>
      </c>
    </row>
    <row r="1067" ht="14.25" customHeight="1" s="52">
      <c r="A1067" t="inlineStr">
        <is>
          <t>2026-01</t>
        </is>
      </c>
      <c r="B1067" t="inlineStr">
        <is>
          <t>Colombia</t>
        </is>
      </c>
      <c r="C1067" t="inlineStr">
        <is>
          <t>Coco Colombia</t>
        </is>
      </c>
      <c r="D1067" t="inlineStr">
        <is>
          <t>COP</t>
        </is>
      </c>
      <c r="E1067" t="inlineStr">
        <is>
          <t>Real</t>
        </is>
      </c>
      <c r="F1067" t="inlineStr">
        <is>
          <t>ingresos_no_recurrentes</t>
        </is>
      </c>
      <c r="I1067" t="n">
        <v>40047000</v>
      </c>
      <c r="J1067" t="inlineStr">
        <is>
          <t>COP</t>
        </is>
      </c>
      <c r="L1067">
        <f>IFERROR(INDEX(Diccionario!$B:$B,MATCH(F1079,Diccionario!$C:$C,0)),"")</f>
        <v/>
      </c>
      <c r="M1067">
        <f>IFERROR(INDEX(Diccionario!$H:$H,MATCH(F1079,Diccionario!$C:$C,0)),"")</f>
        <v/>
      </c>
      <c r="N1067">
        <f>IFERROR(INDEX(Diccionario!$N:$N,MATCH(F1079,Diccionario!$C:$C,0)),"")</f>
        <v/>
      </c>
    </row>
    <row r="1068" ht="14.25" customHeight="1" s="52">
      <c r="A1068" t="inlineStr">
        <is>
          <t>2026-02</t>
        </is>
      </c>
      <c r="B1068" t="inlineStr">
        <is>
          <t>Colombia</t>
        </is>
      </c>
      <c r="C1068" t="inlineStr">
        <is>
          <t>Coco Colombia</t>
        </is>
      </c>
      <c r="D1068" t="inlineStr">
        <is>
          <t>COP</t>
        </is>
      </c>
      <c r="E1068" t="inlineStr">
        <is>
          <t>Real</t>
        </is>
      </c>
      <c r="F1068" t="inlineStr">
        <is>
          <t>ingresos_no_recurrentes</t>
        </is>
      </c>
      <c r="I1068" t="n">
        <v>67164125</v>
      </c>
      <c r="J1068" t="inlineStr">
        <is>
          <t>COP</t>
        </is>
      </c>
      <c r="L1068">
        <f>IFERROR(INDEX(Diccionario!$B:$B,MATCH(F1080,Diccionario!$C:$C,0)),"")</f>
        <v/>
      </c>
      <c r="M1068">
        <f>IFERROR(INDEX(Diccionario!$H:$H,MATCH(F1080,Diccionario!$C:$C,0)),"")</f>
        <v/>
      </c>
      <c r="N1068">
        <f>IFERROR(INDEX(Diccionario!$N:$N,MATCH(F1080,Diccionario!$C:$C,0)),"")</f>
        <v/>
      </c>
    </row>
    <row r="1069" ht="14.25" customHeight="1" s="52">
      <c r="A1069" t="inlineStr">
        <is>
          <t>2026-03</t>
        </is>
      </c>
      <c r="B1069" t="inlineStr">
        <is>
          <t>Colombia</t>
        </is>
      </c>
      <c r="C1069" t="inlineStr">
        <is>
          <t>Coco Colombia</t>
        </is>
      </c>
      <c r="D1069" t="inlineStr">
        <is>
          <t>COP</t>
        </is>
      </c>
      <c r="E1069" t="inlineStr">
        <is>
          <t>Real</t>
        </is>
      </c>
      <c r="F1069" t="inlineStr">
        <is>
          <t>ingresos_no_recurrentes</t>
        </is>
      </c>
      <c r="I1069" t="n">
        <v>54801528</v>
      </c>
      <c r="J1069" t="inlineStr">
        <is>
          <t>COP</t>
        </is>
      </c>
      <c r="L1069">
        <f>IFERROR(INDEX(Diccionario!$B:$B,MATCH(F1081,Diccionario!$C:$C,0)),"")</f>
        <v/>
      </c>
      <c r="M1069">
        <f>IFERROR(INDEX(Diccionario!$H:$H,MATCH(F1081,Diccionario!$C:$C,0)),"")</f>
        <v/>
      </c>
      <c r="N1069">
        <f>IFERROR(INDEX(Diccionario!$N:$N,MATCH(F1081,Diccionario!$C:$C,0)),"")</f>
        <v/>
      </c>
    </row>
    <row r="1070" ht="14.25" customHeight="1" s="52">
      <c r="A1070" t="inlineStr">
        <is>
          <t>2026-04</t>
        </is>
      </c>
      <c r="B1070" t="inlineStr">
        <is>
          <t>Colombia</t>
        </is>
      </c>
      <c r="C1070" t="inlineStr">
        <is>
          <t>Coco Colombia</t>
        </is>
      </c>
      <c r="D1070" t="inlineStr">
        <is>
          <t>COP</t>
        </is>
      </c>
      <c r="E1070" t="inlineStr">
        <is>
          <t>Real</t>
        </is>
      </c>
      <c r="F1070" t="inlineStr">
        <is>
          <t>ingresos_no_recurrentes</t>
        </is>
      </c>
      <c r="I1070" t="n">
        <v>30501180</v>
      </c>
      <c r="J1070" t="inlineStr">
        <is>
          <t>COP</t>
        </is>
      </c>
      <c r="L1070">
        <f>IFERROR(INDEX(Diccionario!$B:$B,MATCH(F1082,Diccionario!$C:$C,0)),"")</f>
        <v/>
      </c>
      <c r="M1070">
        <f>IFERROR(INDEX(Diccionario!$H:$H,MATCH(F1082,Diccionario!$C:$C,0)),"")</f>
        <v/>
      </c>
      <c r="N1070">
        <f>IFERROR(INDEX(Diccionario!$N:$N,MATCH(F1082,Diccionario!$C:$C,0)),"")</f>
        <v/>
      </c>
    </row>
    <row r="1071" ht="14.25" customHeight="1" s="52">
      <c r="A1071" t="inlineStr">
        <is>
          <t>2026-05</t>
        </is>
      </c>
      <c r="B1071" t="inlineStr">
        <is>
          <t>Colombia</t>
        </is>
      </c>
      <c r="C1071" t="inlineStr">
        <is>
          <t>Coco Colombia</t>
        </is>
      </c>
      <c r="D1071" t="inlineStr">
        <is>
          <t>COP</t>
        </is>
      </c>
      <c r="E1071" t="inlineStr">
        <is>
          <t>Real</t>
        </is>
      </c>
      <c r="F1071" t="inlineStr">
        <is>
          <t>ingresos_no_recurrentes</t>
        </is>
      </c>
      <c r="I1071" t="n">
        <v>61451942</v>
      </c>
      <c r="J1071" t="inlineStr">
        <is>
          <t>COP</t>
        </is>
      </c>
      <c r="L1071">
        <f>IFERROR(INDEX(Diccionario!$B:$B,MATCH(F1083,Diccionario!$C:$C,0)),"")</f>
        <v/>
      </c>
      <c r="M1071">
        <f>IFERROR(INDEX(Diccionario!$H:$H,MATCH(F1083,Diccionario!$C:$C,0)),"")</f>
        <v/>
      </c>
      <c r="N1071">
        <f>IFERROR(INDEX(Diccionario!$N:$N,MATCH(F1083,Diccionario!$C:$C,0)),"")</f>
        <v/>
      </c>
    </row>
    <row r="1072" ht="14.25" customHeight="1" s="52">
      <c r="A1072" t="inlineStr">
        <is>
          <t>2025-05</t>
        </is>
      </c>
      <c r="B1072" t="inlineStr">
        <is>
          <t>Colombia</t>
        </is>
      </c>
      <c r="C1072" t="inlineStr">
        <is>
          <t>Coco Colombia</t>
        </is>
      </c>
      <c r="D1072" t="inlineStr">
        <is>
          <t>COP</t>
        </is>
      </c>
      <c r="E1072" t="inlineStr">
        <is>
          <t>Real</t>
        </is>
      </c>
      <c r="F1072" t="inlineStr">
        <is>
          <t>retained_mrr</t>
        </is>
      </c>
      <c r="I1072" t="n">
        <v>697602788</v>
      </c>
      <c r="J1072" t="inlineStr">
        <is>
          <t>COP</t>
        </is>
      </c>
      <c r="L1072">
        <f>IFERROR(INDEX(Diccionario!$B:$B,MATCH(F1084,Diccionario!$C:$C,0)),"")</f>
        <v/>
      </c>
      <c r="M1072">
        <f>IFERROR(INDEX(Diccionario!$H:$H,MATCH(F1084,Diccionario!$C:$C,0)),"")</f>
        <v/>
      </c>
      <c r="N1072">
        <f>IFERROR(INDEX(Diccionario!$N:$N,MATCH(F1084,Diccionario!$C:$C,0)),"")</f>
        <v/>
      </c>
    </row>
    <row r="1073" ht="14.25" customHeight="1" s="52">
      <c r="A1073" t="inlineStr">
        <is>
          <t>2025-06</t>
        </is>
      </c>
      <c r="B1073" t="inlineStr">
        <is>
          <t>Colombia</t>
        </is>
      </c>
      <c r="C1073" t="inlineStr">
        <is>
          <t>Coco Colombia</t>
        </is>
      </c>
      <c r="D1073" t="inlineStr">
        <is>
          <t>COP</t>
        </is>
      </c>
      <c r="E1073" t="inlineStr">
        <is>
          <t>Real</t>
        </is>
      </c>
      <c r="F1073" t="inlineStr">
        <is>
          <t>retained_mrr</t>
        </is>
      </c>
      <c r="I1073" t="n">
        <v>631984829</v>
      </c>
      <c r="J1073" t="inlineStr">
        <is>
          <t>COP</t>
        </is>
      </c>
      <c r="L1073">
        <f>IFERROR(INDEX(Diccionario!$B:$B,MATCH(F1085,Diccionario!$C:$C,0)),"")</f>
        <v/>
      </c>
      <c r="M1073">
        <f>IFERROR(INDEX(Diccionario!$H:$H,MATCH(F1085,Diccionario!$C:$C,0)),"")</f>
        <v/>
      </c>
      <c r="N1073">
        <f>IFERROR(INDEX(Diccionario!$N:$N,MATCH(F1085,Diccionario!$C:$C,0)),"")</f>
        <v/>
      </c>
    </row>
    <row r="1074" ht="14.25" customHeight="1" s="52">
      <c r="A1074" t="inlineStr">
        <is>
          <t>2025-07</t>
        </is>
      </c>
      <c r="B1074" t="inlineStr">
        <is>
          <t>Colombia</t>
        </is>
      </c>
      <c r="C1074" t="inlineStr">
        <is>
          <t>Coco Colombia</t>
        </is>
      </c>
      <c r="D1074" t="inlineStr">
        <is>
          <t>COP</t>
        </is>
      </c>
      <c r="E1074" t="inlineStr">
        <is>
          <t>Real</t>
        </is>
      </c>
      <c r="F1074" t="inlineStr">
        <is>
          <t>retained_mrr</t>
        </is>
      </c>
      <c r="I1074" t="n">
        <v>665215212</v>
      </c>
      <c r="J1074" t="inlineStr">
        <is>
          <t>COP</t>
        </is>
      </c>
      <c r="L1074">
        <f>IFERROR(INDEX(Diccionario!$B:$B,MATCH(F1086,Diccionario!$C:$C,0)),"")</f>
        <v/>
      </c>
      <c r="M1074">
        <f>IFERROR(INDEX(Diccionario!$H:$H,MATCH(F1086,Diccionario!$C:$C,0)),"")</f>
        <v/>
      </c>
      <c r="N1074">
        <f>IFERROR(INDEX(Diccionario!$N:$N,MATCH(F1086,Diccionario!$C:$C,0)),"")</f>
        <v/>
      </c>
    </row>
    <row r="1075" ht="14.25" customHeight="1" s="52">
      <c r="A1075" t="inlineStr">
        <is>
          <t>2025-08</t>
        </is>
      </c>
      <c r="B1075" t="inlineStr">
        <is>
          <t>Colombia</t>
        </is>
      </c>
      <c r="C1075" t="inlineStr">
        <is>
          <t>Coco Colombia</t>
        </is>
      </c>
      <c r="D1075" t="inlineStr">
        <is>
          <t>COP</t>
        </is>
      </c>
      <c r="E1075" t="inlineStr">
        <is>
          <t>Real</t>
        </is>
      </c>
      <c r="F1075" t="inlineStr">
        <is>
          <t>retained_mrr</t>
        </is>
      </c>
      <c r="I1075" t="n">
        <v>645143880</v>
      </c>
      <c r="J1075" t="inlineStr">
        <is>
          <t>COP</t>
        </is>
      </c>
      <c r="L1075">
        <f>IFERROR(INDEX(Diccionario!$B:$B,MATCH(F1087,Diccionario!$C:$C,0)),"")</f>
        <v/>
      </c>
      <c r="M1075">
        <f>IFERROR(INDEX(Diccionario!$H:$H,MATCH(F1087,Diccionario!$C:$C,0)),"")</f>
        <v/>
      </c>
      <c r="N1075">
        <f>IFERROR(INDEX(Diccionario!$N:$N,MATCH(F1087,Diccionario!$C:$C,0)),"")</f>
        <v/>
      </c>
    </row>
    <row r="1076" ht="14.25" customHeight="1" s="52">
      <c r="A1076" t="inlineStr">
        <is>
          <t>2025-09</t>
        </is>
      </c>
      <c r="B1076" t="inlineStr">
        <is>
          <t>Colombia</t>
        </is>
      </c>
      <c r="C1076" t="inlineStr">
        <is>
          <t>Coco Colombia</t>
        </is>
      </c>
      <c r="D1076" t="inlineStr">
        <is>
          <t>COP</t>
        </is>
      </c>
      <c r="E1076" t="inlineStr">
        <is>
          <t>Real</t>
        </is>
      </c>
      <c r="F1076" t="inlineStr">
        <is>
          <t>retained_mrr</t>
        </is>
      </c>
      <c r="I1076" t="n">
        <v>599113206</v>
      </c>
      <c r="J1076" t="inlineStr">
        <is>
          <t>COP</t>
        </is>
      </c>
      <c r="L1076">
        <f>IFERROR(INDEX(Diccionario!$B:$B,MATCH(F1088,Diccionario!$C:$C,0)),"")</f>
        <v/>
      </c>
      <c r="M1076">
        <f>IFERROR(INDEX(Diccionario!$H:$H,MATCH(F1088,Diccionario!$C:$C,0)),"")</f>
        <v/>
      </c>
      <c r="N1076">
        <f>IFERROR(INDEX(Diccionario!$N:$N,MATCH(F1088,Diccionario!$C:$C,0)),"")</f>
        <v/>
      </c>
    </row>
    <row r="1077" ht="14.25" customHeight="1" s="52">
      <c r="A1077" t="inlineStr">
        <is>
          <t>2025-10</t>
        </is>
      </c>
      <c r="B1077" t="inlineStr">
        <is>
          <t>Colombia</t>
        </is>
      </c>
      <c r="C1077" t="inlineStr">
        <is>
          <t>Coco Colombia</t>
        </is>
      </c>
      <c r="D1077" t="inlineStr">
        <is>
          <t>COP</t>
        </is>
      </c>
      <c r="E1077" t="inlineStr">
        <is>
          <t>Real</t>
        </is>
      </c>
      <c r="F1077" t="inlineStr">
        <is>
          <t>retained_mrr</t>
        </is>
      </c>
      <c r="I1077" t="n">
        <v>621530361</v>
      </c>
      <c r="J1077" t="inlineStr">
        <is>
          <t>COP</t>
        </is>
      </c>
      <c r="L1077">
        <f>IFERROR(INDEX(Diccionario!$B:$B,MATCH(F1089,Diccionario!$C:$C,0)),"")</f>
        <v/>
      </c>
      <c r="M1077">
        <f>IFERROR(INDEX(Diccionario!$H:$H,MATCH(F1089,Diccionario!$C:$C,0)),"")</f>
        <v/>
      </c>
      <c r="N1077">
        <f>IFERROR(INDEX(Diccionario!$N:$N,MATCH(F1089,Diccionario!$C:$C,0)),"")</f>
        <v/>
      </c>
    </row>
    <row r="1078" ht="14.25" customHeight="1" s="52">
      <c r="A1078" t="inlineStr">
        <is>
          <t>2025-11</t>
        </is>
      </c>
      <c r="B1078" t="inlineStr">
        <is>
          <t>Colombia</t>
        </is>
      </c>
      <c r="C1078" t="inlineStr">
        <is>
          <t>Coco Colombia</t>
        </is>
      </c>
      <c r="D1078" t="inlineStr">
        <is>
          <t>COP</t>
        </is>
      </c>
      <c r="E1078" t="inlineStr">
        <is>
          <t>Real</t>
        </is>
      </c>
      <c r="F1078" t="inlineStr">
        <is>
          <t>retained_mrr</t>
        </is>
      </c>
      <c r="I1078" t="n">
        <v>647442178</v>
      </c>
      <c r="J1078" t="inlineStr">
        <is>
          <t>COP</t>
        </is>
      </c>
      <c r="L1078">
        <f>IFERROR(INDEX(Diccionario!$B:$B,MATCH(F1090,Diccionario!$C:$C,0)),"")</f>
        <v/>
      </c>
      <c r="M1078">
        <f>IFERROR(INDEX(Diccionario!$H:$H,MATCH(F1090,Diccionario!$C:$C,0)),"")</f>
        <v/>
      </c>
      <c r="N1078">
        <f>IFERROR(INDEX(Diccionario!$N:$N,MATCH(F1090,Diccionario!$C:$C,0)),"")</f>
        <v/>
      </c>
    </row>
    <row r="1079" ht="14.25" customHeight="1" s="52">
      <c r="A1079" t="inlineStr">
        <is>
          <t>2025-12</t>
        </is>
      </c>
      <c r="B1079" t="inlineStr">
        <is>
          <t>Colombia</t>
        </is>
      </c>
      <c r="C1079" t="inlineStr">
        <is>
          <t>Coco Colombia</t>
        </is>
      </c>
      <c r="D1079" t="inlineStr">
        <is>
          <t>COP</t>
        </is>
      </c>
      <c r="E1079" t="inlineStr">
        <is>
          <t>Real</t>
        </is>
      </c>
      <c r="F1079" t="inlineStr">
        <is>
          <t>retained_mrr</t>
        </is>
      </c>
      <c r="I1079" t="n">
        <v>533747198</v>
      </c>
      <c r="J1079" t="inlineStr">
        <is>
          <t>COP</t>
        </is>
      </c>
      <c r="L1079">
        <f>IFERROR(INDEX(Diccionario!$B:$B,MATCH(F1091,Diccionario!$C:$C,0)),"")</f>
        <v/>
      </c>
      <c r="M1079">
        <f>IFERROR(INDEX(Diccionario!$H:$H,MATCH(F1091,Diccionario!$C:$C,0)),"")</f>
        <v/>
      </c>
      <c r="N1079">
        <f>IFERROR(INDEX(Diccionario!$N:$N,MATCH(F1091,Diccionario!$C:$C,0)),"")</f>
        <v/>
      </c>
    </row>
    <row r="1080" ht="14.25" customHeight="1" s="52">
      <c r="A1080" t="inlineStr">
        <is>
          <t>2026-01</t>
        </is>
      </c>
      <c r="B1080" t="inlineStr">
        <is>
          <t>Colombia</t>
        </is>
      </c>
      <c r="C1080" t="inlineStr">
        <is>
          <t>Coco Colombia</t>
        </is>
      </c>
      <c r="D1080" t="inlineStr">
        <is>
          <t>COP</t>
        </is>
      </c>
      <c r="E1080" t="inlineStr">
        <is>
          <t>Real</t>
        </is>
      </c>
      <c r="F1080" t="inlineStr">
        <is>
          <t>retained_mrr</t>
        </is>
      </c>
      <c r="I1080" t="n">
        <v>554242648</v>
      </c>
      <c r="J1080" t="inlineStr">
        <is>
          <t>COP</t>
        </is>
      </c>
      <c r="L1080">
        <f>IFERROR(INDEX(Diccionario!$B:$B,MATCH(F1092,Diccionario!$C:$C,0)),"")</f>
        <v/>
      </c>
      <c r="M1080">
        <f>IFERROR(INDEX(Diccionario!$H:$H,MATCH(F1092,Diccionario!$C:$C,0)),"")</f>
        <v/>
      </c>
      <c r="N1080">
        <f>IFERROR(INDEX(Diccionario!$N:$N,MATCH(F1092,Diccionario!$C:$C,0)),"")</f>
        <v/>
      </c>
    </row>
    <row r="1081" ht="14.25" customHeight="1" s="52">
      <c r="A1081" t="inlineStr">
        <is>
          <t>2026-02</t>
        </is>
      </c>
      <c r="B1081" t="inlineStr">
        <is>
          <t>Colombia</t>
        </is>
      </c>
      <c r="C1081" t="inlineStr">
        <is>
          <t>Coco Colombia</t>
        </is>
      </c>
      <c r="D1081" t="inlineStr">
        <is>
          <t>COP</t>
        </is>
      </c>
      <c r="E1081" t="inlineStr">
        <is>
          <t>Real</t>
        </is>
      </c>
      <c r="F1081" t="inlineStr">
        <is>
          <t>retained_mrr</t>
        </is>
      </c>
      <c r="I1081" t="n">
        <v>626918165</v>
      </c>
      <c r="J1081" t="inlineStr">
        <is>
          <t>COP</t>
        </is>
      </c>
      <c r="L1081">
        <f>IFERROR(INDEX(Diccionario!$B:$B,MATCH(F1093,Diccionario!$C:$C,0)),"")</f>
        <v/>
      </c>
      <c r="M1081">
        <f>IFERROR(INDEX(Diccionario!$H:$H,MATCH(F1093,Diccionario!$C:$C,0)),"")</f>
        <v/>
      </c>
      <c r="N1081">
        <f>IFERROR(INDEX(Diccionario!$N:$N,MATCH(F1093,Diccionario!$C:$C,0)),"")</f>
        <v/>
      </c>
    </row>
    <row r="1082" ht="14.25" customHeight="1" s="52">
      <c r="A1082" t="inlineStr">
        <is>
          <t>2026-03</t>
        </is>
      </c>
      <c r="B1082" t="inlineStr">
        <is>
          <t>Colombia</t>
        </is>
      </c>
      <c r="C1082" t="inlineStr">
        <is>
          <t>Coco Colombia</t>
        </is>
      </c>
      <c r="D1082" t="inlineStr">
        <is>
          <t>COP</t>
        </is>
      </c>
      <c r="E1082" t="inlineStr">
        <is>
          <t>Real</t>
        </is>
      </c>
      <c r="F1082" t="inlineStr">
        <is>
          <t>retained_mrr</t>
        </is>
      </c>
      <c r="I1082" t="n">
        <v>666914432</v>
      </c>
      <c r="J1082" t="inlineStr">
        <is>
          <t>COP</t>
        </is>
      </c>
      <c r="L1082">
        <f>IFERROR(INDEX(Diccionario!$B:$B,MATCH(F1094,Diccionario!$C:$C,0)),"")</f>
        <v/>
      </c>
      <c r="M1082">
        <f>IFERROR(INDEX(Diccionario!$H:$H,MATCH(F1094,Diccionario!$C:$C,0)),"")</f>
        <v/>
      </c>
      <c r="N1082">
        <f>IFERROR(INDEX(Diccionario!$N:$N,MATCH(F1094,Diccionario!$C:$C,0)),"")</f>
        <v/>
      </c>
    </row>
    <row r="1083" ht="14.25" customHeight="1" s="52">
      <c r="A1083" t="inlineStr">
        <is>
          <t>2026-04</t>
        </is>
      </c>
      <c r="B1083" t="inlineStr">
        <is>
          <t>Colombia</t>
        </is>
      </c>
      <c r="C1083" t="inlineStr">
        <is>
          <t>Coco Colombia</t>
        </is>
      </c>
      <c r="D1083" t="inlineStr">
        <is>
          <t>COP</t>
        </is>
      </c>
      <c r="E1083" t="inlineStr">
        <is>
          <t>Real</t>
        </is>
      </c>
      <c r="F1083" t="inlineStr">
        <is>
          <t>retained_mrr</t>
        </is>
      </c>
      <c r="I1083" t="n">
        <v>685135673</v>
      </c>
      <c r="J1083" t="inlineStr">
        <is>
          <t>COP</t>
        </is>
      </c>
      <c r="L1083">
        <f>IFERROR(INDEX(Diccionario!$B:$B,MATCH(F1095,Diccionario!$C:$C,0)),"")</f>
        <v/>
      </c>
      <c r="M1083">
        <f>IFERROR(INDEX(Diccionario!$H:$H,MATCH(F1095,Diccionario!$C:$C,0)),"")</f>
        <v/>
      </c>
      <c r="N1083">
        <f>IFERROR(INDEX(Diccionario!$N:$N,MATCH(F1095,Diccionario!$C:$C,0)),"")</f>
        <v/>
      </c>
    </row>
    <row r="1084" ht="14.25" customHeight="1" s="52">
      <c r="A1084" t="inlineStr">
        <is>
          <t>2026-05</t>
        </is>
      </c>
      <c r="B1084" t="inlineStr">
        <is>
          <t>Colombia</t>
        </is>
      </c>
      <c r="C1084" t="inlineStr">
        <is>
          <t>Coco Colombia</t>
        </is>
      </c>
      <c r="D1084" t="inlineStr">
        <is>
          <t>COP</t>
        </is>
      </c>
      <c r="E1084" t="inlineStr">
        <is>
          <t>Real</t>
        </is>
      </c>
      <c r="F1084" t="inlineStr">
        <is>
          <t>retained_mrr</t>
        </is>
      </c>
      <c r="I1084" t="n">
        <v>638091793</v>
      </c>
      <c r="J1084" t="inlineStr">
        <is>
          <t>COP</t>
        </is>
      </c>
      <c r="L1084">
        <f>IFERROR(INDEX(Diccionario!$B:$B,MATCH(F1096,Diccionario!$C:$C,0)),"")</f>
        <v/>
      </c>
      <c r="M1084">
        <f>IFERROR(INDEX(Diccionario!$H:$H,MATCH(F1096,Diccionario!$C:$C,0)),"")</f>
        <v/>
      </c>
      <c r="N1084">
        <f>IFERROR(INDEX(Diccionario!$N:$N,MATCH(F1096,Diccionario!$C:$C,0)),"")</f>
        <v/>
      </c>
    </row>
    <row r="1085" ht="14.25" customHeight="1" s="52">
      <c r="A1085" t="inlineStr">
        <is>
          <t>2025-05</t>
        </is>
      </c>
      <c r="B1085" t="inlineStr">
        <is>
          <t>Colombia</t>
        </is>
      </c>
      <c r="C1085" t="inlineStr">
        <is>
          <t>Coco Colombia</t>
        </is>
      </c>
      <c r="D1085" t="inlineStr">
        <is>
          <t>COP</t>
        </is>
      </c>
      <c r="E1085" t="inlineStr">
        <is>
          <t>Real</t>
        </is>
      </c>
      <c r="F1085" t="inlineStr">
        <is>
          <t>new_mrr</t>
        </is>
      </c>
      <c r="I1085" t="n">
        <v>12236217</v>
      </c>
      <c r="J1085" t="inlineStr">
        <is>
          <t>COP</t>
        </is>
      </c>
      <c r="L1085">
        <f>IFERROR(INDEX(Diccionario!$B:$B,MATCH(F1097,Diccionario!$C:$C,0)),"")</f>
        <v/>
      </c>
      <c r="M1085">
        <f>IFERROR(INDEX(Diccionario!$H:$H,MATCH(F1097,Diccionario!$C:$C,0)),"")</f>
        <v/>
      </c>
      <c r="N1085">
        <f>IFERROR(INDEX(Diccionario!$N:$N,MATCH(F1097,Diccionario!$C:$C,0)),"")</f>
        <v/>
      </c>
    </row>
    <row r="1086" ht="14.25" customHeight="1" s="52">
      <c r="A1086" t="inlineStr">
        <is>
          <t>2025-06</t>
        </is>
      </c>
      <c r="B1086" t="inlineStr">
        <is>
          <t>Colombia</t>
        </is>
      </c>
      <c r="C1086" t="inlineStr">
        <is>
          <t>Coco Colombia</t>
        </is>
      </c>
      <c r="D1086" t="inlineStr">
        <is>
          <t>COP</t>
        </is>
      </c>
      <c r="E1086" t="inlineStr">
        <is>
          <t>Real</t>
        </is>
      </c>
      <c r="F1086" t="inlineStr">
        <is>
          <t>new_mrr</t>
        </is>
      </c>
      <c r="I1086" t="n">
        <v>18476082</v>
      </c>
      <c r="J1086" t="inlineStr">
        <is>
          <t>COP</t>
        </is>
      </c>
      <c r="L1086">
        <f>IFERROR(INDEX(Diccionario!$B:$B,MATCH(F1098,Diccionario!$C:$C,0)),"")</f>
        <v/>
      </c>
      <c r="M1086">
        <f>IFERROR(INDEX(Diccionario!$H:$H,MATCH(F1098,Diccionario!$C:$C,0)),"")</f>
        <v/>
      </c>
      <c r="N1086">
        <f>IFERROR(INDEX(Diccionario!$N:$N,MATCH(F1098,Diccionario!$C:$C,0)),"")</f>
        <v/>
      </c>
    </row>
    <row r="1087" ht="14.25" customHeight="1" s="52">
      <c r="A1087" t="inlineStr">
        <is>
          <t>2025-07</t>
        </is>
      </c>
      <c r="B1087" t="inlineStr">
        <is>
          <t>Colombia</t>
        </is>
      </c>
      <c r="C1087" t="inlineStr">
        <is>
          <t>Coco Colombia</t>
        </is>
      </c>
      <c r="D1087" t="inlineStr">
        <is>
          <t>COP</t>
        </is>
      </c>
      <c r="E1087" t="inlineStr">
        <is>
          <t>Real</t>
        </is>
      </c>
      <c r="F1087" t="inlineStr">
        <is>
          <t>new_mrr</t>
        </is>
      </c>
      <c r="I1087" t="n">
        <v>0</v>
      </c>
      <c r="J1087" t="inlineStr">
        <is>
          <t>COP</t>
        </is>
      </c>
      <c r="L1087">
        <f>IFERROR(INDEX(Diccionario!$B:$B,MATCH(F1099,Diccionario!$C:$C,0)),"")</f>
        <v/>
      </c>
      <c r="M1087">
        <f>IFERROR(INDEX(Diccionario!$H:$H,MATCH(F1099,Diccionario!$C:$C,0)),"")</f>
        <v/>
      </c>
      <c r="N1087">
        <f>IFERROR(INDEX(Diccionario!$N:$N,MATCH(F1099,Diccionario!$C:$C,0)),"")</f>
        <v/>
      </c>
    </row>
    <row r="1088" ht="14.25" customHeight="1" s="52">
      <c r="A1088" t="inlineStr">
        <is>
          <t>2025-08</t>
        </is>
      </c>
      <c r="B1088" t="inlineStr">
        <is>
          <t>Colombia</t>
        </is>
      </c>
      <c r="C1088" t="inlineStr">
        <is>
          <t>Coco Colombia</t>
        </is>
      </c>
      <c r="D1088" t="inlineStr">
        <is>
          <t>COP</t>
        </is>
      </c>
      <c r="E1088" t="inlineStr">
        <is>
          <t>Real</t>
        </is>
      </c>
      <c r="F1088" t="inlineStr">
        <is>
          <t>new_mrr</t>
        </is>
      </c>
      <c r="I1088" t="n">
        <v>30328404</v>
      </c>
      <c r="J1088" t="inlineStr">
        <is>
          <t>COP</t>
        </is>
      </c>
      <c r="L1088">
        <f>IFERROR(INDEX(Diccionario!$B:$B,MATCH(F1100,Diccionario!$C:$C,0)),"")</f>
        <v/>
      </c>
      <c r="M1088">
        <f>IFERROR(INDEX(Diccionario!$H:$H,MATCH(F1100,Diccionario!$C:$C,0)),"")</f>
        <v/>
      </c>
      <c r="N1088">
        <f>IFERROR(INDEX(Diccionario!$N:$N,MATCH(F1100,Diccionario!$C:$C,0)),"")</f>
        <v/>
      </c>
    </row>
    <row r="1089" ht="14.25" customHeight="1" s="52">
      <c r="A1089" t="inlineStr">
        <is>
          <t>2025-09</t>
        </is>
      </c>
      <c r="B1089" t="inlineStr">
        <is>
          <t>Colombia</t>
        </is>
      </c>
      <c r="C1089" t="inlineStr">
        <is>
          <t>Coco Colombia</t>
        </is>
      </c>
      <c r="D1089" t="inlineStr">
        <is>
          <t>COP</t>
        </is>
      </c>
      <c r="E1089" t="inlineStr">
        <is>
          <t>Real</t>
        </is>
      </c>
      <c r="F1089" t="inlineStr">
        <is>
          <t>new_mrr</t>
        </is>
      </c>
      <c r="I1089" t="n">
        <v>66758720</v>
      </c>
      <c r="J1089" t="inlineStr">
        <is>
          <t>COP</t>
        </is>
      </c>
      <c r="L1089">
        <f>IFERROR(INDEX(Diccionario!$B:$B,MATCH(F1101,Diccionario!$C:$C,0)),"")</f>
        <v/>
      </c>
      <c r="M1089">
        <f>IFERROR(INDEX(Diccionario!$H:$H,MATCH(F1101,Diccionario!$C:$C,0)),"")</f>
        <v/>
      </c>
      <c r="N1089">
        <f>IFERROR(INDEX(Diccionario!$N:$N,MATCH(F1101,Diccionario!$C:$C,0)),"")</f>
        <v/>
      </c>
    </row>
    <row r="1090" ht="14.25" customHeight="1" s="52">
      <c r="A1090" t="inlineStr">
        <is>
          <t>2025-10</t>
        </is>
      </c>
      <c r="B1090" t="inlineStr">
        <is>
          <t>Colombia</t>
        </is>
      </c>
      <c r="C1090" t="inlineStr">
        <is>
          <t>Coco Colombia</t>
        </is>
      </c>
      <c r="D1090" t="inlineStr">
        <is>
          <t>COP</t>
        </is>
      </c>
      <c r="E1090" t="inlineStr">
        <is>
          <t>Real</t>
        </is>
      </c>
      <c r="F1090" t="inlineStr">
        <is>
          <t>new_mrr</t>
        </is>
      </c>
      <c r="I1090" t="n">
        <v>9744000</v>
      </c>
      <c r="J1090" t="inlineStr">
        <is>
          <t>COP</t>
        </is>
      </c>
      <c r="L1090">
        <f>IFERROR(INDEX(Diccionario!$B:$B,MATCH(F1102,Diccionario!$C:$C,0)),"")</f>
        <v/>
      </c>
      <c r="M1090">
        <f>IFERROR(INDEX(Diccionario!$H:$H,MATCH(F1102,Diccionario!$C:$C,0)),"")</f>
        <v/>
      </c>
      <c r="N1090">
        <f>IFERROR(INDEX(Diccionario!$N:$N,MATCH(F1102,Diccionario!$C:$C,0)),"")</f>
        <v/>
      </c>
    </row>
    <row r="1091" ht="14.25" customHeight="1" s="52">
      <c r="A1091" t="inlineStr">
        <is>
          <t>2025-11</t>
        </is>
      </c>
      <c r="B1091" t="inlineStr">
        <is>
          <t>Colombia</t>
        </is>
      </c>
      <c r="C1091" t="inlineStr">
        <is>
          <t>Coco Colombia</t>
        </is>
      </c>
      <c r="D1091" t="inlineStr">
        <is>
          <t>COP</t>
        </is>
      </c>
      <c r="E1091" t="inlineStr">
        <is>
          <t>Real</t>
        </is>
      </c>
      <c r="F1091" t="inlineStr">
        <is>
          <t>new_mrr</t>
        </is>
      </c>
      <c r="I1091" t="n">
        <v>4576586</v>
      </c>
      <c r="J1091" t="inlineStr">
        <is>
          <t>COP</t>
        </is>
      </c>
      <c r="L1091">
        <f>IFERROR(INDEX(Diccionario!$B:$B,MATCH(F1103,Diccionario!$C:$C,0)),"")</f>
        <v/>
      </c>
      <c r="M1091">
        <f>IFERROR(INDEX(Diccionario!$H:$H,MATCH(F1103,Diccionario!$C:$C,0)),"")</f>
        <v/>
      </c>
      <c r="N1091">
        <f>IFERROR(INDEX(Diccionario!$N:$N,MATCH(F1103,Diccionario!$C:$C,0)),"")</f>
        <v/>
      </c>
    </row>
    <row r="1092" ht="14.25" customHeight="1" s="52">
      <c r="A1092" t="inlineStr">
        <is>
          <t>2025-12</t>
        </is>
      </c>
      <c r="B1092" t="inlineStr">
        <is>
          <t>Colombia</t>
        </is>
      </c>
      <c r="C1092" t="inlineStr">
        <is>
          <t>Coco Colombia</t>
        </is>
      </c>
      <c r="D1092" t="inlineStr">
        <is>
          <t>COP</t>
        </is>
      </c>
      <c r="E1092" t="inlineStr">
        <is>
          <t>Real</t>
        </is>
      </c>
      <c r="F1092" t="inlineStr">
        <is>
          <t>new_mrr</t>
        </is>
      </c>
      <c r="I1092" t="n">
        <v>121130467</v>
      </c>
      <c r="J1092" t="inlineStr">
        <is>
          <t>COP</t>
        </is>
      </c>
      <c r="L1092">
        <f>IFERROR(INDEX(Diccionario!$B:$B,MATCH(F1104,Diccionario!$C:$C,0)),"")</f>
        <v/>
      </c>
      <c r="M1092">
        <f>IFERROR(INDEX(Diccionario!$H:$H,MATCH(F1104,Diccionario!$C:$C,0)),"")</f>
        <v/>
      </c>
      <c r="N1092">
        <f>IFERROR(INDEX(Diccionario!$N:$N,MATCH(F1104,Diccionario!$C:$C,0)),"")</f>
        <v/>
      </c>
    </row>
    <row r="1093" ht="14.25" customHeight="1" s="52">
      <c r="A1093" t="inlineStr">
        <is>
          <t>2026-01</t>
        </is>
      </c>
      <c r="B1093" t="inlineStr">
        <is>
          <t>Colombia</t>
        </is>
      </c>
      <c r="C1093" t="inlineStr">
        <is>
          <t>Coco Colombia</t>
        </is>
      </c>
      <c r="D1093" t="inlineStr">
        <is>
          <t>COP</t>
        </is>
      </c>
      <c r="E1093" t="inlineStr">
        <is>
          <t>Real</t>
        </is>
      </c>
      <c r="F1093" t="inlineStr">
        <is>
          <t>new_mrr</t>
        </is>
      </c>
      <c r="I1093" t="n">
        <v>42197000</v>
      </c>
      <c r="J1093" t="inlineStr">
        <is>
          <t>COP</t>
        </is>
      </c>
      <c r="L1093">
        <f>IFERROR(INDEX(Diccionario!$B:$B,MATCH(F1105,Diccionario!$C:$C,0)),"")</f>
        <v/>
      </c>
      <c r="M1093">
        <f>IFERROR(INDEX(Diccionario!$H:$H,MATCH(F1105,Diccionario!$C:$C,0)),"")</f>
        <v/>
      </c>
      <c r="N1093">
        <f>IFERROR(INDEX(Diccionario!$N:$N,MATCH(F1105,Diccionario!$C:$C,0)),"")</f>
        <v/>
      </c>
    </row>
    <row r="1094" ht="14.25" customHeight="1" s="52">
      <c r="A1094" t="inlineStr">
        <is>
          <t>2026-02</t>
        </is>
      </c>
      <c r="B1094" t="inlineStr">
        <is>
          <t>Colombia</t>
        </is>
      </c>
      <c r="C1094" t="inlineStr">
        <is>
          <t>Coco Colombia</t>
        </is>
      </c>
      <c r="D1094" t="inlineStr">
        <is>
          <t>COP</t>
        </is>
      </c>
      <c r="E1094" t="inlineStr">
        <is>
          <t>Real</t>
        </is>
      </c>
      <c r="F1094" t="inlineStr">
        <is>
          <t>new_mrr</t>
        </is>
      </c>
      <c r="I1094" t="n">
        <v>67164125</v>
      </c>
      <c r="J1094" t="inlineStr">
        <is>
          <t>COP</t>
        </is>
      </c>
      <c r="L1094">
        <f>IFERROR(INDEX(Diccionario!$B:$B,MATCH(F1106,Diccionario!$C:$C,0)),"")</f>
        <v/>
      </c>
      <c r="M1094">
        <f>IFERROR(INDEX(Diccionario!$H:$H,MATCH(F1106,Diccionario!$C:$C,0)),"")</f>
        <v/>
      </c>
      <c r="N1094">
        <f>IFERROR(INDEX(Diccionario!$N:$N,MATCH(F1106,Diccionario!$C:$C,0)),"")</f>
        <v/>
      </c>
    </row>
    <row r="1095" ht="14.25" customHeight="1" s="52">
      <c r="A1095" t="inlineStr">
        <is>
          <t>2026-03</t>
        </is>
      </c>
      <c r="B1095" t="inlineStr">
        <is>
          <t>Colombia</t>
        </is>
      </c>
      <c r="C1095" t="inlineStr">
        <is>
          <t>Coco Colombia</t>
        </is>
      </c>
      <c r="D1095" t="inlineStr">
        <is>
          <t>COP</t>
        </is>
      </c>
      <c r="E1095" t="inlineStr">
        <is>
          <t>Real</t>
        </is>
      </c>
      <c r="F1095" t="inlineStr">
        <is>
          <t>new_mrr</t>
        </is>
      </c>
      <c r="I1095" t="n">
        <v>20433810</v>
      </c>
      <c r="J1095" t="inlineStr">
        <is>
          <t>COP</t>
        </is>
      </c>
      <c r="L1095">
        <f>IFERROR(INDEX(Diccionario!$B:$B,MATCH(F1107,Diccionario!$C:$C,0)),"")</f>
        <v/>
      </c>
      <c r="M1095">
        <f>IFERROR(INDEX(Diccionario!$H:$H,MATCH(F1107,Diccionario!$C:$C,0)),"")</f>
        <v/>
      </c>
      <c r="N1095">
        <f>IFERROR(INDEX(Diccionario!$N:$N,MATCH(F1107,Diccionario!$C:$C,0)),"")</f>
        <v/>
      </c>
    </row>
    <row r="1096" ht="14.25" customHeight="1" s="52">
      <c r="A1096" t="inlineStr">
        <is>
          <t>2026-04</t>
        </is>
      </c>
      <c r="B1096" t="inlineStr">
        <is>
          <t>Colombia</t>
        </is>
      </c>
      <c r="C1096" t="inlineStr">
        <is>
          <t>Coco Colombia</t>
        </is>
      </c>
      <c r="D1096" t="inlineStr">
        <is>
          <t>COP</t>
        </is>
      </c>
      <c r="E1096" t="inlineStr">
        <is>
          <t>Real</t>
        </is>
      </c>
      <c r="F1096" t="inlineStr">
        <is>
          <t>new_mrr</t>
        </is>
      </c>
      <c r="I1096" t="n">
        <v>19704840</v>
      </c>
      <c r="J1096" t="inlineStr">
        <is>
          <t>COP</t>
        </is>
      </c>
      <c r="L1096">
        <f>IFERROR(INDEX(Diccionario!$B:$B,MATCH(F1108,Diccionario!$C:$C,0)),"")</f>
        <v/>
      </c>
      <c r="M1096">
        <f>IFERROR(INDEX(Diccionario!$H:$H,MATCH(F1108,Diccionario!$C:$C,0)),"")</f>
        <v/>
      </c>
      <c r="N1096">
        <f>IFERROR(INDEX(Diccionario!$N:$N,MATCH(F1108,Diccionario!$C:$C,0)),"")</f>
        <v/>
      </c>
    </row>
    <row r="1097" ht="14.25" customHeight="1" s="52">
      <c r="A1097" t="inlineStr">
        <is>
          <t>2026-05</t>
        </is>
      </c>
      <c r="B1097" t="inlineStr">
        <is>
          <t>Colombia</t>
        </is>
      </c>
      <c r="C1097" t="inlineStr">
        <is>
          <t>Coco Colombia</t>
        </is>
      </c>
      <c r="D1097" t="inlineStr">
        <is>
          <t>COP</t>
        </is>
      </c>
      <c r="E1097" t="inlineStr">
        <is>
          <t>Real</t>
        </is>
      </c>
      <c r="F1097" t="inlineStr">
        <is>
          <t>new_mrr</t>
        </is>
      </c>
      <c r="I1097" t="n">
        <v>57840476</v>
      </c>
      <c r="J1097" t="inlineStr">
        <is>
          <t>COP</t>
        </is>
      </c>
      <c r="L1097">
        <f>IFERROR(INDEX(Diccionario!$B:$B,MATCH(F1109,Diccionario!$C:$C,0)),"")</f>
        <v/>
      </c>
      <c r="M1097">
        <f>IFERROR(INDEX(Diccionario!$H:$H,MATCH(F1109,Diccionario!$C:$C,0)),"")</f>
        <v/>
      </c>
      <c r="N1097">
        <f>IFERROR(INDEX(Diccionario!$N:$N,MATCH(F1109,Diccionario!$C:$C,0)),"")</f>
        <v/>
      </c>
    </row>
    <row r="1098" ht="14.25" customHeight="1" s="52">
      <c r="A1098" t="inlineStr">
        <is>
          <t>2025-05</t>
        </is>
      </c>
      <c r="B1098" t="inlineStr">
        <is>
          <t>Colombia</t>
        </is>
      </c>
      <c r="C1098" t="inlineStr">
        <is>
          <t>Coco Colombia</t>
        </is>
      </c>
      <c r="D1098" t="inlineStr">
        <is>
          <t>COP</t>
        </is>
      </c>
      <c r="E1098" t="inlineStr">
        <is>
          <t>Real</t>
        </is>
      </c>
      <c r="F1098" t="inlineStr">
        <is>
          <t>reactivacion_mrr</t>
        </is>
      </c>
      <c r="I1098" t="n">
        <v>0</v>
      </c>
      <c r="J1098" t="inlineStr">
        <is>
          <t>COP</t>
        </is>
      </c>
      <c r="L1098">
        <f>IFERROR(INDEX(Diccionario!$B:$B,MATCH(F1110,Diccionario!$C:$C,0)),"")</f>
        <v/>
      </c>
      <c r="M1098">
        <f>IFERROR(INDEX(Diccionario!$H:$H,MATCH(F1110,Diccionario!$C:$C,0)),"")</f>
        <v/>
      </c>
      <c r="N1098">
        <f>IFERROR(INDEX(Diccionario!$N:$N,MATCH(F1110,Diccionario!$C:$C,0)),"")</f>
        <v/>
      </c>
    </row>
    <row r="1099" ht="14.25" customHeight="1" s="52">
      <c r="A1099" t="inlineStr">
        <is>
          <t>2025-06</t>
        </is>
      </c>
      <c r="B1099" t="inlineStr">
        <is>
          <t>Colombia</t>
        </is>
      </c>
      <c r="C1099" t="inlineStr">
        <is>
          <t>Coco Colombia</t>
        </is>
      </c>
      <c r="D1099" t="inlineStr">
        <is>
          <t>COP</t>
        </is>
      </c>
      <c r="E1099" t="inlineStr">
        <is>
          <t>Real</t>
        </is>
      </c>
      <c r="F1099" t="inlineStr">
        <is>
          <t>reactivacion_mrr</t>
        </is>
      </c>
      <c r="I1099" t="n">
        <v>0</v>
      </c>
      <c r="J1099" t="inlineStr">
        <is>
          <t>COP</t>
        </is>
      </c>
      <c r="L1099">
        <f>IFERROR(INDEX(Diccionario!$B:$B,MATCH(F1111,Diccionario!$C:$C,0)),"")</f>
        <v/>
      </c>
      <c r="M1099">
        <f>IFERROR(INDEX(Diccionario!$H:$H,MATCH(F1111,Diccionario!$C:$C,0)),"")</f>
        <v/>
      </c>
      <c r="N1099">
        <f>IFERROR(INDEX(Diccionario!$N:$N,MATCH(F1111,Diccionario!$C:$C,0)),"")</f>
        <v/>
      </c>
    </row>
    <row r="1100" ht="14.25" customHeight="1" s="52">
      <c r="A1100" t="inlineStr">
        <is>
          <t>2025-09</t>
        </is>
      </c>
      <c r="B1100" t="inlineStr">
        <is>
          <t>Colombia</t>
        </is>
      </c>
      <c r="C1100" t="inlineStr">
        <is>
          <t>Coco Colombia</t>
        </is>
      </c>
      <c r="D1100" t="inlineStr">
        <is>
          <t>COP</t>
        </is>
      </c>
      <c r="E1100" t="inlineStr">
        <is>
          <t>Real</t>
        </is>
      </c>
      <c r="F1100" t="inlineStr">
        <is>
          <t>reactivacion_mrr</t>
        </is>
      </c>
      <c r="I1100" t="n">
        <v>0</v>
      </c>
      <c r="J1100" t="inlineStr">
        <is>
          <t>COP</t>
        </is>
      </c>
      <c r="L1100">
        <f>IFERROR(INDEX(Diccionario!$B:$B,MATCH(F1112,Diccionario!$C:$C,0)),"")</f>
        <v/>
      </c>
      <c r="M1100">
        <f>IFERROR(INDEX(Diccionario!$H:$H,MATCH(F1112,Diccionario!$C:$C,0)),"")</f>
        <v/>
      </c>
      <c r="N1100">
        <f>IFERROR(INDEX(Diccionario!$N:$N,MATCH(F1112,Diccionario!$C:$C,0)),"")</f>
        <v/>
      </c>
    </row>
    <row r="1101" ht="14.25" customHeight="1" s="52">
      <c r="A1101" t="inlineStr">
        <is>
          <t>2025-05</t>
        </is>
      </c>
      <c r="B1101" t="inlineStr">
        <is>
          <t>Colombia</t>
        </is>
      </c>
      <c r="C1101" t="inlineStr">
        <is>
          <t>Coco Colombia</t>
        </is>
      </c>
      <c r="D1101" t="inlineStr">
        <is>
          <t>COP</t>
        </is>
      </c>
      <c r="E1101" t="inlineStr">
        <is>
          <t>Real</t>
        </is>
      </c>
      <c r="F1101" t="inlineStr">
        <is>
          <t>expansion_mrr</t>
        </is>
      </c>
      <c r="I1101" t="n">
        <v>70990398</v>
      </c>
      <c r="J1101" t="inlineStr">
        <is>
          <t>COP</t>
        </is>
      </c>
      <c r="L1101">
        <f>IFERROR(INDEX(Diccionario!$B:$B,MATCH(F1113,Diccionario!$C:$C,0)),"")</f>
        <v/>
      </c>
      <c r="M1101">
        <f>IFERROR(INDEX(Diccionario!$H:$H,MATCH(F1113,Diccionario!$C:$C,0)),"")</f>
        <v/>
      </c>
      <c r="N1101">
        <f>IFERROR(INDEX(Diccionario!$N:$N,MATCH(F1113,Diccionario!$C:$C,0)),"")</f>
        <v/>
      </c>
    </row>
    <row r="1102" ht="14.25" customHeight="1" s="52">
      <c r="A1102" t="inlineStr">
        <is>
          <t>2025-06</t>
        </is>
      </c>
      <c r="B1102" t="inlineStr">
        <is>
          <t>Colombia</t>
        </is>
      </c>
      <c r="C1102" t="inlineStr">
        <is>
          <t>Coco Colombia</t>
        </is>
      </c>
      <c r="D1102" t="inlineStr">
        <is>
          <t>COP</t>
        </is>
      </c>
      <c r="E1102" t="inlineStr">
        <is>
          <t>Real</t>
        </is>
      </c>
      <c r="F1102" t="inlineStr">
        <is>
          <t>expansion_mrr</t>
        </is>
      </c>
      <c r="I1102" t="n">
        <v>39382286</v>
      </c>
      <c r="J1102" t="inlineStr">
        <is>
          <t>COP</t>
        </is>
      </c>
      <c r="L1102">
        <f>IFERROR(INDEX(Diccionario!$B:$B,MATCH(F1114,Diccionario!$C:$C,0)),"")</f>
        <v/>
      </c>
      <c r="M1102">
        <f>IFERROR(INDEX(Diccionario!$H:$H,MATCH(F1114,Diccionario!$C:$C,0)),"")</f>
        <v/>
      </c>
      <c r="N1102">
        <f>IFERROR(INDEX(Diccionario!$N:$N,MATCH(F1114,Diccionario!$C:$C,0)),"")</f>
        <v/>
      </c>
    </row>
    <row r="1103" ht="14.25" customHeight="1" s="52">
      <c r="A1103" t="inlineStr">
        <is>
          <t>2025-07</t>
        </is>
      </c>
      <c r="B1103" t="inlineStr">
        <is>
          <t>Colombia</t>
        </is>
      </c>
      <c r="C1103" t="inlineStr">
        <is>
          <t>Coco Colombia</t>
        </is>
      </c>
      <c r="D1103" t="inlineStr">
        <is>
          <t>COP</t>
        </is>
      </c>
      <c r="E1103" t="inlineStr">
        <is>
          <t>Real</t>
        </is>
      </c>
      <c r="F1103" t="inlineStr">
        <is>
          <t>expansion_mrr</t>
        </is>
      </c>
      <c r="I1103" t="n">
        <v>33230383</v>
      </c>
      <c r="J1103" t="inlineStr">
        <is>
          <t>COP</t>
        </is>
      </c>
      <c r="L1103">
        <f>IFERROR(INDEX(Diccionario!$B:$B,MATCH(F1115,Diccionario!$C:$C,0)),"")</f>
        <v/>
      </c>
      <c r="M1103">
        <f>IFERROR(INDEX(Diccionario!$H:$H,MATCH(F1115,Diccionario!$C:$C,0)),"")</f>
        <v/>
      </c>
      <c r="N1103">
        <f>IFERROR(INDEX(Diccionario!$N:$N,MATCH(F1115,Diccionario!$C:$C,0)),"")</f>
        <v/>
      </c>
    </row>
    <row r="1104" ht="14.25" customHeight="1" s="52">
      <c r="A1104" t="inlineStr">
        <is>
          <t>2025-08</t>
        </is>
      </c>
      <c r="B1104" t="inlineStr">
        <is>
          <t>Colombia</t>
        </is>
      </c>
      <c r="C1104" t="inlineStr">
        <is>
          <t>Coco Colombia</t>
        </is>
      </c>
      <c r="D1104" t="inlineStr">
        <is>
          <t>COP</t>
        </is>
      </c>
      <c r="E1104" t="inlineStr">
        <is>
          <t>Real</t>
        </is>
      </c>
      <c r="F1104" t="inlineStr">
        <is>
          <t>expansion_mrr</t>
        </is>
      </c>
      <c r="I1104" t="n">
        <v>10257072</v>
      </c>
      <c r="J1104" t="inlineStr">
        <is>
          <t>COP</t>
        </is>
      </c>
      <c r="L1104">
        <f>IFERROR(INDEX(Diccionario!$B:$B,MATCH(F1116,Diccionario!$C:$C,0)),"")</f>
        <v/>
      </c>
      <c r="M1104">
        <f>IFERROR(INDEX(Diccionario!$H:$H,MATCH(F1116,Diccionario!$C:$C,0)),"")</f>
        <v/>
      </c>
      <c r="N1104">
        <f>IFERROR(INDEX(Diccionario!$N:$N,MATCH(F1116,Diccionario!$C:$C,0)),"")</f>
        <v/>
      </c>
    </row>
    <row r="1105" ht="14.25" customHeight="1" s="52">
      <c r="A1105" t="inlineStr">
        <is>
          <t>2025-09</t>
        </is>
      </c>
      <c r="B1105" t="inlineStr">
        <is>
          <t>Colombia</t>
        </is>
      </c>
      <c r="C1105" t="inlineStr">
        <is>
          <t>Coco Colombia</t>
        </is>
      </c>
      <c r="D1105" t="inlineStr">
        <is>
          <t>COP</t>
        </is>
      </c>
      <c r="E1105" t="inlineStr">
        <is>
          <t>Real</t>
        </is>
      </c>
      <c r="F1105" t="inlineStr">
        <is>
          <t>expansion_mrr</t>
        </is>
      </c>
      <c r="I1105" t="n">
        <v>20728046</v>
      </c>
      <c r="J1105" t="inlineStr">
        <is>
          <t>COP</t>
        </is>
      </c>
      <c r="L1105">
        <f>IFERROR(INDEX(Diccionario!$B:$B,MATCH(F1117,Diccionario!$C:$C,0)),"")</f>
        <v/>
      </c>
      <c r="M1105">
        <f>IFERROR(INDEX(Diccionario!$H:$H,MATCH(F1117,Diccionario!$C:$C,0)),"")</f>
        <v/>
      </c>
      <c r="N1105">
        <f>IFERROR(INDEX(Diccionario!$N:$N,MATCH(F1117,Diccionario!$C:$C,0)),"")</f>
        <v/>
      </c>
    </row>
    <row r="1106" ht="14.25" customHeight="1" s="52">
      <c r="A1106" t="inlineStr">
        <is>
          <t>2025-10</t>
        </is>
      </c>
      <c r="B1106" t="inlineStr">
        <is>
          <t>Colombia</t>
        </is>
      </c>
      <c r="C1106" t="inlineStr">
        <is>
          <t>Coco Colombia</t>
        </is>
      </c>
      <c r="D1106" t="inlineStr">
        <is>
          <t>COP</t>
        </is>
      </c>
      <c r="E1106" t="inlineStr">
        <is>
          <t>Real</t>
        </is>
      </c>
      <c r="F1106" t="inlineStr">
        <is>
          <t>expansion_mrr</t>
        </is>
      </c>
      <c r="I1106" t="n">
        <v>32161155</v>
      </c>
      <c r="J1106" t="inlineStr">
        <is>
          <t>COP</t>
        </is>
      </c>
      <c r="L1106">
        <f>IFERROR(INDEX(Diccionario!$B:$B,MATCH(F1118,Diccionario!$C:$C,0)),"")</f>
        <v/>
      </c>
      <c r="M1106">
        <f>IFERROR(INDEX(Diccionario!$H:$H,MATCH(F1118,Diccionario!$C:$C,0)),"")</f>
        <v/>
      </c>
      <c r="N1106">
        <f>IFERROR(INDEX(Diccionario!$N:$N,MATCH(F1118,Diccionario!$C:$C,0)),"")</f>
        <v/>
      </c>
    </row>
    <row r="1107" ht="14.25" customHeight="1" s="52">
      <c r="A1107" t="inlineStr">
        <is>
          <t>2025-11</t>
        </is>
      </c>
      <c r="B1107" t="inlineStr">
        <is>
          <t>Colombia</t>
        </is>
      </c>
      <c r="C1107" t="inlineStr">
        <is>
          <t>Coco Colombia</t>
        </is>
      </c>
      <c r="D1107" t="inlineStr">
        <is>
          <t>COP</t>
        </is>
      </c>
      <c r="E1107" t="inlineStr">
        <is>
          <t>Real</t>
        </is>
      </c>
      <c r="F1107" t="inlineStr">
        <is>
          <t>expansion_mrr</t>
        </is>
      </c>
      <c r="I1107" t="n">
        <v>30488403</v>
      </c>
      <c r="J1107" t="inlineStr">
        <is>
          <t>COP</t>
        </is>
      </c>
      <c r="L1107">
        <f>IFERROR(INDEX(Diccionario!$B:$B,MATCH(F1119,Diccionario!$C:$C,0)),"")</f>
        <v/>
      </c>
      <c r="M1107">
        <f>IFERROR(INDEX(Diccionario!$H:$H,MATCH(F1119,Diccionario!$C:$C,0)),"")</f>
        <v/>
      </c>
      <c r="N1107">
        <f>IFERROR(INDEX(Diccionario!$N:$N,MATCH(F1119,Diccionario!$C:$C,0)),"")</f>
        <v/>
      </c>
    </row>
    <row r="1108" ht="14.25" customHeight="1" s="52">
      <c r="A1108" t="inlineStr">
        <is>
          <t>2025-12</t>
        </is>
      </c>
      <c r="B1108" t="inlineStr">
        <is>
          <t>Colombia</t>
        </is>
      </c>
      <c r="C1108" t="inlineStr">
        <is>
          <t>Coco Colombia</t>
        </is>
      </c>
      <c r="D1108" t="inlineStr">
        <is>
          <t>COP</t>
        </is>
      </c>
      <c r="E1108" t="inlineStr">
        <is>
          <t>Real</t>
        </is>
      </c>
      <c r="F1108" t="inlineStr">
        <is>
          <t>expansion_mrr</t>
        </is>
      </c>
      <c r="I1108" t="n">
        <v>7435487</v>
      </c>
      <c r="J1108" t="inlineStr">
        <is>
          <t>COP</t>
        </is>
      </c>
      <c r="L1108">
        <f>IFERROR(INDEX(Diccionario!$B:$B,MATCH(F1120,Diccionario!$C:$C,0)),"")</f>
        <v/>
      </c>
      <c r="M1108">
        <f>IFERROR(INDEX(Diccionario!$H:$H,MATCH(F1120,Diccionario!$C:$C,0)),"")</f>
        <v/>
      </c>
      <c r="N1108">
        <f>IFERROR(INDEX(Diccionario!$N:$N,MATCH(F1120,Diccionario!$C:$C,0)),"")</f>
        <v/>
      </c>
    </row>
    <row r="1109" ht="14.25" customHeight="1" s="52">
      <c r="A1109" t="inlineStr">
        <is>
          <t>2026-01</t>
        </is>
      </c>
      <c r="B1109" t="inlineStr">
        <is>
          <t>Colombia</t>
        </is>
      </c>
      <c r="C1109" t="inlineStr">
        <is>
          <t>Coco Colombia</t>
        </is>
      </c>
      <c r="D1109" t="inlineStr">
        <is>
          <t>COP</t>
        </is>
      </c>
      <c r="E1109" t="inlineStr">
        <is>
          <t>Real</t>
        </is>
      </c>
      <c r="F1109" t="inlineStr">
        <is>
          <t>expansion_mrr</t>
        </is>
      </c>
      <c r="I1109" t="n">
        <v>62692450</v>
      </c>
      <c r="J1109" t="inlineStr">
        <is>
          <t>COP</t>
        </is>
      </c>
      <c r="L1109">
        <f>IFERROR(INDEX(Diccionario!$B:$B,MATCH(F1121,Diccionario!$C:$C,0)),"")</f>
        <v/>
      </c>
      <c r="M1109">
        <f>IFERROR(INDEX(Diccionario!$H:$H,MATCH(F1121,Diccionario!$C:$C,0)),"")</f>
        <v/>
      </c>
      <c r="N1109">
        <f>IFERROR(INDEX(Diccionario!$N:$N,MATCH(F1121,Diccionario!$C:$C,0)),"")</f>
        <v/>
      </c>
    </row>
    <row r="1110" ht="14.25" customHeight="1" s="52">
      <c r="A1110" t="inlineStr">
        <is>
          <t>2026-02</t>
        </is>
      </c>
      <c r="B1110" t="inlineStr">
        <is>
          <t>Colombia</t>
        </is>
      </c>
      <c r="C1110" t="inlineStr">
        <is>
          <t>Coco Colombia</t>
        </is>
      </c>
      <c r="D1110" t="inlineStr">
        <is>
          <t>COP</t>
        </is>
      </c>
      <c r="E1110" t="inlineStr">
        <is>
          <t>Real</t>
        </is>
      </c>
      <c r="F1110" t="inlineStr">
        <is>
          <t>expansion_mrr</t>
        </is>
      </c>
      <c r="I1110" t="n">
        <v>139839642</v>
      </c>
      <c r="J1110" t="inlineStr">
        <is>
          <t>COP</t>
        </is>
      </c>
      <c r="L1110">
        <f>IFERROR(INDEX(Diccionario!$B:$B,MATCH(F1122,Diccionario!$C:$C,0)),"")</f>
        <v/>
      </c>
      <c r="M1110">
        <f>IFERROR(INDEX(Diccionario!$H:$H,MATCH(F1122,Diccionario!$C:$C,0)),"")</f>
        <v/>
      </c>
      <c r="N1110">
        <f>IFERROR(INDEX(Diccionario!$N:$N,MATCH(F1122,Diccionario!$C:$C,0)),"")</f>
        <v/>
      </c>
    </row>
    <row r="1111" ht="14.25" customHeight="1" s="52">
      <c r="A1111" t="inlineStr">
        <is>
          <t>2026-03</t>
        </is>
      </c>
      <c r="B1111" t="inlineStr">
        <is>
          <t>Colombia</t>
        </is>
      </c>
      <c r="C1111" t="inlineStr">
        <is>
          <t>Coco Colombia</t>
        </is>
      </c>
      <c r="D1111" t="inlineStr">
        <is>
          <t>COP</t>
        </is>
      </c>
      <c r="E1111" t="inlineStr">
        <is>
          <t>Real</t>
        </is>
      </c>
      <c r="F1111" t="inlineStr">
        <is>
          <t>expansion_mrr</t>
        </is>
      </c>
      <c r="I1111" t="n">
        <v>60430077</v>
      </c>
      <c r="J1111" t="inlineStr">
        <is>
          <t>COP</t>
        </is>
      </c>
      <c r="L1111">
        <f>IFERROR(INDEX(Diccionario!$B:$B,MATCH(F1123,Diccionario!$C:$C,0)),"")</f>
        <v/>
      </c>
      <c r="M1111">
        <f>IFERROR(INDEX(Diccionario!$H:$H,MATCH(F1123,Diccionario!$C:$C,0)),"")</f>
        <v/>
      </c>
      <c r="N1111">
        <f>IFERROR(INDEX(Diccionario!$N:$N,MATCH(F1123,Diccionario!$C:$C,0)),"")</f>
        <v/>
      </c>
    </row>
    <row r="1112" ht="14.25" customHeight="1" s="52">
      <c r="A1112" t="inlineStr">
        <is>
          <t>2026-04</t>
        </is>
      </c>
      <c r="B1112" t="inlineStr">
        <is>
          <t>Colombia</t>
        </is>
      </c>
      <c r="C1112" t="inlineStr">
        <is>
          <t>Coco Colombia</t>
        </is>
      </c>
      <c r="D1112" t="inlineStr">
        <is>
          <t>COP</t>
        </is>
      </c>
      <c r="E1112" t="inlineStr">
        <is>
          <t>Real</t>
        </is>
      </c>
      <c r="F1112" t="inlineStr">
        <is>
          <t>expansion_mrr</t>
        </is>
      </c>
      <c r="I1112" t="n">
        <v>37926081</v>
      </c>
      <c r="J1112" t="inlineStr">
        <is>
          <t>COP</t>
        </is>
      </c>
      <c r="L1112">
        <f>IFERROR(INDEX(Diccionario!$B:$B,MATCH(F1124,Diccionario!$C:$C,0)),"")</f>
        <v/>
      </c>
      <c r="M1112">
        <f>IFERROR(INDEX(Diccionario!$H:$H,MATCH(F1124,Diccionario!$C:$C,0)),"")</f>
        <v/>
      </c>
      <c r="N1112">
        <f>IFERROR(INDEX(Diccionario!$N:$N,MATCH(F1124,Diccionario!$C:$C,0)),"")</f>
        <v/>
      </c>
    </row>
    <row r="1113" ht="14.25" customHeight="1" s="52">
      <c r="A1113" t="inlineStr">
        <is>
          <t>2026-05</t>
        </is>
      </c>
      <c r="B1113" t="inlineStr">
        <is>
          <t>Colombia</t>
        </is>
      </c>
      <c r="C1113" t="inlineStr">
        <is>
          <t>Coco Colombia</t>
        </is>
      </c>
      <c r="D1113" t="inlineStr">
        <is>
          <t>COP</t>
        </is>
      </c>
      <c r="E1113" t="inlineStr">
        <is>
          <t>Real</t>
        </is>
      </c>
      <c r="F1113" t="inlineStr">
        <is>
          <t>expansion_mrr</t>
        </is>
      </c>
      <c r="I1113" t="n">
        <v>10796596</v>
      </c>
      <c r="J1113" t="inlineStr">
        <is>
          <t>COP</t>
        </is>
      </c>
      <c r="L1113">
        <f>IFERROR(INDEX(Diccionario!$B:$B,MATCH(F1125,Diccionario!$C:$C,0)),"")</f>
        <v/>
      </c>
      <c r="M1113">
        <f>IFERROR(INDEX(Diccionario!$H:$H,MATCH(F1125,Diccionario!$C:$C,0)),"")</f>
        <v/>
      </c>
      <c r="N1113">
        <f>IFERROR(INDEX(Diccionario!$N:$N,MATCH(F1125,Diccionario!$C:$C,0)),"")</f>
        <v/>
      </c>
    </row>
    <row r="1114" ht="14.25" customHeight="1" s="52">
      <c r="A1114" t="inlineStr">
        <is>
          <t>2025-05</t>
        </is>
      </c>
      <c r="B1114" t="inlineStr">
        <is>
          <t>Colombia</t>
        </is>
      </c>
      <c r="C1114" t="inlineStr">
        <is>
          <t>Coco Colombia</t>
        </is>
      </c>
      <c r="D1114" t="inlineStr">
        <is>
          <t>COP</t>
        </is>
      </c>
      <c r="E1114" t="inlineStr">
        <is>
          <t>Real</t>
        </is>
      </c>
      <c r="F1114" t="inlineStr">
        <is>
          <t>contraction_mrr</t>
        </is>
      </c>
      <c r="I1114" t="n">
        <v>-37514312</v>
      </c>
      <c r="J1114" t="inlineStr">
        <is>
          <t>COP</t>
        </is>
      </c>
      <c r="L1114">
        <f>IFERROR(INDEX(Diccionario!$B:$B,MATCH(F1126,Diccionario!$C:$C,0)),"")</f>
        <v/>
      </c>
      <c r="M1114">
        <f>IFERROR(INDEX(Diccionario!$H:$H,MATCH(F1126,Diccionario!$C:$C,0)),"")</f>
        <v/>
      </c>
      <c r="N1114">
        <f>IFERROR(INDEX(Diccionario!$N:$N,MATCH(F1126,Diccionario!$C:$C,0)),"")</f>
        <v/>
      </c>
    </row>
    <row r="1115" ht="14.25" customHeight="1" s="52">
      <c r="A1115" t="inlineStr">
        <is>
          <t>2025-06</t>
        </is>
      </c>
      <c r="B1115" t="inlineStr">
        <is>
          <t>Colombia</t>
        </is>
      </c>
      <c r="C1115" t="inlineStr">
        <is>
          <t>Coco Colombia</t>
        </is>
      </c>
      <c r="D1115" t="inlineStr">
        <is>
          <t>COP</t>
        </is>
      </c>
      <c r="E1115" t="inlineStr">
        <is>
          <t>Real</t>
        </is>
      </c>
      <c r="F1115" t="inlineStr">
        <is>
          <t>contraction_mrr</t>
        </is>
      </c>
      <c r="I1115" t="n">
        <v>-29275713</v>
      </c>
      <c r="J1115" t="inlineStr">
        <is>
          <t>COP</t>
        </is>
      </c>
      <c r="L1115">
        <f>IFERROR(INDEX(Diccionario!$B:$B,MATCH(F1127,Diccionario!$C:$C,0)),"")</f>
        <v/>
      </c>
      <c r="M1115">
        <f>IFERROR(INDEX(Diccionario!$H:$H,MATCH(F1127,Diccionario!$C:$C,0)),"")</f>
        <v/>
      </c>
      <c r="N1115">
        <f>IFERROR(INDEX(Diccionario!$N:$N,MATCH(F1127,Diccionario!$C:$C,0)),"")</f>
        <v/>
      </c>
    </row>
    <row r="1116" ht="14.25" customHeight="1" s="52">
      <c r="A1116" t="inlineStr">
        <is>
          <t>2025-07</t>
        </is>
      </c>
      <c r="B1116" t="inlineStr">
        <is>
          <t>Colombia</t>
        </is>
      </c>
      <c r="C1116" t="inlineStr">
        <is>
          <t>Coco Colombia</t>
        </is>
      </c>
      <c r="D1116" t="inlineStr">
        <is>
          <t>COP</t>
        </is>
      </c>
      <c r="E1116" t="inlineStr">
        <is>
          <t>Real</t>
        </is>
      </c>
      <c r="F1116" t="inlineStr">
        <is>
          <t>contraction_mrr</t>
        </is>
      </c>
      <c r="I1116" t="n">
        <v>-66478867</v>
      </c>
      <c r="J1116" t="inlineStr">
        <is>
          <t>COP</t>
        </is>
      </c>
      <c r="L1116">
        <f>IFERROR(INDEX(Diccionario!$B:$B,MATCH(F1128,Diccionario!$C:$C,0)),"")</f>
        <v/>
      </c>
      <c r="M1116">
        <f>IFERROR(INDEX(Diccionario!$H:$H,MATCH(F1128,Diccionario!$C:$C,0)),"")</f>
        <v/>
      </c>
      <c r="N1116">
        <f>IFERROR(INDEX(Diccionario!$N:$N,MATCH(F1128,Diccionario!$C:$C,0)),"")</f>
        <v/>
      </c>
    </row>
    <row r="1117" ht="14.25" customHeight="1" s="52">
      <c r="A1117" t="inlineStr">
        <is>
          <t>2025-08</t>
        </is>
      </c>
      <c r="B1117" t="inlineStr">
        <is>
          <t>Colombia</t>
        </is>
      </c>
      <c r="C1117" t="inlineStr">
        <is>
          <t>Coco Colombia</t>
        </is>
      </c>
      <c r="D1117" t="inlineStr">
        <is>
          <t>COP</t>
        </is>
      </c>
      <c r="E1117" t="inlineStr">
        <is>
          <t>Real</t>
        </is>
      </c>
      <c r="F1117" t="inlineStr">
        <is>
          <t>contraction_mrr</t>
        </is>
      </c>
      <c r="I1117" t="n">
        <v>-53026479</v>
      </c>
      <c r="J1117" t="inlineStr">
        <is>
          <t>COP</t>
        </is>
      </c>
      <c r="L1117">
        <f>IFERROR(INDEX(Diccionario!$B:$B,MATCH(F1129,Diccionario!$C:$C,0)),"")</f>
        <v/>
      </c>
      <c r="M1117">
        <f>IFERROR(INDEX(Diccionario!$H:$H,MATCH(F1129,Diccionario!$C:$C,0)),"")</f>
        <v/>
      </c>
      <c r="N1117">
        <f>IFERROR(INDEX(Diccionario!$N:$N,MATCH(F1129,Diccionario!$C:$C,0)),"")</f>
        <v/>
      </c>
    </row>
    <row r="1118" ht="14.25" customHeight="1" s="52">
      <c r="A1118" t="inlineStr">
        <is>
          <t>2025-09</t>
        </is>
      </c>
      <c r="B1118" t="inlineStr">
        <is>
          <t>Colombia</t>
        </is>
      </c>
      <c r="C1118" t="inlineStr">
        <is>
          <t>Coco Colombia</t>
        </is>
      </c>
      <c r="D1118" t="inlineStr">
        <is>
          <t>COP</t>
        </is>
      </c>
      <c r="E1118" t="inlineStr">
        <is>
          <t>Real</t>
        </is>
      </c>
      <c r="F1118" t="inlineStr">
        <is>
          <t>contraction_mrr</t>
        </is>
      </c>
      <c r="I1118" t="n">
        <v>-47500121</v>
      </c>
      <c r="J1118" t="inlineStr">
        <is>
          <t>COP</t>
        </is>
      </c>
      <c r="L1118">
        <f>IFERROR(INDEX(Diccionario!$B:$B,MATCH(F1130,Diccionario!$C:$C,0)),"")</f>
        <v/>
      </c>
      <c r="M1118">
        <f>IFERROR(INDEX(Diccionario!$H:$H,MATCH(F1130,Diccionario!$C:$C,0)),"")</f>
        <v/>
      </c>
      <c r="N1118">
        <f>IFERROR(INDEX(Diccionario!$N:$N,MATCH(F1130,Diccionario!$C:$C,0)),"")</f>
        <v/>
      </c>
    </row>
    <row r="1119" ht="14.25" customHeight="1" s="52">
      <c r="A1119" t="inlineStr">
        <is>
          <t>2025-10</t>
        </is>
      </c>
      <c r="B1119" t="inlineStr">
        <is>
          <t>Colombia</t>
        </is>
      </c>
      <c r="C1119" t="inlineStr">
        <is>
          <t>Coco Colombia</t>
        </is>
      </c>
      <c r="D1119" t="inlineStr">
        <is>
          <t>COP</t>
        </is>
      </c>
      <c r="E1119" t="inlineStr">
        <is>
          <t>Real</t>
        </is>
      </c>
      <c r="F1119" t="inlineStr">
        <is>
          <t>contraction_mrr</t>
        </is>
      </c>
      <c r="I1119" t="n">
        <v>-40805021</v>
      </c>
      <c r="J1119" t="inlineStr">
        <is>
          <t>COP</t>
        </is>
      </c>
      <c r="L1119">
        <f>IFERROR(INDEX(Diccionario!$B:$B,MATCH(F1131,Diccionario!$C:$C,0)),"")</f>
        <v/>
      </c>
      <c r="M1119">
        <f>IFERROR(INDEX(Diccionario!$H:$H,MATCH(F1131,Diccionario!$C:$C,0)),"")</f>
        <v/>
      </c>
      <c r="N1119">
        <f>IFERROR(INDEX(Diccionario!$N:$N,MATCH(F1131,Diccionario!$C:$C,0)),"")</f>
        <v/>
      </c>
    </row>
    <row r="1120" ht="14.25" customHeight="1" s="52">
      <c r="A1120" t="inlineStr">
        <is>
          <t>2025-11</t>
        </is>
      </c>
      <c r="B1120" t="inlineStr">
        <is>
          <t>Colombia</t>
        </is>
      </c>
      <c r="C1120" t="inlineStr">
        <is>
          <t>Coco Colombia</t>
        </is>
      </c>
      <c r="D1120" t="inlineStr">
        <is>
          <t>COP</t>
        </is>
      </c>
      <c r="E1120" t="inlineStr">
        <is>
          <t>Real</t>
        </is>
      </c>
      <c r="F1120" t="inlineStr">
        <is>
          <t>contraction_mrr</t>
        </is>
      </c>
      <c r="I1120" t="n">
        <v>-46520913</v>
      </c>
      <c r="J1120" t="inlineStr">
        <is>
          <t>COP</t>
        </is>
      </c>
      <c r="L1120">
        <f>IFERROR(INDEX(Diccionario!$B:$B,MATCH(F1132,Diccionario!$C:$C,0)),"")</f>
        <v/>
      </c>
      <c r="M1120">
        <f>IFERROR(INDEX(Diccionario!$H:$H,MATCH(F1132,Diccionario!$C:$C,0)),"")</f>
        <v/>
      </c>
      <c r="N1120">
        <f>IFERROR(INDEX(Diccionario!$N:$N,MATCH(F1132,Diccionario!$C:$C,0)),"")</f>
        <v/>
      </c>
    </row>
    <row r="1121" ht="14.25" customHeight="1" s="52">
      <c r="A1121" t="inlineStr">
        <is>
          <t>2025-12</t>
        </is>
      </c>
      <c r="B1121" t="inlineStr">
        <is>
          <t>Colombia</t>
        </is>
      </c>
      <c r="C1121" t="inlineStr">
        <is>
          <t>Coco Colombia</t>
        </is>
      </c>
      <c r="D1121" t="inlineStr">
        <is>
          <t>COP</t>
        </is>
      </c>
      <c r="E1121" t="inlineStr">
        <is>
          <t>Real</t>
        </is>
      </c>
      <c r="F1121" t="inlineStr">
        <is>
          <t>contraction_mrr</t>
        </is>
      </c>
      <c r="I1121" t="n">
        <v>-63176870</v>
      </c>
      <c r="J1121" t="inlineStr">
        <is>
          <t>COP</t>
        </is>
      </c>
      <c r="L1121">
        <f>IFERROR(INDEX(Diccionario!$B:$B,MATCH(F1133,Diccionario!$C:$C,0)),"")</f>
        <v/>
      </c>
      <c r="M1121">
        <f>IFERROR(INDEX(Diccionario!$H:$H,MATCH(F1133,Diccionario!$C:$C,0)),"")</f>
        <v/>
      </c>
      <c r="N1121">
        <f>IFERROR(INDEX(Diccionario!$N:$N,MATCH(F1133,Diccionario!$C:$C,0)),"")</f>
        <v/>
      </c>
    </row>
    <row r="1122" ht="14.25" customHeight="1" s="52">
      <c r="A1122" t="inlineStr">
        <is>
          <t>2026-01</t>
        </is>
      </c>
      <c r="B1122" t="inlineStr">
        <is>
          <t>Colombia</t>
        </is>
      </c>
      <c r="C1122" t="inlineStr">
        <is>
          <t>Coco Colombia</t>
        </is>
      </c>
      <c r="D1122" t="inlineStr">
        <is>
          <t>COP</t>
        </is>
      </c>
      <c r="E1122" t="inlineStr">
        <is>
          <t>Real</t>
        </is>
      </c>
      <c r="F1122" t="inlineStr">
        <is>
          <t>contraction_mrr</t>
        </is>
      </c>
      <c r="I1122" t="n">
        <v>-37202034</v>
      </c>
      <c r="J1122" t="inlineStr">
        <is>
          <t>COP</t>
        </is>
      </c>
      <c r="L1122">
        <f>IFERROR(INDEX(Diccionario!$B:$B,MATCH(F1134,Diccionario!$C:$C,0)),"")</f>
        <v/>
      </c>
      <c r="M1122">
        <f>IFERROR(INDEX(Diccionario!$H:$H,MATCH(F1134,Diccionario!$C:$C,0)),"")</f>
        <v/>
      </c>
      <c r="N1122">
        <f>IFERROR(INDEX(Diccionario!$N:$N,MATCH(F1134,Diccionario!$C:$C,0)),"")</f>
        <v/>
      </c>
    </row>
    <row r="1123" ht="14.25" customHeight="1" s="52">
      <c r="A1123" t="inlineStr">
        <is>
          <t>2026-02</t>
        </is>
      </c>
      <c r="B1123" t="inlineStr">
        <is>
          <t>Colombia</t>
        </is>
      </c>
      <c r="C1123" t="inlineStr">
        <is>
          <t>Coco Colombia</t>
        </is>
      </c>
      <c r="D1123" t="inlineStr">
        <is>
          <t>COP</t>
        </is>
      </c>
      <c r="E1123" t="inlineStr">
        <is>
          <t>Real</t>
        </is>
      </c>
      <c r="F1123" t="inlineStr">
        <is>
          <t>contraction_mrr</t>
        </is>
      </c>
      <c r="I1123" t="n">
        <v>-11016136</v>
      </c>
      <c r="J1123" t="inlineStr">
        <is>
          <t>COP</t>
        </is>
      </c>
      <c r="L1123">
        <f>IFERROR(INDEX(Diccionario!$B:$B,MATCH(F1135,Diccionario!$C:$C,0)),"")</f>
        <v/>
      </c>
      <c r="M1123">
        <f>IFERROR(INDEX(Diccionario!$H:$H,MATCH(F1135,Diccionario!$C:$C,0)),"")</f>
        <v/>
      </c>
      <c r="N1123">
        <f>IFERROR(INDEX(Diccionario!$N:$N,MATCH(F1135,Diccionario!$C:$C,0)),"")</f>
        <v/>
      </c>
    </row>
    <row r="1124" ht="14.25" customHeight="1" s="52">
      <c r="A1124" t="inlineStr">
        <is>
          <t>2026-03</t>
        </is>
      </c>
      <c r="B1124" t="inlineStr">
        <is>
          <t>Colombia</t>
        </is>
      </c>
      <c r="C1124" t="inlineStr">
        <is>
          <t>Coco Colombia</t>
        </is>
      </c>
      <c r="D1124" t="inlineStr">
        <is>
          <t>COP</t>
        </is>
      </c>
      <c r="E1124" t="inlineStr">
        <is>
          <t>Real</t>
        </is>
      </c>
      <c r="F1124" t="inlineStr">
        <is>
          <t>contraction_mrr</t>
        </is>
      </c>
      <c r="I1124" t="n">
        <v>-25206134</v>
      </c>
      <c r="J1124" t="inlineStr">
        <is>
          <t>COP</t>
        </is>
      </c>
      <c r="L1124">
        <f>IFERROR(INDEX(Diccionario!$B:$B,MATCH(F1136,Diccionario!$C:$C,0)),"")</f>
        <v/>
      </c>
      <c r="M1124">
        <f>IFERROR(INDEX(Diccionario!$H:$H,MATCH(F1136,Diccionario!$C:$C,0)),"")</f>
        <v/>
      </c>
      <c r="N1124">
        <f>IFERROR(INDEX(Diccionario!$N:$N,MATCH(F1136,Diccionario!$C:$C,0)),"")</f>
        <v/>
      </c>
    </row>
    <row r="1125" ht="14.25" customHeight="1" s="52">
      <c r="A1125" t="inlineStr">
        <is>
          <t>2026-04</t>
        </is>
      </c>
      <c r="B1125" t="inlineStr">
        <is>
          <t>Colombia</t>
        </is>
      </c>
      <c r="C1125" t="inlineStr">
        <is>
          <t>Coco Colombia</t>
        </is>
      </c>
      <c r="D1125" t="inlineStr">
        <is>
          <t>COP</t>
        </is>
      </c>
      <c r="E1125" t="inlineStr">
        <is>
          <t>Real</t>
        </is>
      </c>
      <c r="F1125" t="inlineStr">
        <is>
          <t>contraction_mrr</t>
        </is>
      </c>
      <c r="I1125" t="n">
        <v>-17709872</v>
      </c>
      <c r="J1125" t="inlineStr">
        <is>
          <t>COP</t>
        </is>
      </c>
      <c r="L1125">
        <f>IFERROR(INDEX(Diccionario!$B:$B,MATCH(F1137,Diccionario!$C:$C,0)),"")</f>
        <v/>
      </c>
      <c r="M1125">
        <f>IFERROR(INDEX(Diccionario!$H:$H,MATCH(F1137,Diccionario!$C:$C,0)),"")</f>
        <v/>
      </c>
      <c r="N1125">
        <f>IFERROR(INDEX(Diccionario!$N:$N,MATCH(F1137,Diccionario!$C:$C,0)),"")</f>
        <v/>
      </c>
    </row>
    <row r="1126" ht="14.25" customHeight="1" s="52">
      <c r="A1126" t="inlineStr">
        <is>
          <t>2026-05</t>
        </is>
      </c>
      <c r="B1126" t="inlineStr">
        <is>
          <t>Colombia</t>
        </is>
      </c>
      <c r="C1126" t="inlineStr">
        <is>
          <t>Coco Colombia</t>
        </is>
      </c>
      <c r="D1126" t="inlineStr">
        <is>
          <t>COP</t>
        </is>
      </c>
      <c r="E1126" t="inlineStr">
        <is>
          <t>Real</t>
        </is>
      </c>
      <c r="F1126" t="inlineStr">
        <is>
          <t>contraction_mrr</t>
        </is>
      </c>
      <c r="I1126" t="n">
        <v>-43867662</v>
      </c>
      <c r="J1126" t="inlineStr">
        <is>
          <t>COP</t>
        </is>
      </c>
      <c r="L1126">
        <f>IFERROR(INDEX(Diccionario!$B:$B,MATCH(F1138,Diccionario!$C:$C,0)),"")</f>
        <v/>
      </c>
      <c r="M1126">
        <f>IFERROR(INDEX(Diccionario!$H:$H,MATCH(F1138,Diccionario!$C:$C,0)),"")</f>
        <v/>
      </c>
      <c r="N1126">
        <f>IFERROR(INDEX(Diccionario!$N:$N,MATCH(F1138,Diccionario!$C:$C,0)),"")</f>
        <v/>
      </c>
    </row>
    <row r="1127" ht="14.25" customHeight="1" s="52">
      <c r="A1127" t="inlineStr">
        <is>
          <t>2025-05</t>
        </is>
      </c>
      <c r="B1127" t="inlineStr">
        <is>
          <t>Colombia</t>
        </is>
      </c>
      <c r="C1127" t="inlineStr">
        <is>
          <t>Coco Colombia</t>
        </is>
      </c>
      <c r="D1127" t="inlineStr">
        <is>
          <t>COP</t>
        </is>
      </c>
      <c r="E1127" t="inlineStr">
        <is>
          <t>Real</t>
        </is>
      </c>
      <c r="F1127" t="inlineStr">
        <is>
          <t>churned_mrr</t>
        </is>
      </c>
      <c r="I1127" t="n">
        <v>-11304705</v>
      </c>
      <c r="J1127" t="inlineStr">
        <is>
          <t>COP</t>
        </is>
      </c>
      <c r="L1127">
        <f>IFERROR(INDEX(Diccionario!$B:$B,MATCH(F1139,Diccionario!$C:$C,0)),"")</f>
        <v/>
      </c>
      <c r="M1127">
        <f>IFERROR(INDEX(Diccionario!$H:$H,MATCH(F1139,Diccionario!$C:$C,0)),"")</f>
        <v/>
      </c>
      <c r="N1127">
        <f>IFERROR(INDEX(Diccionario!$N:$N,MATCH(F1139,Diccionario!$C:$C,0)),"")</f>
        <v/>
      </c>
    </row>
    <row r="1128" ht="14.25" customHeight="1" s="52">
      <c r="A1128" t="inlineStr">
        <is>
          <t>2025-06</t>
        </is>
      </c>
      <c r="B1128" t="inlineStr">
        <is>
          <t>Colombia</t>
        </is>
      </c>
      <c r="C1128" t="inlineStr">
        <is>
          <t>Coco Colombia</t>
        </is>
      </c>
      <c r="D1128" t="inlineStr">
        <is>
          <t>COP</t>
        </is>
      </c>
      <c r="E1128" t="inlineStr">
        <is>
          <t>Real</t>
        </is>
      </c>
      <c r="F1128" t="inlineStr">
        <is>
          <t>churned_mrr</t>
        </is>
      </c>
      <c r="I1128" t="n">
        <v>-7460000</v>
      </c>
      <c r="J1128" t="inlineStr">
        <is>
          <t>COP</t>
        </is>
      </c>
      <c r="L1128">
        <f>IFERROR(INDEX(Diccionario!$B:$B,MATCH(F1140,Diccionario!$C:$C,0)),"")</f>
        <v/>
      </c>
      <c r="M1128">
        <f>IFERROR(INDEX(Diccionario!$H:$H,MATCH(F1140,Diccionario!$C:$C,0)),"")</f>
        <v/>
      </c>
      <c r="N1128">
        <f>IFERROR(INDEX(Diccionario!$N:$N,MATCH(F1140,Diccionario!$C:$C,0)),"")</f>
        <v/>
      </c>
    </row>
    <row r="1129" ht="14.25" customHeight="1" s="52">
      <c r="A1129" t="inlineStr">
        <is>
          <t>2025-07</t>
        </is>
      </c>
      <c r="B1129" t="inlineStr">
        <is>
          <t>Colombia</t>
        </is>
      </c>
      <c r="C1129" t="inlineStr">
        <is>
          <t>Coco Colombia</t>
        </is>
      </c>
      <c r="D1129" t="inlineStr">
        <is>
          <t>COP</t>
        </is>
      </c>
      <c r="E1129" t="inlineStr">
        <is>
          <t>Real</t>
        </is>
      </c>
      <c r="F1129" t="inlineStr">
        <is>
          <t>churned_mrr</t>
        </is>
      </c>
      <c r="I1129" t="n">
        <v>0</v>
      </c>
      <c r="J1129" t="inlineStr">
        <is>
          <t>COP</t>
        </is>
      </c>
      <c r="L1129">
        <f>IFERROR(INDEX(Diccionario!$B:$B,MATCH(F1141,Diccionario!$C:$C,0)),"")</f>
        <v/>
      </c>
      <c r="M1129">
        <f>IFERROR(INDEX(Diccionario!$H:$H,MATCH(F1141,Diccionario!$C:$C,0)),"")</f>
        <v/>
      </c>
      <c r="N1129">
        <f>IFERROR(INDEX(Diccionario!$N:$N,MATCH(F1141,Diccionario!$C:$C,0)),"")</f>
        <v/>
      </c>
    </row>
    <row r="1130" ht="14.25" customHeight="1" s="52">
      <c r="A1130" t="inlineStr">
        <is>
          <t>2025-08</t>
        </is>
      </c>
      <c r="B1130" t="inlineStr">
        <is>
          <t>Colombia</t>
        </is>
      </c>
      <c r="C1130" t="inlineStr">
        <is>
          <t>Coco Colombia</t>
        </is>
      </c>
      <c r="D1130" t="inlineStr">
        <is>
          <t>COP</t>
        </is>
      </c>
      <c r="E1130" t="inlineStr">
        <is>
          <t>Real</t>
        </is>
      </c>
      <c r="F1130" t="inlineStr">
        <is>
          <t>churned_mrr</t>
        </is>
      </c>
      <c r="I1130" t="n">
        <v>-11465728</v>
      </c>
      <c r="J1130" t="inlineStr">
        <is>
          <t>COP</t>
        </is>
      </c>
      <c r="L1130">
        <f>IFERROR(INDEX(Diccionario!$B:$B,MATCH(F1142,Diccionario!$C:$C,0)),"")</f>
        <v/>
      </c>
      <c r="M1130">
        <f>IFERROR(INDEX(Diccionario!$H:$H,MATCH(F1142,Diccionario!$C:$C,0)),"")</f>
        <v/>
      </c>
      <c r="N1130">
        <f>IFERROR(INDEX(Diccionario!$N:$N,MATCH(F1142,Diccionario!$C:$C,0)),"")</f>
        <v/>
      </c>
    </row>
    <row r="1131" ht="14.25" customHeight="1" s="52">
      <c r="A1131" t="inlineStr">
        <is>
          <t>2025-09</t>
        </is>
      </c>
      <c r="B1131" t="inlineStr">
        <is>
          <t>Colombia</t>
        </is>
      </c>
      <c r="C1131" t="inlineStr">
        <is>
          <t>Coco Colombia</t>
        </is>
      </c>
      <c r="D1131" t="inlineStr">
        <is>
          <t>COP</t>
        </is>
      </c>
      <c r="E1131" t="inlineStr">
        <is>
          <t>Real</t>
        </is>
      </c>
      <c r="F1131" t="inlineStr">
        <is>
          <t>churned_mrr</t>
        </is>
      </c>
      <c r="I1131" t="n">
        <v>-1414500</v>
      </c>
      <c r="J1131" t="inlineStr">
        <is>
          <t>COP</t>
        </is>
      </c>
      <c r="L1131">
        <f>IFERROR(INDEX(Diccionario!$B:$B,MATCH(F1143,Diccionario!$C:$C,0)),"")</f>
        <v/>
      </c>
      <c r="M1131">
        <f>IFERROR(INDEX(Diccionario!$H:$H,MATCH(F1143,Diccionario!$C:$C,0)),"")</f>
        <v/>
      </c>
      <c r="N1131">
        <f>IFERROR(INDEX(Diccionario!$N:$N,MATCH(F1143,Diccionario!$C:$C,0)),"")</f>
        <v/>
      </c>
    </row>
    <row r="1132" ht="14.25" customHeight="1" s="52">
      <c r="A1132" t="inlineStr">
        <is>
          <t>2025-10</t>
        </is>
      </c>
      <c r="B1132" t="inlineStr">
        <is>
          <t>Colombia</t>
        </is>
      </c>
      <c r="C1132" t="inlineStr">
        <is>
          <t>Coco Colombia</t>
        </is>
      </c>
      <c r="D1132" t="inlineStr">
        <is>
          <t>COP</t>
        </is>
      </c>
      <c r="E1132" t="inlineStr">
        <is>
          <t>Real</t>
        </is>
      </c>
      <c r="F1132" t="inlineStr">
        <is>
          <t>churned_mrr</t>
        </is>
      </c>
      <c r="I1132" t="n">
        <v>-906843</v>
      </c>
      <c r="J1132" t="inlineStr">
        <is>
          <t>COP</t>
        </is>
      </c>
      <c r="L1132">
        <f>IFERROR(INDEX(Diccionario!$B:$B,MATCH(F1144,Diccionario!$C:$C,0)),"")</f>
        <v/>
      </c>
      <c r="M1132">
        <f>IFERROR(INDEX(Diccionario!$H:$H,MATCH(F1144,Diccionario!$C:$C,0)),"")</f>
        <v/>
      </c>
      <c r="N1132">
        <f>IFERROR(INDEX(Diccionario!$N:$N,MATCH(F1144,Diccionario!$C:$C,0)),"")</f>
        <v/>
      </c>
    </row>
    <row r="1133" ht="14.25" customHeight="1" s="52">
      <c r="A1133" t="inlineStr">
        <is>
          <t>2025-11</t>
        </is>
      </c>
      <c r="B1133" t="inlineStr">
        <is>
          <t>Colombia</t>
        </is>
      </c>
      <c r="C1133" t="inlineStr">
        <is>
          <t>Coco Colombia</t>
        </is>
      </c>
      <c r="D1133" t="inlineStr">
        <is>
          <t>COP</t>
        </is>
      </c>
      <c r="E1133" t="inlineStr">
        <is>
          <t>Real</t>
        </is>
      </c>
      <c r="F1133" t="inlineStr">
        <is>
          <t>churned_mrr</t>
        </is>
      </c>
      <c r="I1133" t="n">
        <v>-5800000</v>
      </c>
      <c r="J1133" t="inlineStr">
        <is>
          <t>COP</t>
        </is>
      </c>
      <c r="L1133">
        <f>IFERROR(INDEX(Diccionario!$B:$B,MATCH(F1145,Diccionario!$C:$C,0)),"")</f>
        <v/>
      </c>
      <c r="M1133">
        <f>IFERROR(INDEX(Diccionario!$H:$H,MATCH(F1145,Diccionario!$C:$C,0)),"")</f>
        <v/>
      </c>
      <c r="N1133">
        <f>IFERROR(INDEX(Diccionario!$N:$N,MATCH(F1145,Diccionario!$C:$C,0)),"")</f>
        <v/>
      </c>
    </row>
    <row r="1134" ht="14.25" customHeight="1" s="52">
      <c r="A1134" t="inlineStr">
        <is>
          <t>2025-12</t>
        </is>
      </c>
      <c r="B1134" t="inlineStr">
        <is>
          <t>Colombia</t>
        </is>
      </c>
      <c r="C1134" t="inlineStr">
        <is>
          <t>Coco Colombia</t>
        </is>
      </c>
      <c r="D1134" t="inlineStr">
        <is>
          <t>COP</t>
        </is>
      </c>
      <c r="E1134" t="inlineStr">
        <is>
          <t>Real</t>
        </is>
      </c>
      <c r="F1134" t="inlineStr">
        <is>
          <t>churned_mrr</t>
        </is>
      </c>
      <c r="I1134" t="n">
        <v>-1685823</v>
      </c>
      <c r="J1134" t="inlineStr">
        <is>
          <t>COP</t>
        </is>
      </c>
      <c r="L1134">
        <f>IFERROR(INDEX(Diccionario!$B:$B,MATCH(F1146,Diccionario!$C:$C,0)),"")</f>
        <v/>
      </c>
      <c r="M1134">
        <f>IFERROR(INDEX(Diccionario!$H:$H,MATCH(F1146,Diccionario!$C:$C,0)),"")</f>
        <v/>
      </c>
      <c r="N1134">
        <f>IFERROR(INDEX(Diccionario!$N:$N,MATCH(F1146,Diccionario!$C:$C,0)),"")</f>
        <v/>
      </c>
    </row>
    <row r="1135" ht="14.25" customHeight="1" s="52">
      <c r="A1135" t="inlineStr">
        <is>
          <t>2026-01</t>
        </is>
      </c>
      <c r="B1135" t="inlineStr">
        <is>
          <t>Colombia</t>
        </is>
      </c>
      <c r="C1135" t="inlineStr">
        <is>
          <t>Coco Colombia</t>
        </is>
      </c>
      <c r="D1135" t="inlineStr">
        <is>
          <t>COP</t>
        </is>
      </c>
      <c r="E1135" t="inlineStr">
        <is>
          <t>Real</t>
        </is>
      </c>
      <c r="F1135" t="inlineStr">
        <is>
          <t>churned_mrr</t>
        </is>
      </c>
      <c r="I1135" t="n">
        <v>-35983665</v>
      </c>
      <c r="J1135" t="inlineStr">
        <is>
          <t>COP</t>
        </is>
      </c>
      <c r="L1135">
        <f>IFERROR(INDEX(Diccionario!$B:$B,MATCH(F1147,Diccionario!$C:$C,0)),"")</f>
        <v/>
      </c>
      <c r="M1135">
        <f>IFERROR(INDEX(Diccionario!$H:$H,MATCH(F1147,Diccionario!$C:$C,0)),"")</f>
        <v/>
      </c>
      <c r="N1135">
        <f>IFERROR(INDEX(Diccionario!$N:$N,MATCH(F1147,Diccionario!$C:$C,0)),"")</f>
        <v/>
      </c>
    </row>
    <row r="1136" ht="14.25" customHeight="1" s="52">
      <c r="A1136" t="inlineStr">
        <is>
          <t>2026-02</t>
        </is>
      </c>
      <c r="B1136" t="inlineStr">
        <is>
          <t>Colombia</t>
        </is>
      </c>
      <c r="C1136" t="inlineStr">
        <is>
          <t>Coco Colombia</t>
        </is>
      </c>
      <c r="D1136" t="inlineStr">
        <is>
          <t>COP</t>
        </is>
      </c>
      <c r="E1136" t="inlineStr">
        <is>
          <t>Real</t>
        </is>
      </c>
      <c r="F1136" t="inlineStr">
        <is>
          <t>churned_mrr</t>
        </is>
      </c>
      <c r="I1136" t="n">
        <v>-9736599</v>
      </c>
      <c r="J1136" t="inlineStr">
        <is>
          <t>COP</t>
        </is>
      </c>
      <c r="L1136">
        <f>IFERROR(INDEX(Diccionario!$B:$B,MATCH(F1148,Diccionario!$C:$C,0)),"")</f>
        <v/>
      </c>
      <c r="M1136">
        <f>IFERROR(INDEX(Diccionario!$H:$H,MATCH(F1148,Diccionario!$C:$C,0)),"")</f>
        <v/>
      </c>
      <c r="N1136">
        <f>IFERROR(INDEX(Diccionario!$N:$N,MATCH(F1148,Diccionario!$C:$C,0)),"")</f>
        <v/>
      </c>
    </row>
    <row r="1137" ht="14.25" customHeight="1" s="52">
      <c r="A1137" t="inlineStr">
        <is>
          <t>2026-03</t>
        </is>
      </c>
      <c r="B1137" t="inlineStr">
        <is>
          <t>Colombia</t>
        </is>
      </c>
      <c r="C1137" t="inlineStr">
        <is>
          <t>Coco Colombia</t>
        </is>
      </c>
      <c r="D1137" t="inlineStr">
        <is>
          <t>COP</t>
        </is>
      </c>
      <c r="E1137" t="inlineStr">
        <is>
          <t>Real</t>
        </is>
      </c>
      <c r="F1137" t="inlineStr">
        <is>
          <t>churned_mrr</t>
        </is>
      </c>
      <c r="I1137" t="n">
        <v>-11358174</v>
      </c>
      <c r="J1137" t="inlineStr">
        <is>
          <t>COP</t>
        </is>
      </c>
      <c r="L1137">
        <f>IFERROR(INDEX(Diccionario!$B:$B,MATCH(F1149,Diccionario!$C:$C,0)),"")</f>
        <v/>
      </c>
      <c r="M1137">
        <f>IFERROR(INDEX(Diccionario!$H:$H,MATCH(F1149,Diccionario!$C:$C,0)),"")</f>
        <v/>
      </c>
      <c r="N1137">
        <f>IFERROR(INDEX(Diccionario!$N:$N,MATCH(F1149,Diccionario!$C:$C,0)),"")</f>
        <v/>
      </c>
    </row>
    <row r="1138" ht="14.25" customHeight="1" s="52">
      <c r="A1138" t="inlineStr">
        <is>
          <t>2026-04</t>
        </is>
      </c>
      <c r="B1138" t="inlineStr">
        <is>
          <t>Colombia</t>
        </is>
      </c>
      <c r="C1138" t="inlineStr">
        <is>
          <t>Coco Colombia</t>
        </is>
      </c>
      <c r="D1138" t="inlineStr">
        <is>
          <t>COP</t>
        </is>
      </c>
      <c r="E1138" t="inlineStr">
        <is>
          <t>Real</t>
        </is>
      </c>
      <c r="F1138" t="inlineStr">
        <is>
          <t>churned_mrr</t>
        </is>
      </c>
      <c r="I1138" t="n">
        <v>-1358174</v>
      </c>
      <c r="J1138" t="inlineStr">
        <is>
          <t>COP</t>
        </is>
      </c>
      <c r="L1138">
        <f>IFERROR(INDEX(Diccionario!$B:$B,MATCH(F1150,Diccionario!$C:$C,0)),"")</f>
        <v/>
      </c>
      <c r="M1138">
        <f>IFERROR(INDEX(Diccionario!$H:$H,MATCH(F1150,Diccionario!$C:$C,0)),"")</f>
        <v/>
      </c>
      <c r="N1138">
        <f>IFERROR(INDEX(Diccionario!$N:$N,MATCH(F1150,Diccionario!$C:$C,0)),"")</f>
        <v/>
      </c>
    </row>
    <row r="1139" ht="14.25" customHeight="1" s="52">
      <c r="A1139" t="inlineStr">
        <is>
          <t>2026-05</t>
        </is>
      </c>
      <c r="B1139" t="inlineStr">
        <is>
          <t>Colombia</t>
        </is>
      </c>
      <c r="C1139" t="inlineStr">
        <is>
          <t>Coco Colombia</t>
        </is>
      </c>
      <c r="D1139" t="inlineStr">
        <is>
          <t>COP</t>
        </is>
      </c>
      <c r="E1139" t="inlineStr">
        <is>
          <t>Real</t>
        </is>
      </c>
      <c r="F1139" t="inlineStr">
        <is>
          <t>churned_mrr</t>
        </is>
      </c>
      <c r="I1139" t="n">
        <v>0</v>
      </c>
      <c r="J1139" t="inlineStr">
        <is>
          <t>COP</t>
        </is>
      </c>
      <c r="L1139">
        <f>IFERROR(INDEX(Diccionario!$B:$B,MATCH(F1151,Diccionario!$C:$C,0)),"")</f>
        <v/>
      </c>
      <c r="M1139">
        <f>IFERROR(INDEX(Diccionario!$H:$H,MATCH(F1151,Diccionario!$C:$C,0)),"")</f>
        <v/>
      </c>
      <c r="N1139">
        <f>IFERROR(INDEX(Diccionario!$N:$N,MATCH(F1151,Diccionario!$C:$C,0)),"")</f>
        <v/>
      </c>
    </row>
    <row r="1140" ht="14.25" customHeight="1" s="52">
      <c r="A1140" t="inlineStr">
        <is>
          <t>2025-05</t>
        </is>
      </c>
      <c r="B1140" t="inlineStr">
        <is>
          <t>Colombia</t>
        </is>
      </c>
      <c r="C1140" t="inlineStr">
        <is>
          <t>Coco Colombia</t>
        </is>
      </c>
      <c r="D1140" t="inlineStr">
        <is>
          <t>COP</t>
        </is>
      </c>
      <c r="E1140" t="inlineStr">
        <is>
          <t>Real</t>
        </is>
      </c>
      <c r="F1140" t="inlineStr">
        <is>
          <t>mrr_final</t>
        </is>
      </c>
      <c r="I1140" t="n">
        <v>780829403</v>
      </c>
      <c r="J1140" t="inlineStr">
        <is>
          <t>COP</t>
        </is>
      </c>
      <c r="L1140">
        <f>IFERROR(INDEX(Diccionario!$B:$B,MATCH(F1152,Diccionario!$C:$C,0)),"")</f>
        <v/>
      </c>
      <c r="M1140">
        <f>IFERROR(INDEX(Diccionario!$H:$H,MATCH(F1152,Diccionario!$C:$C,0)),"")</f>
        <v/>
      </c>
      <c r="N1140">
        <f>IFERROR(INDEX(Diccionario!$N:$N,MATCH(F1152,Diccionario!$C:$C,0)),"")</f>
        <v/>
      </c>
    </row>
    <row r="1141" ht="14.25" customHeight="1" s="52">
      <c r="A1141" t="inlineStr">
        <is>
          <t>2025-06</t>
        </is>
      </c>
      <c r="B1141" t="inlineStr">
        <is>
          <t>Colombia</t>
        </is>
      </c>
      <c r="C1141" t="inlineStr">
        <is>
          <t>Coco Colombia</t>
        </is>
      </c>
      <c r="D1141" t="inlineStr">
        <is>
          <t>COP</t>
        </is>
      </c>
      <c r="E1141" t="inlineStr">
        <is>
          <t>Real</t>
        </is>
      </c>
      <c r="F1141" t="inlineStr">
        <is>
          <t>mrr_final</t>
        </is>
      </c>
      <c r="I1141" t="n">
        <v>689843197</v>
      </c>
      <c r="J1141" t="inlineStr">
        <is>
          <t>COP</t>
        </is>
      </c>
      <c r="L1141">
        <f>IFERROR(INDEX(Diccionario!$B:$B,MATCH(F1153,Diccionario!$C:$C,0)),"")</f>
        <v/>
      </c>
      <c r="M1141">
        <f>IFERROR(INDEX(Diccionario!$H:$H,MATCH(F1153,Diccionario!$C:$C,0)),"")</f>
        <v/>
      </c>
      <c r="N1141">
        <f>IFERROR(INDEX(Diccionario!$N:$N,MATCH(F1153,Diccionario!$C:$C,0)),"")</f>
        <v/>
      </c>
    </row>
    <row r="1142" ht="14.25" customHeight="1" s="52">
      <c r="A1142" t="inlineStr">
        <is>
          <t>2025-07</t>
        </is>
      </c>
      <c r="B1142" t="inlineStr">
        <is>
          <t>Colombia</t>
        </is>
      </c>
      <c r="C1142" t="inlineStr">
        <is>
          <t>Coco Colombia</t>
        </is>
      </c>
      <c r="D1142" t="inlineStr">
        <is>
          <t>COP</t>
        </is>
      </c>
      <c r="E1142" t="inlineStr">
        <is>
          <t>Real</t>
        </is>
      </c>
      <c r="F1142" t="inlineStr">
        <is>
          <t>mrr_final</t>
        </is>
      </c>
      <c r="I1142" t="n">
        <v>698445595</v>
      </c>
      <c r="J1142" t="inlineStr">
        <is>
          <t>COP</t>
        </is>
      </c>
      <c r="L1142">
        <f>IFERROR(INDEX(Diccionario!$B:$B,MATCH(F1154,Diccionario!$C:$C,0)),"")</f>
        <v/>
      </c>
      <c r="M1142">
        <f>IFERROR(INDEX(Diccionario!$H:$H,MATCH(F1154,Diccionario!$C:$C,0)),"")</f>
        <v/>
      </c>
      <c r="N1142">
        <f>IFERROR(INDEX(Diccionario!$N:$N,MATCH(F1154,Diccionario!$C:$C,0)),"")</f>
        <v/>
      </c>
    </row>
    <row r="1143" ht="14.25" customHeight="1" s="52">
      <c r="A1143" t="inlineStr">
        <is>
          <t>2025-08</t>
        </is>
      </c>
      <c r="B1143" t="inlineStr">
        <is>
          <t>Colombia</t>
        </is>
      </c>
      <c r="C1143" t="inlineStr">
        <is>
          <t>Coco Colombia</t>
        </is>
      </c>
      <c r="D1143" t="inlineStr">
        <is>
          <t>COP</t>
        </is>
      </c>
      <c r="E1143" t="inlineStr">
        <is>
          <t>Real</t>
        </is>
      </c>
      <c r="F1143" t="inlineStr">
        <is>
          <t>mrr_final</t>
        </is>
      </c>
      <c r="I1143" t="n">
        <v>685729356</v>
      </c>
      <c r="J1143" t="inlineStr">
        <is>
          <t>COP</t>
        </is>
      </c>
      <c r="L1143">
        <f>IFERROR(INDEX(Diccionario!$B:$B,MATCH(F1155,Diccionario!$C:$C,0)),"")</f>
        <v/>
      </c>
      <c r="M1143">
        <f>IFERROR(INDEX(Diccionario!$H:$H,MATCH(F1155,Diccionario!$C:$C,0)),"")</f>
        <v/>
      </c>
      <c r="N1143">
        <f>IFERROR(INDEX(Diccionario!$N:$N,MATCH(F1155,Diccionario!$C:$C,0)),"")</f>
        <v/>
      </c>
    </row>
    <row r="1144" ht="14.25" customHeight="1" s="52">
      <c r="A1144" t="inlineStr">
        <is>
          <t>2025-09</t>
        </is>
      </c>
      <c r="B1144" t="inlineStr">
        <is>
          <t>Colombia</t>
        </is>
      </c>
      <c r="C1144" t="inlineStr">
        <is>
          <t>Coco Colombia</t>
        </is>
      </c>
      <c r="D1144" t="inlineStr">
        <is>
          <t>COP</t>
        </is>
      </c>
      <c r="E1144" t="inlineStr">
        <is>
          <t>Real</t>
        </is>
      </c>
      <c r="F1144" t="inlineStr">
        <is>
          <t>mrr_final</t>
        </is>
      </c>
      <c r="I1144" t="n">
        <v>686599972</v>
      </c>
      <c r="J1144" t="inlineStr">
        <is>
          <t>COP</t>
        </is>
      </c>
      <c r="L1144">
        <f>IFERROR(INDEX(Diccionario!$B:$B,MATCH(F1156,Diccionario!$C:$C,0)),"")</f>
        <v/>
      </c>
      <c r="M1144">
        <f>IFERROR(INDEX(Diccionario!$H:$H,MATCH(F1156,Diccionario!$C:$C,0)),"")</f>
        <v/>
      </c>
      <c r="N1144">
        <f>IFERROR(INDEX(Diccionario!$N:$N,MATCH(F1156,Diccionario!$C:$C,0)),"")</f>
        <v/>
      </c>
    </row>
    <row r="1145" ht="14.25" customHeight="1" s="52">
      <c r="A1145" t="inlineStr">
        <is>
          <t>2025-10</t>
        </is>
      </c>
      <c r="B1145" t="inlineStr">
        <is>
          <t>Colombia</t>
        </is>
      </c>
      <c r="C1145" t="inlineStr">
        <is>
          <t>Coco Colombia</t>
        </is>
      </c>
      <c r="D1145" t="inlineStr">
        <is>
          <t>COP</t>
        </is>
      </c>
      <c r="E1145" t="inlineStr">
        <is>
          <t>Real</t>
        </is>
      </c>
      <c r="F1145" t="inlineStr">
        <is>
          <t>mrr_final</t>
        </is>
      </c>
      <c r="I1145" t="n">
        <v>663435516</v>
      </c>
      <c r="J1145" t="inlineStr">
        <is>
          <t>COP</t>
        </is>
      </c>
      <c r="L1145">
        <f>IFERROR(INDEX(Diccionario!$B:$B,MATCH(F1157,Diccionario!$C:$C,0)),"")</f>
        <v/>
      </c>
      <c r="M1145">
        <f>IFERROR(INDEX(Diccionario!$H:$H,MATCH(F1157,Diccionario!$C:$C,0)),"")</f>
        <v/>
      </c>
      <c r="N1145">
        <f>IFERROR(INDEX(Diccionario!$N:$N,MATCH(F1157,Diccionario!$C:$C,0)),"")</f>
        <v/>
      </c>
    </row>
    <row r="1146" ht="14.25" customHeight="1" s="52">
      <c r="A1146" t="inlineStr">
        <is>
          <t>2025-11</t>
        </is>
      </c>
      <c r="B1146" t="inlineStr">
        <is>
          <t>Colombia</t>
        </is>
      </c>
      <c r="C1146" t="inlineStr">
        <is>
          <t>Coco Colombia</t>
        </is>
      </c>
      <c r="D1146" t="inlineStr">
        <is>
          <t>COP</t>
        </is>
      </c>
      <c r="E1146" t="inlineStr">
        <is>
          <t>Real</t>
        </is>
      </c>
      <c r="F1146" t="inlineStr">
        <is>
          <t>mrr_final</t>
        </is>
      </c>
      <c r="I1146" t="n">
        <v>682507167</v>
      </c>
      <c r="J1146" t="inlineStr">
        <is>
          <t>COP</t>
        </is>
      </c>
      <c r="L1146">
        <f>IFERROR(INDEX(Diccionario!$B:$B,MATCH(F1158,Diccionario!$C:$C,0)),"")</f>
        <v/>
      </c>
      <c r="M1146">
        <f>IFERROR(INDEX(Diccionario!$H:$H,MATCH(F1158,Diccionario!$C:$C,0)),"")</f>
        <v/>
      </c>
      <c r="N1146">
        <f>IFERROR(INDEX(Diccionario!$N:$N,MATCH(F1158,Diccionario!$C:$C,0)),"")</f>
        <v/>
      </c>
    </row>
    <row r="1147" ht="14.25" customHeight="1" s="52">
      <c r="A1147" t="inlineStr">
        <is>
          <t>2025-12</t>
        </is>
      </c>
      <c r="B1147" t="inlineStr">
        <is>
          <t>Colombia</t>
        </is>
      </c>
      <c r="C1147" t="inlineStr">
        <is>
          <t>Coco Colombia</t>
        </is>
      </c>
      <c r="D1147" t="inlineStr">
        <is>
          <t>COP</t>
        </is>
      </c>
      <c r="E1147" t="inlineStr">
        <is>
          <t>Real</t>
        </is>
      </c>
      <c r="F1147" t="inlineStr">
        <is>
          <t>mrr_final</t>
        </is>
      </c>
      <c r="I1147" t="n">
        <v>662313152</v>
      </c>
      <c r="J1147" t="inlineStr">
        <is>
          <t>COP</t>
        </is>
      </c>
      <c r="L1147">
        <f>IFERROR(INDEX(Diccionario!$B:$B,MATCH(F1159,Diccionario!$C:$C,0)),"")</f>
        <v/>
      </c>
      <c r="M1147">
        <f>IFERROR(INDEX(Diccionario!$H:$H,MATCH(F1159,Diccionario!$C:$C,0)),"")</f>
        <v/>
      </c>
      <c r="N1147">
        <f>IFERROR(INDEX(Diccionario!$N:$N,MATCH(F1159,Diccionario!$C:$C,0)),"")</f>
        <v/>
      </c>
    </row>
    <row r="1148" ht="14.25" customHeight="1" s="52">
      <c r="A1148" t="inlineStr">
        <is>
          <t>2026-01</t>
        </is>
      </c>
      <c r="B1148" t="inlineStr">
        <is>
          <t>Colombia</t>
        </is>
      </c>
      <c r="C1148" t="inlineStr">
        <is>
          <t>Coco Colombia</t>
        </is>
      </c>
      <c r="D1148" t="inlineStr">
        <is>
          <t>COP</t>
        </is>
      </c>
      <c r="E1148" t="inlineStr">
        <is>
          <t>Real</t>
        </is>
      </c>
      <c r="F1148" t="inlineStr">
        <is>
          <t>mrr_final</t>
        </is>
      </c>
      <c r="I1148" t="n">
        <v>592860893.2</v>
      </c>
      <c r="J1148" t="inlineStr">
        <is>
          <t>COP</t>
        </is>
      </c>
      <c r="K1148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L1148">
        <f>IFERROR(INDEX(Diccionario!$B:$B,MATCH(F1160,Diccionario!$C:$C,0)),"")</f>
        <v/>
      </c>
      <c r="M1148">
        <f>IFERROR(INDEX(Diccionario!$H:$H,MATCH(F1160,Diccionario!$C:$C,0)),"")</f>
        <v/>
      </c>
      <c r="N1148">
        <f>IFERROR(INDEX(Diccionario!$N:$N,MATCH(F1160,Diccionario!$C:$C,0)),"")</f>
        <v/>
      </c>
    </row>
    <row r="1149" ht="14.25" customHeight="1" s="52">
      <c r="A1149" t="inlineStr">
        <is>
          <t>2026-02</t>
        </is>
      </c>
      <c r="B1149" t="inlineStr">
        <is>
          <t>Colombia</t>
        </is>
      </c>
      <c r="C1149" t="inlineStr">
        <is>
          <t>Coco Colombia</t>
        </is>
      </c>
      <c r="D1149" t="inlineStr">
        <is>
          <t>COP</t>
        </is>
      </c>
      <c r="E1149" t="inlineStr">
        <is>
          <t>Real</t>
        </is>
      </c>
      <c r="F1149" t="inlineStr">
        <is>
          <t>mrr_final</t>
        </is>
      </c>
      <c r="I1149" t="n">
        <v>695884029.36</v>
      </c>
      <c r="J1149" t="inlineStr">
        <is>
          <t>COP</t>
        </is>
      </c>
      <c r="K1149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L1149">
        <f>IFERROR(INDEX(Diccionario!$B:$B,MATCH(F1161,Diccionario!$C:$C,0)),"")</f>
        <v/>
      </c>
      <c r="M1149">
        <f>IFERROR(INDEX(Diccionario!$H:$H,MATCH(F1161,Diccionario!$C:$C,0)),"")</f>
        <v/>
      </c>
      <c r="N1149">
        <f>IFERROR(INDEX(Diccionario!$N:$N,MATCH(F1161,Diccionario!$C:$C,0)),"")</f>
        <v/>
      </c>
    </row>
    <row r="1150" ht="14.25" customHeight="1" s="52">
      <c r="A1150" t="inlineStr">
        <is>
          <t>2026-03</t>
        </is>
      </c>
      <c r="B1150" t="inlineStr">
        <is>
          <t>Colombia</t>
        </is>
      </c>
      <c r="C1150" t="inlineStr">
        <is>
          <t>Coco Colombia</t>
        </is>
      </c>
      <c r="D1150" t="inlineStr">
        <is>
          <t>COP</t>
        </is>
      </c>
      <c r="E1150" t="inlineStr">
        <is>
          <t>Real</t>
        </is>
      </c>
      <c r="F1150" t="inlineStr">
        <is>
          <t>mrr_final</t>
        </is>
      </c>
      <c r="I1150" t="n">
        <v>734076969.85</v>
      </c>
      <c r="J1150" t="inlineStr">
        <is>
          <t>COP</t>
        </is>
      </c>
      <c r="K1150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L1150">
        <f>IFERROR(INDEX(Diccionario!$B:$B,MATCH(F1162,Diccionario!$C:$C,0)),"")</f>
        <v/>
      </c>
      <c r="M1150">
        <f>IFERROR(INDEX(Diccionario!$H:$H,MATCH(F1162,Diccionario!$C:$C,0)),"")</f>
        <v/>
      </c>
      <c r="N1150">
        <f>IFERROR(INDEX(Diccionario!$N:$N,MATCH(F1162,Diccionario!$C:$C,0)),"")</f>
        <v/>
      </c>
    </row>
    <row r="1151" ht="14.25" customHeight="1" s="52">
      <c r="A1151" t="inlineStr">
        <is>
          <t>2026-04</t>
        </is>
      </c>
      <c r="B1151" t="inlineStr">
        <is>
          <t>Colombia</t>
        </is>
      </c>
      <c r="C1151" t="inlineStr">
        <is>
          <t>Coco Colombia</t>
        </is>
      </c>
      <c r="D1151" t="inlineStr">
        <is>
          <t>COP</t>
        </is>
      </c>
      <c r="E1151" t="inlineStr">
        <is>
          <t>Real</t>
        </is>
      </c>
      <c r="F1151" t="inlineStr">
        <is>
          <t>mrr_final</t>
        </is>
      </c>
      <c r="I1151" t="n">
        <v>754046327.5</v>
      </c>
      <c r="J1151" t="inlineStr">
        <is>
          <t>COP</t>
        </is>
      </c>
      <c r="K1151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L1151">
        <f>IFERROR(INDEX(Diccionario!$B:$B,MATCH(F1163,Diccionario!$C:$C,0)),"")</f>
        <v/>
      </c>
      <c r="M1151">
        <f>IFERROR(INDEX(Diccionario!$H:$H,MATCH(F1163,Diccionario!$C:$C,0)),"")</f>
        <v/>
      </c>
      <c r="N1151">
        <f>IFERROR(INDEX(Diccionario!$N:$N,MATCH(F1163,Diccionario!$C:$C,0)),"")</f>
        <v/>
      </c>
    </row>
    <row r="1152" ht="14.25" customHeight="1" s="52">
      <c r="A1152" t="inlineStr">
        <is>
          <t>2026-05</t>
        </is>
      </c>
      <c r="B1152" t="inlineStr">
        <is>
          <t>Colombia</t>
        </is>
      </c>
      <c r="C1152" t="inlineStr">
        <is>
          <t>Coco Colombia</t>
        </is>
      </c>
      <c r="D1152" t="inlineStr">
        <is>
          <t>COP</t>
        </is>
      </c>
      <c r="E1152" t="inlineStr">
        <is>
          <t>Real</t>
        </is>
      </c>
      <c r="F1152" t="inlineStr">
        <is>
          <t>mrr_final</t>
        </is>
      </c>
      <c r="I1152" t="n">
        <v>774122622.75</v>
      </c>
      <c r="J1152" t="inlineStr">
        <is>
          <t>COP</t>
        </is>
      </c>
      <c r="K1152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L1152">
        <f>IFERROR(INDEX(Diccionario!$B:$B,MATCH(F1164,Diccionario!$C:$C,0)),"")</f>
        <v/>
      </c>
      <c r="M1152">
        <f>IFERROR(INDEX(Diccionario!$H:$H,MATCH(F1164,Diccionario!$C:$C,0)),"")</f>
        <v/>
      </c>
      <c r="N1152">
        <f>IFERROR(INDEX(Diccionario!$N:$N,MATCH(F1164,Diccionario!$C:$C,0)),"")</f>
        <v/>
      </c>
    </row>
    <row r="1153" ht="14.25" customHeight="1" s="52">
      <c r="A1153" t="inlineStr">
        <is>
          <t>2026-03</t>
        </is>
      </c>
      <c r="B1153" t="inlineStr">
        <is>
          <t>Colombia</t>
        </is>
      </c>
      <c r="C1153" t="inlineStr">
        <is>
          <t>Coco Colombia</t>
        </is>
      </c>
      <c r="E1153" t="inlineStr">
        <is>
          <t>Real</t>
        </is>
      </c>
      <c r="F1153" t="inlineStr">
        <is>
          <t>nps</t>
        </is>
      </c>
      <c r="H1153" t="inlineStr">
        <is>
          <t>Promotores</t>
        </is>
      </c>
      <c r="I1153" t="n">
        <v>78.59999999999999</v>
      </c>
      <c r="J1153" t="inlineStr">
        <is>
          <t>%</t>
        </is>
      </c>
      <c r="L1153">
        <f>IFERROR(INDEX(Diccionario!$B:$B,MATCH(F1165,Diccionario!$C:$C,0)),"")</f>
        <v/>
      </c>
      <c r="M1153">
        <f>IFERROR(INDEX(Diccionario!$H:$H,MATCH(F1165,Diccionario!$C:$C,0)),"")</f>
        <v/>
      </c>
      <c r="N1153">
        <f>IFERROR(INDEX(Diccionario!$N:$N,MATCH(F1165,Diccionario!$C:$C,0)),"")</f>
        <v/>
      </c>
    </row>
    <row r="1154" ht="14.25" customHeight="1" s="52">
      <c r="A1154" t="inlineStr">
        <is>
          <t>2026-04</t>
        </is>
      </c>
      <c r="B1154" t="inlineStr">
        <is>
          <t>Colombia</t>
        </is>
      </c>
      <c r="C1154" t="inlineStr">
        <is>
          <t>Coco Colombia</t>
        </is>
      </c>
      <c r="E1154" t="inlineStr">
        <is>
          <t>Real</t>
        </is>
      </c>
      <c r="F1154" t="inlineStr">
        <is>
          <t>nps</t>
        </is>
      </c>
      <c r="H1154" t="inlineStr">
        <is>
          <t>Promotores</t>
        </is>
      </c>
      <c r="I1154" t="n">
        <v>100</v>
      </c>
      <c r="J1154" t="inlineStr">
        <is>
          <t>%</t>
        </is>
      </c>
      <c r="L1154">
        <f>IFERROR(INDEX(Diccionario!$B:$B,MATCH(F1166,Diccionario!$C:$C,0)),"")</f>
        <v/>
      </c>
      <c r="M1154">
        <f>IFERROR(INDEX(Diccionario!$H:$H,MATCH(F1166,Diccionario!$C:$C,0)),"")</f>
        <v/>
      </c>
      <c r="N1154">
        <f>IFERROR(INDEX(Diccionario!$N:$N,MATCH(F1166,Diccionario!$C:$C,0)),"")</f>
        <v/>
      </c>
    </row>
    <row r="1155" ht="14.25" customHeight="1" s="52">
      <c r="A1155" t="inlineStr">
        <is>
          <t>2026-05</t>
        </is>
      </c>
      <c r="B1155" t="inlineStr">
        <is>
          <t>Colombia</t>
        </is>
      </c>
      <c r="C1155" t="inlineStr">
        <is>
          <t>Coco Colombia</t>
        </is>
      </c>
      <c r="E1155" t="inlineStr">
        <is>
          <t>Real</t>
        </is>
      </c>
      <c r="F1155" t="inlineStr">
        <is>
          <t>nps</t>
        </is>
      </c>
      <c r="H1155" t="inlineStr">
        <is>
          <t>Promotores</t>
        </is>
      </c>
      <c r="I1155" t="n">
        <v>91.7</v>
      </c>
      <c r="J1155" t="inlineStr">
        <is>
          <t>%</t>
        </is>
      </c>
      <c r="L1155">
        <f>IFERROR(INDEX(Diccionario!$B:$B,MATCH(F1167,Diccionario!$C:$C,0)),"")</f>
        <v/>
      </c>
      <c r="M1155">
        <f>IFERROR(INDEX(Diccionario!$H:$H,MATCH(F1167,Diccionario!$C:$C,0)),"")</f>
        <v/>
      </c>
      <c r="N1155">
        <f>IFERROR(INDEX(Diccionario!$N:$N,MATCH(F1167,Diccionario!$C:$C,0)),"")</f>
        <v/>
      </c>
    </row>
    <row r="1156" ht="14.25" customHeight="1" s="52">
      <c r="A1156" t="inlineStr">
        <is>
          <t>2026-03</t>
        </is>
      </c>
      <c r="B1156" t="inlineStr">
        <is>
          <t>Colombia</t>
        </is>
      </c>
      <c r="C1156" t="inlineStr">
        <is>
          <t>Coco Colombia</t>
        </is>
      </c>
      <c r="E1156" t="inlineStr">
        <is>
          <t>Real</t>
        </is>
      </c>
      <c r="F1156" t="inlineStr">
        <is>
          <t>nps</t>
        </is>
      </c>
      <c r="H1156" t="inlineStr">
        <is>
          <t>Pasivos</t>
        </is>
      </c>
      <c r="I1156" t="n">
        <v>14.3</v>
      </c>
      <c r="J1156" t="inlineStr">
        <is>
          <t>%</t>
        </is>
      </c>
      <c r="L1156">
        <f>IFERROR(INDEX(Diccionario!$B:$B,MATCH(F1168,Diccionario!$C:$C,0)),"")</f>
        <v/>
      </c>
      <c r="M1156">
        <f>IFERROR(INDEX(Diccionario!$H:$H,MATCH(F1168,Diccionario!$C:$C,0)),"")</f>
        <v/>
      </c>
      <c r="N1156">
        <f>IFERROR(INDEX(Diccionario!$N:$N,MATCH(F1168,Diccionario!$C:$C,0)),"")</f>
        <v/>
      </c>
    </row>
    <row r="1157" ht="14.25" customHeight="1" s="52">
      <c r="A1157" t="inlineStr">
        <is>
          <t>2026-04</t>
        </is>
      </c>
      <c r="B1157" t="inlineStr">
        <is>
          <t>Colombia</t>
        </is>
      </c>
      <c r="C1157" t="inlineStr">
        <is>
          <t>Coco Colombia</t>
        </is>
      </c>
      <c r="E1157" t="inlineStr">
        <is>
          <t>Real</t>
        </is>
      </c>
      <c r="F1157" t="inlineStr">
        <is>
          <t>nps</t>
        </is>
      </c>
      <c r="H1157" t="inlineStr">
        <is>
          <t>Pasivos</t>
        </is>
      </c>
      <c r="I1157" t="n">
        <v>0</v>
      </c>
      <c r="J1157" t="inlineStr">
        <is>
          <t>%</t>
        </is>
      </c>
      <c r="L1157">
        <f>IFERROR(INDEX(Diccionario!$B:$B,MATCH(F1169,Diccionario!$C:$C,0)),"")</f>
        <v/>
      </c>
      <c r="M1157">
        <f>IFERROR(INDEX(Diccionario!$H:$H,MATCH(F1169,Diccionario!$C:$C,0)),"")</f>
        <v/>
      </c>
      <c r="N1157">
        <f>IFERROR(INDEX(Diccionario!$N:$N,MATCH(F1169,Diccionario!$C:$C,0)),"")</f>
        <v/>
      </c>
    </row>
    <row r="1158" ht="14.25" customHeight="1" s="52">
      <c r="A1158" t="inlineStr">
        <is>
          <t>2026-05</t>
        </is>
      </c>
      <c r="B1158" t="inlineStr">
        <is>
          <t>Colombia</t>
        </is>
      </c>
      <c r="C1158" t="inlineStr">
        <is>
          <t>Coco Colombia</t>
        </is>
      </c>
      <c r="E1158" t="inlineStr">
        <is>
          <t>Real</t>
        </is>
      </c>
      <c r="F1158" t="inlineStr">
        <is>
          <t>nps</t>
        </is>
      </c>
      <c r="H1158" t="inlineStr">
        <is>
          <t>Pasivos</t>
        </is>
      </c>
      <c r="I1158" t="n">
        <v>8.300000000000001</v>
      </c>
      <c r="J1158" t="inlineStr">
        <is>
          <t>%</t>
        </is>
      </c>
      <c r="L1158">
        <f>IFERROR(INDEX(Diccionario!$B:$B,MATCH(F1170,Diccionario!$C:$C,0)),"")</f>
        <v/>
      </c>
      <c r="M1158">
        <f>IFERROR(INDEX(Diccionario!$H:$H,MATCH(F1170,Diccionario!$C:$C,0)),"")</f>
        <v/>
      </c>
      <c r="N1158">
        <f>IFERROR(INDEX(Diccionario!$N:$N,MATCH(F1170,Diccionario!$C:$C,0)),"")</f>
        <v/>
      </c>
    </row>
    <row r="1159" ht="14.25" customHeight="1" s="52">
      <c r="A1159" t="inlineStr">
        <is>
          <t>2026-03</t>
        </is>
      </c>
      <c r="B1159" t="inlineStr">
        <is>
          <t>Colombia</t>
        </is>
      </c>
      <c r="C1159" t="inlineStr">
        <is>
          <t>Coco Colombia</t>
        </is>
      </c>
      <c r="E1159" t="inlineStr">
        <is>
          <t>Real</t>
        </is>
      </c>
      <c r="F1159" t="inlineStr">
        <is>
          <t>nps</t>
        </is>
      </c>
      <c r="H1159" t="inlineStr">
        <is>
          <t>Detractores</t>
        </is>
      </c>
      <c r="I1159" t="n">
        <v>7.1</v>
      </c>
      <c r="J1159" t="inlineStr">
        <is>
          <t>%</t>
        </is>
      </c>
      <c r="L1159">
        <f>IFERROR(INDEX(Diccionario!$B:$B,MATCH(F1171,Diccionario!$C:$C,0)),"")</f>
        <v/>
      </c>
      <c r="M1159">
        <f>IFERROR(INDEX(Diccionario!$H:$H,MATCH(F1171,Diccionario!$C:$C,0)),"")</f>
        <v/>
      </c>
      <c r="N1159">
        <f>IFERROR(INDEX(Diccionario!$N:$N,MATCH(F1171,Diccionario!$C:$C,0)),"")</f>
        <v/>
      </c>
    </row>
    <row r="1160" ht="14.25" customHeight="1" s="52">
      <c r="A1160" t="inlineStr">
        <is>
          <t>2026-04</t>
        </is>
      </c>
      <c r="B1160" t="inlineStr">
        <is>
          <t>Colombia</t>
        </is>
      </c>
      <c r="C1160" t="inlineStr">
        <is>
          <t>Coco Colombia</t>
        </is>
      </c>
      <c r="E1160" t="inlineStr">
        <is>
          <t>Real</t>
        </is>
      </c>
      <c r="F1160" t="inlineStr">
        <is>
          <t>nps</t>
        </is>
      </c>
      <c r="H1160" t="inlineStr">
        <is>
          <t>Detractores</t>
        </is>
      </c>
      <c r="I1160" t="n">
        <v>0</v>
      </c>
      <c r="J1160" t="inlineStr">
        <is>
          <t>%</t>
        </is>
      </c>
      <c r="L1160">
        <f>IFERROR(INDEX(Diccionario!$B:$B,MATCH(F1172,Diccionario!$C:$C,0)),"")</f>
        <v/>
      </c>
      <c r="M1160">
        <f>IFERROR(INDEX(Diccionario!$H:$H,MATCH(F1172,Diccionario!$C:$C,0)),"")</f>
        <v/>
      </c>
      <c r="N1160">
        <f>IFERROR(INDEX(Diccionario!$N:$N,MATCH(F1172,Diccionario!$C:$C,0)),"")</f>
        <v/>
      </c>
    </row>
    <row r="1161" ht="14.25" customHeight="1" s="52">
      <c r="A1161" t="inlineStr">
        <is>
          <t>2025-05</t>
        </is>
      </c>
      <c r="B1161" t="inlineStr">
        <is>
          <t>Colombia</t>
        </is>
      </c>
      <c r="C1161" t="inlineStr">
        <is>
          <t>Coco Colombia</t>
        </is>
      </c>
      <c r="E1161" t="inlineStr">
        <is>
          <t>Real</t>
        </is>
      </c>
      <c r="F1161" t="inlineStr">
        <is>
          <t>distribucion_facturacion_tamano</t>
        </is>
      </c>
      <c r="H1161" t="inlineStr">
        <is>
          <t>Grandes</t>
        </is>
      </c>
      <c r="I1161" t="n">
        <v>33.9</v>
      </c>
      <c r="J1161" t="inlineStr">
        <is>
          <t>%</t>
        </is>
      </c>
      <c r="L1161">
        <f>IFERROR(INDEX(Diccionario!$B:$B,MATCH(F1173,Diccionario!$C:$C,0)),"")</f>
        <v/>
      </c>
      <c r="M1161">
        <f>IFERROR(INDEX(Diccionario!$H:$H,MATCH(F1173,Diccionario!$C:$C,0)),"")</f>
        <v/>
      </c>
      <c r="N1161">
        <f>IFERROR(INDEX(Diccionario!$N:$N,MATCH(F1173,Diccionario!$C:$C,0)),"")</f>
        <v/>
      </c>
    </row>
    <row r="1162" ht="14.25" customHeight="1" s="52">
      <c r="A1162" t="inlineStr">
        <is>
          <t>2025-06</t>
        </is>
      </c>
      <c r="B1162" t="inlineStr">
        <is>
          <t>Colombia</t>
        </is>
      </c>
      <c r="C1162" t="inlineStr">
        <is>
          <t>Coco Colombia</t>
        </is>
      </c>
      <c r="E1162" t="inlineStr">
        <is>
          <t>Real</t>
        </is>
      </c>
      <c r="F1162" t="inlineStr">
        <is>
          <t>distribucion_facturacion_tamano</t>
        </is>
      </c>
      <c r="H1162" t="inlineStr">
        <is>
          <t>Grandes</t>
        </is>
      </c>
      <c r="I1162" t="n">
        <v>40</v>
      </c>
      <c r="J1162" t="inlineStr">
        <is>
          <t>%</t>
        </is>
      </c>
      <c r="L1162">
        <f>IFERROR(INDEX(Diccionario!$B:$B,MATCH(F1174,Diccionario!$C:$C,0)),"")</f>
        <v/>
      </c>
      <c r="M1162">
        <f>IFERROR(INDEX(Diccionario!$H:$H,MATCH(F1174,Diccionario!$C:$C,0)),"")</f>
        <v/>
      </c>
      <c r="N1162">
        <f>IFERROR(INDEX(Diccionario!$N:$N,MATCH(F1174,Diccionario!$C:$C,0)),"")</f>
        <v/>
      </c>
    </row>
    <row r="1163" ht="14.25" customHeight="1" s="52">
      <c r="A1163" t="inlineStr">
        <is>
          <t>2025-07</t>
        </is>
      </c>
      <c r="B1163" t="inlineStr">
        <is>
          <t>Colombia</t>
        </is>
      </c>
      <c r="C1163" t="inlineStr">
        <is>
          <t>Coco Colombia</t>
        </is>
      </c>
      <c r="E1163" t="inlineStr">
        <is>
          <t>Real</t>
        </is>
      </c>
      <c r="F1163" t="inlineStr">
        <is>
          <t>distribucion_facturacion_tamano</t>
        </is>
      </c>
      <c r="H1163" t="inlineStr">
        <is>
          <t>Grandes</t>
        </is>
      </c>
      <c r="I1163" t="n">
        <v>37</v>
      </c>
      <c r="J1163" t="inlineStr">
        <is>
          <t>%</t>
        </is>
      </c>
      <c r="L1163">
        <f>IFERROR(INDEX(Diccionario!$B:$B,MATCH(F1175,Diccionario!$C:$C,0)),"")</f>
        <v/>
      </c>
      <c r="M1163">
        <f>IFERROR(INDEX(Diccionario!$H:$H,MATCH(F1175,Diccionario!$C:$C,0)),"")</f>
        <v/>
      </c>
      <c r="N1163">
        <f>IFERROR(INDEX(Diccionario!$N:$N,MATCH(F1175,Diccionario!$C:$C,0)),"")</f>
        <v/>
      </c>
    </row>
    <row r="1164" ht="14.25" customHeight="1" s="52">
      <c r="A1164" t="inlineStr">
        <is>
          <t>2025-08</t>
        </is>
      </c>
      <c r="B1164" t="inlineStr">
        <is>
          <t>Colombia</t>
        </is>
      </c>
      <c r="C1164" t="inlineStr">
        <is>
          <t>Coco Colombia</t>
        </is>
      </c>
      <c r="E1164" t="inlineStr">
        <is>
          <t>Real</t>
        </is>
      </c>
      <c r="F1164" t="inlineStr">
        <is>
          <t>distribucion_facturacion_tamano</t>
        </is>
      </c>
      <c r="H1164" t="inlineStr">
        <is>
          <t>Grandes</t>
        </is>
      </c>
      <c r="I1164" t="n">
        <v>37</v>
      </c>
      <c r="J1164" t="inlineStr">
        <is>
          <t>%</t>
        </is>
      </c>
      <c r="L1164">
        <f>IFERROR(INDEX(Diccionario!$B:$B,MATCH(F1176,Diccionario!$C:$C,0)),"")</f>
        <v/>
      </c>
      <c r="M1164">
        <f>IFERROR(INDEX(Diccionario!$H:$H,MATCH(F1176,Diccionario!$C:$C,0)),"")</f>
        <v/>
      </c>
      <c r="N1164">
        <f>IFERROR(INDEX(Diccionario!$N:$N,MATCH(F1176,Diccionario!$C:$C,0)),"")</f>
        <v/>
      </c>
    </row>
    <row r="1165" ht="14.25" customHeight="1" s="52">
      <c r="A1165" t="inlineStr">
        <is>
          <t>2025-09</t>
        </is>
      </c>
      <c r="B1165" t="inlineStr">
        <is>
          <t>Colombia</t>
        </is>
      </c>
      <c r="C1165" t="inlineStr">
        <is>
          <t>Coco Colombia</t>
        </is>
      </c>
      <c r="E1165" t="inlineStr">
        <is>
          <t>Real</t>
        </is>
      </c>
      <c r="F1165" t="inlineStr">
        <is>
          <t>distribucion_facturacion_tamano</t>
        </is>
      </c>
      <c r="H1165" t="inlineStr">
        <is>
          <t>Grandes</t>
        </is>
      </c>
      <c r="I1165" t="n">
        <v>20.9</v>
      </c>
      <c r="J1165" t="inlineStr">
        <is>
          <t>%</t>
        </is>
      </c>
      <c r="L1165">
        <f>IFERROR(INDEX(Diccionario!$B:$B,MATCH(F1177,Diccionario!$C:$C,0)),"")</f>
        <v/>
      </c>
      <c r="M1165">
        <f>IFERROR(INDEX(Diccionario!$H:$H,MATCH(F1177,Diccionario!$C:$C,0)),"")</f>
        <v/>
      </c>
      <c r="N1165">
        <f>IFERROR(INDEX(Diccionario!$N:$N,MATCH(F1177,Diccionario!$C:$C,0)),"")</f>
        <v/>
      </c>
    </row>
    <row r="1166" ht="14.25" customHeight="1" s="52">
      <c r="A1166" t="inlineStr">
        <is>
          <t>2025-10</t>
        </is>
      </c>
      <c r="B1166" t="inlineStr">
        <is>
          <t>Colombia</t>
        </is>
      </c>
      <c r="C1166" t="inlineStr">
        <is>
          <t>Coco Colombia</t>
        </is>
      </c>
      <c r="E1166" t="inlineStr">
        <is>
          <t>Real</t>
        </is>
      </c>
      <c r="F1166" t="inlineStr">
        <is>
          <t>distribucion_facturacion_tamano</t>
        </is>
      </c>
      <c r="H1166" t="inlineStr">
        <is>
          <t>Grandes</t>
        </is>
      </c>
      <c r="I1166" t="n">
        <v>21</v>
      </c>
      <c r="J1166" t="inlineStr">
        <is>
          <t>%</t>
        </is>
      </c>
      <c r="L1166">
        <f>IFERROR(INDEX(Diccionario!$B:$B,MATCH(F1178,Diccionario!$C:$C,0)),"")</f>
        <v/>
      </c>
      <c r="M1166">
        <f>IFERROR(INDEX(Diccionario!$H:$H,MATCH(F1178,Diccionario!$C:$C,0)),"")</f>
        <v/>
      </c>
      <c r="N1166">
        <f>IFERROR(INDEX(Diccionario!$N:$N,MATCH(F1178,Diccionario!$C:$C,0)),"")</f>
        <v/>
      </c>
    </row>
    <row r="1167" ht="14.25" customHeight="1" s="52">
      <c r="A1167" t="inlineStr">
        <is>
          <t>2025-11</t>
        </is>
      </c>
      <c r="B1167" t="inlineStr">
        <is>
          <t>Colombia</t>
        </is>
      </c>
      <c r="C1167" t="inlineStr">
        <is>
          <t>Coco Colombia</t>
        </is>
      </c>
      <c r="E1167" t="inlineStr">
        <is>
          <t>Real</t>
        </is>
      </c>
      <c r="F1167" t="inlineStr">
        <is>
          <t>distribucion_facturacion_tamano</t>
        </is>
      </c>
      <c r="H1167" t="inlineStr">
        <is>
          <t>Grandes</t>
        </is>
      </c>
      <c r="I1167" t="n">
        <v>28</v>
      </c>
      <c r="J1167" t="inlineStr">
        <is>
          <t>%</t>
        </is>
      </c>
      <c r="L1167">
        <f>IFERROR(INDEX(Diccionario!$B:$B,MATCH(F1179,Diccionario!$C:$C,0)),"")</f>
        <v/>
      </c>
      <c r="M1167">
        <f>IFERROR(INDEX(Diccionario!$H:$H,MATCH(F1179,Diccionario!$C:$C,0)),"")</f>
        <v/>
      </c>
      <c r="N1167">
        <f>IFERROR(INDEX(Diccionario!$N:$N,MATCH(F1179,Diccionario!$C:$C,0)),"")</f>
        <v/>
      </c>
    </row>
    <row r="1168" ht="14.25" customHeight="1" s="52">
      <c r="A1168" t="inlineStr">
        <is>
          <t>2025-12</t>
        </is>
      </c>
      <c r="B1168" t="inlineStr">
        <is>
          <t>Colombia</t>
        </is>
      </c>
      <c r="C1168" t="inlineStr">
        <is>
          <t>Coco Colombia</t>
        </is>
      </c>
      <c r="E1168" t="inlineStr">
        <is>
          <t>Real</t>
        </is>
      </c>
      <c r="F1168" t="inlineStr">
        <is>
          <t>distribucion_facturacion_tamano</t>
        </is>
      </c>
      <c r="H1168" t="inlineStr">
        <is>
          <t>Grandes</t>
        </is>
      </c>
      <c r="I1168" t="n">
        <v>16</v>
      </c>
      <c r="J1168" t="inlineStr">
        <is>
          <t>%</t>
        </is>
      </c>
      <c r="L1168">
        <f>IFERROR(INDEX(Diccionario!$B:$B,MATCH(F1180,Diccionario!$C:$C,0)),"")</f>
        <v/>
      </c>
      <c r="M1168">
        <f>IFERROR(INDEX(Diccionario!$H:$H,MATCH(F1180,Diccionario!$C:$C,0)),"")</f>
        <v/>
      </c>
      <c r="N1168">
        <f>IFERROR(INDEX(Diccionario!$N:$N,MATCH(F1180,Diccionario!$C:$C,0)),"")</f>
        <v/>
      </c>
    </row>
    <row r="1169" ht="14.25" customHeight="1" s="52">
      <c r="A1169" t="inlineStr">
        <is>
          <t>2026-01</t>
        </is>
      </c>
      <c r="B1169" t="inlineStr">
        <is>
          <t>Colombia</t>
        </is>
      </c>
      <c r="C1169" t="inlineStr">
        <is>
          <t>Coco Colombia</t>
        </is>
      </c>
      <c r="E1169" t="inlineStr">
        <is>
          <t>Real</t>
        </is>
      </c>
      <c r="F1169" t="inlineStr">
        <is>
          <t>distribucion_facturacion_tamano</t>
        </is>
      </c>
      <c r="H1169" t="inlineStr">
        <is>
          <t>Grandes</t>
        </is>
      </c>
      <c r="I1169" t="n">
        <v>40</v>
      </c>
      <c r="J1169" t="inlineStr">
        <is>
          <t>%</t>
        </is>
      </c>
      <c r="L1169">
        <f>IFERROR(INDEX(Diccionario!$B:$B,MATCH(F1181,Diccionario!$C:$C,0)),"")</f>
        <v/>
      </c>
      <c r="M1169">
        <f>IFERROR(INDEX(Diccionario!$H:$H,MATCH(F1181,Diccionario!$C:$C,0)),"")</f>
        <v/>
      </c>
      <c r="N1169">
        <f>IFERROR(INDEX(Diccionario!$N:$N,MATCH(F1181,Diccionario!$C:$C,0)),"")</f>
        <v/>
      </c>
    </row>
    <row r="1170" ht="14.25" customHeight="1" s="52">
      <c r="A1170" t="inlineStr">
        <is>
          <t>2026-02</t>
        </is>
      </c>
      <c r="B1170" t="inlineStr">
        <is>
          <t>Colombia</t>
        </is>
      </c>
      <c r="C1170" t="inlineStr">
        <is>
          <t>Coco Colombia</t>
        </is>
      </c>
      <c r="E1170" t="inlineStr">
        <is>
          <t>Real</t>
        </is>
      </c>
      <c r="F1170" t="inlineStr">
        <is>
          <t>distribucion_facturacion_tamano</t>
        </is>
      </c>
      <c r="H1170" t="inlineStr">
        <is>
          <t>Grandes</t>
        </is>
      </c>
      <c r="I1170" t="n">
        <v>25</v>
      </c>
      <c r="J1170" t="inlineStr">
        <is>
          <t>%</t>
        </is>
      </c>
      <c r="L1170">
        <f>IFERROR(INDEX(Diccionario!$B:$B,MATCH(F1182,Diccionario!$C:$C,0)),"")</f>
        <v/>
      </c>
      <c r="M1170">
        <f>IFERROR(INDEX(Diccionario!$H:$H,MATCH(F1182,Diccionario!$C:$C,0)),"")</f>
        <v/>
      </c>
      <c r="N1170">
        <f>IFERROR(INDEX(Diccionario!$N:$N,MATCH(F1182,Diccionario!$C:$C,0)),"")</f>
        <v/>
      </c>
    </row>
    <row r="1171" ht="14.25" customHeight="1" s="52">
      <c r="A1171" t="inlineStr">
        <is>
          <t>2026-03</t>
        </is>
      </c>
      <c r="B1171" t="inlineStr">
        <is>
          <t>Colombia</t>
        </is>
      </c>
      <c r="C1171" t="inlineStr">
        <is>
          <t>Coco Colombia</t>
        </is>
      </c>
      <c r="E1171" t="inlineStr">
        <is>
          <t>Real</t>
        </is>
      </c>
      <c r="F1171" t="inlineStr">
        <is>
          <t>distribucion_facturacion_tamano</t>
        </is>
      </c>
      <c r="H1171" t="inlineStr">
        <is>
          <t>Grandes</t>
        </is>
      </c>
      <c r="I1171" t="n">
        <v>23</v>
      </c>
      <c r="J1171" t="inlineStr">
        <is>
          <t>%</t>
        </is>
      </c>
      <c r="L1171">
        <f>IFERROR(INDEX(Diccionario!$B:$B,MATCH(F1183,Diccionario!$C:$C,0)),"")</f>
        <v/>
      </c>
      <c r="M1171">
        <f>IFERROR(INDEX(Diccionario!$H:$H,MATCH(F1183,Diccionario!$C:$C,0)),"")</f>
        <v/>
      </c>
      <c r="N1171">
        <f>IFERROR(INDEX(Diccionario!$N:$N,MATCH(F1183,Diccionario!$C:$C,0)),"")</f>
        <v/>
      </c>
    </row>
    <row r="1172" ht="14.25" customHeight="1" s="52">
      <c r="A1172" t="inlineStr">
        <is>
          <t>2026-04</t>
        </is>
      </c>
      <c r="B1172" t="inlineStr">
        <is>
          <t>Colombia</t>
        </is>
      </c>
      <c r="C1172" t="inlineStr">
        <is>
          <t>Coco Colombia</t>
        </is>
      </c>
      <c r="E1172" t="inlineStr">
        <is>
          <t>Real</t>
        </is>
      </c>
      <c r="F1172" t="inlineStr">
        <is>
          <t>distribucion_facturacion_tamano</t>
        </is>
      </c>
      <c r="H1172" t="inlineStr">
        <is>
          <t>Grandes</t>
        </is>
      </c>
      <c r="I1172" t="n">
        <v>27</v>
      </c>
      <c r="J1172" t="inlineStr">
        <is>
          <t>%</t>
        </is>
      </c>
      <c r="L1172">
        <f>IFERROR(INDEX(Diccionario!$B:$B,MATCH(F1184,Diccionario!$C:$C,0)),"")</f>
        <v/>
      </c>
      <c r="M1172">
        <f>IFERROR(INDEX(Diccionario!$H:$H,MATCH(F1184,Diccionario!$C:$C,0)),"")</f>
        <v/>
      </c>
      <c r="N1172">
        <f>IFERROR(INDEX(Diccionario!$N:$N,MATCH(F1184,Diccionario!$C:$C,0)),"")</f>
        <v/>
      </c>
    </row>
    <row r="1173" ht="14.25" customHeight="1" s="52">
      <c r="A1173" t="inlineStr">
        <is>
          <t>2026-05</t>
        </is>
      </c>
      <c r="B1173" t="inlineStr">
        <is>
          <t>Colombia</t>
        </is>
      </c>
      <c r="C1173" t="inlineStr">
        <is>
          <t>Coco Colombia</t>
        </is>
      </c>
      <c r="E1173" t="inlineStr">
        <is>
          <t>Real</t>
        </is>
      </c>
      <c r="F1173" t="inlineStr">
        <is>
          <t>distribucion_facturacion_tamano</t>
        </is>
      </c>
      <c r="H1173" t="inlineStr">
        <is>
          <t>Grandes</t>
        </is>
      </c>
      <c r="I1173" t="n">
        <v>15</v>
      </c>
      <c r="J1173" t="inlineStr">
        <is>
          <t>%</t>
        </is>
      </c>
      <c r="L1173">
        <f>IFERROR(INDEX(Diccionario!$B:$B,MATCH(F1185,Diccionario!$C:$C,0)),"")</f>
        <v/>
      </c>
      <c r="M1173">
        <f>IFERROR(INDEX(Diccionario!$H:$H,MATCH(F1185,Diccionario!$C:$C,0)),"")</f>
        <v/>
      </c>
      <c r="N1173">
        <f>IFERROR(INDEX(Diccionario!$N:$N,MATCH(F1185,Diccionario!$C:$C,0)),"")</f>
        <v/>
      </c>
    </row>
    <row r="1174" ht="14.25" customHeight="1" s="52">
      <c r="A1174" t="inlineStr">
        <is>
          <t>2025-05</t>
        </is>
      </c>
      <c r="B1174" t="inlineStr">
        <is>
          <t>Colombia</t>
        </is>
      </c>
      <c r="C1174" t="inlineStr">
        <is>
          <t>Coco Colombia</t>
        </is>
      </c>
      <c r="E1174" t="inlineStr">
        <is>
          <t>Real</t>
        </is>
      </c>
      <c r="F1174" t="inlineStr">
        <is>
          <t>distribucion_facturacion_tamano</t>
        </is>
      </c>
      <c r="H1174" t="inlineStr">
        <is>
          <t>Medianos</t>
        </is>
      </c>
      <c r="I1174" t="n">
        <v>51.53</v>
      </c>
      <c r="J1174" t="inlineStr">
        <is>
          <t>%</t>
        </is>
      </c>
      <c r="L1174">
        <f>IFERROR(INDEX(Diccionario!$B:$B,MATCH(F1186,Diccionario!$C:$C,0)),"")</f>
        <v/>
      </c>
      <c r="M1174">
        <f>IFERROR(INDEX(Diccionario!$H:$H,MATCH(F1186,Diccionario!$C:$C,0)),"")</f>
        <v/>
      </c>
      <c r="N1174">
        <f>IFERROR(INDEX(Diccionario!$N:$N,MATCH(F1186,Diccionario!$C:$C,0)),"")</f>
        <v/>
      </c>
    </row>
    <row r="1175" ht="14.25" customHeight="1" s="52">
      <c r="A1175" t="inlineStr">
        <is>
          <t>2025-06</t>
        </is>
      </c>
      <c r="B1175" t="inlineStr">
        <is>
          <t>Colombia</t>
        </is>
      </c>
      <c r="C1175" t="inlineStr">
        <is>
          <t>Coco Colombia</t>
        </is>
      </c>
      <c r="E1175" t="inlineStr">
        <is>
          <t>Real</t>
        </is>
      </c>
      <c r="F1175" t="inlineStr">
        <is>
          <t>distribucion_facturacion_tamano</t>
        </is>
      </c>
      <c r="H1175" t="inlineStr">
        <is>
          <t>Medianos</t>
        </is>
      </c>
      <c r="I1175" t="n">
        <v>56</v>
      </c>
      <c r="J1175" t="inlineStr">
        <is>
          <t>%</t>
        </is>
      </c>
      <c r="L1175">
        <f>IFERROR(INDEX(Diccionario!$B:$B,MATCH(F1187,Diccionario!$C:$C,0)),"")</f>
        <v/>
      </c>
      <c r="M1175">
        <f>IFERROR(INDEX(Diccionario!$H:$H,MATCH(F1187,Diccionario!$C:$C,0)),"")</f>
        <v/>
      </c>
      <c r="N1175">
        <f>IFERROR(INDEX(Diccionario!$N:$N,MATCH(F1187,Diccionario!$C:$C,0)),"")</f>
        <v/>
      </c>
    </row>
    <row r="1176" ht="14.25" customHeight="1" s="52">
      <c r="A1176" t="inlineStr">
        <is>
          <t>2025-07</t>
        </is>
      </c>
      <c r="B1176" t="inlineStr">
        <is>
          <t>Colombia</t>
        </is>
      </c>
      <c r="C1176" t="inlineStr">
        <is>
          <t>Coco Colombia</t>
        </is>
      </c>
      <c r="E1176" t="inlineStr">
        <is>
          <t>Real</t>
        </is>
      </c>
      <c r="F1176" t="inlineStr">
        <is>
          <t>distribucion_facturacion_tamano</t>
        </is>
      </c>
      <c r="H1176" t="inlineStr">
        <is>
          <t>Medianos</t>
        </is>
      </c>
      <c r="I1176" t="n">
        <v>59</v>
      </c>
      <c r="J1176" t="inlineStr">
        <is>
          <t>%</t>
        </is>
      </c>
      <c r="L1176">
        <f>IFERROR(INDEX(Diccionario!$B:$B,MATCH(F1188,Diccionario!$C:$C,0)),"")</f>
        <v/>
      </c>
      <c r="M1176">
        <f>IFERROR(INDEX(Diccionario!$H:$H,MATCH(F1188,Diccionario!$C:$C,0)),"")</f>
        <v/>
      </c>
      <c r="N1176">
        <f>IFERROR(INDEX(Diccionario!$N:$N,MATCH(F1188,Diccionario!$C:$C,0)),"")</f>
        <v/>
      </c>
    </row>
    <row r="1177" ht="14.25" customHeight="1" s="52">
      <c r="A1177" t="inlineStr">
        <is>
          <t>2025-08</t>
        </is>
      </c>
      <c r="B1177" t="inlineStr">
        <is>
          <t>Colombia</t>
        </is>
      </c>
      <c r="C1177" t="inlineStr">
        <is>
          <t>Coco Colombia</t>
        </is>
      </c>
      <c r="E1177" t="inlineStr">
        <is>
          <t>Real</t>
        </is>
      </c>
      <c r="F1177" t="inlineStr">
        <is>
          <t>distribucion_facturacion_tamano</t>
        </is>
      </c>
      <c r="H1177" t="inlineStr">
        <is>
          <t>Medianos</t>
        </is>
      </c>
      <c r="I1177" t="n">
        <v>49.6</v>
      </c>
      <c r="J1177" t="inlineStr">
        <is>
          <t>%</t>
        </is>
      </c>
      <c r="L1177">
        <f>IFERROR(INDEX(Diccionario!$B:$B,MATCH(F1189,Diccionario!$C:$C,0)),"")</f>
        <v/>
      </c>
      <c r="M1177">
        <f>IFERROR(INDEX(Diccionario!$H:$H,MATCH(F1189,Diccionario!$C:$C,0)),"")</f>
        <v/>
      </c>
      <c r="N1177">
        <f>IFERROR(INDEX(Diccionario!$N:$N,MATCH(F1189,Diccionario!$C:$C,0)),"")</f>
        <v/>
      </c>
    </row>
    <row r="1178" ht="14.25" customHeight="1" s="52">
      <c r="A1178" t="inlineStr">
        <is>
          <t>2025-09</t>
        </is>
      </c>
      <c r="B1178" t="inlineStr">
        <is>
          <t>Colombia</t>
        </is>
      </c>
      <c r="C1178" t="inlineStr">
        <is>
          <t>Coco Colombia</t>
        </is>
      </c>
      <c r="E1178" t="inlineStr">
        <is>
          <t>Real</t>
        </is>
      </c>
      <c r="F1178" t="inlineStr">
        <is>
          <t>distribucion_facturacion_tamano</t>
        </is>
      </c>
      <c r="H1178" t="inlineStr">
        <is>
          <t>Medianos</t>
        </is>
      </c>
      <c r="I1178" t="n">
        <v>61.7</v>
      </c>
      <c r="J1178" t="inlineStr">
        <is>
          <t>%</t>
        </is>
      </c>
      <c r="L1178">
        <f>IFERROR(INDEX(Diccionario!$B:$B,MATCH(F1190,Diccionario!$C:$C,0)),"")</f>
        <v/>
      </c>
      <c r="M1178">
        <f>IFERROR(INDEX(Diccionario!$H:$H,MATCH(F1190,Diccionario!$C:$C,0)),"")</f>
        <v/>
      </c>
      <c r="N1178">
        <f>IFERROR(INDEX(Diccionario!$N:$N,MATCH(F1190,Diccionario!$C:$C,0)),"")</f>
        <v/>
      </c>
    </row>
    <row r="1179" ht="14.25" customHeight="1" s="52">
      <c r="A1179" t="inlineStr">
        <is>
          <t>2025-10</t>
        </is>
      </c>
      <c r="B1179" t="inlineStr">
        <is>
          <t>Colombia</t>
        </is>
      </c>
      <c r="C1179" t="inlineStr">
        <is>
          <t>Coco Colombia</t>
        </is>
      </c>
      <c r="E1179" t="inlineStr">
        <is>
          <t>Real</t>
        </is>
      </c>
      <c r="F1179" t="inlineStr">
        <is>
          <t>distribucion_facturacion_tamano</t>
        </is>
      </c>
      <c r="H1179" t="inlineStr">
        <is>
          <t>Medianos</t>
        </is>
      </c>
      <c r="I1179" t="n">
        <v>65</v>
      </c>
      <c r="J1179" t="inlineStr">
        <is>
          <t>%</t>
        </is>
      </c>
      <c r="L1179">
        <f>IFERROR(INDEX(Diccionario!$B:$B,MATCH(F1191,Diccionario!$C:$C,0)),"")</f>
        <v/>
      </c>
      <c r="M1179">
        <f>IFERROR(INDEX(Diccionario!$H:$H,MATCH(F1191,Diccionario!$C:$C,0)),"")</f>
        <v/>
      </c>
      <c r="N1179">
        <f>IFERROR(INDEX(Diccionario!$N:$N,MATCH(F1191,Diccionario!$C:$C,0)),"")</f>
        <v/>
      </c>
    </row>
    <row r="1180" ht="14.25" customHeight="1" s="52">
      <c r="A1180" t="inlineStr">
        <is>
          <t>2025-11</t>
        </is>
      </c>
      <c r="B1180" t="inlineStr">
        <is>
          <t>Colombia</t>
        </is>
      </c>
      <c r="C1180" t="inlineStr">
        <is>
          <t>Coco Colombia</t>
        </is>
      </c>
      <c r="E1180" t="inlineStr">
        <is>
          <t>Real</t>
        </is>
      </c>
      <c r="F1180" t="inlineStr">
        <is>
          <t>distribucion_facturacion_tamano</t>
        </is>
      </c>
      <c r="H1180" t="inlineStr">
        <is>
          <t>Medianos</t>
        </is>
      </c>
      <c r="I1180" t="n">
        <v>67</v>
      </c>
      <c r="J1180" t="inlineStr">
        <is>
          <t>%</t>
        </is>
      </c>
      <c r="L1180">
        <f>IFERROR(INDEX(Diccionario!$B:$B,MATCH(F1192,Diccionario!$C:$C,0)),"")</f>
        <v/>
      </c>
      <c r="M1180">
        <f>IFERROR(INDEX(Diccionario!$H:$H,MATCH(F1192,Diccionario!$C:$C,0)),"")</f>
        <v/>
      </c>
      <c r="N1180">
        <f>IFERROR(INDEX(Diccionario!$N:$N,MATCH(F1192,Diccionario!$C:$C,0)),"")</f>
        <v/>
      </c>
    </row>
    <row r="1181" ht="14.25" customHeight="1" s="52">
      <c r="A1181" t="inlineStr">
        <is>
          <t>2025-12</t>
        </is>
      </c>
      <c r="B1181" t="inlineStr">
        <is>
          <t>Colombia</t>
        </is>
      </c>
      <c r="C1181" t="inlineStr">
        <is>
          <t>Coco Colombia</t>
        </is>
      </c>
      <c r="E1181" t="inlineStr">
        <is>
          <t>Real</t>
        </is>
      </c>
      <c r="F1181" t="inlineStr">
        <is>
          <t>distribucion_facturacion_tamano</t>
        </is>
      </c>
      <c r="H1181" t="inlineStr">
        <is>
          <t>Medianos</t>
        </is>
      </c>
      <c r="I1181" t="n">
        <v>77</v>
      </c>
      <c r="J1181" t="inlineStr">
        <is>
          <t>%</t>
        </is>
      </c>
      <c r="L1181">
        <f>IFERROR(INDEX(Diccionario!$B:$B,MATCH(F1193,Diccionario!$C:$C,0)),"")</f>
        <v/>
      </c>
      <c r="M1181">
        <f>IFERROR(INDEX(Diccionario!$H:$H,MATCH(F1193,Diccionario!$C:$C,0)),"")</f>
        <v/>
      </c>
      <c r="N1181">
        <f>IFERROR(INDEX(Diccionario!$N:$N,MATCH(F1193,Diccionario!$C:$C,0)),"")</f>
        <v/>
      </c>
    </row>
    <row r="1182" ht="14.25" customHeight="1" s="52">
      <c r="A1182" t="inlineStr">
        <is>
          <t>2026-01</t>
        </is>
      </c>
      <c r="B1182" t="inlineStr">
        <is>
          <t>Colombia</t>
        </is>
      </c>
      <c r="C1182" t="inlineStr">
        <is>
          <t>Coco Colombia</t>
        </is>
      </c>
      <c r="E1182" t="inlineStr">
        <is>
          <t>Real</t>
        </is>
      </c>
      <c r="F1182" t="inlineStr">
        <is>
          <t>distribucion_facturacion_tamano</t>
        </is>
      </c>
      <c r="H1182" t="inlineStr">
        <is>
          <t>Medianos</t>
        </is>
      </c>
      <c r="I1182" t="n">
        <v>55</v>
      </c>
      <c r="J1182" t="inlineStr">
        <is>
          <t>%</t>
        </is>
      </c>
      <c r="L1182">
        <f>IFERROR(INDEX(Diccionario!$B:$B,MATCH(F1194,Diccionario!$C:$C,0)),"")</f>
        <v/>
      </c>
      <c r="M1182">
        <f>IFERROR(INDEX(Diccionario!$H:$H,MATCH(F1194,Diccionario!$C:$C,0)),"")</f>
        <v/>
      </c>
      <c r="N1182">
        <f>IFERROR(INDEX(Diccionario!$N:$N,MATCH(F1194,Diccionario!$C:$C,0)),"")</f>
        <v/>
      </c>
    </row>
    <row r="1183" ht="14.25" customHeight="1" s="52">
      <c r="A1183" t="inlineStr">
        <is>
          <t>2026-02</t>
        </is>
      </c>
      <c r="B1183" t="inlineStr">
        <is>
          <t>Colombia</t>
        </is>
      </c>
      <c r="C1183" t="inlineStr">
        <is>
          <t>Coco Colombia</t>
        </is>
      </c>
      <c r="E1183" t="inlineStr">
        <is>
          <t>Real</t>
        </is>
      </c>
      <c r="F1183" t="inlineStr">
        <is>
          <t>distribucion_facturacion_tamano</t>
        </is>
      </c>
      <c r="H1183" t="inlineStr">
        <is>
          <t>Medianos</t>
        </is>
      </c>
      <c r="I1183" t="n">
        <v>64</v>
      </c>
      <c r="J1183" t="inlineStr">
        <is>
          <t>%</t>
        </is>
      </c>
      <c r="L1183">
        <f>IFERROR(INDEX(Diccionario!$B:$B,MATCH(F1195,Diccionario!$C:$C,0)),"")</f>
        <v/>
      </c>
      <c r="M1183">
        <f>IFERROR(INDEX(Diccionario!$H:$H,MATCH(F1195,Diccionario!$C:$C,0)),"")</f>
        <v/>
      </c>
      <c r="N1183">
        <f>IFERROR(INDEX(Diccionario!$N:$N,MATCH(F1195,Diccionario!$C:$C,0)),"")</f>
        <v/>
      </c>
    </row>
    <row r="1184" ht="14.25" customHeight="1" s="52">
      <c r="A1184" t="inlineStr">
        <is>
          <t>2026-03</t>
        </is>
      </c>
      <c r="B1184" t="inlineStr">
        <is>
          <t>Colombia</t>
        </is>
      </c>
      <c r="C1184" t="inlineStr">
        <is>
          <t>Coco Colombia</t>
        </is>
      </c>
      <c r="E1184" t="inlineStr">
        <is>
          <t>Real</t>
        </is>
      </c>
      <c r="F1184" t="inlineStr">
        <is>
          <t>distribucion_facturacion_tamano</t>
        </is>
      </c>
      <c r="H1184" t="inlineStr">
        <is>
          <t>Medianos</t>
        </is>
      </c>
      <c r="I1184" t="n">
        <v>65</v>
      </c>
      <c r="J1184" t="inlineStr">
        <is>
          <t>%</t>
        </is>
      </c>
      <c r="L1184">
        <f>IFERROR(INDEX(Diccionario!$B:$B,MATCH(F1196,Diccionario!$C:$C,0)),"")</f>
        <v/>
      </c>
      <c r="M1184">
        <f>IFERROR(INDEX(Diccionario!$H:$H,MATCH(F1196,Diccionario!$C:$C,0)),"")</f>
        <v/>
      </c>
      <c r="N1184">
        <f>IFERROR(INDEX(Diccionario!$N:$N,MATCH(F1196,Diccionario!$C:$C,0)),"")</f>
        <v/>
      </c>
    </row>
    <row r="1185" ht="14.25" customHeight="1" s="52">
      <c r="A1185" t="inlineStr">
        <is>
          <t>2026-04</t>
        </is>
      </c>
      <c r="B1185" t="inlineStr">
        <is>
          <t>Colombia</t>
        </is>
      </c>
      <c r="C1185" t="inlineStr">
        <is>
          <t>Coco Colombia</t>
        </is>
      </c>
      <c r="E1185" t="inlineStr">
        <is>
          <t>Real</t>
        </is>
      </c>
      <c r="F1185" t="inlineStr">
        <is>
          <t>distribucion_facturacion_tamano</t>
        </is>
      </c>
      <c r="H1185" t="inlineStr">
        <is>
          <t>Medianos</t>
        </is>
      </c>
      <c r="I1185" t="n">
        <v>67</v>
      </c>
      <c r="J1185" t="inlineStr">
        <is>
          <t>%</t>
        </is>
      </c>
      <c r="L1185">
        <f>IFERROR(INDEX(Diccionario!$B:$B,MATCH(F1197,Diccionario!$C:$C,0)),"")</f>
        <v/>
      </c>
      <c r="M1185">
        <f>IFERROR(INDEX(Diccionario!$H:$H,MATCH(F1197,Diccionario!$C:$C,0)),"")</f>
        <v/>
      </c>
      <c r="N1185">
        <f>IFERROR(INDEX(Diccionario!$N:$N,MATCH(F1197,Diccionario!$C:$C,0)),"")</f>
        <v/>
      </c>
    </row>
    <row r="1186" ht="14.25" customHeight="1" s="52">
      <c r="A1186" t="inlineStr">
        <is>
          <t>2026-05</t>
        </is>
      </c>
      <c r="B1186" t="inlineStr">
        <is>
          <t>Colombia</t>
        </is>
      </c>
      <c r="C1186" t="inlineStr">
        <is>
          <t>Coco Colombia</t>
        </is>
      </c>
      <c r="E1186" t="inlineStr">
        <is>
          <t>Real</t>
        </is>
      </c>
      <c r="F1186" t="inlineStr">
        <is>
          <t>distribucion_facturacion_tamano</t>
        </is>
      </c>
      <c r="H1186" t="inlineStr">
        <is>
          <t>Medianos</t>
        </is>
      </c>
      <c r="I1186" t="n">
        <v>78</v>
      </c>
      <c r="J1186" t="inlineStr">
        <is>
          <t>%</t>
        </is>
      </c>
      <c r="L1186">
        <f>IFERROR(INDEX(Diccionario!$B:$B,MATCH(F1198,Diccionario!$C:$C,0)),"")</f>
        <v/>
      </c>
      <c r="M1186">
        <f>IFERROR(INDEX(Diccionario!$H:$H,MATCH(F1198,Diccionario!$C:$C,0)),"")</f>
        <v/>
      </c>
      <c r="N1186">
        <f>IFERROR(INDEX(Diccionario!$N:$N,MATCH(F1198,Diccionario!$C:$C,0)),"")</f>
        <v/>
      </c>
    </row>
    <row r="1187" ht="14.25" customHeight="1" s="52">
      <c r="A1187" t="inlineStr">
        <is>
          <t>2025-05</t>
        </is>
      </c>
      <c r="B1187" t="inlineStr">
        <is>
          <t>Colombia</t>
        </is>
      </c>
      <c r="C1187" t="inlineStr">
        <is>
          <t>Coco Colombia</t>
        </is>
      </c>
      <c r="E1187" t="inlineStr">
        <is>
          <t>Real</t>
        </is>
      </c>
      <c r="F1187" t="inlineStr">
        <is>
          <t>distribucion_facturacion_tamano</t>
        </is>
      </c>
      <c r="H1187" t="inlineStr">
        <is>
          <t>Pequeños</t>
        </is>
      </c>
      <c r="I1187" t="n">
        <v>14.57</v>
      </c>
      <c r="J1187" t="inlineStr">
        <is>
          <t>%</t>
        </is>
      </c>
      <c r="L1187">
        <f>IFERROR(INDEX(Diccionario!$B:$B,MATCH(F1199,Diccionario!$C:$C,0)),"")</f>
        <v/>
      </c>
      <c r="M1187">
        <f>IFERROR(INDEX(Diccionario!$H:$H,MATCH(F1199,Diccionario!$C:$C,0)),"")</f>
        <v/>
      </c>
      <c r="N1187">
        <f>IFERROR(INDEX(Diccionario!$N:$N,MATCH(F1199,Diccionario!$C:$C,0)),"")</f>
        <v/>
      </c>
    </row>
    <row r="1188" ht="14.25" customHeight="1" s="52">
      <c r="A1188" t="inlineStr">
        <is>
          <t>2025-06</t>
        </is>
      </c>
      <c r="B1188" t="inlineStr">
        <is>
          <t>Colombia</t>
        </is>
      </c>
      <c r="C1188" t="inlineStr">
        <is>
          <t>Coco Colombia</t>
        </is>
      </c>
      <c r="E1188" t="inlineStr">
        <is>
          <t>Real</t>
        </is>
      </c>
      <c r="F1188" t="inlineStr">
        <is>
          <t>distribucion_facturacion_tamano</t>
        </is>
      </c>
      <c r="H1188" t="inlineStr">
        <is>
          <t>Pequeños</t>
        </is>
      </c>
      <c r="I1188" t="n">
        <v>4</v>
      </c>
      <c r="J1188" t="inlineStr">
        <is>
          <t>%</t>
        </is>
      </c>
      <c r="L1188">
        <f>IFERROR(INDEX(Diccionario!$B:$B,MATCH(F1200,Diccionario!$C:$C,0)),"")</f>
        <v/>
      </c>
      <c r="M1188">
        <f>IFERROR(INDEX(Diccionario!$H:$H,MATCH(F1200,Diccionario!$C:$C,0)),"")</f>
        <v/>
      </c>
      <c r="N1188">
        <f>IFERROR(INDEX(Diccionario!$N:$N,MATCH(F1200,Diccionario!$C:$C,0)),"")</f>
        <v/>
      </c>
    </row>
    <row r="1189" ht="14.25" customHeight="1" s="52">
      <c r="A1189" t="inlineStr">
        <is>
          <t>2025-07</t>
        </is>
      </c>
      <c r="B1189" t="inlineStr">
        <is>
          <t>Colombia</t>
        </is>
      </c>
      <c r="C1189" t="inlineStr">
        <is>
          <t>Coco Colombia</t>
        </is>
      </c>
      <c r="E1189" t="inlineStr">
        <is>
          <t>Real</t>
        </is>
      </c>
      <c r="F1189" t="inlineStr">
        <is>
          <t>distribucion_facturacion_tamano</t>
        </is>
      </c>
      <c r="H1189" t="inlineStr">
        <is>
          <t>Pequeños</t>
        </is>
      </c>
      <c r="I1189" t="n">
        <v>4</v>
      </c>
      <c r="J1189" t="inlineStr">
        <is>
          <t>%</t>
        </is>
      </c>
      <c r="L1189">
        <f>IFERROR(INDEX(Diccionario!$B:$B,MATCH(F1201,Diccionario!$C:$C,0)),"")</f>
        <v/>
      </c>
      <c r="M1189">
        <f>IFERROR(INDEX(Diccionario!$H:$H,MATCH(F1201,Diccionario!$C:$C,0)),"")</f>
        <v/>
      </c>
      <c r="N1189">
        <f>IFERROR(INDEX(Diccionario!$N:$N,MATCH(F1201,Diccionario!$C:$C,0)),"")</f>
        <v/>
      </c>
    </row>
    <row r="1190" ht="14.25" customHeight="1" s="52">
      <c r="A1190" t="inlineStr">
        <is>
          <t>2025-08</t>
        </is>
      </c>
      <c r="B1190" t="inlineStr">
        <is>
          <t>Colombia</t>
        </is>
      </c>
      <c r="C1190" t="inlineStr">
        <is>
          <t>Coco Colombia</t>
        </is>
      </c>
      <c r="E1190" t="inlineStr">
        <is>
          <t>Real</t>
        </is>
      </c>
      <c r="F1190" t="inlineStr">
        <is>
          <t>distribucion_facturacion_tamano</t>
        </is>
      </c>
      <c r="H1190" t="inlineStr">
        <is>
          <t>Pequeños</t>
        </is>
      </c>
      <c r="I1190" t="n">
        <v>13.1</v>
      </c>
      <c r="J1190" t="inlineStr">
        <is>
          <t>%</t>
        </is>
      </c>
      <c r="L1190">
        <f>IFERROR(INDEX(Diccionario!$B:$B,MATCH(F1202,Diccionario!$C:$C,0)),"")</f>
        <v/>
      </c>
      <c r="M1190">
        <f>IFERROR(INDEX(Diccionario!$H:$H,MATCH(F1202,Diccionario!$C:$C,0)),"")</f>
        <v/>
      </c>
      <c r="N1190">
        <f>IFERROR(INDEX(Diccionario!$N:$N,MATCH(F1202,Diccionario!$C:$C,0)),"")</f>
        <v/>
      </c>
    </row>
    <row r="1191" ht="14.25" customHeight="1" s="52">
      <c r="A1191" t="inlineStr">
        <is>
          <t>2025-09</t>
        </is>
      </c>
      <c r="B1191" t="inlineStr">
        <is>
          <t>Colombia</t>
        </is>
      </c>
      <c r="C1191" t="inlineStr">
        <is>
          <t>Coco Colombia</t>
        </is>
      </c>
      <c r="E1191" t="inlineStr">
        <is>
          <t>Real</t>
        </is>
      </c>
      <c r="F1191" t="inlineStr">
        <is>
          <t>distribucion_facturacion_tamano</t>
        </is>
      </c>
      <c r="H1191" t="inlineStr">
        <is>
          <t>Pequeños</t>
        </is>
      </c>
      <c r="I1191" t="n">
        <v>17.37</v>
      </c>
      <c r="J1191" t="inlineStr">
        <is>
          <t>%</t>
        </is>
      </c>
      <c r="L1191">
        <f>IFERROR(INDEX(Diccionario!$B:$B,MATCH(F1203,Diccionario!$C:$C,0)),"")</f>
        <v/>
      </c>
      <c r="M1191">
        <f>IFERROR(INDEX(Diccionario!$H:$H,MATCH(F1203,Diccionario!$C:$C,0)),"")</f>
        <v/>
      </c>
      <c r="N1191">
        <f>IFERROR(INDEX(Diccionario!$N:$N,MATCH(F1203,Diccionario!$C:$C,0)),"")</f>
        <v/>
      </c>
    </row>
    <row r="1192" ht="14.25" customHeight="1" s="52">
      <c r="A1192" t="inlineStr">
        <is>
          <t>2025-10</t>
        </is>
      </c>
      <c r="B1192" t="inlineStr">
        <is>
          <t>Colombia</t>
        </is>
      </c>
      <c r="C1192" t="inlineStr">
        <is>
          <t>Coco Colombia</t>
        </is>
      </c>
      <c r="E1192" t="inlineStr">
        <is>
          <t>Real</t>
        </is>
      </c>
      <c r="F1192" t="inlineStr">
        <is>
          <t>distribucion_facturacion_tamano</t>
        </is>
      </c>
      <c r="H1192" t="inlineStr">
        <is>
          <t>Pequeños</t>
        </is>
      </c>
      <c r="I1192" t="n">
        <v>10</v>
      </c>
      <c r="J1192" t="inlineStr">
        <is>
          <t>%</t>
        </is>
      </c>
      <c r="L1192">
        <f>IFERROR(INDEX(Diccionario!$B:$B,MATCH(F1204,Diccionario!$C:$C,0)),"")</f>
        <v/>
      </c>
      <c r="M1192">
        <f>IFERROR(INDEX(Diccionario!$H:$H,MATCH(F1204,Diccionario!$C:$C,0)),"")</f>
        <v/>
      </c>
      <c r="N1192">
        <f>IFERROR(INDEX(Diccionario!$N:$N,MATCH(F1204,Diccionario!$C:$C,0)),"")</f>
        <v/>
      </c>
    </row>
    <row r="1193" ht="14.25" customHeight="1" s="52">
      <c r="A1193" t="inlineStr">
        <is>
          <t>2025-11</t>
        </is>
      </c>
      <c r="B1193" t="inlineStr">
        <is>
          <t>Colombia</t>
        </is>
      </c>
      <c r="C1193" t="inlineStr">
        <is>
          <t>Coco Colombia</t>
        </is>
      </c>
      <c r="E1193" t="inlineStr">
        <is>
          <t>Real</t>
        </is>
      </c>
      <c r="F1193" t="inlineStr">
        <is>
          <t>distribucion_facturacion_tamano</t>
        </is>
      </c>
      <c r="H1193" t="inlineStr">
        <is>
          <t>Pequeños</t>
        </is>
      </c>
      <c r="I1193" t="n">
        <v>5</v>
      </c>
      <c r="J1193" t="inlineStr">
        <is>
          <t>%</t>
        </is>
      </c>
      <c r="L1193">
        <f>IFERROR(INDEX(Diccionario!$B:$B,MATCH(F1205,Diccionario!$C:$C,0)),"")</f>
        <v/>
      </c>
      <c r="M1193">
        <f>IFERROR(INDEX(Diccionario!$H:$H,MATCH(F1205,Diccionario!$C:$C,0)),"")</f>
        <v/>
      </c>
      <c r="N1193">
        <f>IFERROR(INDEX(Diccionario!$N:$N,MATCH(F1205,Diccionario!$C:$C,0)),"")</f>
        <v/>
      </c>
    </row>
    <row r="1194" ht="14.25" customHeight="1" s="52">
      <c r="A1194" t="inlineStr">
        <is>
          <t>2025-12</t>
        </is>
      </c>
      <c r="B1194" t="inlineStr">
        <is>
          <t>Colombia</t>
        </is>
      </c>
      <c r="C1194" t="inlineStr">
        <is>
          <t>Coco Colombia</t>
        </is>
      </c>
      <c r="E1194" t="inlineStr">
        <is>
          <t>Real</t>
        </is>
      </c>
      <c r="F1194" t="inlineStr">
        <is>
          <t>distribucion_facturacion_tamano</t>
        </is>
      </c>
      <c r="H1194" t="inlineStr">
        <is>
          <t>Pequeños</t>
        </is>
      </c>
      <c r="I1194" t="n">
        <v>7</v>
      </c>
      <c r="J1194" t="inlineStr">
        <is>
          <t>%</t>
        </is>
      </c>
      <c r="L1194">
        <f>IFERROR(INDEX(Diccionario!$B:$B,MATCH(F1206,Diccionario!$C:$C,0)),"")</f>
        <v/>
      </c>
      <c r="M1194">
        <f>IFERROR(INDEX(Diccionario!$H:$H,MATCH(F1206,Diccionario!$C:$C,0)),"")</f>
        <v/>
      </c>
      <c r="N1194">
        <f>IFERROR(INDEX(Diccionario!$N:$N,MATCH(F1206,Diccionario!$C:$C,0)),"")</f>
        <v/>
      </c>
    </row>
    <row r="1195" ht="14.25" customHeight="1" s="52">
      <c r="A1195" t="inlineStr">
        <is>
          <t>2026-01</t>
        </is>
      </c>
      <c r="B1195" t="inlineStr">
        <is>
          <t>Colombia</t>
        </is>
      </c>
      <c r="C1195" t="inlineStr">
        <is>
          <t>Coco Colombia</t>
        </is>
      </c>
      <c r="E1195" t="inlineStr">
        <is>
          <t>Real</t>
        </is>
      </c>
      <c r="F1195" t="inlineStr">
        <is>
          <t>distribucion_facturacion_tamano</t>
        </is>
      </c>
      <c r="H1195" t="inlineStr">
        <is>
          <t>Pequeños</t>
        </is>
      </c>
      <c r="I1195" t="n">
        <v>5</v>
      </c>
      <c r="J1195" t="inlineStr">
        <is>
          <t>%</t>
        </is>
      </c>
      <c r="L1195">
        <f>IFERROR(INDEX(Diccionario!$B:$B,MATCH(F1207,Diccionario!$C:$C,0)),"")</f>
        <v/>
      </c>
      <c r="M1195">
        <f>IFERROR(INDEX(Diccionario!$H:$H,MATCH(F1207,Diccionario!$C:$C,0)),"")</f>
        <v/>
      </c>
      <c r="N1195">
        <f>IFERROR(INDEX(Diccionario!$N:$N,MATCH(F1207,Diccionario!$C:$C,0)),"")</f>
        <v/>
      </c>
    </row>
    <row r="1196" ht="14.25" customHeight="1" s="52">
      <c r="A1196" t="inlineStr">
        <is>
          <t>2026-02</t>
        </is>
      </c>
      <c r="B1196" t="inlineStr">
        <is>
          <t>Colombia</t>
        </is>
      </c>
      <c r="C1196" t="inlineStr">
        <is>
          <t>Coco Colombia</t>
        </is>
      </c>
      <c r="E1196" t="inlineStr">
        <is>
          <t>Real</t>
        </is>
      </c>
      <c r="F1196" t="inlineStr">
        <is>
          <t>distribucion_facturacion_tamano</t>
        </is>
      </c>
      <c r="H1196" t="inlineStr">
        <is>
          <t>Pequeños</t>
        </is>
      </c>
      <c r="I1196" t="n">
        <v>11</v>
      </c>
      <c r="J1196" t="inlineStr">
        <is>
          <t>%</t>
        </is>
      </c>
      <c r="L1196">
        <f>IFERROR(INDEX(Diccionario!$B:$B,MATCH(F1208,Diccionario!$C:$C,0)),"")</f>
        <v/>
      </c>
      <c r="M1196">
        <f>IFERROR(INDEX(Diccionario!$H:$H,MATCH(F1208,Diccionario!$C:$C,0)),"")</f>
        <v/>
      </c>
      <c r="N1196">
        <f>IFERROR(INDEX(Diccionario!$N:$N,MATCH(F1208,Diccionario!$C:$C,0)),"")</f>
        <v/>
      </c>
    </row>
    <row r="1197" ht="14.25" customHeight="1" s="52">
      <c r="A1197" t="inlineStr">
        <is>
          <t>2026-03</t>
        </is>
      </c>
      <c r="B1197" t="inlineStr">
        <is>
          <t>Colombia</t>
        </is>
      </c>
      <c r="C1197" t="inlineStr">
        <is>
          <t>Coco Colombia</t>
        </is>
      </c>
      <c r="E1197" t="inlineStr">
        <is>
          <t>Real</t>
        </is>
      </c>
      <c r="F1197" t="inlineStr">
        <is>
          <t>distribucion_facturacion_tamano</t>
        </is>
      </c>
      <c r="H1197" t="inlineStr">
        <is>
          <t>Pequeños</t>
        </is>
      </c>
      <c r="I1197" t="n">
        <v>12</v>
      </c>
      <c r="J1197" t="inlineStr">
        <is>
          <t>%</t>
        </is>
      </c>
      <c r="L1197">
        <f>IFERROR(INDEX(Diccionario!$B:$B,MATCH(F1209,Diccionario!$C:$C,0)),"")</f>
        <v/>
      </c>
      <c r="M1197">
        <f>IFERROR(INDEX(Diccionario!$H:$H,MATCH(F1209,Diccionario!$C:$C,0)),"")</f>
        <v/>
      </c>
      <c r="N1197">
        <f>IFERROR(INDEX(Diccionario!$N:$N,MATCH(F1209,Diccionario!$C:$C,0)),"")</f>
        <v/>
      </c>
    </row>
    <row r="1198" ht="14.25" customHeight="1" s="52">
      <c r="A1198" t="inlineStr">
        <is>
          <t>2026-04</t>
        </is>
      </c>
      <c r="B1198" t="inlineStr">
        <is>
          <t>Colombia</t>
        </is>
      </c>
      <c r="C1198" t="inlineStr">
        <is>
          <t>Coco Colombia</t>
        </is>
      </c>
      <c r="E1198" t="inlineStr">
        <is>
          <t>Real</t>
        </is>
      </c>
      <c r="F1198" t="inlineStr">
        <is>
          <t>distribucion_facturacion_tamano</t>
        </is>
      </c>
      <c r="H1198" t="inlineStr">
        <is>
          <t>Pequeños</t>
        </is>
      </c>
      <c r="I1198" t="n">
        <v>6</v>
      </c>
      <c r="J1198" t="inlineStr">
        <is>
          <t>%</t>
        </is>
      </c>
      <c r="L1198">
        <f>IFERROR(INDEX(Diccionario!$B:$B,MATCH(F1210,Diccionario!$C:$C,0)),"")</f>
        <v/>
      </c>
      <c r="M1198">
        <f>IFERROR(INDEX(Diccionario!$H:$H,MATCH(F1210,Diccionario!$C:$C,0)),"")</f>
        <v/>
      </c>
      <c r="N1198">
        <f>IFERROR(INDEX(Diccionario!$N:$N,MATCH(F1210,Diccionario!$C:$C,0)),"")</f>
        <v/>
      </c>
    </row>
    <row r="1199" ht="14.25" customHeight="1" s="52">
      <c r="A1199" t="inlineStr">
        <is>
          <t>2026-05</t>
        </is>
      </c>
      <c r="B1199" t="inlineStr">
        <is>
          <t>Colombia</t>
        </is>
      </c>
      <c r="C1199" t="inlineStr">
        <is>
          <t>Coco Colombia</t>
        </is>
      </c>
      <c r="E1199" t="inlineStr">
        <is>
          <t>Real</t>
        </is>
      </c>
      <c r="F1199" t="inlineStr">
        <is>
          <t>distribucion_facturacion_tamano</t>
        </is>
      </c>
      <c r="H1199" t="inlineStr">
        <is>
          <t>Pequeños</t>
        </is>
      </c>
      <c r="I1199" t="n">
        <v>7</v>
      </c>
      <c r="J1199" t="inlineStr">
        <is>
          <t>%</t>
        </is>
      </c>
      <c r="L1199">
        <f>IFERROR(INDEX(Diccionario!$B:$B,MATCH(F1211,Diccionario!$C:$C,0)),"")</f>
        <v/>
      </c>
      <c r="M1199">
        <f>IFERROR(INDEX(Diccionario!$H:$H,MATCH(F1211,Diccionario!$C:$C,0)),"")</f>
        <v/>
      </c>
      <c r="N1199">
        <f>IFERROR(INDEX(Diccionario!$N:$N,MATCH(F1211,Diccionario!$C:$C,0)),"")</f>
        <v/>
      </c>
    </row>
    <row r="1200" ht="14.25" customHeight="1" s="52">
      <c r="A1200" t="inlineStr">
        <is>
          <t>2026-05</t>
        </is>
      </c>
      <c r="B1200" t="inlineStr">
        <is>
          <t>Colombia</t>
        </is>
      </c>
      <c r="C1200" t="inlineStr">
        <is>
          <t>Coco Colombia</t>
        </is>
      </c>
      <c r="E1200" t="inlineStr">
        <is>
          <t>Real</t>
        </is>
      </c>
      <c r="F1200" t="inlineStr">
        <is>
          <t>cartera_vencida_cliente</t>
        </is>
      </c>
      <c r="H1200" t="inlineStr">
        <is>
          <t>Cohan</t>
        </is>
      </c>
      <c r="I1200" t="n">
        <v>11</v>
      </c>
      <c r="J1200" t="inlineStr">
        <is>
          <t>%</t>
        </is>
      </c>
      <c r="L1200">
        <f>IFERROR(INDEX(Diccionario!$B:$B,MATCH(F1212,Diccionario!$C:$C,0)),"")</f>
        <v/>
      </c>
      <c r="M1200">
        <f>IFERROR(INDEX(Diccionario!$H:$H,MATCH(F1212,Diccionario!$C:$C,0)),"")</f>
        <v/>
      </c>
      <c r="N1200">
        <f>IFERROR(INDEX(Diccionario!$N:$N,MATCH(F1212,Diccionario!$C:$C,0)),"")</f>
        <v/>
      </c>
    </row>
    <row r="1201" ht="14.25" customHeight="1" s="52">
      <c r="A1201" t="inlineStr">
        <is>
          <t>2026-05</t>
        </is>
      </c>
      <c r="B1201" t="inlineStr">
        <is>
          <t>Colombia</t>
        </is>
      </c>
      <c r="C1201" t="inlineStr">
        <is>
          <t>Coco Colombia</t>
        </is>
      </c>
      <c r="E1201" t="inlineStr">
        <is>
          <t>Real</t>
        </is>
      </c>
      <c r="F1201" t="inlineStr">
        <is>
          <t>cartera_vencida_cliente</t>
        </is>
      </c>
      <c r="H1201" t="inlineStr">
        <is>
          <t>Caguan</t>
        </is>
      </c>
      <c r="I1201" t="n">
        <v>7</v>
      </c>
      <c r="J1201" t="inlineStr">
        <is>
          <t>%</t>
        </is>
      </c>
      <c r="L1201">
        <f>IFERROR(INDEX(Diccionario!$B:$B,MATCH(F1213,Diccionario!$C:$C,0)),"")</f>
        <v/>
      </c>
      <c r="M1201">
        <f>IFERROR(INDEX(Diccionario!$H:$H,MATCH(F1213,Diccionario!$C:$C,0)),"")</f>
        <v/>
      </c>
      <c r="N1201">
        <f>IFERROR(INDEX(Diccionario!$N:$N,MATCH(F1213,Diccionario!$C:$C,0)),"")</f>
        <v/>
      </c>
    </row>
    <row r="1202" ht="14.25" customHeight="1" s="52">
      <c r="A1202" t="inlineStr">
        <is>
          <t>2026-05</t>
        </is>
      </c>
      <c r="B1202" t="inlineStr">
        <is>
          <t>Colombia</t>
        </is>
      </c>
      <c r="C1202" t="inlineStr">
        <is>
          <t>Coco Colombia</t>
        </is>
      </c>
      <c r="E1202" t="inlineStr">
        <is>
          <t>Real</t>
        </is>
      </c>
      <c r="F1202" t="inlineStr">
        <is>
          <t>cartera_vencida_cliente</t>
        </is>
      </c>
      <c r="H1202" t="inlineStr">
        <is>
          <t>Icor</t>
        </is>
      </c>
      <c r="I1202" t="n">
        <v>5</v>
      </c>
      <c r="J1202" t="inlineStr">
        <is>
          <t>%</t>
        </is>
      </c>
      <c r="L1202">
        <f>IFERROR(INDEX(Diccionario!$B:$B,MATCH(F1214,Diccionario!$C:$C,0)),"")</f>
        <v/>
      </c>
      <c r="M1202">
        <f>IFERROR(INDEX(Diccionario!$H:$H,MATCH(F1214,Diccionario!$C:$C,0)),"")</f>
        <v/>
      </c>
      <c r="N1202">
        <f>IFERROR(INDEX(Diccionario!$N:$N,MATCH(F1214,Diccionario!$C:$C,0)),"")</f>
        <v/>
      </c>
    </row>
    <row r="1203" ht="14.25" customHeight="1" s="52">
      <c r="A1203" t="inlineStr">
        <is>
          <t>2026-05</t>
        </is>
      </c>
      <c r="B1203" t="inlineStr">
        <is>
          <t>Colombia</t>
        </is>
      </c>
      <c r="C1203" t="inlineStr">
        <is>
          <t>Coco Colombia</t>
        </is>
      </c>
      <c r="E1203" t="inlineStr">
        <is>
          <t>Real</t>
        </is>
      </c>
      <c r="F1203" t="inlineStr">
        <is>
          <t>cartera_vencida_cliente</t>
        </is>
      </c>
      <c r="H1203" t="inlineStr">
        <is>
          <t>Ceminsa</t>
        </is>
      </c>
      <c r="I1203" t="n">
        <v>6</v>
      </c>
      <c r="J1203" t="inlineStr">
        <is>
          <t>%</t>
        </is>
      </c>
      <c r="L1203">
        <f>IFERROR(INDEX(Diccionario!$B:$B,MATCH(F1215,Diccionario!$C:$C,0)),"")</f>
        <v/>
      </c>
      <c r="M1203">
        <f>IFERROR(INDEX(Diccionario!$H:$H,MATCH(F1215,Diccionario!$C:$C,0)),"")</f>
        <v/>
      </c>
      <c r="N1203">
        <f>IFERROR(INDEX(Diccionario!$N:$N,MATCH(F1215,Diccionario!$C:$C,0)),"")</f>
        <v/>
      </c>
    </row>
    <row r="1204" ht="14.25" customHeight="1" s="52">
      <c r="A1204" t="inlineStr">
        <is>
          <t>2026-05</t>
        </is>
      </c>
      <c r="B1204" t="inlineStr">
        <is>
          <t>Colombia</t>
        </is>
      </c>
      <c r="C1204" t="inlineStr">
        <is>
          <t>Coco Colombia</t>
        </is>
      </c>
      <c r="E1204" t="inlineStr">
        <is>
          <t>Real</t>
        </is>
      </c>
      <c r="F1204" t="inlineStr">
        <is>
          <t>cartera_vencida_cliente</t>
        </is>
      </c>
      <c r="H1204" t="inlineStr">
        <is>
          <t>HUS</t>
        </is>
      </c>
      <c r="I1204" t="n">
        <v>4</v>
      </c>
      <c r="J1204" t="inlineStr">
        <is>
          <t>%</t>
        </is>
      </c>
      <c r="L1204">
        <f>IFERROR(INDEX(Diccionario!$B:$B,MATCH(F1216,Diccionario!$C:$C,0)),"")</f>
        <v/>
      </c>
      <c r="M1204">
        <f>IFERROR(INDEX(Diccionario!$H:$H,MATCH(F1216,Diccionario!$C:$C,0)),"")</f>
        <v/>
      </c>
      <c r="N1204">
        <f>IFERROR(INDEX(Diccionario!$N:$N,MATCH(F1216,Diccionario!$C:$C,0)),"")</f>
        <v/>
      </c>
    </row>
    <row r="1205" ht="14.25" customHeight="1" s="52">
      <c r="A1205" t="inlineStr">
        <is>
          <t>2026-05</t>
        </is>
      </c>
      <c r="B1205" t="inlineStr">
        <is>
          <t>Colombia</t>
        </is>
      </c>
      <c r="C1205" t="inlineStr">
        <is>
          <t>Coco Colombia</t>
        </is>
      </c>
      <c r="E1205" t="inlineStr">
        <is>
          <t>Real</t>
        </is>
      </c>
      <c r="F1205" t="inlineStr">
        <is>
          <t>cartera_vencida_cliente</t>
        </is>
      </c>
      <c r="H1205" t="inlineStr">
        <is>
          <t>La Mesa</t>
        </is>
      </c>
      <c r="I1205" t="n">
        <v>4</v>
      </c>
      <c r="J1205" t="inlineStr">
        <is>
          <t>%</t>
        </is>
      </c>
      <c r="L1205">
        <f>IFERROR(INDEX(Diccionario!$B:$B,MATCH(F1217,Diccionario!$C:$C,0)),"")</f>
        <v/>
      </c>
      <c r="M1205">
        <f>IFERROR(INDEX(Diccionario!$H:$H,MATCH(F1217,Diccionario!$C:$C,0)),"")</f>
        <v/>
      </c>
      <c r="N1205">
        <f>IFERROR(INDEX(Diccionario!$N:$N,MATCH(F1217,Diccionario!$C:$C,0)),"")</f>
        <v/>
      </c>
    </row>
    <row r="1206" ht="14.25" customHeight="1" s="52">
      <c r="A1206" t="inlineStr">
        <is>
          <t>2026-05</t>
        </is>
      </c>
      <c r="B1206" t="inlineStr">
        <is>
          <t>Colombia</t>
        </is>
      </c>
      <c r="C1206" t="inlineStr">
        <is>
          <t>Coco Colombia</t>
        </is>
      </c>
      <c r="E1206" t="inlineStr">
        <is>
          <t>Real</t>
        </is>
      </c>
      <c r="F1206" t="inlineStr">
        <is>
          <t>cartera_vencida_cliente</t>
        </is>
      </c>
      <c r="H1206" t="inlineStr">
        <is>
          <t>Ciegos y Sordos</t>
        </is>
      </c>
      <c r="I1206" t="n">
        <v>4</v>
      </c>
      <c r="J1206" t="inlineStr">
        <is>
          <t>%</t>
        </is>
      </c>
      <c r="L1206">
        <f>IFERROR(INDEX(Diccionario!$B:$B,MATCH(F1218,Diccionario!$C:$C,0)),"")</f>
        <v/>
      </c>
      <c r="M1206">
        <f>IFERROR(INDEX(Diccionario!$H:$H,MATCH(F1218,Diccionario!$C:$C,0)),"")</f>
        <v/>
      </c>
      <c r="N1206">
        <f>IFERROR(INDEX(Diccionario!$N:$N,MATCH(F1218,Diccionario!$C:$C,0)),"")</f>
        <v/>
      </c>
    </row>
    <row r="1207" ht="14.25" customHeight="1" s="52">
      <c r="A1207" t="inlineStr">
        <is>
          <t>2026-05</t>
        </is>
      </c>
      <c r="B1207" t="inlineStr">
        <is>
          <t>Colombia</t>
        </is>
      </c>
      <c r="C1207" t="inlineStr">
        <is>
          <t>Coco Colombia</t>
        </is>
      </c>
      <c r="E1207" t="inlineStr">
        <is>
          <t>Real</t>
        </is>
      </c>
      <c r="F1207" t="inlineStr">
        <is>
          <t>cartera_vencida_cliente</t>
        </is>
      </c>
      <c r="H1207" t="inlineStr">
        <is>
          <t>Otros</t>
        </is>
      </c>
      <c r="I1207" t="n">
        <v>59</v>
      </c>
      <c r="J1207" t="inlineStr">
        <is>
          <t>%</t>
        </is>
      </c>
      <c r="L1207">
        <f>IFERROR(INDEX(Diccionario!$B:$B,MATCH(F1219,Diccionario!$C:$C,0)),"")</f>
        <v/>
      </c>
      <c r="M1207">
        <f>IFERROR(INDEX(Diccionario!$H:$H,MATCH(F1219,Diccionario!$C:$C,0)),"")</f>
        <v/>
      </c>
      <c r="N1207">
        <f>IFERROR(INDEX(Diccionario!$N:$N,MATCH(F1219,Diccionario!$C:$C,0)),"")</f>
        <v/>
      </c>
    </row>
    <row r="1208" ht="14.25" customHeight="1" s="52">
      <c r="A1208" t="inlineStr">
        <is>
          <t>2023-12</t>
        </is>
      </c>
      <c r="B1208" t="inlineStr">
        <is>
          <t>Colombia</t>
        </is>
      </c>
      <c r="C1208" t="inlineStr">
        <is>
          <t>Coco Colombia</t>
        </is>
      </c>
      <c r="E1208" t="inlineStr">
        <is>
          <t>Real</t>
        </is>
      </c>
      <c r="F1208" t="inlineStr">
        <is>
          <t>distribucion_ingresos</t>
        </is>
      </c>
      <c r="H1208" t="inlineStr">
        <is>
          <t>Recurrente</t>
        </is>
      </c>
      <c r="I1208" t="n">
        <v>84</v>
      </c>
      <c r="J1208" t="inlineStr">
        <is>
          <t>%</t>
        </is>
      </c>
      <c r="K1208" t="inlineStr">
        <is>
          <t>Año 2023</t>
        </is>
      </c>
      <c r="L1208">
        <f>IFERROR(INDEX(Diccionario!$B:$B,MATCH(F1220,Diccionario!$C:$C,0)),"")</f>
        <v/>
      </c>
      <c r="M1208">
        <f>IFERROR(INDEX(Diccionario!$H:$H,MATCH(F1220,Diccionario!$C:$C,0)),"")</f>
        <v/>
      </c>
      <c r="N1208">
        <f>IFERROR(INDEX(Diccionario!$N:$N,MATCH(F1220,Diccionario!$C:$C,0)),"")</f>
        <v/>
      </c>
    </row>
    <row r="1209" ht="14.25" customHeight="1" s="52">
      <c r="A1209" t="inlineStr">
        <is>
          <t>2025-12</t>
        </is>
      </c>
      <c r="B1209" t="inlineStr">
        <is>
          <t>Colombia</t>
        </is>
      </c>
      <c r="C1209" t="inlineStr">
        <is>
          <t>Coco Colombia</t>
        </is>
      </c>
      <c r="E1209" t="inlineStr">
        <is>
          <t>Real</t>
        </is>
      </c>
      <c r="F1209" t="inlineStr">
        <is>
          <t>distribucion_ingresos</t>
        </is>
      </c>
      <c r="H1209" t="inlineStr">
        <is>
          <t>Recurrente</t>
        </is>
      </c>
      <c r="I1209" t="n">
        <v>89.90000000000001</v>
      </c>
      <c r="J1209" t="inlineStr">
        <is>
          <t>%</t>
        </is>
      </c>
      <c r="K1209" t="inlineStr">
        <is>
          <t>Año 2025</t>
        </is>
      </c>
      <c r="L1209">
        <f>IFERROR(INDEX(Diccionario!$B:$B,MATCH(F1221,Diccionario!$C:$C,0)),"")</f>
        <v/>
      </c>
      <c r="M1209">
        <f>IFERROR(INDEX(Diccionario!$H:$H,MATCH(F1221,Diccionario!$C:$C,0)),"")</f>
        <v/>
      </c>
      <c r="N1209">
        <f>IFERROR(INDEX(Diccionario!$N:$N,MATCH(F1221,Diccionario!$C:$C,0)),"")</f>
        <v/>
      </c>
    </row>
    <row r="1210" ht="14.25" customHeight="1" s="52">
      <c r="A1210" t="inlineStr">
        <is>
          <t>2026-05</t>
        </is>
      </c>
      <c r="B1210" t="inlineStr">
        <is>
          <t>Colombia</t>
        </is>
      </c>
      <c r="C1210" t="inlineStr">
        <is>
          <t>Coco Colombia</t>
        </is>
      </c>
      <c r="E1210" t="inlineStr">
        <is>
          <t>Real</t>
        </is>
      </c>
      <c r="F1210" t="inlineStr">
        <is>
          <t>distribucion_ingresos</t>
        </is>
      </c>
      <c r="H1210" t="inlineStr">
        <is>
          <t>Recurrente</t>
        </is>
      </c>
      <c r="I1210" t="n">
        <v>92.90000000000001</v>
      </c>
      <c r="J1210" t="inlineStr">
        <is>
          <t>%</t>
        </is>
      </c>
      <c r="K1210" t="inlineStr">
        <is>
          <t>Año 2026 YTD</t>
        </is>
      </c>
      <c r="L1210">
        <f>IFERROR(INDEX(Diccionario!$B:$B,MATCH(F1222,Diccionario!$C:$C,0)),"")</f>
        <v/>
      </c>
      <c r="M1210">
        <f>IFERROR(INDEX(Diccionario!$H:$H,MATCH(F1222,Diccionario!$C:$C,0)),"")</f>
        <v/>
      </c>
      <c r="N1210">
        <f>IFERROR(INDEX(Diccionario!$N:$N,MATCH(F1222,Diccionario!$C:$C,0)),"")</f>
        <v/>
      </c>
    </row>
    <row r="1211" ht="14.25" customHeight="1" s="52">
      <c r="A1211" t="inlineStr">
        <is>
          <t>2023-12</t>
        </is>
      </c>
      <c r="B1211" t="inlineStr">
        <is>
          <t>Colombia</t>
        </is>
      </c>
      <c r="C1211" t="inlineStr">
        <is>
          <t>Coco Colombia</t>
        </is>
      </c>
      <c r="E1211" t="inlineStr">
        <is>
          <t>Real</t>
        </is>
      </c>
      <c r="F1211" t="inlineStr">
        <is>
          <t>distribucion_ingresos</t>
        </is>
      </c>
      <c r="H1211" t="inlineStr">
        <is>
          <t>Variable</t>
        </is>
      </c>
      <c r="I1211" t="n">
        <v>16</v>
      </c>
      <c r="J1211" t="inlineStr">
        <is>
          <t>%</t>
        </is>
      </c>
      <c r="K1211" t="inlineStr">
        <is>
          <t>Año 2023</t>
        </is>
      </c>
      <c r="L1211">
        <f>IFERROR(INDEX(Diccionario!$B:$B,MATCH(F1223,Diccionario!$C:$C,0)),"")</f>
        <v/>
      </c>
      <c r="M1211">
        <f>IFERROR(INDEX(Diccionario!$H:$H,MATCH(F1223,Diccionario!$C:$C,0)),"")</f>
        <v/>
      </c>
      <c r="N1211">
        <f>IFERROR(INDEX(Diccionario!$N:$N,MATCH(F1223,Diccionario!$C:$C,0)),"")</f>
        <v/>
      </c>
    </row>
    <row r="1212" ht="14.25" customHeight="1" s="52">
      <c r="A1212" t="inlineStr">
        <is>
          <t>2025-12</t>
        </is>
      </c>
      <c r="B1212" t="inlineStr">
        <is>
          <t>Colombia</t>
        </is>
      </c>
      <c r="C1212" t="inlineStr">
        <is>
          <t>Coco Colombia</t>
        </is>
      </c>
      <c r="E1212" t="inlineStr">
        <is>
          <t>Real</t>
        </is>
      </c>
      <c r="F1212" t="inlineStr">
        <is>
          <t>distribucion_ingresos</t>
        </is>
      </c>
      <c r="H1212" t="inlineStr">
        <is>
          <t>Variable</t>
        </is>
      </c>
      <c r="I1212" t="n">
        <v>3.1</v>
      </c>
      <c r="J1212" t="inlineStr">
        <is>
          <t>%</t>
        </is>
      </c>
      <c r="K1212" t="inlineStr">
        <is>
          <t>Año 2025</t>
        </is>
      </c>
      <c r="L1212">
        <f>IFERROR(INDEX(Diccionario!$B:$B,MATCH(F1224,Diccionario!$C:$C,0)),"")</f>
        <v/>
      </c>
      <c r="M1212">
        <f>IFERROR(INDEX(Diccionario!$H:$H,MATCH(F1224,Diccionario!$C:$C,0)),"")</f>
        <v/>
      </c>
      <c r="N1212">
        <f>IFERROR(INDEX(Diccionario!$N:$N,MATCH(F1224,Diccionario!$C:$C,0)),"")</f>
        <v/>
      </c>
    </row>
    <row r="1213" ht="14.25" customHeight="1" s="52">
      <c r="A1213" t="inlineStr">
        <is>
          <t>2026-05</t>
        </is>
      </c>
      <c r="B1213" t="inlineStr">
        <is>
          <t>Colombia</t>
        </is>
      </c>
      <c r="C1213" t="inlineStr">
        <is>
          <t>Coco Colombia</t>
        </is>
      </c>
      <c r="E1213" t="inlineStr">
        <is>
          <t>Real</t>
        </is>
      </c>
      <c r="F1213" t="inlineStr">
        <is>
          <t>distribucion_ingresos</t>
        </is>
      </c>
      <c r="H1213" t="inlineStr">
        <is>
          <t>Variable</t>
        </is>
      </c>
      <c r="I1213" t="n">
        <v>3.3</v>
      </c>
      <c r="J1213" t="inlineStr">
        <is>
          <t>%</t>
        </is>
      </c>
      <c r="K1213" t="inlineStr">
        <is>
          <t>Año 2026 YTD</t>
        </is>
      </c>
      <c r="L1213">
        <f>IFERROR(INDEX(Diccionario!$B:$B,MATCH(F1225,Diccionario!$C:$C,0)),"")</f>
        <v/>
      </c>
      <c r="M1213">
        <f>IFERROR(INDEX(Diccionario!$H:$H,MATCH(F1225,Diccionario!$C:$C,0)),"")</f>
        <v/>
      </c>
      <c r="N1213">
        <f>IFERROR(INDEX(Diccionario!$N:$N,MATCH(F1225,Diccionario!$C:$C,0)),"")</f>
        <v/>
      </c>
    </row>
    <row r="1214" ht="14.25" customHeight="1" s="52">
      <c r="A1214" t="inlineStr">
        <is>
          <t>2023-12</t>
        </is>
      </c>
      <c r="B1214" t="inlineStr">
        <is>
          <t>Colombia</t>
        </is>
      </c>
      <c r="C1214" t="inlineStr">
        <is>
          <t>Coco Colombia</t>
        </is>
      </c>
      <c r="E1214" t="inlineStr">
        <is>
          <t>Real</t>
        </is>
      </c>
      <c r="F1214" t="inlineStr">
        <is>
          <t>distribucion_ingresos</t>
        </is>
      </c>
      <c r="H1214" t="inlineStr">
        <is>
          <t>Implementaciones</t>
        </is>
      </c>
      <c r="I1214" t="n">
        <v>0</v>
      </c>
      <c r="J1214" t="inlineStr">
        <is>
          <t>%</t>
        </is>
      </c>
      <c r="K1214" t="inlineStr">
        <is>
          <t>Año 2023</t>
        </is>
      </c>
      <c r="L1214">
        <f>IFERROR(INDEX(Diccionario!$B:$B,MATCH(F1226,Diccionario!$C:$C,0)),"")</f>
        <v/>
      </c>
      <c r="M1214">
        <f>IFERROR(INDEX(Diccionario!$H:$H,MATCH(F1226,Diccionario!$C:$C,0)),"")</f>
        <v/>
      </c>
      <c r="N1214">
        <f>IFERROR(INDEX(Diccionario!$N:$N,MATCH(F1226,Diccionario!$C:$C,0)),"")</f>
        <v/>
      </c>
    </row>
    <row r="1215" ht="14.25" customHeight="1" s="52">
      <c r="A1215" t="inlineStr">
        <is>
          <t>2025-12</t>
        </is>
      </c>
      <c r="B1215" t="inlineStr">
        <is>
          <t>Colombia</t>
        </is>
      </c>
      <c r="C1215" t="inlineStr">
        <is>
          <t>Coco Colombia</t>
        </is>
      </c>
      <c r="E1215" t="inlineStr">
        <is>
          <t>Real</t>
        </is>
      </c>
      <c r="F1215" t="inlineStr">
        <is>
          <t>distribucion_ingresos</t>
        </is>
      </c>
      <c r="H1215" t="inlineStr">
        <is>
          <t>Implementaciones</t>
        </is>
      </c>
      <c r="I1215" t="n">
        <v>4.2</v>
      </c>
      <c r="J1215" t="inlineStr">
        <is>
          <t>%</t>
        </is>
      </c>
      <c r="K1215" t="inlineStr">
        <is>
          <t>Año 2025</t>
        </is>
      </c>
      <c r="L1215">
        <f>IFERROR(INDEX(Diccionario!$B:$B,MATCH(F1227,Diccionario!$C:$C,0)),"")</f>
        <v/>
      </c>
      <c r="M1215">
        <f>IFERROR(INDEX(Diccionario!$H:$H,MATCH(F1227,Diccionario!$C:$C,0)),"")</f>
        <v/>
      </c>
      <c r="N1215">
        <f>IFERROR(INDEX(Diccionario!$N:$N,MATCH(F1227,Diccionario!$C:$C,0)),"")</f>
        <v/>
      </c>
    </row>
    <row r="1216" ht="14.25" customHeight="1" s="52">
      <c r="A1216" t="inlineStr">
        <is>
          <t>2026-05</t>
        </is>
      </c>
      <c r="B1216" t="inlineStr">
        <is>
          <t>Colombia</t>
        </is>
      </c>
      <c r="C1216" t="inlineStr">
        <is>
          <t>Coco Colombia</t>
        </is>
      </c>
      <c r="E1216" t="inlineStr">
        <is>
          <t>Real</t>
        </is>
      </c>
      <c r="F1216" t="inlineStr">
        <is>
          <t>distribucion_ingresos</t>
        </is>
      </c>
      <c r="H1216" t="inlineStr">
        <is>
          <t>Implementaciones</t>
        </is>
      </c>
      <c r="I1216" t="n">
        <v>0.6</v>
      </c>
      <c r="J1216" t="inlineStr">
        <is>
          <t>%</t>
        </is>
      </c>
      <c r="K1216" t="inlineStr">
        <is>
          <t>Año 2026 YTD</t>
        </is>
      </c>
      <c r="L1216">
        <f>IFERROR(INDEX(Diccionario!$B:$B,MATCH(F1228,Diccionario!$C:$C,0)),"")</f>
        <v/>
      </c>
      <c r="M1216">
        <f>IFERROR(INDEX(Diccionario!$H:$H,MATCH(F1228,Diccionario!$C:$C,0)),"")</f>
        <v/>
      </c>
      <c r="N1216">
        <f>IFERROR(INDEX(Diccionario!$N:$N,MATCH(F1228,Diccionario!$C:$C,0)),"")</f>
        <v/>
      </c>
    </row>
    <row r="1217" ht="14.25" customHeight="1" s="52">
      <c r="A1217" t="inlineStr">
        <is>
          <t>2023-12</t>
        </is>
      </c>
      <c r="B1217" t="inlineStr">
        <is>
          <t>Colombia</t>
        </is>
      </c>
      <c r="C1217" t="inlineStr">
        <is>
          <t>Coco Colombia</t>
        </is>
      </c>
      <c r="E1217" t="inlineStr">
        <is>
          <t>Real</t>
        </is>
      </c>
      <c r="F1217" t="inlineStr">
        <is>
          <t>distribucion_ingresos</t>
        </is>
      </c>
      <c r="H1217" t="inlineStr">
        <is>
          <t>Internacional</t>
        </is>
      </c>
      <c r="I1217" t="n">
        <v>0</v>
      </c>
      <c r="J1217" t="inlineStr">
        <is>
          <t>%</t>
        </is>
      </c>
      <c r="K1217" t="inlineStr">
        <is>
          <t>Año 2023</t>
        </is>
      </c>
      <c r="L1217">
        <f>IFERROR(INDEX(Diccionario!$B:$B,MATCH(F1229,Diccionario!$C:$C,0)),"")</f>
        <v/>
      </c>
      <c r="M1217">
        <f>IFERROR(INDEX(Diccionario!$H:$H,MATCH(F1229,Diccionario!$C:$C,0)),"")</f>
        <v/>
      </c>
      <c r="N1217">
        <f>IFERROR(INDEX(Diccionario!$N:$N,MATCH(F1229,Diccionario!$C:$C,0)),"")</f>
        <v/>
      </c>
    </row>
    <row r="1218" ht="14.25" customHeight="1" s="52">
      <c r="A1218" t="inlineStr">
        <is>
          <t>2025-12</t>
        </is>
      </c>
      <c r="B1218" t="inlineStr">
        <is>
          <t>Colombia</t>
        </is>
      </c>
      <c r="C1218" t="inlineStr">
        <is>
          <t>Coco Colombia</t>
        </is>
      </c>
      <c r="E1218" t="inlineStr">
        <is>
          <t>Real</t>
        </is>
      </c>
      <c r="F1218" t="inlineStr">
        <is>
          <t>distribucion_ingresos</t>
        </is>
      </c>
      <c r="H1218" t="inlineStr">
        <is>
          <t>Internacional</t>
        </is>
      </c>
      <c r="I1218" t="n">
        <v>3.1</v>
      </c>
      <c r="J1218" t="inlineStr">
        <is>
          <t>%</t>
        </is>
      </c>
      <c r="K1218" t="inlineStr">
        <is>
          <t>Año 2025</t>
        </is>
      </c>
      <c r="L1218">
        <f>IFERROR(INDEX(Diccionario!$B:$B,MATCH(F1230,Diccionario!$C:$C,0)),"")</f>
        <v/>
      </c>
      <c r="M1218">
        <f>IFERROR(INDEX(Diccionario!$H:$H,MATCH(F1230,Diccionario!$C:$C,0)),"")</f>
        <v/>
      </c>
      <c r="N1218">
        <f>IFERROR(INDEX(Diccionario!$N:$N,MATCH(F1230,Diccionario!$C:$C,0)),"")</f>
        <v/>
      </c>
    </row>
    <row r="1219" ht="14.25" customHeight="1" s="52">
      <c r="A1219" t="inlineStr">
        <is>
          <t>2026-05</t>
        </is>
      </c>
      <c r="B1219" t="inlineStr">
        <is>
          <t>Colombia</t>
        </is>
      </c>
      <c r="C1219" t="inlineStr">
        <is>
          <t>Coco Colombia</t>
        </is>
      </c>
      <c r="E1219" t="inlineStr">
        <is>
          <t>Real</t>
        </is>
      </c>
      <c r="F1219" t="inlineStr">
        <is>
          <t>distribucion_ingresos</t>
        </is>
      </c>
      <c r="H1219" t="inlineStr">
        <is>
          <t>Internacional</t>
        </is>
      </c>
      <c r="I1219" t="n">
        <v>3.2</v>
      </c>
      <c r="J1219" t="inlineStr">
        <is>
          <t>%</t>
        </is>
      </c>
      <c r="K1219" t="inlineStr">
        <is>
          <t>Año 2026 YTD</t>
        </is>
      </c>
      <c r="L1219">
        <f>IFERROR(INDEX(Diccionario!$B:$B,MATCH(F1231,Diccionario!$C:$C,0)),"")</f>
        <v/>
      </c>
      <c r="M1219">
        <f>IFERROR(INDEX(Diccionario!$H:$H,MATCH(F1231,Diccionario!$C:$C,0)),"")</f>
        <v/>
      </c>
      <c r="N1219">
        <f>IFERROR(INDEX(Diccionario!$N:$N,MATCH(F1231,Diccionario!$C:$C,0)),"")</f>
        <v/>
      </c>
    </row>
    <row r="1220" ht="14.25" customHeight="1" s="52">
      <c r="A1220" t="inlineStr">
        <is>
          <t>2026-05</t>
        </is>
      </c>
      <c r="B1220" t="inlineStr">
        <is>
          <t>Colombia</t>
        </is>
      </c>
      <c r="C1220" t="inlineStr">
        <is>
          <t>Coco Colombia</t>
        </is>
      </c>
      <c r="E1220" t="inlineStr">
        <is>
          <t>Real</t>
        </is>
      </c>
      <c r="F1220" t="inlineStr">
        <is>
          <t>salario_area_pct</t>
        </is>
      </c>
      <c r="H1220" t="inlineStr">
        <is>
          <t>Desarrollo</t>
        </is>
      </c>
      <c r="I1220" t="n">
        <v>39.05</v>
      </c>
      <c r="J1220" t="inlineStr">
        <is>
          <t>%</t>
        </is>
      </c>
      <c r="L1220">
        <f>IFERROR(INDEX(Diccionario!$B:$B,MATCH(F1232,Diccionario!$C:$C,0)),"")</f>
        <v/>
      </c>
      <c r="M1220">
        <f>IFERROR(INDEX(Diccionario!$H:$H,MATCH(F1232,Diccionario!$C:$C,0)),"")</f>
        <v/>
      </c>
      <c r="N1220">
        <f>IFERROR(INDEX(Diccionario!$N:$N,MATCH(F1232,Diccionario!$C:$C,0)),"")</f>
        <v/>
      </c>
    </row>
    <row r="1221" ht="14.25" customHeight="1" s="52">
      <c r="A1221" t="inlineStr">
        <is>
          <t>2026-05</t>
        </is>
      </c>
      <c r="B1221" t="inlineStr">
        <is>
          <t>Colombia</t>
        </is>
      </c>
      <c r="C1221" t="inlineStr">
        <is>
          <t>Coco Colombia</t>
        </is>
      </c>
      <c r="E1221" t="inlineStr">
        <is>
          <t>Real</t>
        </is>
      </c>
      <c r="F1221" t="inlineStr">
        <is>
          <t>salario_area_pct</t>
        </is>
      </c>
      <c r="H1221" t="inlineStr">
        <is>
          <t>Operaciones</t>
        </is>
      </c>
      <c r="I1221" t="n">
        <v>22</v>
      </c>
      <c r="J1221" t="inlineStr">
        <is>
          <t>%</t>
        </is>
      </c>
      <c r="L1221">
        <f>IFERROR(INDEX(Diccionario!$B:$B,MATCH(F1233,Diccionario!$C:$C,0)),"")</f>
        <v/>
      </c>
      <c r="M1221">
        <f>IFERROR(INDEX(Diccionario!$H:$H,MATCH(F1233,Diccionario!$C:$C,0)),"")</f>
        <v/>
      </c>
      <c r="N1221">
        <f>IFERROR(INDEX(Diccionario!$N:$N,MATCH(F1233,Diccionario!$C:$C,0)),"")</f>
        <v/>
      </c>
    </row>
    <row r="1222" ht="14.25" customHeight="1" s="52">
      <c r="A1222" t="inlineStr">
        <is>
          <t>2026-05</t>
        </is>
      </c>
      <c r="B1222" t="inlineStr">
        <is>
          <t>Colombia</t>
        </is>
      </c>
      <c r="C1222" t="inlineStr">
        <is>
          <t>Coco Colombia</t>
        </is>
      </c>
      <c r="E1222" t="inlineStr">
        <is>
          <t>Real</t>
        </is>
      </c>
      <c r="F1222" t="inlineStr">
        <is>
          <t>salario_area_pct</t>
        </is>
      </c>
      <c r="H1222" t="inlineStr">
        <is>
          <t>Comercial</t>
        </is>
      </c>
      <c r="I1222" t="n">
        <v>20.12</v>
      </c>
      <c r="J1222" t="inlineStr">
        <is>
          <t>%</t>
        </is>
      </c>
      <c r="L1222">
        <f>IFERROR(INDEX(Diccionario!$B:$B,MATCH(F1234,Diccionario!$C:$C,0)),"")</f>
        <v/>
      </c>
      <c r="M1222">
        <f>IFERROR(INDEX(Diccionario!$H:$H,MATCH(F1234,Diccionario!$C:$C,0)),"")</f>
        <v/>
      </c>
      <c r="N1222">
        <f>IFERROR(INDEX(Diccionario!$N:$N,MATCH(F1234,Diccionario!$C:$C,0)),"")</f>
        <v/>
      </c>
    </row>
    <row r="1223" ht="14.25" customHeight="1" s="52">
      <c r="A1223" t="inlineStr">
        <is>
          <t>2026-05</t>
        </is>
      </c>
      <c r="B1223" t="inlineStr">
        <is>
          <t>Colombia</t>
        </is>
      </c>
      <c r="C1223" t="inlineStr">
        <is>
          <t>Coco Colombia</t>
        </is>
      </c>
      <c r="E1223" t="inlineStr">
        <is>
          <t>Real</t>
        </is>
      </c>
      <c r="F1223" t="inlineStr">
        <is>
          <t>salario_area_pct</t>
        </is>
      </c>
      <c r="H1223" t="inlineStr">
        <is>
          <t>Administrativo</t>
        </is>
      </c>
      <c r="I1223" t="n">
        <v>18.83</v>
      </c>
      <c r="J1223" t="inlineStr">
        <is>
          <t>%</t>
        </is>
      </c>
      <c r="L1223">
        <f>IFERROR(INDEX(Diccionario!$B:$B,MATCH(F1235,Diccionario!$C:$C,0)),"")</f>
        <v/>
      </c>
      <c r="M1223">
        <f>IFERROR(INDEX(Diccionario!$H:$H,MATCH(F1235,Diccionario!$C:$C,0)),"")</f>
        <v/>
      </c>
      <c r="N1223">
        <f>IFERROR(INDEX(Diccionario!$N:$N,MATCH(F1235,Diccionario!$C:$C,0)),"")</f>
        <v/>
      </c>
    </row>
    <row r="1224" ht="14.25" customHeight="1" s="52">
      <c r="A1224" t="inlineStr">
        <is>
          <t>2025-01</t>
        </is>
      </c>
      <c r="B1224" t="inlineStr">
        <is>
          <t>Colombia</t>
        </is>
      </c>
      <c r="C1224" t="inlineStr">
        <is>
          <t>Coco Colombia</t>
        </is>
      </c>
      <c r="E1224" t="inlineStr">
        <is>
          <t>Real</t>
        </is>
      </c>
      <c r="F1224" t="inlineStr">
        <is>
          <t>leads_generados</t>
        </is>
      </c>
      <c r="H1224" t="inlineStr">
        <is>
          <t>Mercadeo</t>
        </is>
      </c>
      <c r="I1224" t="n">
        <v>233</v>
      </c>
      <c r="J1224" t="inlineStr">
        <is>
          <t>Número</t>
        </is>
      </c>
      <c r="L1224">
        <f>IFERROR(INDEX(Diccionario!$B:$B,MATCH(F1236,Diccionario!$C:$C,0)),"")</f>
        <v/>
      </c>
      <c r="M1224">
        <f>IFERROR(INDEX(Diccionario!$H:$H,MATCH(F1236,Diccionario!$C:$C,0)),"")</f>
        <v/>
      </c>
      <c r="N1224">
        <f>IFERROR(INDEX(Diccionario!$N:$N,MATCH(F1236,Diccionario!$C:$C,0)),"")</f>
        <v/>
      </c>
    </row>
    <row r="1225" ht="14.25" customHeight="1" s="52">
      <c r="A1225" t="inlineStr">
        <is>
          <t>2025-02</t>
        </is>
      </c>
      <c r="B1225" t="inlineStr">
        <is>
          <t>Colombia</t>
        </is>
      </c>
      <c r="C1225" t="inlineStr">
        <is>
          <t>Coco Colombia</t>
        </is>
      </c>
      <c r="E1225" t="inlineStr">
        <is>
          <t>Real</t>
        </is>
      </c>
      <c r="F1225" t="inlineStr">
        <is>
          <t>leads_generados</t>
        </is>
      </c>
      <c r="H1225" t="inlineStr">
        <is>
          <t>Mercadeo</t>
        </is>
      </c>
      <c r="I1225" t="n">
        <v>191</v>
      </c>
      <c r="J1225" t="inlineStr">
        <is>
          <t>Número</t>
        </is>
      </c>
      <c r="L1225">
        <f>IFERROR(INDEX(Diccionario!$B:$B,MATCH(F1237,Diccionario!$C:$C,0)),"")</f>
        <v/>
      </c>
      <c r="M1225">
        <f>IFERROR(INDEX(Diccionario!$H:$H,MATCH(F1237,Diccionario!$C:$C,0)),"")</f>
        <v/>
      </c>
      <c r="N1225">
        <f>IFERROR(INDEX(Diccionario!$N:$N,MATCH(F1237,Diccionario!$C:$C,0)),"")</f>
        <v/>
      </c>
    </row>
    <row r="1226" ht="14.25" customHeight="1" s="52">
      <c r="A1226" t="inlineStr">
        <is>
          <t>2025-03</t>
        </is>
      </c>
      <c r="B1226" t="inlineStr">
        <is>
          <t>Colombia</t>
        </is>
      </c>
      <c r="C1226" t="inlineStr">
        <is>
          <t>Coco Colombia</t>
        </is>
      </c>
      <c r="E1226" t="inlineStr">
        <is>
          <t>Real</t>
        </is>
      </c>
      <c r="F1226" t="inlineStr">
        <is>
          <t>leads_generados</t>
        </is>
      </c>
      <c r="H1226" t="inlineStr">
        <is>
          <t>Mercadeo</t>
        </is>
      </c>
      <c r="I1226" t="n">
        <v>117</v>
      </c>
      <c r="J1226" t="inlineStr">
        <is>
          <t>Número</t>
        </is>
      </c>
      <c r="L1226">
        <f>IFERROR(INDEX(Diccionario!$B:$B,MATCH(F1238,Diccionario!$C:$C,0)),"")</f>
        <v/>
      </c>
      <c r="M1226">
        <f>IFERROR(INDEX(Diccionario!$H:$H,MATCH(F1238,Diccionario!$C:$C,0)),"")</f>
        <v/>
      </c>
      <c r="N1226">
        <f>IFERROR(INDEX(Diccionario!$N:$N,MATCH(F1238,Diccionario!$C:$C,0)),"")</f>
        <v/>
      </c>
    </row>
    <row r="1227" ht="14.25" customHeight="1" s="52">
      <c r="A1227" t="inlineStr">
        <is>
          <t>2025-04</t>
        </is>
      </c>
      <c r="B1227" t="inlineStr">
        <is>
          <t>Colombia</t>
        </is>
      </c>
      <c r="C1227" t="inlineStr">
        <is>
          <t>Coco Colombia</t>
        </is>
      </c>
      <c r="E1227" t="inlineStr">
        <is>
          <t>Real</t>
        </is>
      </c>
      <c r="F1227" t="inlineStr">
        <is>
          <t>leads_generados</t>
        </is>
      </c>
      <c r="H1227" t="inlineStr">
        <is>
          <t>Mercadeo</t>
        </is>
      </c>
      <c r="I1227" t="n">
        <v>119</v>
      </c>
      <c r="J1227" t="inlineStr">
        <is>
          <t>Número</t>
        </is>
      </c>
      <c r="L1227">
        <f>IFERROR(INDEX(Diccionario!$B:$B,MATCH(F1239,Diccionario!$C:$C,0)),"")</f>
        <v/>
      </c>
      <c r="M1227">
        <f>IFERROR(INDEX(Diccionario!$H:$H,MATCH(F1239,Diccionario!$C:$C,0)),"")</f>
        <v/>
      </c>
      <c r="N1227">
        <f>IFERROR(INDEX(Diccionario!$N:$N,MATCH(F1239,Diccionario!$C:$C,0)),"")</f>
        <v/>
      </c>
    </row>
    <row r="1228" ht="14.25" customHeight="1" s="52">
      <c r="A1228" t="inlineStr">
        <is>
          <t>2025-05</t>
        </is>
      </c>
      <c r="B1228" t="inlineStr">
        <is>
          <t>Colombia</t>
        </is>
      </c>
      <c r="C1228" t="inlineStr">
        <is>
          <t>Coco Colombia</t>
        </is>
      </c>
      <c r="E1228" t="inlineStr">
        <is>
          <t>Real</t>
        </is>
      </c>
      <c r="F1228" t="inlineStr">
        <is>
          <t>leads_generados</t>
        </is>
      </c>
      <c r="H1228" t="inlineStr">
        <is>
          <t>Mercadeo</t>
        </is>
      </c>
      <c r="I1228" t="n">
        <v>172</v>
      </c>
      <c r="J1228" t="inlineStr">
        <is>
          <t>Número</t>
        </is>
      </c>
      <c r="L1228">
        <f>IFERROR(INDEX(Diccionario!$B:$B,MATCH(F1240,Diccionario!$C:$C,0)),"")</f>
        <v/>
      </c>
      <c r="M1228">
        <f>IFERROR(INDEX(Diccionario!$H:$H,MATCH(F1240,Diccionario!$C:$C,0)),"")</f>
        <v/>
      </c>
      <c r="N1228">
        <f>IFERROR(INDEX(Diccionario!$N:$N,MATCH(F1240,Diccionario!$C:$C,0)),"")</f>
        <v/>
      </c>
    </row>
    <row r="1229" ht="14.25" customHeight="1" s="52">
      <c r="A1229" t="inlineStr">
        <is>
          <t>2025-06</t>
        </is>
      </c>
      <c r="B1229" t="inlineStr">
        <is>
          <t>Colombia</t>
        </is>
      </c>
      <c r="C1229" t="inlineStr">
        <is>
          <t>Coco Colombia</t>
        </is>
      </c>
      <c r="E1229" t="inlineStr">
        <is>
          <t>Real</t>
        </is>
      </c>
      <c r="F1229" t="inlineStr">
        <is>
          <t>leads_generados</t>
        </is>
      </c>
      <c r="H1229" t="inlineStr">
        <is>
          <t>Mercadeo</t>
        </is>
      </c>
      <c r="I1229" t="n">
        <v>238</v>
      </c>
      <c r="J1229" t="inlineStr">
        <is>
          <t>Número</t>
        </is>
      </c>
      <c r="L1229">
        <f>IFERROR(INDEX(Diccionario!$B:$B,MATCH(F1241,Diccionario!$C:$C,0)),"")</f>
        <v/>
      </c>
      <c r="M1229">
        <f>IFERROR(INDEX(Diccionario!$H:$H,MATCH(F1241,Diccionario!$C:$C,0)),"")</f>
        <v/>
      </c>
      <c r="N1229">
        <f>IFERROR(INDEX(Diccionario!$N:$N,MATCH(F1241,Diccionario!$C:$C,0)),"")</f>
        <v/>
      </c>
    </row>
    <row r="1230" ht="14.25" customHeight="1" s="52">
      <c r="A1230" t="inlineStr">
        <is>
          <t>2025-07</t>
        </is>
      </c>
      <c r="B1230" t="inlineStr">
        <is>
          <t>Colombia</t>
        </is>
      </c>
      <c r="C1230" t="inlineStr">
        <is>
          <t>Coco Colombia</t>
        </is>
      </c>
      <c r="E1230" t="inlineStr">
        <is>
          <t>Real</t>
        </is>
      </c>
      <c r="F1230" t="inlineStr">
        <is>
          <t>leads_generados</t>
        </is>
      </c>
      <c r="H1230" t="inlineStr">
        <is>
          <t>Mercadeo</t>
        </is>
      </c>
      <c r="I1230" t="n">
        <v>230</v>
      </c>
      <c r="J1230" t="inlineStr">
        <is>
          <t>Número</t>
        </is>
      </c>
      <c r="L1230">
        <f>IFERROR(INDEX(Diccionario!$B:$B,MATCH(F1242,Diccionario!$C:$C,0)),"")</f>
        <v/>
      </c>
      <c r="M1230">
        <f>IFERROR(INDEX(Diccionario!$H:$H,MATCH(F1242,Diccionario!$C:$C,0)),"")</f>
        <v/>
      </c>
      <c r="N1230">
        <f>IFERROR(INDEX(Diccionario!$N:$N,MATCH(F1242,Diccionario!$C:$C,0)),"")</f>
        <v/>
      </c>
    </row>
    <row r="1231" ht="14.25" customHeight="1" s="52">
      <c r="A1231" t="inlineStr">
        <is>
          <t>2025-08</t>
        </is>
      </c>
      <c r="B1231" t="inlineStr">
        <is>
          <t>Colombia</t>
        </is>
      </c>
      <c r="C1231" t="inlineStr">
        <is>
          <t>Coco Colombia</t>
        </is>
      </c>
      <c r="E1231" t="inlineStr">
        <is>
          <t>Real</t>
        </is>
      </c>
      <c r="F1231" t="inlineStr">
        <is>
          <t>leads_generados</t>
        </is>
      </c>
      <c r="H1231" t="inlineStr">
        <is>
          <t>Mercadeo</t>
        </is>
      </c>
      <c r="I1231" t="n">
        <v>413</v>
      </c>
      <c r="J1231" t="inlineStr">
        <is>
          <t>Número</t>
        </is>
      </c>
      <c r="L1231">
        <f>IFERROR(INDEX(Diccionario!$B:$B,MATCH(F1243,Diccionario!$C:$C,0)),"")</f>
        <v/>
      </c>
      <c r="M1231">
        <f>IFERROR(INDEX(Diccionario!$H:$H,MATCH(F1243,Diccionario!$C:$C,0)),"")</f>
        <v/>
      </c>
      <c r="N1231">
        <f>IFERROR(INDEX(Diccionario!$N:$N,MATCH(F1243,Diccionario!$C:$C,0)),"")</f>
        <v/>
      </c>
    </row>
    <row r="1232" ht="14.25" customHeight="1" s="52">
      <c r="A1232" t="inlineStr">
        <is>
          <t>2025-09</t>
        </is>
      </c>
      <c r="B1232" t="inlineStr">
        <is>
          <t>Colombia</t>
        </is>
      </c>
      <c r="C1232" t="inlineStr">
        <is>
          <t>Coco Colombia</t>
        </is>
      </c>
      <c r="E1232" t="inlineStr">
        <is>
          <t>Real</t>
        </is>
      </c>
      <c r="F1232" t="inlineStr">
        <is>
          <t>leads_generados</t>
        </is>
      </c>
      <c r="H1232" t="inlineStr">
        <is>
          <t>Mercadeo</t>
        </is>
      </c>
      <c r="I1232" t="n">
        <v>777</v>
      </c>
      <c r="J1232" t="inlineStr">
        <is>
          <t>Número</t>
        </is>
      </c>
      <c r="L1232">
        <f>IFERROR(INDEX(Diccionario!$B:$B,MATCH(F1244,Diccionario!$C:$C,0)),"")</f>
        <v/>
      </c>
      <c r="M1232">
        <f>IFERROR(INDEX(Diccionario!$H:$H,MATCH(F1244,Diccionario!$C:$C,0)),"")</f>
        <v/>
      </c>
      <c r="N1232">
        <f>IFERROR(INDEX(Diccionario!$N:$N,MATCH(F1244,Diccionario!$C:$C,0)),"")</f>
        <v/>
      </c>
    </row>
    <row r="1233" ht="14.25" customHeight="1" s="52">
      <c r="A1233" t="inlineStr">
        <is>
          <t>2025-10</t>
        </is>
      </c>
      <c r="B1233" t="inlineStr">
        <is>
          <t>Colombia</t>
        </is>
      </c>
      <c r="C1233" t="inlineStr">
        <is>
          <t>Coco Colombia</t>
        </is>
      </c>
      <c r="E1233" t="inlineStr">
        <is>
          <t>Real</t>
        </is>
      </c>
      <c r="F1233" t="inlineStr">
        <is>
          <t>leads_generados</t>
        </is>
      </c>
      <c r="H1233" t="inlineStr">
        <is>
          <t>Mercadeo</t>
        </is>
      </c>
      <c r="I1233" t="n">
        <v>124</v>
      </c>
      <c r="J1233" t="inlineStr">
        <is>
          <t>Número</t>
        </is>
      </c>
      <c r="L1233">
        <f>IFERROR(INDEX(Diccionario!$B:$B,MATCH(F1245,Diccionario!$C:$C,0)),"")</f>
        <v/>
      </c>
      <c r="M1233">
        <f>IFERROR(INDEX(Diccionario!$H:$H,MATCH(F1245,Diccionario!$C:$C,0)),"")</f>
        <v/>
      </c>
      <c r="N1233">
        <f>IFERROR(INDEX(Diccionario!$N:$N,MATCH(F1245,Diccionario!$C:$C,0)),"")</f>
        <v/>
      </c>
    </row>
    <row r="1234" ht="14.25" customHeight="1" s="52">
      <c r="A1234" t="inlineStr">
        <is>
          <t>2025-11</t>
        </is>
      </c>
      <c r="B1234" t="inlineStr">
        <is>
          <t>Colombia</t>
        </is>
      </c>
      <c r="C1234" t="inlineStr">
        <is>
          <t>Coco Colombia</t>
        </is>
      </c>
      <c r="E1234" t="inlineStr">
        <is>
          <t>Real</t>
        </is>
      </c>
      <c r="F1234" t="inlineStr">
        <is>
          <t>leads_generados</t>
        </is>
      </c>
      <c r="H1234" t="inlineStr">
        <is>
          <t>Mercadeo</t>
        </is>
      </c>
      <c r="I1234" t="n">
        <v>114</v>
      </c>
      <c r="J1234" t="inlineStr">
        <is>
          <t>Número</t>
        </is>
      </c>
      <c r="L1234">
        <f>IFERROR(INDEX(Diccionario!$B:$B,MATCH(F1246,Diccionario!$C:$C,0)),"")</f>
        <v/>
      </c>
      <c r="M1234">
        <f>IFERROR(INDEX(Diccionario!$H:$H,MATCH(F1246,Diccionario!$C:$C,0)),"")</f>
        <v/>
      </c>
      <c r="N1234">
        <f>IFERROR(INDEX(Diccionario!$N:$N,MATCH(F1246,Diccionario!$C:$C,0)),"")</f>
        <v/>
      </c>
    </row>
    <row r="1235" ht="14.25" customHeight="1" s="52">
      <c r="A1235" t="inlineStr">
        <is>
          <t>2025-12</t>
        </is>
      </c>
      <c r="B1235" t="inlineStr">
        <is>
          <t>Colombia</t>
        </is>
      </c>
      <c r="C1235" t="inlineStr">
        <is>
          <t>Coco Colombia</t>
        </is>
      </c>
      <c r="E1235" t="inlineStr">
        <is>
          <t>Real</t>
        </is>
      </c>
      <c r="F1235" t="inlineStr">
        <is>
          <t>leads_generados</t>
        </is>
      </c>
      <c r="H1235" t="inlineStr">
        <is>
          <t>Mercadeo</t>
        </is>
      </c>
      <c r="I1235" t="n">
        <v>514</v>
      </c>
      <c r="J1235" t="inlineStr">
        <is>
          <t>Número</t>
        </is>
      </c>
      <c r="L1235">
        <f>IFERROR(INDEX(Diccionario!$B:$B,MATCH(F1247,Diccionario!$C:$C,0)),"")</f>
        <v/>
      </c>
      <c r="M1235">
        <f>IFERROR(INDEX(Diccionario!$H:$H,MATCH(F1247,Diccionario!$C:$C,0)),"")</f>
        <v/>
      </c>
      <c r="N1235">
        <f>IFERROR(INDEX(Diccionario!$N:$N,MATCH(F1247,Diccionario!$C:$C,0)),"")</f>
        <v/>
      </c>
    </row>
    <row r="1236" ht="14.25" customHeight="1" s="52">
      <c r="A1236" t="inlineStr">
        <is>
          <t>2026-01</t>
        </is>
      </c>
      <c r="B1236" t="inlineStr">
        <is>
          <t>Colombia</t>
        </is>
      </c>
      <c r="C1236" t="inlineStr">
        <is>
          <t>Coco Colombia</t>
        </is>
      </c>
      <c r="E1236" t="inlineStr">
        <is>
          <t>Real</t>
        </is>
      </c>
      <c r="F1236" t="inlineStr">
        <is>
          <t>leads_generados</t>
        </is>
      </c>
      <c r="H1236" t="inlineStr">
        <is>
          <t>Mercadeo</t>
        </is>
      </c>
      <c r="I1236" t="n">
        <v>237</v>
      </c>
      <c r="J1236" t="inlineStr">
        <is>
          <t>Número</t>
        </is>
      </c>
      <c r="L1236">
        <f>IFERROR(INDEX(Diccionario!$B:$B,MATCH(F1248,Diccionario!$C:$C,0)),"")</f>
        <v/>
      </c>
      <c r="M1236">
        <f>IFERROR(INDEX(Diccionario!$H:$H,MATCH(F1248,Diccionario!$C:$C,0)),"")</f>
        <v/>
      </c>
      <c r="N1236">
        <f>IFERROR(INDEX(Diccionario!$N:$N,MATCH(F1248,Diccionario!$C:$C,0)),"")</f>
        <v/>
      </c>
    </row>
    <row r="1237" ht="14.25" customHeight="1" s="52">
      <c r="A1237" t="inlineStr">
        <is>
          <t>2026-02</t>
        </is>
      </c>
      <c r="B1237" t="inlineStr">
        <is>
          <t>Colombia</t>
        </is>
      </c>
      <c r="C1237" t="inlineStr">
        <is>
          <t>Coco Colombia</t>
        </is>
      </c>
      <c r="E1237" t="inlineStr">
        <is>
          <t>Real</t>
        </is>
      </c>
      <c r="F1237" t="inlineStr">
        <is>
          <t>leads_generados</t>
        </is>
      </c>
      <c r="H1237" t="inlineStr">
        <is>
          <t>Mercadeo</t>
        </is>
      </c>
      <c r="I1237" t="n">
        <v>359</v>
      </c>
      <c r="J1237" t="inlineStr">
        <is>
          <t>Número</t>
        </is>
      </c>
      <c r="L1237">
        <f>IFERROR(INDEX(Diccionario!$B:$B,MATCH(F1249,Diccionario!$C:$C,0)),"")</f>
        <v/>
      </c>
      <c r="M1237">
        <f>IFERROR(INDEX(Diccionario!$H:$H,MATCH(F1249,Diccionario!$C:$C,0)),"")</f>
        <v/>
      </c>
      <c r="N1237">
        <f>IFERROR(INDEX(Diccionario!$N:$N,MATCH(F1249,Diccionario!$C:$C,0)),"")</f>
        <v/>
      </c>
    </row>
    <row r="1238" ht="14.25" customHeight="1" s="52">
      <c r="A1238" t="inlineStr">
        <is>
          <t>2026-03</t>
        </is>
      </c>
      <c r="B1238" t="inlineStr">
        <is>
          <t>Colombia</t>
        </is>
      </c>
      <c r="C1238" t="inlineStr">
        <is>
          <t>Coco Colombia</t>
        </is>
      </c>
      <c r="E1238" t="inlineStr">
        <is>
          <t>Real</t>
        </is>
      </c>
      <c r="F1238" t="inlineStr">
        <is>
          <t>leads_generados</t>
        </is>
      </c>
      <c r="H1238" t="inlineStr">
        <is>
          <t>Mercadeo</t>
        </is>
      </c>
      <c r="I1238" t="n">
        <v>294</v>
      </c>
      <c r="J1238" t="inlineStr">
        <is>
          <t>Número</t>
        </is>
      </c>
      <c r="L1238">
        <f>IFERROR(INDEX(Diccionario!$B:$B,MATCH(F1250,Diccionario!$C:$C,0)),"")</f>
        <v/>
      </c>
      <c r="M1238">
        <f>IFERROR(INDEX(Diccionario!$H:$H,MATCH(F1250,Diccionario!$C:$C,0)),"")</f>
        <v/>
      </c>
      <c r="N1238">
        <f>IFERROR(INDEX(Diccionario!$N:$N,MATCH(F1250,Diccionario!$C:$C,0)),"")</f>
        <v/>
      </c>
    </row>
    <row r="1239" ht="14.25" customHeight="1" s="52">
      <c r="A1239" t="inlineStr">
        <is>
          <t>2026-04</t>
        </is>
      </c>
      <c r="B1239" t="inlineStr">
        <is>
          <t>Colombia</t>
        </is>
      </c>
      <c r="C1239" t="inlineStr">
        <is>
          <t>Coco Colombia</t>
        </is>
      </c>
      <c r="E1239" t="inlineStr">
        <is>
          <t>Real</t>
        </is>
      </c>
      <c r="F1239" t="inlineStr">
        <is>
          <t>leads_generados</t>
        </is>
      </c>
      <c r="H1239" t="inlineStr">
        <is>
          <t>Mercadeo</t>
        </is>
      </c>
      <c r="I1239" t="n">
        <v>156</v>
      </c>
      <c r="J1239" t="inlineStr">
        <is>
          <t>Número</t>
        </is>
      </c>
      <c r="L1239">
        <f>IFERROR(INDEX(Diccionario!$B:$B,MATCH(F1251,Diccionario!$C:$C,0)),"")</f>
        <v/>
      </c>
      <c r="M1239">
        <f>IFERROR(INDEX(Diccionario!$H:$H,MATCH(F1251,Diccionario!$C:$C,0)),"")</f>
        <v/>
      </c>
      <c r="N1239">
        <f>IFERROR(INDEX(Diccionario!$N:$N,MATCH(F1251,Diccionario!$C:$C,0)),"")</f>
        <v/>
      </c>
    </row>
    <row r="1240" ht="14.25" customHeight="1" s="52">
      <c r="A1240" t="inlineStr">
        <is>
          <t>2026-05</t>
        </is>
      </c>
      <c r="B1240" t="inlineStr">
        <is>
          <t>Colombia</t>
        </is>
      </c>
      <c r="C1240" t="inlineStr">
        <is>
          <t>Coco Colombia</t>
        </is>
      </c>
      <c r="E1240" t="inlineStr">
        <is>
          <t>Real</t>
        </is>
      </c>
      <c r="F1240" t="inlineStr">
        <is>
          <t>leads_generados</t>
        </is>
      </c>
      <c r="H1240" t="inlineStr">
        <is>
          <t>Mercadeo</t>
        </is>
      </c>
      <c r="I1240" t="n">
        <v>211</v>
      </c>
      <c r="J1240" t="inlineStr">
        <is>
          <t>Número</t>
        </is>
      </c>
      <c r="L1240">
        <f>IFERROR(INDEX(Diccionario!$B:$B,MATCH(F1252,Diccionario!$C:$C,0)),"")</f>
        <v/>
      </c>
      <c r="M1240">
        <f>IFERROR(INDEX(Diccionario!$H:$H,MATCH(F1252,Diccionario!$C:$C,0)),"")</f>
        <v/>
      </c>
      <c r="N1240">
        <f>IFERROR(INDEX(Diccionario!$N:$N,MATCH(F1252,Diccionario!$C:$C,0)),"")</f>
        <v/>
      </c>
    </row>
    <row r="1241" ht="14.25" customHeight="1" s="52">
      <c r="A1241" t="inlineStr">
        <is>
          <t>2026-06</t>
        </is>
      </c>
      <c r="B1241" t="inlineStr">
        <is>
          <t>Colombia</t>
        </is>
      </c>
      <c r="C1241" t="inlineStr">
        <is>
          <t>Coco Colombia</t>
        </is>
      </c>
      <c r="E1241" t="inlineStr">
        <is>
          <t>Real</t>
        </is>
      </c>
      <c r="F1241" t="inlineStr">
        <is>
          <t>leads_generados</t>
        </is>
      </c>
      <c r="H1241" t="inlineStr">
        <is>
          <t>Mercadeo</t>
        </is>
      </c>
      <c r="I1241" t="n">
        <v>20</v>
      </c>
      <c r="J1241" t="inlineStr">
        <is>
          <t>Número</t>
        </is>
      </c>
      <c r="L1241">
        <f>IFERROR(INDEX(Diccionario!$B:$B,MATCH(F1253,Diccionario!$C:$C,0)),"")</f>
        <v/>
      </c>
      <c r="M1241">
        <f>IFERROR(INDEX(Diccionario!$H:$H,MATCH(F1253,Diccionario!$C:$C,0)),"")</f>
        <v/>
      </c>
      <c r="N1241">
        <f>IFERROR(INDEX(Diccionario!$N:$N,MATCH(F1253,Diccionario!$C:$C,0)),"")</f>
        <v/>
      </c>
    </row>
    <row r="1242" ht="14.25" customHeight="1" s="52">
      <c r="A1242" t="inlineStr">
        <is>
          <t>2025-03</t>
        </is>
      </c>
      <c r="B1242" t="inlineStr">
        <is>
          <t>Colombia</t>
        </is>
      </c>
      <c r="C1242" t="inlineStr">
        <is>
          <t>Coco Colombia</t>
        </is>
      </c>
      <c r="D1242" t="inlineStr">
        <is>
          <t>COP</t>
        </is>
      </c>
      <c r="E1242" t="inlineStr">
        <is>
          <t>Real</t>
        </is>
      </c>
      <c r="F1242" t="inlineStr">
        <is>
          <t>gasto_marketing_total</t>
        </is>
      </c>
      <c r="H1242" t="inlineStr">
        <is>
          <t>Mercadeo</t>
        </is>
      </c>
      <c r="I1242" t="n">
        <v>149675351</v>
      </c>
      <c r="J1242" t="inlineStr">
        <is>
          <t>COP</t>
        </is>
      </c>
      <c r="K1242" t="inlineStr">
        <is>
          <t>Q1-2025 (pauta mercadeo)</t>
        </is>
      </c>
      <c r="L1242">
        <f>IFERROR(INDEX(Diccionario!$B:$B,MATCH(F1254,Diccionario!$C:$C,0)),"")</f>
        <v/>
      </c>
      <c r="M1242">
        <f>IFERROR(INDEX(Diccionario!$H:$H,MATCH(F1254,Diccionario!$C:$C,0)),"")</f>
        <v/>
      </c>
      <c r="N1242">
        <f>IFERROR(INDEX(Diccionario!$N:$N,MATCH(F1254,Diccionario!$C:$C,0)),"")</f>
        <v/>
      </c>
    </row>
    <row r="1243" ht="14.25" customHeight="1" s="52">
      <c r="A1243" t="inlineStr">
        <is>
          <t>2025-06</t>
        </is>
      </c>
      <c r="B1243" t="inlineStr">
        <is>
          <t>Colombia</t>
        </is>
      </c>
      <c r="C1243" t="inlineStr">
        <is>
          <t>Coco Colombia</t>
        </is>
      </c>
      <c r="D1243" t="inlineStr">
        <is>
          <t>COP</t>
        </is>
      </c>
      <c r="E1243" t="inlineStr">
        <is>
          <t>Real</t>
        </is>
      </c>
      <c r="F1243" t="inlineStr">
        <is>
          <t>gasto_marketing_total</t>
        </is>
      </c>
      <c r="H1243" t="inlineStr">
        <is>
          <t>Mercadeo</t>
        </is>
      </c>
      <c r="I1243" t="n">
        <v>186879929</v>
      </c>
      <c r="J1243" t="inlineStr">
        <is>
          <t>COP</t>
        </is>
      </c>
      <c r="K1243" t="inlineStr">
        <is>
          <t>Q2-2025 (pauta mercadeo)</t>
        </is>
      </c>
      <c r="L1243">
        <f>IFERROR(INDEX(Diccionario!$B:$B,MATCH(F1255,Diccionario!$C:$C,0)),"")</f>
        <v/>
      </c>
      <c r="M1243">
        <f>IFERROR(INDEX(Diccionario!$H:$H,MATCH(F1255,Diccionario!$C:$C,0)),"")</f>
        <v/>
      </c>
      <c r="N1243">
        <f>IFERROR(INDEX(Diccionario!$N:$N,MATCH(F1255,Diccionario!$C:$C,0)),"")</f>
        <v/>
      </c>
    </row>
    <row r="1244" ht="14.25" customHeight="1" s="52">
      <c r="A1244" t="inlineStr">
        <is>
          <t>2025-09</t>
        </is>
      </c>
      <c r="B1244" t="inlineStr">
        <is>
          <t>Colombia</t>
        </is>
      </c>
      <c r="C1244" t="inlineStr">
        <is>
          <t>Coco Colombia</t>
        </is>
      </c>
      <c r="D1244" t="inlineStr">
        <is>
          <t>COP</t>
        </is>
      </c>
      <c r="E1244" t="inlineStr">
        <is>
          <t>Real</t>
        </is>
      </c>
      <c r="F1244" t="inlineStr">
        <is>
          <t>gasto_marketing_total</t>
        </is>
      </c>
      <c r="H1244" t="inlineStr">
        <is>
          <t>Mercadeo</t>
        </is>
      </c>
      <c r="I1244" t="n">
        <v>195425338</v>
      </c>
      <c r="J1244" t="inlineStr">
        <is>
          <t>COP</t>
        </is>
      </c>
      <c r="K1244" t="inlineStr">
        <is>
          <t>Q3-2025 (pauta mercadeo)</t>
        </is>
      </c>
      <c r="L1244">
        <f>IFERROR(INDEX(Diccionario!$B:$B,MATCH(F1256,Diccionario!$C:$C,0)),"")</f>
        <v/>
      </c>
      <c r="M1244">
        <f>IFERROR(INDEX(Diccionario!$H:$H,MATCH(F1256,Diccionario!$C:$C,0)),"")</f>
        <v/>
      </c>
      <c r="N1244">
        <f>IFERROR(INDEX(Diccionario!$N:$N,MATCH(F1256,Diccionario!$C:$C,0)),"")</f>
        <v/>
      </c>
    </row>
    <row r="1245" ht="14.25" customHeight="1" s="52">
      <c r="A1245" t="inlineStr">
        <is>
          <t>2025-12</t>
        </is>
      </c>
      <c r="B1245" t="inlineStr">
        <is>
          <t>Colombia</t>
        </is>
      </c>
      <c r="C1245" t="inlineStr">
        <is>
          <t>Coco Colombia</t>
        </is>
      </c>
      <c r="D1245" t="inlineStr">
        <is>
          <t>COP</t>
        </is>
      </c>
      <c r="E1245" t="inlineStr">
        <is>
          <t>Real</t>
        </is>
      </c>
      <c r="F1245" t="inlineStr">
        <is>
          <t>gasto_marketing_total</t>
        </is>
      </c>
      <c r="H1245" t="inlineStr">
        <is>
          <t>Mercadeo</t>
        </is>
      </c>
      <c r="I1245" t="n">
        <v>78267175</v>
      </c>
      <c r="J1245" t="inlineStr">
        <is>
          <t>COP</t>
        </is>
      </c>
      <c r="K1245" t="inlineStr">
        <is>
          <t>Q4-2025 (pauta mercadeo)</t>
        </is>
      </c>
      <c r="L1245">
        <f>IFERROR(INDEX(Diccionario!$B:$B,MATCH(F1257,Diccionario!$C:$C,0)),"")</f>
        <v/>
      </c>
      <c r="M1245">
        <f>IFERROR(INDEX(Diccionario!$H:$H,MATCH(F1257,Diccionario!$C:$C,0)),"")</f>
        <v/>
      </c>
      <c r="N1245">
        <f>IFERROR(INDEX(Diccionario!$N:$N,MATCH(F1257,Diccionario!$C:$C,0)),"")</f>
        <v/>
      </c>
    </row>
    <row r="1246" ht="14.25" customHeight="1" s="52">
      <c r="A1246" t="inlineStr">
        <is>
          <t>2026-03</t>
        </is>
      </c>
      <c r="B1246" t="inlineStr">
        <is>
          <t>Colombia</t>
        </is>
      </c>
      <c r="C1246" t="inlineStr">
        <is>
          <t>Coco Colombia</t>
        </is>
      </c>
      <c r="D1246" t="inlineStr">
        <is>
          <t>COP</t>
        </is>
      </c>
      <c r="E1246" t="inlineStr">
        <is>
          <t>Real</t>
        </is>
      </c>
      <c r="F1246" t="inlineStr">
        <is>
          <t>gasto_marketing_total</t>
        </is>
      </c>
      <c r="H1246" t="inlineStr">
        <is>
          <t>Mercadeo</t>
        </is>
      </c>
      <c r="I1246" t="n">
        <v>80204146</v>
      </c>
      <c r="J1246" t="inlineStr">
        <is>
          <t>COP</t>
        </is>
      </c>
      <c r="K1246" t="inlineStr">
        <is>
          <t>Q1-2026 (pauta mercadeo)</t>
        </is>
      </c>
      <c r="L1246">
        <f>IFERROR(INDEX(Diccionario!$B:$B,MATCH(F1258,Diccionario!$C:$C,0)),"")</f>
        <v/>
      </c>
      <c r="M1246">
        <f>IFERROR(INDEX(Diccionario!$H:$H,MATCH(F1258,Diccionario!$C:$C,0)),"")</f>
        <v/>
      </c>
      <c r="N1246">
        <f>IFERROR(INDEX(Diccionario!$N:$N,MATCH(F1258,Diccionario!$C:$C,0)),"")</f>
        <v/>
      </c>
    </row>
    <row r="1247" ht="14.25" customHeight="1" s="52">
      <c r="A1247" t="inlineStr">
        <is>
          <t>2026-06</t>
        </is>
      </c>
      <c r="B1247" t="inlineStr">
        <is>
          <t>Colombia</t>
        </is>
      </c>
      <c r="C1247" t="inlineStr">
        <is>
          <t>Coco Colombia</t>
        </is>
      </c>
      <c r="D1247" t="inlineStr">
        <is>
          <t>COP</t>
        </is>
      </c>
      <c r="E1247" t="inlineStr">
        <is>
          <t>Real</t>
        </is>
      </c>
      <c r="F1247" t="inlineStr">
        <is>
          <t>gasto_marketing_total</t>
        </is>
      </c>
      <c r="H1247" t="inlineStr">
        <is>
          <t>Mercadeo</t>
        </is>
      </c>
      <c r="I1247" t="n">
        <v>62603918</v>
      </c>
      <c r="J1247" t="inlineStr">
        <is>
          <t>COP</t>
        </is>
      </c>
      <c r="K1247" t="inlineStr">
        <is>
          <t>Q2-2026 (pauta mercadeo)</t>
        </is>
      </c>
      <c r="L1247">
        <f>IFERROR(INDEX(Diccionario!$B:$B,MATCH(F1259,Diccionario!$C:$C,0)),"")</f>
        <v/>
      </c>
      <c r="M1247">
        <f>IFERROR(INDEX(Diccionario!$H:$H,MATCH(F1259,Diccionario!$C:$C,0)),"")</f>
        <v/>
      </c>
      <c r="N1247">
        <f>IFERROR(INDEX(Diccionario!$N:$N,MATCH(F1259,Diccionario!$C:$C,0)),"")</f>
        <v/>
      </c>
    </row>
    <row r="1248" ht="14.25" customHeight="1" s="52">
      <c r="A1248" t="inlineStr">
        <is>
          <t>2025-03</t>
        </is>
      </c>
      <c r="B1248" t="inlineStr">
        <is>
          <t>Colombia</t>
        </is>
      </c>
      <c r="C1248" t="inlineStr">
        <is>
          <t>Coco Colombia</t>
        </is>
      </c>
      <c r="D1248" t="inlineStr">
        <is>
          <t>COP</t>
        </is>
      </c>
      <c r="E1248" t="inlineStr">
        <is>
          <t>Real</t>
        </is>
      </c>
      <c r="F1248" t="inlineStr">
        <is>
          <t>cac_fully_loaded</t>
        </is>
      </c>
      <c r="H1248" t="inlineStr">
        <is>
          <t>Mercadeo</t>
        </is>
      </c>
      <c r="I1248" t="n">
        <v>53536660.29</v>
      </c>
      <c r="J1248" t="inlineStr">
        <is>
          <t>COP</t>
        </is>
      </c>
      <c r="K1248" t="inlineStr">
        <is>
          <t>Q1-2025</t>
        </is>
      </c>
      <c r="L1248">
        <f>IFERROR(INDEX(Diccionario!$B:$B,MATCH(F1260,Diccionario!$C:$C,0)),"")</f>
        <v/>
      </c>
      <c r="M1248">
        <f>IFERROR(INDEX(Diccionario!$H:$H,MATCH(F1260,Diccionario!$C:$C,0)),"")</f>
        <v/>
      </c>
      <c r="N1248">
        <f>IFERROR(INDEX(Diccionario!$N:$N,MATCH(F1260,Diccionario!$C:$C,0)),"")</f>
        <v/>
      </c>
    </row>
    <row r="1249" ht="14.25" customHeight="1" s="52">
      <c r="A1249" t="inlineStr">
        <is>
          <t>2025-06</t>
        </is>
      </c>
      <c r="B1249" t="inlineStr">
        <is>
          <t>Colombia</t>
        </is>
      </c>
      <c r="C1249" t="inlineStr">
        <is>
          <t>Coco Colombia</t>
        </is>
      </c>
      <c r="D1249" t="inlineStr">
        <is>
          <t>COP</t>
        </is>
      </c>
      <c r="E1249" t="inlineStr">
        <is>
          <t>Real</t>
        </is>
      </c>
      <c r="F1249" t="inlineStr">
        <is>
          <t>cac_fully_loaded</t>
        </is>
      </c>
      <c r="H1249" t="inlineStr">
        <is>
          <t>Mercadeo</t>
        </is>
      </c>
      <c r="I1249" t="n">
        <v>50289915.59</v>
      </c>
      <c r="J1249" t="inlineStr">
        <is>
          <t>COP</t>
        </is>
      </c>
      <c r="K1249" t="inlineStr">
        <is>
          <t>Q2-2025</t>
        </is>
      </c>
      <c r="L1249">
        <f>IFERROR(INDEX(Diccionario!$B:$B,MATCH(F1261,Diccionario!$C:$C,0)),"")</f>
        <v/>
      </c>
      <c r="M1249">
        <f>IFERROR(INDEX(Diccionario!$H:$H,MATCH(F1261,Diccionario!$C:$C,0)),"")</f>
        <v/>
      </c>
      <c r="N1249">
        <f>IFERROR(INDEX(Diccionario!$N:$N,MATCH(F1261,Diccionario!$C:$C,0)),"")</f>
        <v/>
      </c>
    </row>
    <row r="1250" ht="14.25" customHeight="1" s="52">
      <c r="A1250" t="inlineStr">
        <is>
          <t>2025-09</t>
        </is>
      </c>
      <c r="B1250" t="inlineStr">
        <is>
          <t>Colombia</t>
        </is>
      </c>
      <c r="C1250" t="inlineStr">
        <is>
          <t>Coco Colombia</t>
        </is>
      </c>
      <c r="D1250" t="inlineStr">
        <is>
          <t>COP</t>
        </is>
      </c>
      <c r="E1250" t="inlineStr">
        <is>
          <t>Real</t>
        </is>
      </c>
      <c r="F1250" t="inlineStr">
        <is>
          <t>cac_fully_loaded</t>
        </is>
      </c>
      <c r="H1250" t="inlineStr">
        <is>
          <t>Mercadeo</t>
        </is>
      </c>
      <c r="I1250" t="n">
        <v>34710372</v>
      </c>
      <c r="J1250" t="inlineStr">
        <is>
          <t>COP</t>
        </is>
      </c>
      <c r="K1250" t="inlineStr">
        <is>
          <t>Q3-2025</t>
        </is>
      </c>
      <c r="L1250">
        <f>IFERROR(INDEX(Diccionario!$B:$B,MATCH(F1262,Diccionario!$C:$C,0)),"")</f>
        <v/>
      </c>
      <c r="M1250">
        <f>IFERROR(INDEX(Diccionario!$H:$H,MATCH(F1262,Diccionario!$C:$C,0)),"")</f>
        <v/>
      </c>
      <c r="N1250">
        <f>IFERROR(INDEX(Diccionario!$N:$N,MATCH(F1262,Diccionario!$C:$C,0)),"")</f>
        <v/>
      </c>
    </row>
    <row r="1251" ht="14.25" customHeight="1" s="52">
      <c r="A1251" t="inlineStr">
        <is>
          <t>2025-12</t>
        </is>
      </c>
      <c r="B1251" t="inlineStr">
        <is>
          <t>Colombia</t>
        </is>
      </c>
      <c r="C1251" t="inlineStr">
        <is>
          <t>Coco Colombia</t>
        </is>
      </c>
      <c r="D1251" t="inlineStr">
        <is>
          <t>COP</t>
        </is>
      </c>
      <c r="E1251" t="inlineStr">
        <is>
          <t>Real</t>
        </is>
      </c>
      <c r="F1251" t="inlineStr">
        <is>
          <t>cac_fully_loaded</t>
        </is>
      </c>
      <c r="H1251" t="inlineStr">
        <is>
          <t>Mercadeo</t>
        </is>
      </c>
      <c r="I1251" t="n">
        <v>42374152.85</v>
      </c>
      <c r="J1251" t="inlineStr">
        <is>
          <t>COP</t>
        </is>
      </c>
      <c r="K1251" t="inlineStr">
        <is>
          <t>Q4-2025</t>
        </is>
      </c>
      <c r="L1251">
        <f>IFERROR(INDEX(Diccionario!$B:$B,MATCH(F1263,Diccionario!$C:$C,0)),"")</f>
        <v/>
      </c>
      <c r="M1251">
        <f>IFERROR(INDEX(Diccionario!$H:$H,MATCH(F1263,Diccionario!$C:$C,0)),"")</f>
        <v/>
      </c>
      <c r="N1251">
        <f>IFERROR(INDEX(Diccionario!$N:$N,MATCH(F1263,Diccionario!$C:$C,0)),"")</f>
        <v/>
      </c>
    </row>
    <row r="1252" ht="14.25" customHeight="1" s="52">
      <c r="A1252" t="inlineStr">
        <is>
          <t>2026-03</t>
        </is>
      </c>
      <c r="B1252" t="inlineStr">
        <is>
          <t>Colombia</t>
        </is>
      </c>
      <c r="C1252" t="inlineStr">
        <is>
          <t>Coco Colombia</t>
        </is>
      </c>
      <c r="D1252" t="inlineStr">
        <is>
          <t>COP</t>
        </is>
      </c>
      <c r="E1252" t="inlineStr">
        <is>
          <t>Real</t>
        </is>
      </c>
      <c r="F1252" t="inlineStr">
        <is>
          <t>cac_fully_loaded</t>
        </is>
      </c>
      <c r="H1252" t="inlineStr">
        <is>
          <t>Mercadeo</t>
        </is>
      </c>
      <c r="I1252" t="n">
        <v>117722903.69</v>
      </c>
      <c r="J1252" t="inlineStr">
        <is>
          <t>COP</t>
        </is>
      </c>
      <c r="K1252" t="inlineStr">
        <is>
          <t>Q1-2026</t>
        </is>
      </c>
      <c r="L1252">
        <f>IFERROR(INDEX(Diccionario!$B:$B,MATCH(F1264,Diccionario!$C:$C,0)),"")</f>
        <v/>
      </c>
      <c r="M1252">
        <f>IFERROR(INDEX(Diccionario!$H:$H,MATCH(F1264,Diccionario!$C:$C,0)),"")</f>
        <v/>
      </c>
      <c r="N1252">
        <f>IFERROR(INDEX(Diccionario!$N:$N,MATCH(F1264,Diccionario!$C:$C,0)),"")</f>
        <v/>
      </c>
    </row>
    <row r="1253" ht="14.25" customHeight="1" s="52">
      <c r="A1253" t="inlineStr">
        <is>
          <t>2026-06</t>
        </is>
      </c>
      <c r="B1253" t="inlineStr">
        <is>
          <t>Colombia</t>
        </is>
      </c>
      <c r="C1253" t="inlineStr">
        <is>
          <t>Coco Colombia</t>
        </is>
      </c>
      <c r="D1253" t="inlineStr">
        <is>
          <t>COP</t>
        </is>
      </c>
      <c r="E1253" t="inlineStr">
        <is>
          <t>Real</t>
        </is>
      </c>
      <c r="F1253" t="inlineStr">
        <is>
          <t>cac_fully_loaded</t>
        </is>
      </c>
      <c r="H1253" t="inlineStr">
        <is>
          <t>Mercadeo</t>
        </is>
      </c>
      <c r="I1253" t="n">
        <v>45216106.91</v>
      </c>
      <c r="J1253" t="inlineStr">
        <is>
          <t>COP</t>
        </is>
      </c>
      <c r="K1253" t="inlineStr">
        <is>
          <t>Q2-2026</t>
        </is>
      </c>
      <c r="L1253">
        <f>IFERROR(INDEX(Diccionario!$B:$B,MATCH(F1265,Diccionario!$C:$C,0)),"")</f>
        <v/>
      </c>
      <c r="M1253">
        <f>IFERROR(INDEX(Diccionario!$H:$H,MATCH(F1265,Diccionario!$C:$C,0)),"")</f>
        <v/>
      </c>
      <c r="N1253">
        <f>IFERROR(INDEX(Diccionario!$N:$N,MATCH(F1265,Diccionario!$C:$C,0)),"")</f>
        <v/>
      </c>
    </row>
    <row r="1254" ht="14.25" customHeight="1" s="52">
      <c r="A1254" t="inlineStr">
        <is>
          <t>2025-03</t>
        </is>
      </c>
      <c r="B1254" t="inlineStr">
        <is>
          <t>Colombia</t>
        </is>
      </c>
      <c r="C1254" t="inlineStr">
        <is>
          <t>Coco Colombia</t>
        </is>
      </c>
      <c r="D1254" t="inlineStr">
        <is>
          <t>COP</t>
        </is>
      </c>
      <c r="E1254" t="inlineStr">
        <is>
          <t>Real</t>
        </is>
      </c>
      <c r="F1254" t="inlineStr">
        <is>
          <t>ltv</t>
        </is>
      </c>
      <c r="H1254" t="inlineStr">
        <is>
          <t>Mercadeo</t>
        </is>
      </c>
      <c r="I1254" t="n">
        <v>294011510</v>
      </c>
      <c r="J1254" t="inlineStr">
        <is>
          <t>COP</t>
        </is>
      </c>
      <c r="K1254" t="inlineStr">
        <is>
          <t>Q1-2025 — sin margen bruto</t>
        </is>
      </c>
      <c r="L1254">
        <f>IFERROR(INDEX(Diccionario!$B:$B,MATCH(F1266,Diccionario!$C:$C,0)),"")</f>
        <v/>
      </c>
      <c r="M1254">
        <f>IFERROR(INDEX(Diccionario!$H:$H,MATCH(F1266,Diccionario!$C:$C,0)),"")</f>
        <v/>
      </c>
      <c r="N1254">
        <f>IFERROR(INDEX(Diccionario!$N:$N,MATCH(F1266,Diccionario!$C:$C,0)),"")</f>
        <v/>
      </c>
    </row>
    <row r="1255" ht="14.25" customHeight="1" s="52">
      <c r="A1255" t="inlineStr">
        <is>
          <t>2025-06</t>
        </is>
      </c>
      <c r="B1255" t="inlineStr">
        <is>
          <t>Colombia</t>
        </is>
      </c>
      <c r="C1255" t="inlineStr">
        <is>
          <t>Coco Colombia</t>
        </is>
      </c>
      <c r="D1255" t="inlineStr">
        <is>
          <t>COP</t>
        </is>
      </c>
      <c r="E1255" t="inlineStr">
        <is>
          <t>Real</t>
        </is>
      </c>
      <c r="F1255" t="inlineStr">
        <is>
          <t>ltv</t>
        </is>
      </c>
      <c r="H1255" t="inlineStr">
        <is>
          <t>Mercadeo</t>
        </is>
      </c>
      <c r="I1255" t="n">
        <v>476285903</v>
      </c>
      <c r="J1255" t="inlineStr">
        <is>
          <t>COP</t>
        </is>
      </c>
      <c r="K1255" t="inlineStr">
        <is>
          <t>Q2-2025 — sin margen bruto</t>
        </is>
      </c>
      <c r="L1255">
        <f>IFERROR(INDEX(Diccionario!$B:$B,MATCH(F1267,Diccionario!$C:$C,0)),"")</f>
        <v/>
      </c>
      <c r="M1255">
        <f>IFERROR(INDEX(Diccionario!$H:$H,MATCH(F1267,Diccionario!$C:$C,0)),"")</f>
        <v/>
      </c>
      <c r="N1255">
        <f>IFERROR(INDEX(Diccionario!$N:$N,MATCH(F1267,Diccionario!$C:$C,0)),"")</f>
        <v/>
      </c>
    </row>
    <row r="1256" ht="14.25" customHeight="1" s="52">
      <c r="A1256" t="inlineStr">
        <is>
          <t>2025-09</t>
        </is>
      </c>
      <c r="B1256" t="inlineStr">
        <is>
          <t>Colombia</t>
        </is>
      </c>
      <c r="C1256" t="inlineStr">
        <is>
          <t>Coco Colombia</t>
        </is>
      </c>
      <c r="D1256" t="inlineStr">
        <is>
          <t>COP</t>
        </is>
      </c>
      <c r="E1256" t="inlineStr">
        <is>
          <t>Real</t>
        </is>
      </c>
      <c r="F1256" t="inlineStr">
        <is>
          <t>ltv</t>
        </is>
      </c>
      <c r="H1256" t="inlineStr">
        <is>
          <t>Mercadeo</t>
        </is>
      </c>
      <c r="I1256" t="n">
        <v>408296920</v>
      </c>
      <c r="J1256" t="inlineStr">
        <is>
          <t>COP</t>
        </is>
      </c>
      <c r="K1256" t="inlineStr">
        <is>
          <t>Q3-2025 — sin margen bruto</t>
        </is>
      </c>
      <c r="L1256">
        <f>IFERROR(INDEX(Diccionario!$B:$B,MATCH(F1268,Diccionario!$C:$C,0)),"")</f>
        <v/>
      </c>
      <c r="M1256">
        <f>IFERROR(INDEX(Diccionario!$H:$H,MATCH(F1268,Diccionario!$C:$C,0)),"")</f>
        <v/>
      </c>
      <c r="N1256">
        <f>IFERROR(INDEX(Diccionario!$N:$N,MATCH(F1268,Diccionario!$C:$C,0)),"")</f>
        <v/>
      </c>
    </row>
    <row r="1257" ht="14.25" customHeight="1" s="52">
      <c r="A1257" t="inlineStr">
        <is>
          <t>2025-12</t>
        </is>
      </c>
      <c r="B1257" t="inlineStr">
        <is>
          <t>Colombia</t>
        </is>
      </c>
      <c r="C1257" t="inlineStr">
        <is>
          <t>Coco Colombia</t>
        </is>
      </c>
      <c r="D1257" t="inlineStr">
        <is>
          <t>COP</t>
        </is>
      </c>
      <c r="E1257" t="inlineStr">
        <is>
          <t>Real</t>
        </is>
      </c>
      <c r="F1257" t="inlineStr">
        <is>
          <t>ltv</t>
        </is>
      </c>
      <c r="H1257" t="inlineStr">
        <is>
          <t>Mercadeo</t>
        </is>
      </c>
      <c r="I1257" t="n">
        <v>359574204</v>
      </c>
      <c r="J1257" t="inlineStr">
        <is>
          <t>COP</t>
        </is>
      </c>
      <c r="K1257" t="inlineStr">
        <is>
          <t>Q4-2025 — sin margen bruto</t>
        </is>
      </c>
      <c r="L1257">
        <f>IFERROR(INDEX(Diccionario!$B:$B,MATCH(F1269,Diccionario!$C:$C,0)),"")</f>
        <v/>
      </c>
      <c r="M1257">
        <f>IFERROR(INDEX(Diccionario!$H:$H,MATCH(F1269,Diccionario!$C:$C,0)),"")</f>
        <v/>
      </c>
      <c r="N1257">
        <f>IFERROR(INDEX(Diccionario!$N:$N,MATCH(F1269,Diccionario!$C:$C,0)),"")</f>
        <v/>
      </c>
    </row>
    <row r="1258" ht="14.25" customHeight="1" s="52">
      <c r="A1258" t="inlineStr">
        <is>
          <t>2026-03</t>
        </is>
      </c>
      <c r="B1258" t="inlineStr">
        <is>
          <t>Colombia</t>
        </is>
      </c>
      <c r="C1258" t="inlineStr">
        <is>
          <t>Coco Colombia</t>
        </is>
      </c>
      <c r="D1258" t="inlineStr">
        <is>
          <t>COP</t>
        </is>
      </c>
      <c r="E1258" t="inlineStr">
        <is>
          <t>Real</t>
        </is>
      </c>
      <c r="F1258" t="inlineStr">
        <is>
          <t>ltv</t>
        </is>
      </c>
      <c r="H1258" t="inlineStr">
        <is>
          <t>Mercadeo</t>
        </is>
      </c>
      <c r="I1258" t="n">
        <v>152508916</v>
      </c>
      <c r="J1258" t="inlineStr">
        <is>
          <t>COP</t>
        </is>
      </c>
      <c r="K1258" t="inlineStr">
        <is>
          <t>Q1-2026 — sin margen bruto</t>
        </is>
      </c>
      <c r="L1258">
        <f>IFERROR(INDEX(Diccionario!$B:$B,MATCH(F1270,Diccionario!$C:$C,0)),"")</f>
        <v/>
      </c>
      <c r="M1258">
        <f>IFERROR(INDEX(Diccionario!$H:$H,MATCH(F1270,Diccionario!$C:$C,0)),"")</f>
        <v/>
      </c>
      <c r="N1258">
        <f>IFERROR(INDEX(Diccionario!$N:$N,MATCH(F1270,Diccionario!$C:$C,0)),"")</f>
        <v/>
      </c>
    </row>
    <row r="1259" ht="14.25" customHeight="1" s="52">
      <c r="A1259" t="inlineStr">
        <is>
          <t>2026-06</t>
        </is>
      </c>
      <c r="B1259" t="inlineStr">
        <is>
          <t>Colombia</t>
        </is>
      </c>
      <c r="C1259" t="inlineStr">
        <is>
          <t>Coco Colombia</t>
        </is>
      </c>
      <c r="D1259" t="inlineStr">
        <is>
          <t>COP</t>
        </is>
      </c>
      <c r="E1259" t="inlineStr">
        <is>
          <t>Real</t>
        </is>
      </c>
      <c r="F1259" t="inlineStr">
        <is>
          <t>ltv</t>
        </is>
      </c>
      <c r="H1259" t="inlineStr">
        <is>
          <t>Mercadeo</t>
        </is>
      </c>
      <c r="I1259" t="n">
        <v>115723005</v>
      </c>
      <c r="J1259" t="inlineStr">
        <is>
          <t>COP</t>
        </is>
      </c>
      <c r="K1259" t="inlineStr">
        <is>
          <t>Q2-2026 — sin margen bruto</t>
        </is>
      </c>
      <c r="L1259">
        <f>IFERROR(INDEX(Diccionario!$B:$B,MATCH(F1271,Diccionario!$C:$C,0)),"")</f>
        <v/>
      </c>
      <c r="M1259">
        <f>IFERROR(INDEX(Diccionario!$H:$H,MATCH(F1271,Diccionario!$C:$C,0)),"")</f>
        <v/>
      </c>
      <c r="N1259">
        <f>IFERROR(INDEX(Diccionario!$N:$N,MATCH(F1271,Diccionario!$C:$C,0)),"")</f>
        <v/>
      </c>
    </row>
    <row r="1260" ht="14.25" customHeight="1" s="52">
      <c r="A1260" t="inlineStr">
        <is>
          <t>2025-03</t>
        </is>
      </c>
      <c r="B1260" t="inlineStr">
        <is>
          <t>Colombia</t>
        </is>
      </c>
      <c r="C1260" t="inlineStr">
        <is>
          <t>Coco Colombia</t>
        </is>
      </c>
      <c r="E1260" t="inlineStr">
        <is>
          <t>Real</t>
        </is>
      </c>
      <c r="F1260" t="inlineStr">
        <is>
          <t>ltv_cac</t>
        </is>
      </c>
      <c r="H1260" t="inlineStr">
        <is>
          <t>Mercadeo</t>
        </is>
      </c>
      <c r="I1260" t="n">
        <v>5</v>
      </c>
      <c r="J1260" t="inlineStr">
        <is>
          <t>Veces</t>
        </is>
      </c>
      <c r="K1260" t="inlineStr">
        <is>
          <t>Q1-2025 — sin margen bruto</t>
        </is>
      </c>
      <c r="L1260">
        <f>IFERROR(INDEX(Diccionario!$B:$B,MATCH(F1272,Diccionario!$C:$C,0)),"")</f>
        <v/>
      </c>
      <c r="M1260">
        <f>IFERROR(INDEX(Diccionario!$H:$H,MATCH(F1272,Diccionario!$C:$C,0)),"")</f>
        <v/>
      </c>
      <c r="N1260">
        <f>IFERROR(INDEX(Diccionario!$N:$N,MATCH(F1272,Diccionario!$C:$C,0)),"")</f>
        <v/>
      </c>
    </row>
    <row r="1261" ht="14.25" customHeight="1" s="52">
      <c r="A1261" t="inlineStr">
        <is>
          <t>2025-06</t>
        </is>
      </c>
      <c r="B1261" t="inlineStr">
        <is>
          <t>Colombia</t>
        </is>
      </c>
      <c r="C1261" t="inlineStr">
        <is>
          <t>Coco Colombia</t>
        </is>
      </c>
      <c r="E1261" t="inlineStr">
        <is>
          <t>Real</t>
        </is>
      </c>
      <c r="F1261" t="inlineStr">
        <is>
          <t>ltv_cac</t>
        </is>
      </c>
      <c r="H1261" t="inlineStr">
        <is>
          <t>Mercadeo</t>
        </is>
      </c>
      <c r="I1261" t="n">
        <v>9</v>
      </c>
      <c r="J1261" t="inlineStr">
        <is>
          <t>Veces</t>
        </is>
      </c>
      <c r="K1261" t="inlineStr">
        <is>
          <t>Q2-2025 — sin margen bruto</t>
        </is>
      </c>
      <c r="L1261">
        <f>IFERROR(INDEX(Diccionario!$B:$B,MATCH(F1273,Diccionario!$C:$C,0)),"")</f>
        <v/>
      </c>
      <c r="M1261">
        <f>IFERROR(INDEX(Diccionario!$H:$H,MATCH(F1273,Diccionario!$C:$C,0)),"")</f>
        <v/>
      </c>
      <c r="N1261">
        <f>IFERROR(INDEX(Diccionario!$N:$N,MATCH(F1273,Diccionario!$C:$C,0)),"")</f>
        <v/>
      </c>
    </row>
    <row r="1262" ht="14.25" customHeight="1" s="52">
      <c r="A1262" t="inlineStr">
        <is>
          <t>2025-09</t>
        </is>
      </c>
      <c r="B1262" t="inlineStr">
        <is>
          <t>Colombia</t>
        </is>
      </c>
      <c r="C1262" t="inlineStr">
        <is>
          <t>Coco Colombia</t>
        </is>
      </c>
      <c r="E1262" t="inlineStr">
        <is>
          <t>Real</t>
        </is>
      </c>
      <c r="F1262" t="inlineStr">
        <is>
          <t>ltv_cac</t>
        </is>
      </c>
      <c r="H1262" t="inlineStr">
        <is>
          <t>Mercadeo</t>
        </is>
      </c>
      <c r="I1262" t="n">
        <v>12</v>
      </c>
      <c r="J1262" t="inlineStr">
        <is>
          <t>Veces</t>
        </is>
      </c>
      <c r="K1262" t="inlineStr">
        <is>
          <t>Q3-2025 — sin margen bruto</t>
        </is>
      </c>
      <c r="L1262">
        <f>IFERROR(INDEX(Diccionario!$B:$B,MATCH(F1274,Diccionario!$C:$C,0)),"")</f>
        <v/>
      </c>
      <c r="M1262">
        <f>IFERROR(INDEX(Diccionario!$H:$H,MATCH(F1274,Diccionario!$C:$C,0)),"")</f>
        <v/>
      </c>
      <c r="N1262">
        <f>IFERROR(INDEX(Diccionario!$N:$N,MATCH(F1274,Diccionario!$C:$C,0)),"")</f>
        <v/>
      </c>
    </row>
    <row r="1263" ht="14.25" customHeight="1" s="52">
      <c r="A1263" t="inlineStr">
        <is>
          <t>2025-12</t>
        </is>
      </c>
      <c r="B1263" t="inlineStr">
        <is>
          <t>Colombia</t>
        </is>
      </c>
      <c r="C1263" t="inlineStr">
        <is>
          <t>Coco Colombia</t>
        </is>
      </c>
      <c r="E1263" t="inlineStr">
        <is>
          <t>Real</t>
        </is>
      </c>
      <c r="F1263" t="inlineStr">
        <is>
          <t>ltv_cac</t>
        </is>
      </c>
      <c r="H1263" t="inlineStr">
        <is>
          <t>Mercadeo</t>
        </is>
      </c>
      <c r="I1263" t="n">
        <v>8</v>
      </c>
      <c r="J1263" t="inlineStr">
        <is>
          <t>Veces</t>
        </is>
      </c>
      <c r="K1263" t="inlineStr">
        <is>
          <t>Q4-2025 — sin margen bruto</t>
        </is>
      </c>
      <c r="L1263">
        <f>IFERROR(INDEX(Diccionario!$B:$B,MATCH(F1275,Diccionario!$C:$C,0)),"")</f>
        <v/>
      </c>
      <c r="M1263">
        <f>IFERROR(INDEX(Diccionario!$H:$H,MATCH(F1275,Diccionario!$C:$C,0)),"")</f>
        <v/>
      </c>
      <c r="N1263">
        <f>IFERROR(INDEX(Diccionario!$N:$N,MATCH(F1275,Diccionario!$C:$C,0)),"")</f>
        <v/>
      </c>
    </row>
    <row r="1264" ht="14.25" customHeight="1" s="52">
      <c r="A1264" t="inlineStr">
        <is>
          <t>2026-03</t>
        </is>
      </c>
      <c r="B1264" t="inlineStr">
        <is>
          <t>Colombia</t>
        </is>
      </c>
      <c r="C1264" t="inlineStr">
        <is>
          <t>Coco Colombia</t>
        </is>
      </c>
      <c r="E1264" t="inlineStr">
        <is>
          <t>Real</t>
        </is>
      </c>
      <c r="F1264" t="inlineStr">
        <is>
          <t>ltv_cac</t>
        </is>
      </c>
      <c r="H1264" t="inlineStr">
        <is>
          <t>Mercadeo</t>
        </is>
      </c>
      <c r="I1264" t="n">
        <v>1.3</v>
      </c>
      <c r="J1264" t="inlineStr">
        <is>
          <t>Veces</t>
        </is>
      </c>
      <c r="K1264" t="inlineStr">
        <is>
          <t>Q1-2026 — sin margen bruto</t>
        </is>
      </c>
      <c r="L1264">
        <f>IFERROR(INDEX(Diccionario!$B:$B,MATCH(F1276,Diccionario!$C:$C,0)),"")</f>
        <v/>
      </c>
      <c r="M1264">
        <f>IFERROR(INDEX(Diccionario!$H:$H,MATCH(F1276,Diccionario!$C:$C,0)),"")</f>
        <v/>
      </c>
      <c r="N1264">
        <f>IFERROR(INDEX(Diccionario!$N:$N,MATCH(F1276,Diccionario!$C:$C,0)),"")</f>
        <v/>
      </c>
    </row>
    <row r="1265" ht="14.25" customHeight="1" s="52">
      <c r="A1265" t="inlineStr">
        <is>
          <t>2026-06</t>
        </is>
      </c>
      <c r="B1265" t="inlineStr">
        <is>
          <t>Colombia</t>
        </is>
      </c>
      <c r="C1265" t="inlineStr">
        <is>
          <t>Coco Colombia</t>
        </is>
      </c>
      <c r="E1265" t="inlineStr">
        <is>
          <t>Real</t>
        </is>
      </c>
      <c r="F1265" t="inlineStr">
        <is>
          <t>ltv_cac</t>
        </is>
      </c>
      <c r="H1265" t="inlineStr">
        <is>
          <t>Mercadeo</t>
        </is>
      </c>
      <c r="I1265" t="n">
        <v>2.56</v>
      </c>
      <c r="J1265" t="inlineStr">
        <is>
          <t>Veces</t>
        </is>
      </c>
      <c r="K1265" t="inlineStr">
        <is>
          <t>Q2-2026 — sin margen bruto</t>
        </is>
      </c>
      <c r="L1265">
        <f>IFERROR(INDEX(Diccionario!$B:$B,MATCH(F1277,Diccionario!$C:$C,0)),"")</f>
        <v/>
      </c>
      <c r="M1265">
        <f>IFERROR(INDEX(Diccionario!$H:$H,MATCH(F1277,Diccionario!$C:$C,0)),"")</f>
        <v/>
      </c>
      <c r="N1265">
        <f>IFERROR(INDEX(Diccionario!$N:$N,MATCH(F1277,Diccionario!$C:$C,0)),"")</f>
        <v/>
      </c>
    </row>
    <row r="1266" ht="14.25" customHeight="1" s="52">
      <c r="A1266" t="inlineStr">
        <is>
          <t>2025-03</t>
        </is>
      </c>
      <c r="B1266" t="inlineStr">
        <is>
          <t>Colombia</t>
        </is>
      </c>
      <c r="C1266" t="inlineStr">
        <is>
          <t>Coco Colombia</t>
        </is>
      </c>
      <c r="E1266" t="inlineStr">
        <is>
          <t>Real</t>
        </is>
      </c>
      <c r="F1266" t="inlineStr">
        <is>
          <t>cac_payback_meses</t>
        </is>
      </c>
      <c r="H1266" t="inlineStr">
        <is>
          <t>Mercadeo</t>
        </is>
      </c>
      <c r="I1266" t="n">
        <v>2.1</v>
      </c>
      <c r="J1266" t="inlineStr">
        <is>
          <t>Meses</t>
        </is>
      </c>
      <c r="K1266" t="inlineStr">
        <is>
          <t>Q1-2025 — sin margen bruto</t>
        </is>
      </c>
      <c r="L1266">
        <f>IFERROR(INDEX(Diccionario!$B:$B,MATCH(F1278,Diccionario!$C:$C,0)),"")</f>
        <v/>
      </c>
      <c r="M1266">
        <f>IFERROR(INDEX(Diccionario!$H:$H,MATCH(F1278,Diccionario!$C:$C,0)),"")</f>
        <v/>
      </c>
      <c r="N1266">
        <f>IFERROR(INDEX(Diccionario!$N:$N,MATCH(F1278,Diccionario!$C:$C,0)),"")</f>
        <v/>
      </c>
    </row>
    <row r="1267" ht="14.25" customHeight="1" s="52">
      <c r="A1267" t="inlineStr">
        <is>
          <t>2025-06</t>
        </is>
      </c>
      <c r="B1267" t="inlineStr">
        <is>
          <t>Colombia</t>
        </is>
      </c>
      <c r="C1267" t="inlineStr">
        <is>
          <t>Coco Colombia</t>
        </is>
      </c>
      <c r="E1267" t="inlineStr">
        <is>
          <t>Real</t>
        </is>
      </c>
      <c r="F1267" t="inlineStr">
        <is>
          <t>cac_payback_meses</t>
        </is>
      </c>
      <c r="H1267" t="inlineStr">
        <is>
          <t>Mercadeo</t>
        </is>
      </c>
      <c r="I1267" t="n">
        <v>1.8</v>
      </c>
      <c r="J1267" t="inlineStr">
        <is>
          <t>Meses</t>
        </is>
      </c>
      <c r="K1267" t="inlineStr">
        <is>
          <t>Q2-2025 — sin margen bruto</t>
        </is>
      </c>
      <c r="L1267">
        <f>IFERROR(INDEX(Diccionario!$B:$B,MATCH(F1279,Diccionario!$C:$C,0)),"")</f>
        <v/>
      </c>
      <c r="M1267">
        <f>IFERROR(INDEX(Diccionario!$H:$H,MATCH(F1279,Diccionario!$C:$C,0)),"")</f>
        <v/>
      </c>
      <c r="N1267">
        <f>IFERROR(INDEX(Diccionario!$N:$N,MATCH(F1279,Diccionario!$C:$C,0)),"")</f>
        <v/>
      </c>
    </row>
    <row r="1268" ht="14.25" customHeight="1" s="52">
      <c r="A1268" t="inlineStr">
        <is>
          <t>2025-09</t>
        </is>
      </c>
      <c r="B1268" t="inlineStr">
        <is>
          <t>Colombia</t>
        </is>
      </c>
      <c r="C1268" t="inlineStr">
        <is>
          <t>Coco Colombia</t>
        </is>
      </c>
      <c r="E1268" t="inlineStr">
        <is>
          <t>Real</t>
        </is>
      </c>
      <c r="F1268" t="inlineStr">
        <is>
          <t>cac_payback_meses</t>
        </is>
      </c>
      <c r="H1268" t="inlineStr">
        <is>
          <t>Mercadeo</t>
        </is>
      </c>
      <c r="I1268" t="n">
        <v>1.3</v>
      </c>
      <c r="J1268" t="inlineStr">
        <is>
          <t>Meses</t>
        </is>
      </c>
      <c r="K1268" t="inlineStr">
        <is>
          <t>Q3-2025 — sin margen bruto</t>
        </is>
      </c>
      <c r="L1268">
        <f>IFERROR(INDEX(Diccionario!$B:$B,MATCH(F1280,Diccionario!$C:$C,0)),"")</f>
        <v/>
      </c>
      <c r="M1268">
        <f>IFERROR(INDEX(Diccionario!$H:$H,MATCH(F1280,Diccionario!$C:$C,0)),"")</f>
        <v/>
      </c>
      <c r="N1268">
        <f>IFERROR(INDEX(Diccionario!$N:$N,MATCH(F1280,Diccionario!$C:$C,0)),"")</f>
        <v/>
      </c>
    </row>
    <row r="1269" ht="14.25" customHeight="1" s="52">
      <c r="A1269" t="inlineStr">
        <is>
          <t>2025-12</t>
        </is>
      </c>
      <c r="B1269" t="inlineStr">
        <is>
          <t>Colombia</t>
        </is>
      </c>
      <c r="C1269" t="inlineStr">
        <is>
          <t>Coco Colombia</t>
        </is>
      </c>
      <c r="E1269" t="inlineStr">
        <is>
          <t>Real</t>
        </is>
      </c>
      <c r="F1269" t="inlineStr">
        <is>
          <t>cac_payback_meses</t>
        </is>
      </c>
      <c r="H1269" t="inlineStr">
        <is>
          <t>Mercadeo</t>
        </is>
      </c>
      <c r="I1269" t="n">
        <v>1.7</v>
      </c>
      <c r="J1269" t="inlineStr">
        <is>
          <t>Meses</t>
        </is>
      </c>
      <c r="K1269" t="inlineStr">
        <is>
          <t>Q4-2025 — sin margen bruto</t>
        </is>
      </c>
      <c r="L1269">
        <f>IFERROR(INDEX(Diccionario!$B:$B,MATCH(F1281,Diccionario!$C:$C,0)),"")</f>
        <v/>
      </c>
      <c r="M1269">
        <f>IFERROR(INDEX(Diccionario!$H:$H,MATCH(F1281,Diccionario!$C:$C,0)),"")</f>
        <v/>
      </c>
      <c r="N1269">
        <f>IFERROR(INDEX(Diccionario!$N:$N,MATCH(F1281,Diccionario!$C:$C,0)),"")</f>
        <v/>
      </c>
    </row>
    <row r="1270" ht="14.25" customHeight="1" s="52">
      <c r="A1270" t="inlineStr">
        <is>
          <t>2026-03</t>
        </is>
      </c>
      <c r="B1270" t="inlineStr">
        <is>
          <t>Colombia</t>
        </is>
      </c>
      <c r="C1270" t="inlineStr">
        <is>
          <t>Coco Colombia</t>
        </is>
      </c>
      <c r="E1270" t="inlineStr">
        <is>
          <t>Real</t>
        </is>
      </c>
      <c r="F1270" t="inlineStr">
        <is>
          <t>cac_payback_meses</t>
        </is>
      </c>
      <c r="H1270" t="inlineStr">
        <is>
          <t>Mercadeo</t>
        </is>
      </c>
      <c r="I1270" t="n">
        <v>5</v>
      </c>
      <c r="J1270" t="inlineStr">
        <is>
          <t>Meses</t>
        </is>
      </c>
      <c r="K1270" t="inlineStr">
        <is>
          <t>Q1-2026 — sin margen bruto</t>
        </is>
      </c>
      <c r="L1270">
        <f>IFERROR(INDEX(Diccionario!$B:$B,MATCH(F1282,Diccionario!$C:$C,0)),"")</f>
        <v/>
      </c>
      <c r="M1270">
        <f>IFERROR(INDEX(Diccionario!$H:$H,MATCH(F1282,Diccionario!$C:$C,0)),"")</f>
        <v/>
      </c>
      <c r="N1270">
        <f>IFERROR(INDEX(Diccionario!$N:$N,MATCH(F1282,Diccionario!$C:$C,0)),"")</f>
        <v/>
      </c>
    </row>
    <row r="1271" ht="14.25" customHeight="1" s="52">
      <c r="A1271" t="inlineStr">
        <is>
          <t>2026-06</t>
        </is>
      </c>
      <c r="B1271" t="inlineStr">
        <is>
          <t>Colombia</t>
        </is>
      </c>
      <c r="C1271" t="inlineStr">
        <is>
          <t>Coco Colombia</t>
        </is>
      </c>
      <c r="E1271" t="inlineStr">
        <is>
          <t>Real</t>
        </is>
      </c>
      <c r="F1271" t="inlineStr">
        <is>
          <t>cac_payback_meses</t>
        </is>
      </c>
      <c r="H1271" t="inlineStr">
        <is>
          <t>Mercadeo</t>
        </is>
      </c>
      <c r="I1271" t="n">
        <v>2.9</v>
      </c>
      <c r="J1271" t="inlineStr">
        <is>
          <t>Meses</t>
        </is>
      </c>
      <c r="K1271" t="inlineStr">
        <is>
          <t>Q2-2026 — sin margen bruto</t>
        </is>
      </c>
      <c r="L1271">
        <f>IFERROR(INDEX(Diccionario!$B:$B,MATCH(F1283,Diccionario!$C:$C,0)),"")</f>
        <v/>
      </c>
      <c r="M1271">
        <f>IFERROR(INDEX(Diccionario!$H:$H,MATCH(F1283,Diccionario!$C:$C,0)),"")</f>
        <v/>
      </c>
      <c r="N1271">
        <f>IFERROR(INDEX(Diccionario!$N:$N,MATCH(F1283,Diccionario!$C:$C,0)),"")</f>
        <v/>
      </c>
    </row>
    <row r="1272" ht="14.25" customHeight="1" s="52">
      <c r="A1272" t="inlineStr">
        <is>
          <t>2026-05</t>
        </is>
      </c>
      <c r="B1272" t="inlineStr">
        <is>
          <t>Colombia</t>
        </is>
      </c>
      <c r="C1272" t="inlineStr">
        <is>
          <t>Coco Colombia</t>
        </is>
      </c>
      <c r="D1272" t="inlineStr">
        <is>
          <t>COP</t>
        </is>
      </c>
      <c r="E1272" t="inlineStr">
        <is>
          <t>Real</t>
        </is>
      </c>
      <c r="F1272" t="inlineStr">
        <is>
          <t>ltv</t>
        </is>
      </c>
      <c r="H1272" t="inlineStr">
        <is>
          <t>Financiero TTM</t>
        </is>
      </c>
      <c r="I1272">
        <f>Calc_LTV_Fin!B11</f>
        <v/>
      </c>
      <c r="J1272" t="inlineStr">
        <is>
          <t>COP</t>
        </is>
      </c>
      <c r="K1272" t="inlineStr">
        <is>
          <t>TTM a may-2026; margen editable</t>
        </is>
      </c>
      <c r="L1272">
        <f>IFERROR(INDEX(Diccionario!$B:$B,MATCH(F1284,Diccionario!$C:$C,0)),"")</f>
        <v/>
      </c>
      <c r="M1272">
        <f>IFERROR(INDEX(Diccionario!$H:$H,MATCH(F1284,Diccionario!$C:$C,0)),"")</f>
        <v/>
      </c>
      <c r="N1272">
        <f>IFERROR(INDEX(Diccionario!$N:$N,MATCH(F1284,Diccionario!$C:$C,0)),"")</f>
        <v/>
      </c>
    </row>
    <row r="1273" ht="14.25" customHeight="1" s="52">
      <c r="A1273" t="inlineStr">
        <is>
          <t>2026-05</t>
        </is>
      </c>
      <c r="B1273" t="inlineStr">
        <is>
          <t>Colombia</t>
        </is>
      </c>
      <c r="C1273" t="inlineStr">
        <is>
          <t>Coco Colombia</t>
        </is>
      </c>
      <c r="E1273" t="inlineStr">
        <is>
          <t>Real</t>
        </is>
      </c>
      <c r="F1273" t="inlineStr">
        <is>
          <t>cac_payback_meses</t>
        </is>
      </c>
      <c r="H1273" t="inlineStr">
        <is>
          <t>Financiero TTM</t>
        </is>
      </c>
      <c r="I1273">
        <f>Calc_LTV_Fin!B12</f>
        <v/>
      </c>
      <c r="J1273" t="inlineStr">
        <is>
          <t>Meses</t>
        </is>
      </c>
      <c r="K1273" t="inlineStr">
        <is>
          <t>TTM a may-2026; margen editable</t>
        </is>
      </c>
      <c r="L1273">
        <f>IFERROR(INDEX(Diccionario!$B:$B,MATCH(F1285,Diccionario!$C:$C,0)),"")</f>
        <v/>
      </c>
      <c r="M1273">
        <f>IFERROR(INDEX(Diccionario!$H:$H,MATCH(F1285,Diccionario!$C:$C,0)),"")</f>
        <v/>
      </c>
      <c r="N1273">
        <f>IFERROR(INDEX(Diccionario!$N:$N,MATCH(F1285,Diccionario!$C:$C,0)),"")</f>
        <v/>
      </c>
    </row>
    <row r="1274" ht="14.25" customHeight="1" s="52">
      <c r="A1274" t="inlineStr">
        <is>
          <t>2026-05</t>
        </is>
      </c>
      <c r="B1274" t="inlineStr">
        <is>
          <t>Colombia</t>
        </is>
      </c>
      <c r="C1274" t="inlineStr">
        <is>
          <t>Coco Colombia</t>
        </is>
      </c>
      <c r="E1274" t="inlineStr">
        <is>
          <t>Real</t>
        </is>
      </c>
      <c r="F1274" t="inlineStr">
        <is>
          <t>ltv_cac</t>
        </is>
      </c>
      <c r="H1274" t="inlineStr">
        <is>
          <t>Financiero TTM</t>
        </is>
      </c>
      <c r="I1274">
        <f>Calc_LTV_Fin!B13</f>
        <v/>
      </c>
      <c r="J1274" t="inlineStr">
        <is>
          <t>Veces</t>
        </is>
      </c>
      <c r="K1274" t="inlineStr">
        <is>
          <t>TTM a may-2026; margen editable</t>
        </is>
      </c>
      <c r="L1274">
        <f>IFERROR(INDEX(Diccionario!$B:$B,MATCH(F1286,Diccionario!$C:$C,0)),"")</f>
        <v/>
      </c>
      <c r="M1274">
        <f>IFERROR(INDEX(Diccionario!$H:$H,MATCH(F1286,Diccionario!$C:$C,0)),"")</f>
        <v/>
      </c>
      <c r="N1274">
        <f>IFERROR(INDEX(Diccionario!$N:$N,MATCH(F1286,Diccionario!$C:$C,0)),"")</f>
        <v/>
      </c>
    </row>
    <row r="1275" ht="14.25" customHeight="1" s="52">
      <c r="A1275" t="inlineStr">
        <is>
          <t>2026-07</t>
        </is>
      </c>
      <c r="B1275" t="inlineStr">
        <is>
          <t>Colombia</t>
        </is>
      </c>
      <c r="C1275" t="inlineStr">
        <is>
          <t>Coco Colombia</t>
        </is>
      </c>
      <c r="D1275" t="inlineStr">
        <is>
          <t>COP</t>
        </is>
      </c>
      <c r="E1275" t="inlineStr">
        <is>
          <t>Real</t>
        </is>
      </c>
      <c r="F1275" t="inlineStr">
        <is>
          <t>ventas_cerradas</t>
        </is>
      </c>
      <c r="I1275" t="n">
        <v>0</v>
      </c>
      <c r="J1275" t="inlineStr">
        <is>
          <t>COP</t>
        </is>
      </c>
      <c r="K1275" t="inlineStr">
        <is>
          <t>Sin cierres registrados en el periodo (todo en pipeline)</t>
        </is>
      </c>
      <c r="L1275">
        <f>IFERROR(INDEX(Diccionario!$B:$B,MATCH(F1287,Diccionario!$C:$C,0)),"")</f>
        <v/>
      </c>
      <c r="M1275">
        <f>IFERROR(INDEX(Diccionario!$H:$H,MATCH(F1287,Diccionario!$C:$C,0)),"")</f>
        <v/>
      </c>
      <c r="N1275">
        <f>IFERROR(INDEX(Diccionario!$N:$N,MATCH(F1287,Diccionario!$C:$C,0)),"")</f>
        <v/>
      </c>
    </row>
    <row r="1276" ht="14.25" customHeight="1" s="52">
      <c r="A1276" t="inlineStr">
        <is>
          <t>2026-07</t>
        </is>
      </c>
      <c r="B1276" t="inlineStr">
        <is>
          <t>Colombia</t>
        </is>
      </c>
      <c r="C1276" t="inlineStr">
        <is>
          <t>Coco Colombia</t>
        </is>
      </c>
      <c r="D1276" t="inlineStr">
        <is>
          <t>COP</t>
        </is>
      </c>
      <c r="E1276" t="inlineStr">
        <is>
          <t>Real</t>
        </is>
      </c>
      <c r="F1276" t="inlineStr">
        <is>
          <t>deals_ganados</t>
        </is>
      </c>
      <c r="I1276" t="n">
        <v>0</v>
      </c>
      <c r="J1276" t="inlineStr">
        <is>
          <t>Número</t>
        </is>
      </c>
      <c r="K1276" t="inlineStr">
        <is>
          <t>Sin cierres registrados en el periodo</t>
        </is>
      </c>
      <c r="L1276">
        <f>IFERROR(INDEX(Diccionario!$B:$B,MATCH(F1288,Diccionario!$C:$C,0)),"")</f>
        <v/>
      </c>
      <c r="M1276">
        <f>IFERROR(INDEX(Diccionario!$H:$H,MATCH(F1288,Diccionario!$C:$C,0)),"")</f>
        <v/>
      </c>
      <c r="N1276">
        <f>IFERROR(INDEX(Diccionario!$N:$N,MATCH(F1288,Diccionario!$C:$C,0)),"")</f>
        <v/>
      </c>
    </row>
    <row r="1277" ht="14.25" customHeight="1" s="52">
      <c r="A1277" t="inlineStr">
        <is>
          <t>2026-02</t>
        </is>
      </c>
      <c r="B1277" t="inlineStr">
        <is>
          <t>Colombia</t>
        </is>
      </c>
      <c r="C1277" t="inlineStr">
        <is>
          <t>Coco Colombia</t>
        </is>
      </c>
      <c r="D1277" t="inlineStr">
        <is>
          <t>COP</t>
        </is>
      </c>
      <c r="E1277" t="inlineStr">
        <is>
          <t>Real</t>
        </is>
      </c>
      <c r="F1277" t="inlineStr">
        <is>
          <t>forecast_comercial</t>
        </is>
      </c>
      <c r="I1277" t="n">
        <v>9022720</v>
      </c>
      <c r="J1277" t="inlineStr">
        <is>
          <t>COP</t>
        </is>
      </c>
      <c r="K1277" t="inlineStr">
        <is>
          <t>Insumo Comercial jul-2026 · oport. con cierre esperado en el mes</t>
        </is>
      </c>
      <c r="L1277">
        <f>IFERROR(INDEX(Diccionario!$B:$B,MATCH(F1289,Diccionario!$C:$C,0)),"")</f>
        <v/>
      </c>
      <c r="M1277">
        <f>IFERROR(INDEX(Diccionario!$H:$H,MATCH(F1289,Diccionario!$C:$C,0)),"")</f>
        <v/>
      </c>
      <c r="N1277">
        <f>IFERROR(INDEX(Diccionario!$N:$N,MATCH(F1289,Diccionario!$C:$C,0)),"")</f>
        <v/>
      </c>
    </row>
    <row r="1278" ht="14.25" customHeight="1" s="52">
      <c r="A1278" t="inlineStr">
        <is>
          <t>2026-03</t>
        </is>
      </c>
      <c r="B1278" t="inlineStr">
        <is>
          <t>Colombia</t>
        </is>
      </c>
      <c r="C1278" t="inlineStr">
        <is>
          <t>Coco Colombia</t>
        </is>
      </c>
      <c r="D1278" t="inlineStr">
        <is>
          <t>COP</t>
        </is>
      </c>
      <c r="E1278" t="inlineStr">
        <is>
          <t>Real</t>
        </is>
      </c>
      <c r="F1278" t="inlineStr">
        <is>
          <t>forecast_comercial</t>
        </is>
      </c>
      <c r="I1278" t="n">
        <v>270528826</v>
      </c>
      <c r="J1278" t="inlineStr">
        <is>
          <t>COP</t>
        </is>
      </c>
      <c r="K1278" t="inlineStr">
        <is>
          <t>Insumo Comercial jul-2026 · oport. con cierre esperado en el mes</t>
        </is>
      </c>
      <c r="L1278">
        <f>IFERROR(INDEX(Diccionario!$B:$B,MATCH(F1290,Diccionario!$C:$C,0)),"")</f>
        <v/>
      </c>
      <c r="M1278">
        <f>IFERROR(INDEX(Diccionario!$H:$H,MATCH(F1290,Diccionario!$C:$C,0)),"")</f>
        <v/>
      </c>
      <c r="N1278">
        <f>IFERROR(INDEX(Diccionario!$N:$N,MATCH(F1290,Diccionario!$C:$C,0)),"")</f>
        <v/>
      </c>
    </row>
    <row r="1279" ht="14.25" customHeight="1" s="52">
      <c r="A1279" t="inlineStr">
        <is>
          <t>2026-04</t>
        </is>
      </c>
      <c r="B1279" t="inlineStr">
        <is>
          <t>Colombia</t>
        </is>
      </c>
      <c r="C1279" t="inlineStr">
        <is>
          <t>Coco Colombia</t>
        </is>
      </c>
      <c r="D1279" t="inlineStr">
        <is>
          <t>COP</t>
        </is>
      </c>
      <c r="E1279" t="inlineStr">
        <is>
          <t>Real</t>
        </is>
      </c>
      <c r="F1279" t="inlineStr">
        <is>
          <t>forecast_comercial</t>
        </is>
      </c>
      <c r="I1279" t="n">
        <v>307827060</v>
      </c>
      <c r="J1279" t="inlineStr">
        <is>
          <t>COP</t>
        </is>
      </c>
      <c r="K1279" t="inlineStr">
        <is>
          <t>Insumo Comercial jul-2026 · oport. con cierre esperado en el mes</t>
        </is>
      </c>
      <c r="L1279">
        <f>IFERROR(INDEX(Diccionario!$B:$B,MATCH(F1291,Diccionario!$C:$C,0)),"")</f>
        <v/>
      </c>
      <c r="M1279">
        <f>IFERROR(INDEX(Diccionario!$H:$H,MATCH(F1291,Diccionario!$C:$C,0)),"")</f>
        <v/>
      </c>
      <c r="N1279">
        <f>IFERROR(INDEX(Diccionario!$N:$N,MATCH(F1291,Diccionario!$C:$C,0)),"")</f>
        <v/>
      </c>
    </row>
    <row r="1280" ht="14.25" customHeight="1" s="52">
      <c r="A1280" t="inlineStr">
        <is>
          <t>2026-05</t>
        </is>
      </c>
      <c r="B1280" t="inlineStr">
        <is>
          <t>Colombia</t>
        </is>
      </c>
      <c r="C1280" t="inlineStr">
        <is>
          <t>Coco Colombia</t>
        </is>
      </c>
      <c r="D1280" t="inlineStr">
        <is>
          <t>COP</t>
        </is>
      </c>
      <c r="E1280" t="inlineStr">
        <is>
          <t>Real</t>
        </is>
      </c>
      <c r="F1280" t="inlineStr">
        <is>
          <t>forecast_comercial</t>
        </is>
      </c>
      <c r="I1280" t="n">
        <v>106463773</v>
      </c>
      <c r="J1280" t="inlineStr">
        <is>
          <t>COP</t>
        </is>
      </c>
      <c r="K1280" t="inlineStr">
        <is>
          <t>Insumo Comercial jul-2026 · oport. con cierre esperado en el mes</t>
        </is>
      </c>
      <c r="L1280">
        <f>IFERROR(INDEX(Diccionario!$B:$B,MATCH(F1292,Diccionario!$C:$C,0)),"")</f>
        <v/>
      </c>
      <c r="M1280">
        <f>IFERROR(INDEX(Diccionario!$H:$H,MATCH(F1292,Diccionario!$C:$C,0)),"")</f>
        <v/>
      </c>
      <c r="N1280">
        <f>IFERROR(INDEX(Diccionario!$N:$N,MATCH(F1292,Diccionario!$C:$C,0)),"")</f>
        <v/>
      </c>
    </row>
    <row r="1281" ht="14.25" customHeight="1" s="52">
      <c r="A1281" t="inlineStr">
        <is>
          <t>2026-07</t>
        </is>
      </c>
      <c r="B1281" t="inlineStr">
        <is>
          <t>Colombia</t>
        </is>
      </c>
      <c r="C1281" t="inlineStr">
        <is>
          <t>Coco Colombia</t>
        </is>
      </c>
      <c r="D1281" t="inlineStr">
        <is>
          <t>COP</t>
        </is>
      </c>
      <c r="E1281" t="inlineStr">
        <is>
          <t>Real</t>
        </is>
      </c>
      <c r="F1281" t="inlineStr">
        <is>
          <t>forecast_comercial</t>
        </is>
      </c>
      <c r="I1281" t="n">
        <v>40159561</v>
      </c>
      <c r="J1281" t="inlineStr">
        <is>
          <t>COP</t>
        </is>
      </c>
      <c r="K1281" t="inlineStr">
        <is>
          <t>Insumo Comercial jul-2026 · oport. con cierre esperado en el mes</t>
        </is>
      </c>
      <c r="L1281">
        <f>IFERROR(INDEX(Diccionario!$B:$B,MATCH(F1293,Diccionario!$C:$C,0)),"")</f>
        <v/>
      </c>
      <c r="M1281">
        <f>IFERROR(INDEX(Diccionario!$H:$H,MATCH(F1293,Diccionario!$C:$C,0)),"")</f>
        <v/>
      </c>
      <c r="N1281">
        <f>IFERROR(INDEX(Diccionario!$N:$N,MATCH(F1293,Diccionario!$C:$C,0)),"")</f>
        <v/>
      </c>
    </row>
    <row r="1282" ht="14.25" customHeight="1" s="52">
      <c r="A1282" t="inlineStr">
        <is>
          <t>2026-07</t>
        </is>
      </c>
      <c r="B1282" t="inlineStr">
        <is>
          <t>Colombia</t>
        </is>
      </c>
      <c r="C1282" t="inlineStr">
        <is>
          <t>Coco Colombia</t>
        </is>
      </c>
      <c r="D1282" t="inlineStr">
        <is>
          <t>COP</t>
        </is>
      </c>
      <c r="E1282" t="inlineStr">
        <is>
          <t>Real</t>
        </is>
      </c>
      <c r="F1282" t="inlineStr">
        <is>
          <t>pipeline_total</t>
        </is>
      </c>
      <c r="H1282" t="inlineStr">
        <is>
          <t>Luisa Fernanda Moreno Muñoz</t>
        </is>
      </c>
      <c r="I1282" t="n">
        <v>366554852</v>
      </c>
      <c r="J1282" t="inlineStr">
        <is>
          <t>COP</t>
        </is>
      </c>
      <c r="K1282" t="inlineStr">
        <is>
          <t>Insumo Comercial jul-2026 · desglose por comercial (Otros = clientes CR/Guatemala, sin código propio en Listas)</t>
        </is>
      </c>
      <c r="L1282">
        <f>IFERROR(INDEX(Diccionario!$B:$B,MATCH(F1294,Diccionario!$C:$C,0)),"")</f>
        <v/>
      </c>
      <c r="M1282">
        <f>IFERROR(INDEX(Diccionario!$H:$H,MATCH(F1294,Diccionario!$C:$C,0)),"")</f>
        <v/>
      </c>
      <c r="N1282">
        <f>IFERROR(INDEX(Diccionario!$N:$N,MATCH(F1294,Diccionario!$C:$C,0)),"")</f>
        <v/>
      </c>
    </row>
    <row r="1283" ht="14.25" customHeight="1" s="52">
      <c r="A1283" t="inlineStr">
        <is>
          <t>2026-07</t>
        </is>
      </c>
      <c r="B1283" t="inlineStr">
        <is>
          <t>Colombia</t>
        </is>
      </c>
      <c r="C1283" t="inlineStr">
        <is>
          <t>Coco Colombia</t>
        </is>
      </c>
      <c r="D1283" t="inlineStr">
        <is>
          <t>COP</t>
        </is>
      </c>
      <c r="E1283" t="inlineStr">
        <is>
          <t>Real</t>
        </is>
      </c>
      <c r="F1283" t="inlineStr">
        <is>
          <t>pipeline_ponderado</t>
        </is>
      </c>
      <c r="H1283" t="inlineStr">
        <is>
          <t>Luisa Fernanda Moreno Muñoz</t>
        </is>
      </c>
      <c r="I1283" t="n">
        <v>251946912</v>
      </c>
      <c r="J1283" t="inlineStr">
        <is>
          <t>COP</t>
        </is>
      </c>
      <c r="K1283" t="inlineStr">
        <is>
          <t>Insumo Comercial jul-2026 · desglose por comercial (Otros = clientes CR/Guatemala, sin código propio en Listas)</t>
        </is>
      </c>
      <c r="L1283">
        <f>IFERROR(INDEX(Diccionario!$B:$B,MATCH(F1295,Diccionario!$C:$C,0)),"")</f>
        <v/>
      </c>
      <c r="M1283">
        <f>IFERROR(INDEX(Diccionario!$H:$H,MATCH(F1295,Diccionario!$C:$C,0)),"")</f>
        <v/>
      </c>
      <c r="N1283">
        <f>IFERROR(INDEX(Diccionario!$N:$N,MATCH(F1295,Diccionario!$C:$C,0)),"")</f>
        <v/>
      </c>
    </row>
    <row r="1284" ht="14.25" customHeight="1" s="52">
      <c r="A1284" t="inlineStr">
        <is>
          <t>2026-07</t>
        </is>
      </c>
      <c r="B1284" t="inlineStr">
        <is>
          <t>Colombia</t>
        </is>
      </c>
      <c r="C1284" t="inlineStr">
        <is>
          <t>Coco Colombia</t>
        </is>
      </c>
      <c r="D1284" t="inlineStr">
        <is>
          <t>COP</t>
        </is>
      </c>
      <c r="E1284" t="inlineStr">
        <is>
          <t>Real</t>
        </is>
      </c>
      <c r="F1284" t="inlineStr">
        <is>
          <t>pipeline_total</t>
        </is>
      </c>
      <c r="H1284" t="inlineStr">
        <is>
          <t>Jennifer Paola Buitrago</t>
        </is>
      </c>
      <c r="I1284" t="n">
        <v>218860706</v>
      </c>
      <c r="J1284" t="inlineStr">
        <is>
          <t>COP</t>
        </is>
      </c>
      <c r="K1284" t="inlineStr">
        <is>
          <t>Insumo Comercial jul-2026 · desglose por comercial (Otros = clientes CR/Guatemala, sin código propio en Listas)</t>
        </is>
      </c>
      <c r="L1284">
        <f>IFERROR(INDEX(Diccionario!$B:$B,MATCH(F1296,Diccionario!$C:$C,0)),"")</f>
        <v/>
      </c>
      <c r="M1284">
        <f>IFERROR(INDEX(Diccionario!$H:$H,MATCH(F1296,Diccionario!$C:$C,0)),"")</f>
        <v/>
      </c>
      <c r="N1284">
        <f>IFERROR(INDEX(Diccionario!$N:$N,MATCH(F1296,Diccionario!$C:$C,0)),"")</f>
        <v/>
      </c>
    </row>
    <row r="1285" ht="14.25" customHeight="1" s="52">
      <c r="A1285" t="inlineStr">
        <is>
          <t>2026-07</t>
        </is>
      </c>
      <c r="B1285" t="inlineStr">
        <is>
          <t>Colombia</t>
        </is>
      </c>
      <c r="C1285" t="inlineStr">
        <is>
          <t>Coco Colombia</t>
        </is>
      </c>
      <c r="D1285" t="inlineStr">
        <is>
          <t>COP</t>
        </is>
      </c>
      <c r="E1285" t="inlineStr">
        <is>
          <t>Real</t>
        </is>
      </c>
      <c r="F1285" t="inlineStr">
        <is>
          <t>pipeline_ponderado</t>
        </is>
      </c>
      <c r="H1285" t="inlineStr">
        <is>
          <t>Jennifer Paola Buitrago</t>
        </is>
      </c>
      <c r="I1285" t="n">
        <v>204094777</v>
      </c>
      <c r="J1285" t="inlineStr">
        <is>
          <t>COP</t>
        </is>
      </c>
      <c r="K1285" t="inlineStr">
        <is>
          <t>Insumo Comercial jul-2026 · desglose por comercial (Otros = clientes CR/Guatemala, sin código propio en Listas)</t>
        </is>
      </c>
      <c r="L1285">
        <f>IFERROR(INDEX(Diccionario!$B:$B,MATCH(F1297,Diccionario!$C:$C,0)),"")</f>
        <v/>
      </c>
      <c r="M1285">
        <f>IFERROR(INDEX(Diccionario!$H:$H,MATCH(F1297,Diccionario!$C:$C,0)),"")</f>
        <v/>
      </c>
      <c r="N1285">
        <f>IFERROR(INDEX(Diccionario!$N:$N,MATCH(F1297,Diccionario!$C:$C,0)),"")</f>
        <v/>
      </c>
    </row>
    <row r="1286" ht="14.25" customHeight="1" s="52">
      <c r="A1286" t="inlineStr">
        <is>
          <t>2026-07</t>
        </is>
      </c>
      <c r="B1286" t="inlineStr">
        <is>
          <t>Colombia</t>
        </is>
      </c>
      <c r="C1286" t="inlineStr">
        <is>
          <t>Coco Colombia</t>
        </is>
      </c>
      <c r="D1286" t="inlineStr">
        <is>
          <t>COP</t>
        </is>
      </c>
      <c r="E1286" t="inlineStr">
        <is>
          <t>Real</t>
        </is>
      </c>
      <c r="F1286" t="inlineStr">
        <is>
          <t>pipeline_total</t>
        </is>
      </c>
      <c r="H1286" t="inlineStr">
        <is>
          <t>Mariam Naranjo</t>
        </is>
      </c>
      <c r="I1286" t="n">
        <v>187535825</v>
      </c>
      <c r="J1286" t="inlineStr">
        <is>
          <t>COP</t>
        </is>
      </c>
      <c r="K1286" t="inlineStr">
        <is>
          <t>Insumo Comercial jul-2026 · desglose por comercial (Otros = clientes CR/Guatemala, sin código propio en Listas)</t>
        </is>
      </c>
      <c r="L1286">
        <f>IFERROR(INDEX(Diccionario!$B:$B,MATCH(F1298,Diccionario!$C:$C,0)),"")</f>
        <v/>
      </c>
      <c r="M1286">
        <f>IFERROR(INDEX(Diccionario!$H:$H,MATCH(F1298,Diccionario!$C:$C,0)),"")</f>
        <v/>
      </c>
      <c r="N1286">
        <f>IFERROR(INDEX(Diccionario!$N:$N,MATCH(F1298,Diccionario!$C:$C,0)),"")</f>
        <v/>
      </c>
    </row>
    <row r="1287" ht="14.25" customHeight="1" s="52">
      <c r="A1287" t="inlineStr">
        <is>
          <t>2026-07</t>
        </is>
      </c>
      <c r="B1287" t="inlineStr">
        <is>
          <t>Colombia</t>
        </is>
      </c>
      <c r="C1287" t="inlineStr">
        <is>
          <t>Coco Colombia</t>
        </is>
      </c>
      <c r="D1287" t="inlineStr">
        <is>
          <t>COP</t>
        </is>
      </c>
      <c r="E1287" t="inlineStr">
        <is>
          <t>Real</t>
        </is>
      </c>
      <c r="F1287" t="inlineStr">
        <is>
          <t>pipeline_ponderado</t>
        </is>
      </c>
      <c r="H1287" t="inlineStr">
        <is>
          <t>Mariam Naranjo</t>
        </is>
      </c>
      <c r="I1287" t="n">
        <v>150661388</v>
      </c>
      <c r="J1287" t="inlineStr">
        <is>
          <t>COP</t>
        </is>
      </c>
      <c r="K1287" t="inlineStr">
        <is>
          <t>Insumo Comercial jul-2026 · desglose por comercial (Otros = clientes CR/Guatemala, sin código propio en Listas)</t>
        </is>
      </c>
      <c r="L1287">
        <f>IFERROR(INDEX(Diccionario!$B:$B,MATCH(F1299,Diccionario!$C:$C,0)),"")</f>
        <v/>
      </c>
      <c r="M1287">
        <f>IFERROR(INDEX(Diccionario!$H:$H,MATCH(F1299,Diccionario!$C:$C,0)),"")</f>
        <v/>
      </c>
      <c r="N1287">
        <f>IFERROR(INDEX(Diccionario!$N:$N,MATCH(F1299,Diccionario!$C:$C,0)),"")</f>
        <v/>
      </c>
    </row>
    <row r="1288" ht="14.25" customHeight="1" s="52">
      <c r="A1288" t="inlineStr">
        <is>
          <t>2026-07</t>
        </is>
      </c>
      <c r="B1288" t="inlineStr">
        <is>
          <t>Colombia</t>
        </is>
      </c>
      <c r="C1288" t="inlineStr">
        <is>
          <t>Coco Colombia</t>
        </is>
      </c>
      <c r="D1288" t="inlineStr">
        <is>
          <t>COP</t>
        </is>
      </c>
      <c r="E1288" t="inlineStr">
        <is>
          <t>Real</t>
        </is>
      </c>
      <c r="F1288" t="inlineStr">
        <is>
          <t>pipeline_total</t>
        </is>
      </c>
      <c r="H1288" t="inlineStr">
        <is>
          <t>Lina Gutiérrez</t>
        </is>
      </c>
      <c r="I1288" t="n">
        <v>86737300</v>
      </c>
      <c r="J1288" t="inlineStr">
        <is>
          <t>COP</t>
        </is>
      </c>
      <c r="K1288" t="inlineStr">
        <is>
          <t>Insumo Comercial jul-2026 · desglose por comercial (Otros = clientes CR/Guatemala, sin código propio en Listas)</t>
        </is>
      </c>
      <c r="L1288">
        <f>IFERROR(INDEX(Diccionario!$B:$B,MATCH(F1300,Diccionario!$C:$C,0)),"")</f>
        <v/>
      </c>
      <c r="M1288">
        <f>IFERROR(INDEX(Diccionario!$H:$H,MATCH(F1300,Diccionario!$C:$C,0)),"")</f>
        <v/>
      </c>
      <c r="N1288">
        <f>IFERROR(INDEX(Diccionario!$N:$N,MATCH(F1300,Diccionario!$C:$C,0)),"")</f>
        <v/>
      </c>
    </row>
    <row r="1289" ht="14.25" customHeight="1" s="52">
      <c r="A1289" t="inlineStr">
        <is>
          <t>2026-07</t>
        </is>
      </c>
      <c r="B1289" t="inlineStr">
        <is>
          <t>Colombia</t>
        </is>
      </c>
      <c r="C1289" t="inlineStr">
        <is>
          <t>Coco Colombia</t>
        </is>
      </c>
      <c r="D1289" t="inlineStr">
        <is>
          <t>COP</t>
        </is>
      </c>
      <c r="E1289" t="inlineStr">
        <is>
          <t>Real</t>
        </is>
      </c>
      <c r="F1289" t="inlineStr">
        <is>
          <t>pipeline_ponderado</t>
        </is>
      </c>
      <c r="H1289" t="inlineStr">
        <is>
          <t>Lina Gutiérrez</t>
        </is>
      </c>
      <c r="I1289" t="n">
        <v>82400435</v>
      </c>
      <c r="J1289" t="inlineStr">
        <is>
          <t>COP</t>
        </is>
      </c>
      <c r="K1289" t="inlineStr">
        <is>
          <t>Insumo Comercial jul-2026 · desglose por comercial (Otros = clientes CR/Guatemala, sin código propio en Listas)</t>
        </is>
      </c>
      <c r="L1289">
        <f>IFERROR(INDEX(Diccionario!$B:$B,MATCH(F1301,Diccionario!$C:$C,0)),"")</f>
        <v/>
      </c>
      <c r="M1289">
        <f>IFERROR(INDEX(Diccionario!$H:$H,MATCH(F1301,Diccionario!$C:$C,0)),"")</f>
        <v/>
      </c>
      <c r="N1289">
        <f>IFERROR(INDEX(Diccionario!$N:$N,MATCH(F1301,Diccionario!$C:$C,0)),"")</f>
        <v/>
      </c>
    </row>
    <row r="1290" ht="14.25" customHeight="1" s="52">
      <c r="A1290" t="inlineStr">
        <is>
          <t>2026-07</t>
        </is>
      </c>
      <c r="B1290" t="inlineStr">
        <is>
          <t>Otros</t>
        </is>
      </c>
      <c r="C1290" t="inlineStr">
        <is>
          <t>Coco Colombia</t>
        </is>
      </c>
      <c r="D1290" t="inlineStr">
        <is>
          <t>COP</t>
        </is>
      </c>
      <c r="E1290" t="inlineStr">
        <is>
          <t>Real</t>
        </is>
      </c>
      <c r="F1290" t="inlineStr">
        <is>
          <t>pipeline_total</t>
        </is>
      </c>
      <c r="H1290" t="inlineStr">
        <is>
          <t>Mariam Naranjo</t>
        </is>
      </c>
      <c r="I1290" t="n">
        <v>39017160</v>
      </c>
      <c r="J1290" t="inlineStr">
        <is>
          <t>COP</t>
        </is>
      </c>
      <c r="K1290" t="inlineStr">
        <is>
          <t>Insumo Comercial jul-2026 · desglose por comercial (Otros = clientes CR/Guatemala, sin código propio en Listas)</t>
        </is>
      </c>
      <c r="L1290">
        <f>IFERROR(INDEX(Diccionario!$B:$B,MATCH(F1302,Diccionario!$C:$C,0)),"")</f>
        <v/>
      </c>
      <c r="M1290">
        <f>IFERROR(INDEX(Diccionario!$H:$H,MATCH(F1302,Diccionario!$C:$C,0)),"")</f>
        <v/>
      </c>
      <c r="N1290">
        <f>IFERROR(INDEX(Diccionario!$N:$N,MATCH(F1302,Diccionario!$C:$C,0)),"")</f>
        <v/>
      </c>
    </row>
    <row r="1291" ht="14.25" customHeight="1" s="52">
      <c r="A1291" t="inlineStr">
        <is>
          <t>2026-07</t>
        </is>
      </c>
      <c r="B1291" t="inlineStr">
        <is>
          <t>Otros</t>
        </is>
      </c>
      <c r="C1291" t="inlineStr">
        <is>
          <t>Coco Colombia</t>
        </is>
      </c>
      <c r="D1291" t="inlineStr">
        <is>
          <t>COP</t>
        </is>
      </c>
      <c r="E1291" t="inlineStr">
        <is>
          <t>Real</t>
        </is>
      </c>
      <c r="F1291" t="inlineStr">
        <is>
          <t>pipeline_ponderado</t>
        </is>
      </c>
      <c r="H1291" t="inlineStr">
        <is>
          <t>Mariam Naranjo</t>
        </is>
      </c>
      <c r="I1291" t="n">
        <v>28600028</v>
      </c>
      <c r="J1291" t="inlineStr">
        <is>
          <t>COP</t>
        </is>
      </c>
      <c r="K1291" t="inlineStr">
        <is>
          <t>Insumo Comercial jul-2026 · desglose por comercial (Otros = clientes CR/Guatemala, sin código propio en Listas)</t>
        </is>
      </c>
      <c r="L1291">
        <f>IFERROR(INDEX(Diccionario!$B:$B,MATCH(F1303,Diccionario!$C:$C,0)),"")</f>
        <v/>
      </c>
      <c r="M1291">
        <f>IFERROR(INDEX(Diccionario!$H:$H,MATCH(F1303,Diccionario!$C:$C,0)),"")</f>
        <v/>
      </c>
      <c r="N1291">
        <f>IFERROR(INDEX(Diccionario!$N:$N,MATCH(F1303,Diccionario!$C:$C,0)),"")</f>
        <v/>
      </c>
    </row>
    <row r="1292" ht="14.25" customHeight="1" s="52">
      <c r="A1292" t="inlineStr">
        <is>
          <t>2026-07</t>
        </is>
      </c>
      <c r="B1292" t="inlineStr">
        <is>
          <t>Colombia</t>
        </is>
      </c>
      <c r="C1292" t="inlineStr">
        <is>
          <t>Coco Colombia</t>
        </is>
      </c>
      <c r="D1292" t="inlineStr">
        <is>
          <t>COP</t>
        </is>
      </c>
      <c r="E1292" t="inlineStr">
        <is>
          <t>Real</t>
        </is>
      </c>
      <c r="F1292" t="inlineStr">
        <is>
          <t>pipeline_total</t>
        </is>
      </c>
      <c r="H1292" t="inlineStr">
        <is>
          <t>Sin asignar</t>
        </is>
      </c>
      <c r="I1292" t="n">
        <v>20373000</v>
      </c>
      <c r="J1292" t="inlineStr">
        <is>
          <t>COP</t>
        </is>
      </c>
      <c r="K1292" t="inlineStr">
        <is>
          <t>Insumo Comercial jul-2026 · desglose por comercial (Otros = clientes CR/Guatemala, sin código propio en Listas)</t>
        </is>
      </c>
      <c r="L1292">
        <f>IFERROR(INDEX(Diccionario!$B:$B,MATCH(F1304,Diccionario!$C:$C,0)),"")</f>
        <v/>
      </c>
      <c r="M1292">
        <f>IFERROR(INDEX(Diccionario!$H:$H,MATCH(F1304,Diccionario!$C:$C,0)),"")</f>
        <v/>
      </c>
      <c r="N1292">
        <f>IFERROR(INDEX(Diccionario!$N:$N,MATCH(F1304,Diccionario!$C:$C,0)),"")</f>
        <v/>
      </c>
    </row>
    <row r="1293" ht="14.25" customHeight="1" s="52">
      <c r="A1293" t="inlineStr">
        <is>
          <t>2026-07</t>
        </is>
      </c>
      <c r="B1293" t="inlineStr">
        <is>
          <t>Colombia</t>
        </is>
      </c>
      <c r="C1293" t="inlineStr">
        <is>
          <t>Coco Colombia</t>
        </is>
      </c>
      <c r="D1293" t="inlineStr">
        <is>
          <t>COP</t>
        </is>
      </c>
      <c r="E1293" t="inlineStr">
        <is>
          <t>Real</t>
        </is>
      </c>
      <c r="F1293" t="inlineStr">
        <is>
          <t>pipeline_ponderado</t>
        </is>
      </c>
      <c r="H1293" t="inlineStr">
        <is>
          <t>Sin asignar</t>
        </is>
      </c>
      <c r="I1293" t="n">
        <v>16298400</v>
      </c>
      <c r="J1293" t="inlineStr">
        <is>
          <t>COP</t>
        </is>
      </c>
      <c r="K1293" t="inlineStr">
        <is>
          <t>Insumo Comercial jul-2026 · desglose por comercial (Otros = clientes CR/Guatemala, sin código propio en Listas)</t>
        </is>
      </c>
      <c r="L1293">
        <f>IFERROR(INDEX(Diccionario!$B:$B,MATCH(F1305,Diccionario!$C:$C,0)),"")</f>
        <v/>
      </c>
      <c r="M1293">
        <f>IFERROR(INDEX(Diccionario!$H:$H,MATCH(F1305,Diccionario!$C:$C,0)),"")</f>
        <v/>
      </c>
      <c r="N1293">
        <f>IFERROR(INDEX(Diccionario!$N:$N,MATCH(F1305,Diccionario!$C:$C,0)),"")</f>
        <v/>
      </c>
    </row>
    <row r="1294" ht="14.25" customHeight="1" s="52">
      <c r="A1294" t="inlineStr">
        <is>
          <t>2026-07</t>
        </is>
      </c>
      <c r="B1294" t="inlineStr">
        <is>
          <t>Otros</t>
        </is>
      </c>
      <c r="C1294" t="inlineStr">
        <is>
          <t>Coco Colombia</t>
        </is>
      </c>
      <c r="D1294" t="inlineStr">
        <is>
          <t>COP</t>
        </is>
      </c>
      <c r="E1294" t="inlineStr">
        <is>
          <t>Real</t>
        </is>
      </c>
      <c r="F1294" t="inlineStr">
        <is>
          <t>pipeline_total</t>
        </is>
      </c>
      <c r="H1294" t="inlineStr">
        <is>
          <t>Mauricio Paba</t>
        </is>
      </c>
      <c r="I1294" t="n">
        <v>0</v>
      </c>
      <c r="J1294" t="inlineStr">
        <is>
          <t>COP</t>
        </is>
      </c>
      <c r="K1294" t="inlineStr">
        <is>
          <t>Insumo Comercial jul-2026 · desglose por comercial (Otros = clientes CR/Guatemala, sin código propio en Listas)</t>
        </is>
      </c>
      <c r="L1294">
        <f>IFERROR(INDEX(Diccionario!$B:$B,MATCH(F1306,Diccionario!$C:$C,0)),"")</f>
        <v/>
      </c>
      <c r="M1294">
        <f>IFERROR(INDEX(Diccionario!$H:$H,MATCH(F1306,Diccionario!$C:$C,0)),"")</f>
        <v/>
      </c>
      <c r="N1294">
        <f>IFERROR(INDEX(Diccionario!$N:$N,MATCH(F1306,Diccionario!$C:$C,0)),"")</f>
        <v/>
      </c>
    </row>
    <row r="1295" ht="14.25" customHeight="1" s="52">
      <c r="A1295" t="inlineStr">
        <is>
          <t>2026-07</t>
        </is>
      </c>
      <c r="B1295" t="inlineStr">
        <is>
          <t>Otros</t>
        </is>
      </c>
      <c r="C1295" t="inlineStr">
        <is>
          <t>Coco Colombia</t>
        </is>
      </c>
      <c r="D1295" t="inlineStr">
        <is>
          <t>COP</t>
        </is>
      </c>
      <c r="E1295" t="inlineStr">
        <is>
          <t>Real</t>
        </is>
      </c>
      <c r="F1295" t="inlineStr">
        <is>
          <t>pipeline_ponderado</t>
        </is>
      </c>
      <c r="H1295" t="inlineStr">
        <is>
          <t>Mauricio Paba</t>
        </is>
      </c>
      <c r="I1295" t="n">
        <v>0</v>
      </c>
      <c r="J1295" t="inlineStr">
        <is>
          <t>COP</t>
        </is>
      </c>
      <c r="K1295" t="inlineStr">
        <is>
          <t>Insumo Comercial jul-2026 · desglose por comercial (Otros = clientes CR/Guatemala, sin código propio en Listas)</t>
        </is>
      </c>
      <c r="L1295">
        <f>IFERROR(INDEX(Diccionario!$B:$B,MATCH(F1307,Diccionario!$C:$C,0)),"")</f>
        <v/>
      </c>
      <c r="M1295">
        <f>IFERROR(INDEX(Diccionario!$H:$H,MATCH(F1307,Diccionario!$C:$C,0)),"")</f>
        <v/>
      </c>
      <c r="N1295">
        <f>IFERROR(INDEX(Diccionario!$N:$N,MATCH(F1307,Diccionario!$C:$C,0)),"")</f>
        <v/>
      </c>
    </row>
    <row r="1296" ht="14.25" customHeight="1" s="52">
      <c r="A1296" t="inlineStr">
        <is>
          <t>2026-06</t>
        </is>
      </c>
      <c r="B1296" t="inlineStr">
        <is>
          <t>Colombia</t>
        </is>
      </c>
      <c r="C1296" t="inlineStr">
        <is>
          <t>Coco Colombia</t>
        </is>
      </c>
      <c r="D1296" t="inlineStr">
        <is>
          <t>COP</t>
        </is>
      </c>
      <c r="E1296" t="inlineStr">
        <is>
          <t>Real</t>
        </is>
      </c>
      <c r="F1296" t="inlineStr">
        <is>
          <t>ingresos_totales</t>
        </is>
      </c>
      <c r="I1296" t="n">
        <v>751453314</v>
      </c>
      <c r="J1296" t="inlineStr">
        <is>
          <t>COP</t>
        </is>
      </c>
      <c r="K1296" t="inlineStr">
        <is>
          <t>EEFF junio: ingresos operacionales netos (Servicio software - devoluciones)</t>
        </is>
      </c>
      <c r="L1296" t="inlineStr">
        <is>
          <t>Finanzas</t>
        </is>
      </c>
      <c r="M1296" t="inlineStr">
        <is>
          <t>Finanzas</t>
        </is>
      </c>
      <c r="N1296" t="inlineStr">
        <is>
          <t>Mensual</t>
        </is>
      </c>
    </row>
    <row r="1297" ht="14.25" customHeight="1" s="52">
      <c r="A1297" t="inlineStr">
        <is>
          <t>2026-06</t>
        </is>
      </c>
      <c r="B1297" t="inlineStr">
        <is>
          <t>Colombia</t>
        </is>
      </c>
      <c r="C1297" t="inlineStr">
        <is>
          <t>Coco Colombia</t>
        </is>
      </c>
      <c r="D1297" t="inlineStr">
        <is>
          <t>COP</t>
        </is>
      </c>
      <c r="E1297" t="inlineStr">
        <is>
          <t>Real</t>
        </is>
      </c>
      <c r="F1297" t="inlineStr">
        <is>
          <t>egresos_totales</t>
        </is>
      </c>
      <c r="I1297" t="n">
        <v>718109664</v>
      </c>
      <c r="J1297" t="inlineStr">
        <is>
          <t>COP</t>
        </is>
      </c>
      <c r="K1297" t="inlineStr">
        <is>
          <t>EEFF junio: salidas totales netas de ingresos no operacionales (para conciliar utilidad oficial)</t>
        </is>
      </c>
      <c r="L1297" t="inlineStr">
        <is>
          <t>Finanzas</t>
        </is>
      </c>
      <c r="M1297" t="inlineStr">
        <is>
          <t>Finanzas</t>
        </is>
      </c>
      <c r="N1297" t="inlineStr">
        <is>
          <t>Mensual</t>
        </is>
      </c>
    </row>
    <row r="1298" ht="14.25" customHeight="1" s="52">
      <c r="A1298" t="inlineStr">
        <is>
          <t>2026-06</t>
        </is>
      </c>
      <c r="B1298" t="inlineStr">
        <is>
          <t>Colombia</t>
        </is>
      </c>
      <c r="C1298" t="inlineStr">
        <is>
          <t>Coco Colombia</t>
        </is>
      </c>
      <c r="D1298" t="inlineStr">
        <is>
          <t>COP</t>
        </is>
      </c>
      <c r="E1298" t="inlineStr">
        <is>
          <t>Real</t>
        </is>
      </c>
      <c r="F1298" t="inlineStr">
        <is>
          <t>utilidad_neta</t>
        </is>
      </c>
      <c r="I1298" t="n">
        <v>33343650</v>
      </c>
      <c r="J1298" t="inlineStr">
        <is>
          <t>COP</t>
        </is>
      </c>
      <c r="K1298" t="inlineStr">
        <is>
          <t>EEFF junio: utilidad neta oficial</t>
        </is>
      </c>
      <c r="L1298" t="inlineStr">
        <is>
          <t>Finanzas</t>
        </is>
      </c>
      <c r="M1298" t="inlineStr">
        <is>
          <t>Finanzas</t>
        </is>
      </c>
      <c r="N1298" t="inlineStr">
        <is>
          <t>Mensual</t>
        </is>
      </c>
    </row>
    <row r="1299" ht="14.25" customHeight="1" s="52">
      <c r="A1299" t="inlineStr">
        <is>
          <t>2026-06</t>
        </is>
      </c>
      <c r="B1299" t="inlineStr">
        <is>
          <t>Colombia</t>
        </is>
      </c>
      <c r="C1299" t="inlineStr">
        <is>
          <t>Coco Colombia</t>
        </is>
      </c>
      <c r="D1299" t="inlineStr">
        <is>
          <t>COP</t>
        </is>
      </c>
      <c r="E1299" t="inlineStr">
        <is>
          <t>Real</t>
        </is>
      </c>
      <c r="F1299" t="inlineStr">
        <is>
          <t>arr</t>
        </is>
      </c>
      <c r="I1299" t="n">
        <v>4480477715</v>
      </c>
      <c r="J1299" t="inlineStr">
        <is>
          <t>COP</t>
        </is>
      </c>
      <c r="K1299" t="inlineStr">
        <is>
          <t>'Ventas Totales (ARR)' reportado por contabilidad</t>
        </is>
      </c>
      <c r="L1299" t="inlineStr">
        <is>
          <t>SaaS / Revenue</t>
        </is>
      </c>
      <c r="M1299" t="inlineStr">
        <is>
          <t>Finanzas</t>
        </is>
      </c>
      <c r="N1299" t="inlineStr">
        <is>
          <t>Mensual</t>
        </is>
      </c>
    </row>
    <row r="1300" ht="14.25" customHeight="1" s="52">
      <c r="A1300" t="inlineStr">
        <is>
          <t>2026-06</t>
        </is>
      </c>
      <c r="B1300" t="inlineStr">
        <is>
          <t>Colombia</t>
        </is>
      </c>
      <c r="C1300" t="inlineStr">
        <is>
          <t>Coco Colombia</t>
        </is>
      </c>
      <c r="D1300" t="inlineStr">
        <is>
          <t>COP</t>
        </is>
      </c>
      <c r="E1300" t="inlineStr">
        <is>
          <t>Real</t>
        </is>
      </c>
      <c r="F1300" t="inlineStr">
        <is>
          <t>cartera_total</t>
        </is>
      </c>
      <c r="I1300" t="n">
        <v>1799431102</v>
      </c>
      <c r="J1300" t="inlineStr">
        <is>
          <t>COP</t>
        </is>
      </c>
      <c r="K1300" t="inlineStr">
        <is>
          <t>EEFF junio: Clientes (Nota 5 / Balance) — cifra oficial</t>
        </is>
      </c>
      <c r="L1300" t="inlineStr">
        <is>
          <t>Contabilidad</t>
        </is>
      </c>
      <c r="M1300" t="inlineStr">
        <is>
          <t>Contabilidad</t>
        </is>
      </c>
      <c r="N1300" t="inlineStr">
        <is>
          <t>Mensual</t>
        </is>
      </c>
    </row>
    <row r="1301" ht="14.25" customHeight="1" s="52">
      <c r="A1301" t="inlineStr">
        <is>
          <t>2026-06</t>
        </is>
      </c>
      <c r="B1301" t="inlineStr">
        <is>
          <t>Colombia</t>
        </is>
      </c>
      <c r="C1301" t="inlineStr">
        <is>
          <t>Coco Colombia</t>
        </is>
      </c>
      <c r="D1301" t="inlineStr">
        <is>
          <t>COP</t>
        </is>
      </c>
      <c r="E1301" t="inlineStr">
        <is>
          <t>Real</t>
        </is>
      </c>
      <c r="F1301" t="inlineStr">
        <is>
          <t>cartera_vencida</t>
        </is>
      </c>
      <c r="I1301" t="n">
        <v>579012623.1</v>
      </c>
      <c r="J1301" t="inlineStr">
        <is>
          <t>COP</t>
        </is>
      </c>
      <c r="K1301" t="inlineStr">
        <is>
          <t>Fuente: informe (no disponible en notas EEFF junio)</t>
        </is>
      </c>
      <c r="L1301" t="inlineStr">
        <is>
          <t>Contabilidad</t>
        </is>
      </c>
      <c r="M1301" t="inlineStr">
        <is>
          <t>Contabilidad</t>
        </is>
      </c>
      <c r="N1301" t="inlineStr">
        <is>
          <t>Mensual</t>
        </is>
      </c>
    </row>
    <row r="1302" ht="14.25" customHeight="1" s="52">
      <c r="A1302" t="inlineStr">
        <is>
          <t>2026-06</t>
        </is>
      </c>
      <c r="B1302" t="inlineStr">
        <is>
          <t>Colombia</t>
        </is>
      </c>
      <c r="C1302" t="inlineStr">
        <is>
          <t>Coco Colombia</t>
        </is>
      </c>
      <c r="D1302" t="inlineStr">
        <is>
          <t>COP</t>
        </is>
      </c>
      <c r="E1302" t="inlineStr">
        <is>
          <t>Real</t>
        </is>
      </c>
      <c r="F1302" t="inlineStr">
        <is>
          <t>cartera_sana</t>
        </is>
      </c>
      <c r="I1302" t="n">
        <v>1503241757.1</v>
      </c>
      <c r="J1302" t="inlineStr">
        <is>
          <t>COP</t>
        </is>
      </c>
      <c r="K1302" t="inlineStr">
        <is>
          <t>Fuente: informe (no disponible en notas EEFF junio)</t>
        </is>
      </c>
      <c r="L1302" t="inlineStr">
        <is>
          <t>Contabilidad</t>
        </is>
      </c>
      <c r="M1302" t="inlineStr">
        <is>
          <t>Contabilidad</t>
        </is>
      </c>
      <c r="N1302" t="inlineStr">
        <is>
          <t>Mensual</t>
        </is>
      </c>
    </row>
    <row r="1303" ht="14.25" customHeight="1" s="52">
      <c r="A1303" t="inlineStr">
        <is>
          <t>2026-06</t>
        </is>
      </c>
      <c r="B1303" t="inlineStr">
        <is>
          <t>Colombia</t>
        </is>
      </c>
      <c r="C1303" t="inlineStr">
        <is>
          <t>Coco Colombia</t>
        </is>
      </c>
      <c r="D1303" t="inlineStr">
        <is>
          <t>COP</t>
        </is>
      </c>
      <c r="E1303" t="inlineStr">
        <is>
          <t>Real</t>
        </is>
      </c>
      <c r="F1303" t="inlineStr">
        <is>
          <t>cartera_cobro_legal</t>
        </is>
      </c>
      <c r="I1303" t="n">
        <v>61936947</v>
      </c>
      <c r="J1303" t="inlineStr">
        <is>
          <t>COP</t>
        </is>
      </c>
      <c r="K1303" t="inlineStr">
        <is>
          <t>Fuente: informe (no disponible en notas EEFF junio)</t>
        </is>
      </c>
      <c r="L1303" t="inlineStr">
        <is>
          <t>Contabilidad</t>
        </is>
      </c>
      <c r="M1303" t="inlineStr">
        <is>
          <t>Contabilidad</t>
        </is>
      </c>
      <c r="N1303" t="inlineStr">
        <is>
          <t>Mensual</t>
        </is>
      </c>
    </row>
    <row r="1304" ht="14.25" customHeight="1" s="52">
      <c r="A1304" t="inlineStr">
        <is>
          <t>2026-06</t>
        </is>
      </c>
      <c r="B1304" t="inlineStr">
        <is>
          <t>Colombia</t>
        </is>
      </c>
      <c r="C1304" t="inlineStr">
        <is>
          <t>Coco Colombia</t>
        </is>
      </c>
      <c r="D1304" t="inlineStr">
        <is>
          <t>COP</t>
        </is>
      </c>
      <c r="E1304" t="inlineStr">
        <is>
          <t>Real</t>
        </is>
      </c>
      <c r="F1304" t="inlineStr">
        <is>
          <t>dso</t>
        </is>
      </c>
      <c r="I1304" t="n">
        <v>70.76000000000001</v>
      </c>
      <c r="J1304" t="inlineStr">
        <is>
          <t>Días</t>
        </is>
      </c>
      <c r="K1304" t="inlineStr">
        <is>
          <t>Meta &lt;45 | Fuente: informe (no disponible en notas EEFF junio)</t>
        </is>
      </c>
      <c r="L1304" t="inlineStr">
        <is>
          <t>Contabilidad</t>
        </is>
      </c>
      <c r="M1304" t="inlineStr">
        <is>
          <t>Contabilidad</t>
        </is>
      </c>
      <c r="N1304" t="inlineStr">
        <is>
          <t>Mensual</t>
        </is>
      </c>
    </row>
    <row r="1305" ht="14.25" customHeight="1" s="52">
      <c r="A1305" t="inlineStr">
        <is>
          <t>2026-06</t>
        </is>
      </c>
      <c r="B1305" t="inlineStr">
        <is>
          <t>Colombia</t>
        </is>
      </c>
      <c r="C1305" t="inlineStr">
        <is>
          <t>Coco Colombia</t>
        </is>
      </c>
      <c r="D1305" t="inlineStr">
        <is>
          <t>COP</t>
        </is>
      </c>
      <c r="E1305" t="inlineStr">
        <is>
          <t>Real</t>
        </is>
      </c>
      <c r="F1305" t="inlineStr">
        <is>
          <t>indice_morosidad</t>
        </is>
      </c>
      <c r="J1305" t="inlineStr">
        <is>
          <t>%</t>
        </is>
      </c>
      <c r="K1305" t="inlineStr">
        <is>
          <t>RETIRADO el 27-ago-2026: definicion distinta a la vigente. El valor anterior queda en BD_TRAZABILIDAD_COCO, hoja MRR_Cartera_Reemplazado.</t>
        </is>
      </c>
      <c r="L1305" t="inlineStr">
        <is>
          <t>Contabilidad</t>
        </is>
      </c>
      <c r="M1305" t="inlineStr">
        <is>
          <t>Contabilidad</t>
        </is>
      </c>
      <c r="N1305" t="inlineStr">
        <is>
          <t>Mensual</t>
        </is>
      </c>
    </row>
    <row r="1306" ht="14.25" customHeight="1" s="52">
      <c r="A1306" t="inlineStr">
        <is>
          <t>2026-06</t>
        </is>
      </c>
      <c r="B1306" t="inlineStr">
        <is>
          <t>Colombia</t>
        </is>
      </c>
      <c r="C1306" t="inlineStr">
        <is>
          <t>Coco Colombia</t>
        </is>
      </c>
      <c r="D1306" t="inlineStr">
        <is>
          <t>COP</t>
        </is>
      </c>
      <c r="E1306" t="inlineStr">
        <is>
          <t>Real</t>
        </is>
      </c>
      <c r="F1306" t="inlineStr">
        <is>
          <t>cartera_mayor_60_pct</t>
        </is>
      </c>
      <c r="I1306" t="n">
        <v>20.3</v>
      </c>
      <c r="J1306" t="inlineStr">
        <is>
          <t>%</t>
        </is>
      </c>
      <c r="K1306" t="inlineStr">
        <is>
          <t>Meta &lt;5% | Fuente: informe (no disponible en notas EEFF junio)</t>
        </is>
      </c>
      <c r="L1306" t="inlineStr">
        <is>
          <t>Contabilidad</t>
        </is>
      </c>
      <c r="M1306" t="inlineStr">
        <is>
          <t>Contabilidad</t>
        </is>
      </c>
      <c r="N1306" t="inlineStr">
        <is>
          <t>Mensual</t>
        </is>
      </c>
    </row>
    <row r="1307" ht="14.25" customHeight="1" s="52">
      <c r="A1307" t="inlineStr">
        <is>
          <t>2026-06</t>
        </is>
      </c>
      <c r="B1307" t="inlineStr">
        <is>
          <t>Colombia</t>
        </is>
      </c>
      <c r="C1307" t="inlineStr">
        <is>
          <t>Coco Colombia</t>
        </is>
      </c>
      <c r="D1307" t="inlineStr">
        <is>
          <t>COP</t>
        </is>
      </c>
      <c r="E1307" t="inlineStr">
        <is>
          <t>Real</t>
        </is>
      </c>
      <c r="F1307" t="inlineStr">
        <is>
          <t>cartera_arr_pct</t>
        </is>
      </c>
      <c r="I1307" t="n">
        <v>46.47</v>
      </c>
      <c r="J1307" t="inlineStr">
        <is>
          <t>%</t>
        </is>
      </c>
      <c r="K1307" t="inlineStr">
        <is>
          <t>Meta &lt;12% | Fuente: informe (no disponible en notas EEFF junio)</t>
        </is>
      </c>
      <c r="L1307" t="inlineStr">
        <is>
          <t>Contabilidad</t>
        </is>
      </c>
      <c r="M1307" t="inlineStr">
        <is>
          <t>Contabilidad</t>
        </is>
      </c>
      <c r="N1307" t="inlineStr">
        <is>
          <t>Mensual</t>
        </is>
      </c>
    </row>
    <row r="1308" ht="14.25" customHeight="1" s="52">
      <c r="A1308" t="inlineStr">
        <is>
          <t>2026-06</t>
        </is>
      </c>
      <c r="B1308" t="inlineStr">
        <is>
          <t>Colombia</t>
        </is>
      </c>
      <c r="C1308" t="inlineStr">
        <is>
          <t>Coco Colombia</t>
        </is>
      </c>
      <c r="D1308" t="inlineStr">
        <is>
          <t>COP</t>
        </is>
      </c>
      <c r="E1308" t="inlineStr">
        <is>
          <t>Real</t>
        </is>
      </c>
      <c r="F1308" t="inlineStr">
        <is>
          <t>concentracion_cartera</t>
        </is>
      </c>
      <c r="J1308" t="inlineStr">
        <is>
          <t>%</t>
        </is>
      </c>
      <c r="K1308" t="inlineStr">
        <is>
          <t>RETIRADO el 27-ago-2026: definicion distinta a la vigente. El valor anterior queda en BD_TRAZABILIDAD_COCO, hoja MRR_Cartera_Reemplazado.</t>
        </is>
      </c>
      <c r="L1308" t="inlineStr">
        <is>
          <t>Contabilidad</t>
        </is>
      </c>
      <c r="M1308" t="inlineStr">
        <is>
          <t>Contabilidad</t>
        </is>
      </c>
      <c r="N1308" t="inlineStr">
        <is>
          <t>Mensual</t>
        </is>
      </c>
    </row>
    <row r="1309" ht="14.25" customHeight="1" s="52">
      <c r="A1309" t="inlineStr">
        <is>
          <t>2026-06</t>
        </is>
      </c>
      <c r="B1309" t="inlineStr">
        <is>
          <t>Colombia</t>
        </is>
      </c>
      <c r="C1309" t="inlineStr">
        <is>
          <t>Coco Colombia</t>
        </is>
      </c>
      <c r="D1309" t="inlineStr">
        <is>
          <t>COP</t>
        </is>
      </c>
      <c r="E1309" t="inlineStr">
        <is>
          <t>Real</t>
        </is>
      </c>
      <c r="F1309" t="inlineStr">
        <is>
          <t>write_off_ratio</t>
        </is>
      </c>
      <c r="I1309" t="n">
        <v>0.25</v>
      </c>
      <c r="J1309" t="inlineStr">
        <is>
          <t>%</t>
        </is>
      </c>
      <c r="K1309" t="inlineStr">
        <is>
          <t>Meta &lt;1% | Fuente: informe (no disponible en notas EEFF junio)</t>
        </is>
      </c>
      <c r="L1309" t="inlineStr">
        <is>
          <t>Contabilidad</t>
        </is>
      </c>
      <c r="M1309" t="inlineStr">
        <is>
          <t>Contabilidad</t>
        </is>
      </c>
      <c r="N1309" t="inlineStr">
        <is>
          <t>Mensual</t>
        </is>
      </c>
    </row>
    <row r="1310" ht="14.25" customHeight="1" s="52">
      <c r="A1310" t="inlineStr">
        <is>
          <t>2026-06</t>
        </is>
      </c>
      <c r="B1310" t="inlineStr">
        <is>
          <t>Colombia</t>
        </is>
      </c>
      <c r="C1310" t="inlineStr">
        <is>
          <t>Coco Colombia</t>
        </is>
      </c>
      <c r="D1310" t="inlineStr">
        <is>
          <t>COP</t>
        </is>
      </c>
      <c r="E1310" t="inlineStr">
        <is>
          <t>Real</t>
        </is>
      </c>
      <c r="F1310" t="inlineStr">
        <is>
          <t>gasto_area</t>
        </is>
      </c>
      <c r="H1310" t="inlineStr">
        <is>
          <t>Financieros</t>
        </is>
      </c>
      <c r="I1310" t="n">
        <v>5500000</v>
      </c>
      <c r="J1310" t="inlineStr">
        <is>
          <t>COP</t>
        </is>
      </c>
      <c r="L1310" t="inlineStr">
        <is>
          <t>Contabilidad</t>
        </is>
      </c>
      <c r="M1310" t="inlineStr">
        <is>
          <t>Contabilidad</t>
        </is>
      </c>
      <c r="N1310" t="inlineStr">
        <is>
          <t>Mensual</t>
        </is>
      </c>
    </row>
    <row r="1311" ht="14.25" customHeight="1" s="52">
      <c r="A1311" t="inlineStr">
        <is>
          <t>2026-06</t>
        </is>
      </c>
      <c r="B1311" t="inlineStr">
        <is>
          <t>Colombia</t>
        </is>
      </c>
      <c r="C1311" t="inlineStr">
        <is>
          <t>Coco Colombia</t>
        </is>
      </c>
      <c r="D1311" t="inlineStr">
        <is>
          <t>COP</t>
        </is>
      </c>
      <c r="E1311" t="inlineStr">
        <is>
          <t>Real</t>
        </is>
      </c>
      <c r="F1311" t="inlineStr">
        <is>
          <t>gasto_area</t>
        </is>
      </c>
      <c r="H1311" t="inlineStr">
        <is>
          <t>TI</t>
        </is>
      </c>
      <c r="I1311" t="n">
        <v>268800000</v>
      </c>
      <c r="J1311" t="inlineStr">
        <is>
          <t>COP</t>
        </is>
      </c>
      <c r="L1311" t="inlineStr">
        <is>
          <t>Contabilidad</t>
        </is>
      </c>
      <c r="M1311" t="inlineStr">
        <is>
          <t>Contabilidad</t>
        </is>
      </c>
      <c r="N1311" t="inlineStr">
        <is>
          <t>Mensual</t>
        </is>
      </c>
    </row>
    <row r="1312" ht="14.25" customHeight="1" s="52">
      <c r="A1312" t="inlineStr">
        <is>
          <t>2026-06</t>
        </is>
      </c>
      <c r="B1312" t="inlineStr">
        <is>
          <t>Colombia</t>
        </is>
      </c>
      <c r="C1312" t="inlineStr">
        <is>
          <t>Coco Colombia</t>
        </is>
      </c>
      <c r="D1312" t="inlineStr">
        <is>
          <t>COP</t>
        </is>
      </c>
      <c r="E1312" t="inlineStr">
        <is>
          <t>Real</t>
        </is>
      </c>
      <c r="F1312" t="inlineStr">
        <is>
          <t>gasto_area</t>
        </is>
      </c>
      <c r="H1312" t="inlineStr">
        <is>
          <t>Proveedores</t>
        </is>
      </c>
      <c r="I1312" t="n">
        <v>188500000</v>
      </c>
      <c r="J1312" t="inlineStr">
        <is>
          <t>COP</t>
        </is>
      </c>
      <c r="L1312" t="inlineStr">
        <is>
          <t>Contabilidad</t>
        </is>
      </c>
      <c r="M1312" t="inlineStr">
        <is>
          <t>Contabilidad</t>
        </is>
      </c>
      <c r="N1312" t="inlineStr">
        <is>
          <t>Mensual</t>
        </is>
      </c>
    </row>
    <row r="1313" ht="14.25" customHeight="1" s="52">
      <c r="A1313" t="inlineStr">
        <is>
          <t>2026-06</t>
        </is>
      </c>
      <c r="B1313" t="inlineStr">
        <is>
          <t>Colombia</t>
        </is>
      </c>
      <c r="C1313" t="inlineStr">
        <is>
          <t>Coco Colombia</t>
        </is>
      </c>
      <c r="D1313" t="inlineStr">
        <is>
          <t>COP</t>
        </is>
      </c>
      <c r="E1313" t="inlineStr">
        <is>
          <t>Real</t>
        </is>
      </c>
      <c r="F1313" t="inlineStr">
        <is>
          <t>gasto_area</t>
        </is>
      </c>
      <c r="H1313" t="inlineStr">
        <is>
          <t>Comercial</t>
        </is>
      </c>
      <c r="I1313" t="n">
        <v>146800000</v>
      </c>
      <c r="J1313" t="inlineStr">
        <is>
          <t>COP</t>
        </is>
      </c>
      <c r="L1313" t="inlineStr">
        <is>
          <t>Contabilidad</t>
        </is>
      </c>
      <c r="M1313" t="inlineStr">
        <is>
          <t>Contabilidad</t>
        </is>
      </c>
      <c r="N1313" t="inlineStr">
        <is>
          <t>Mensual</t>
        </is>
      </c>
    </row>
    <row r="1314" ht="14.25" customHeight="1" s="52">
      <c r="A1314" t="inlineStr">
        <is>
          <t>2026-06</t>
        </is>
      </c>
      <c r="B1314" t="inlineStr">
        <is>
          <t>Colombia</t>
        </is>
      </c>
      <c r="C1314" t="inlineStr">
        <is>
          <t>Coco Colombia</t>
        </is>
      </c>
      <c r="D1314" t="inlineStr">
        <is>
          <t>COP</t>
        </is>
      </c>
      <c r="E1314" t="inlineStr">
        <is>
          <t>Real</t>
        </is>
      </c>
      <c r="F1314" t="inlineStr">
        <is>
          <t>gasto_area</t>
        </is>
      </c>
      <c r="H1314" t="inlineStr">
        <is>
          <t>Administración</t>
        </is>
      </c>
      <c r="I1314" t="n">
        <v>112200000</v>
      </c>
      <c r="J1314" t="inlineStr">
        <is>
          <t>COP</t>
        </is>
      </c>
      <c r="L1314" t="inlineStr">
        <is>
          <t>Contabilidad</t>
        </is>
      </c>
      <c r="M1314" t="inlineStr">
        <is>
          <t>Contabilidad</t>
        </is>
      </c>
      <c r="N1314" t="inlineStr">
        <is>
          <t>Mensual</t>
        </is>
      </c>
    </row>
    <row r="1315" ht="14.25" customHeight="1" s="52">
      <c r="A1315" t="inlineStr">
        <is>
          <t>2026-06</t>
        </is>
      </c>
      <c r="B1315" t="inlineStr">
        <is>
          <t>Colombia</t>
        </is>
      </c>
      <c r="C1315" t="inlineStr">
        <is>
          <t>Coco Colombia</t>
        </is>
      </c>
      <c r="D1315" t="inlineStr">
        <is>
          <t>COP</t>
        </is>
      </c>
      <c r="E1315" t="inlineStr">
        <is>
          <t>Real</t>
        </is>
      </c>
      <c r="F1315" t="inlineStr">
        <is>
          <t>gasto_admin</t>
        </is>
      </c>
      <c r="H1315" t="inlineStr">
        <is>
          <t>Personal</t>
        </is>
      </c>
      <c r="I1315" t="n">
        <v>57300000</v>
      </c>
      <c r="J1315" t="inlineStr">
        <is>
          <t>COP</t>
        </is>
      </c>
      <c r="L1315" t="inlineStr">
        <is>
          <t>Contabilidad</t>
        </is>
      </c>
      <c r="M1315" t="inlineStr">
        <is>
          <t>Contabilidad</t>
        </is>
      </c>
      <c r="N1315" t="inlineStr">
        <is>
          <t>Mensual</t>
        </is>
      </c>
    </row>
    <row r="1316" ht="14.25" customHeight="1" s="52">
      <c r="A1316" t="inlineStr">
        <is>
          <t>2026-06</t>
        </is>
      </c>
      <c r="B1316" t="inlineStr">
        <is>
          <t>Colombia</t>
        </is>
      </c>
      <c r="C1316" t="inlineStr">
        <is>
          <t>Coco Colombia</t>
        </is>
      </c>
      <c r="D1316" t="inlineStr">
        <is>
          <t>COP</t>
        </is>
      </c>
      <c r="E1316" t="inlineStr">
        <is>
          <t>Real</t>
        </is>
      </c>
      <c r="F1316" t="inlineStr">
        <is>
          <t>gasto_admin</t>
        </is>
      </c>
      <c r="H1316" t="inlineStr">
        <is>
          <t>Honorarios</t>
        </is>
      </c>
      <c r="I1316" t="n">
        <v>19500000</v>
      </c>
      <c r="J1316" t="inlineStr">
        <is>
          <t>COP</t>
        </is>
      </c>
      <c r="L1316" t="inlineStr">
        <is>
          <t>Contabilidad</t>
        </is>
      </c>
      <c r="M1316" t="inlineStr">
        <is>
          <t>Contabilidad</t>
        </is>
      </c>
      <c r="N1316" t="inlineStr">
        <is>
          <t>Mensual</t>
        </is>
      </c>
    </row>
    <row r="1317" ht="14.25" customHeight="1" s="52">
      <c r="A1317" t="inlineStr">
        <is>
          <t>2026-06</t>
        </is>
      </c>
      <c r="B1317" t="inlineStr">
        <is>
          <t>Colombia</t>
        </is>
      </c>
      <c r="C1317" t="inlineStr">
        <is>
          <t>Coco Colombia</t>
        </is>
      </c>
      <c r="D1317" t="inlineStr">
        <is>
          <t>COP</t>
        </is>
      </c>
      <c r="E1317" t="inlineStr">
        <is>
          <t>Real</t>
        </is>
      </c>
      <c r="F1317" t="inlineStr">
        <is>
          <t>gasto_admin</t>
        </is>
      </c>
      <c r="H1317" t="inlineStr">
        <is>
          <t>Arrendamiento</t>
        </is>
      </c>
      <c r="I1317" t="n">
        <v>10000000</v>
      </c>
      <c r="J1317" t="inlineStr">
        <is>
          <t>COP</t>
        </is>
      </c>
      <c r="L1317" t="inlineStr">
        <is>
          <t>Contabilidad</t>
        </is>
      </c>
      <c r="M1317" t="inlineStr">
        <is>
          <t>Contabilidad</t>
        </is>
      </c>
      <c r="N1317" t="inlineStr">
        <is>
          <t>Mensual</t>
        </is>
      </c>
    </row>
    <row r="1318" ht="14.25" customHeight="1" s="52">
      <c r="A1318" t="inlineStr">
        <is>
          <t>2026-06</t>
        </is>
      </c>
      <c r="B1318" t="inlineStr">
        <is>
          <t>Colombia</t>
        </is>
      </c>
      <c r="C1318" t="inlineStr">
        <is>
          <t>Coco Colombia</t>
        </is>
      </c>
      <c r="D1318" t="inlineStr">
        <is>
          <t>COP</t>
        </is>
      </c>
      <c r="E1318" t="inlineStr">
        <is>
          <t>Real</t>
        </is>
      </c>
      <c r="F1318" t="inlineStr">
        <is>
          <t>gasto_admin</t>
        </is>
      </c>
      <c r="H1318" t="inlineStr">
        <is>
          <t>Seguros</t>
        </is>
      </c>
      <c r="I1318" t="n">
        <v>900000</v>
      </c>
      <c r="J1318" t="inlineStr">
        <is>
          <t>COP</t>
        </is>
      </c>
      <c r="L1318" t="inlineStr">
        <is>
          <t>Contabilidad</t>
        </is>
      </c>
      <c r="M1318" t="inlineStr">
        <is>
          <t>Contabilidad</t>
        </is>
      </c>
      <c r="N1318" t="inlineStr">
        <is>
          <t>Mensual</t>
        </is>
      </c>
    </row>
    <row r="1319" ht="14.25" customHeight="1" s="52">
      <c r="A1319" t="inlineStr">
        <is>
          <t>2026-06</t>
        </is>
      </c>
      <c r="B1319" t="inlineStr">
        <is>
          <t>Colombia</t>
        </is>
      </c>
      <c r="C1319" t="inlineStr">
        <is>
          <t>Coco Colombia</t>
        </is>
      </c>
      <c r="D1319" t="inlineStr">
        <is>
          <t>COP</t>
        </is>
      </c>
      <c r="E1319" t="inlineStr">
        <is>
          <t>Real</t>
        </is>
      </c>
      <c r="F1319" t="inlineStr">
        <is>
          <t>gasto_admin</t>
        </is>
      </c>
      <c r="H1319" t="inlineStr">
        <is>
          <t>Servicios</t>
        </is>
      </c>
      <c r="I1319" t="n">
        <v>3400000</v>
      </c>
      <c r="J1319" t="inlineStr">
        <is>
          <t>COP</t>
        </is>
      </c>
      <c r="L1319" t="inlineStr">
        <is>
          <t>Contabilidad</t>
        </is>
      </c>
      <c r="M1319" t="inlineStr">
        <is>
          <t>Contabilidad</t>
        </is>
      </c>
      <c r="N1319" t="inlineStr">
        <is>
          <t>Mensual</t>
        </is>
      </c>
    </row>
    <row r="1320" ht="14.25" customHeight="1" s="52">
      <c r="A1320" t="inlineStr">
        <is>
          <t>2026-06</t>
        </is>
      </c>
      <c r="B1320" t="inlineStr">
        <is>
          <t>Colombia</t>
        </is>
      </c>
      <c r="C1320" t="inlineStr">
        <is>
          <t>Coco Colombia</t>
        </is>
      </c>
      <c r="D1320" t="inlineStr">
        <is>
          <t>COP</t>
        </is>
      </c>
      <c r="E1320" t="inlineStr">
        <is>
          <t>Real</t>
        </is>
      </c>
      <c r="F1320" t="inlineStr">
        <is>
          <t>gasto_admin</t>
        </is>
      </c>
      <c r="H1320" t="inlineStr">
        <is>
          <t>Viajes</t>
        </is>
      </c>
      <c r="I1320" t="n">
        <v>80000</v>
      </c>
      <c r="J1320" t="inlineStr">
        <is>
          <t>COP</t>
        </is>
      </c>
      <c r="L1320" t="inlineStr">
        <is>
          <t>Contabilidad</t>
        </is>
      </c>
      <c r="M1320" t="inlineStr">
        <is>
          <t>Contabilidad</t>
        </is>
      </c>
      <c r="N1320" t="inlineStr">
        <is>
          <t>Mensual</t>
        </is>
      </c>
    </row>
    <row r="1321" ht="14.25" customHeight="1" s="52">
      <c r="A1321" t="inlineStr">
        <is>
          <t>2026-06</t>
        </is>
      </c>
      <c r="B1321" t="inlineStr">
        <is>
          <t>Colombia</t>
        </is>
      </c>
      <c r="C1321" t="inlineStr">
        <is>
          <t>Coco Colombia</t>
        </is>
      </c>
      <c r="E1321" t="inlineStr">
        <is>
          <t>Real</t>
        </is>
      </c>
      <c r="F1321" t="inlineStr">
        <is>
          <t>cartera_vencida_cliente</t>
        </is>
      </c>
      <c r="H1321" t="inlineStr">
        <is>
          <t>Coopsana</t>
        </is>
      </c>
      <c r="I1321" t="n">
        <v>17</v>
      </c>
      <c r="J1321" t="inlineStr">
        <is>
          <t>%</t>
        </is>
      </c>
      <c r="K1321" t="inlineStr">
        <is>
          <t>Fuente: informe (no disponible en notas EEFF junio)</t>
        </is>
      </c>
      <c r="L1321" t="inlineStr">
        <is>
          <t>Contabilidad</t>
        </is>
      </c>
      <c r="M1321" t="inlineStr">
        <is>
          <t>Contabilidad</t>
        </is>
      </c>
      <c r="N1321" t="inlineStr">
        <is>
          <t>Mensual</t>
        </is>
      </c>
    </row>
    <row r="1322" ht="14.25" customHeight="1" s="52">
      <c r="A1322" t="inlineStr">
        <is>
          <t>2026-06</t>
        </is>
      </c>
      <c r="B1322" t="inlineStr">
        <is>
          <t>Colombia</t>
        </is>
      </c>
      <c r="C1322" t="inlineStr">
        <is>
          <t>Coco Colombia</t>
        </is>
      </c>
      <c r="E1322" t="inlineStr">
        <is>
          <t>Real</t>
        </is>
      </c>
      <c r="F1322" t="inlineStr">
        <is>
          <t>cartera_vencida_cliente</t>
        </is>
      </c>
      <c r="H1322" t="inlineStr">
        <is>
          <t>Promotora</t>
        </is>
      </c>
      <c r="I1322" t="n">
        <v>9.6</v>
      </c>
      <c r="J1322" t="inlineStr">
        <is>
          <t>%</t>
        </is>
      </c>
      <c r="K1322" t="inlineStr">
        <is>
          <t>Fuente: informe (no disponible en notas EEFF junio)</t>
        </is>
      </c>
      <c r="L1322" t="inlineStr">
        <is>
          <t>Contabilidad</t>
        </is>
      </c>
      <c r="M1322" t="inlineStr">
        <is>
          <t>Contabilidad</t>
        </is>
      </c>
      <c r="N1322" t="inlineStr">
        <is>
          <t>Mensual</t>
        </is>
      </c>
    </row>
    <row r="1323" ht="14.25" customHeight="1" s="52">
      <c r="A1323" t="inlineStr">
        <is>
          <t>2026-06</t>
        </is>
      </c>
      <c r="B1323" t="inlineStr">
        <is>
          <t>Colombia</t>
        </is>
      </c>
      <c r="C1323" t="inlineStr">
        <is>
          <t>Coco Colombia</t>
        </is>
      </c>
      <c r="E1323" t="inlineStr">
        <is>
          <t>Real</t>
        </is>
      </c>
      <c r="F1323" t="inlineStr">
        <is>
          <t>cartera_vencida_cliente</t>
        </is>
      </c>
      <c r="H1323" t="inlineStr">
        <is>
          <t>San Juan de Dios Rionegro</t>
        </is>
      </c>
      <c r="I1323" t="n">
        <v>5.3</v>
      </c>
      <c r="J1323" t="inlineStr">
        <is>
          <t>%</t>
        </is>
      </c>
      <c r="K1323" t="inlineStr">
        <is>
          <t>Fuente: informe (no disponible en notas EEFF junio)</t>
        </is>
      </c>
      <c r="L1323" t="inlineStr">
        <is>
          <t>Contabilidad</t>
        </is>
      </c>
      <c r="M1323" t="inlineStr">
        <is>
          <t>Contabilidad</t>
        </is>
      </c>
      <c r="N1323" t="inlineStr">
        <is>
          <t>Mensual</t>
        </is>
      </c>
    </row>
    <row r="1324" ht="14.25" customHeight="1" s="52">
      <c r="A1324" t="inlineStr">
        <is>
          <t>2026-06</t>
        </is>
      </c>
      <c r="B1324" t="inlineStr">
        <is>
          <t>Colombia</t>
        </is>
      </c>
      <c r="C1324" t="inlineStr">
        <is>
          <t>Coco Colombia</t>
        </is>
      </c>
      <c r="E1324" t="inlineStr">
        <is>
          <t>Real</t>
        </is>
      </c>
      <c r="F1324" t="inlineStr">
        <is>
          <t>cartera_vencida_cliente</t>
        </is>
      </c>
      <c r="H1324" t="inlineStr">
        <is>
          <t>Santa fe de Antioquia</t>
        </is>
      </c>
      <c r="I1324" t="n">
        <v>4.9</v>
      </c>
      <c r="J1324" t="inlineStr">
        <is>
          <t>%</t>
        </is>
      </c>
      <c r="K1324" t="inlineStr">
        <is>
          <t>Fuente: informe (no disponible en notas EEFF junio)</t>
        </is>
      </c>
      <c r="L1324" t="inlineStr">
        <is>
          <t>Contabilidad</t>
        </is>
      </c>
      <c r="M1324" t="inlineStr">
        <is>
          <t>Contabilidad</t>
        </is>
      </c>
      <c r="N1324" t="inlineStr">
        <is>
          <t>Mensual</t>
        </is>
      </c>
    </row>
    <row r="1325" ht="14.25" customHeight="1" s="52">
      <c r="A1325" t="inlineStr">
        <is>
          <t>2026-06</t>
        </is>
      </c>
      <c r="B1325" t="inlineStr">
        <is>
          <t>Colombia</t>
        </is>
      </c>
      <c r="C1325" t="inlineStr">
        <is>
          <t>Coco Colombia</t>
        </is>
      </c>
      <c r="E1325" t="inlineStr">
        <is>
          <t>Real</t>
        </is>
      </c>
      <c r="F1325" t="inlineStr">
        <is>
          <t>cartera_vencida_cliente</t>
        </is>
      </c>
      <c r="H1325" t="inlineStr">
        <is>
          <t>Icor</t>
        </is>
      </c>
      <c r="I1325" t="n">
        <v>4.9</v>
      </c>
      <c r="J1325" t="inlineStr">
        <is>
          <t>%</t>
        </is>
      </c>
      <c r="K1325" t="inlineStr">
        <is>
          <t>Fuente: informe (no disponible en notas EEFF junio)</t>
        </is>
      </c>
      <c r="L1325" t="inlineStr">
        <is>
          <t>Contabilidad</t>
        </is>
      </c>
      <c r="M1325" t="inlineStr">
        <is>
          <t>Contabilidad</t>
        </is>
      </c>
      <c r="N1325" t="inlineStr">
        <is>
          <t>Mensual</t>
        </is>
      </c>
    </row>
    <row r="1326" ht="14.25" customHeight="1" s="52">
      <c r="A1326" t="inlineStr">
        <is>
          <t>2026-06</t>
        </is>
      </c>
      <c r="B1326" t="inlineStr">
        <is>
          <t>Colombia</t>
        </is>
      </c>
      <c r="C1326" t="inlineStr">
        <is>
          <t>Coco Colombia</t>
        </is>
      </c>
      <c r="E1326" t="inlineStr">
        <is>
          <t>Real</t>
        </is>
      </c>
      <c r="F1326" t="inlineStr">
        <is>
          <t>cartera_vencida_cliente</t>
        </is>
      </c>
      <c r="H1326" t="inlineStr">
        <is>
          <t>Genezen</t>
        </is>
      </c>
      <c r="I1326" t="n">
        <v>4.8</v>
      </c>
      <c r="J1326" t="inlineStr">
        <is>
          <t>%</t>
        </is>
      </c>
      <c r="K1326" t="inlineStr">
        <is>
          <t>Fuente: informe (no disponible en notas EEFF junio)</t>
        </is>
      </c>
      <c r="L1326" t="inlineStr">
        <is>
          <t>Contabilidad</t>
        </is>
      </c>
      <c r="M1326" t="inlineStr">
        <is>
          <t>Contabilidad</t>
        </is>
      </c>
      <c r="N1326" t="inlineStr">
        <is>
          <t>Mensual</t>
        </is>
      </c>
    </row>
    <row r="1327" ht="14.25" customHeight="1" s="52">
      <c r="A1327" t="inlineStr">
        <is>
          <t>2026-06</t>
        </is>
      </c>
      <c r="B1327" t="inlineStr">
        <is>
          <t>Colombia</t>
        </is>
      </c>
      <c r="C1327" t="inlineStr">
        <is>
          <t>Coco Colombia</t>
        </is>
      </c>
      <c r="E1327" t="inlineStr">
        <is>
          <t>Real</t>
        </is>
      </c>
      <c r="F1327" t="inlineStr">
        <is>
          <t>cartera_vencida_cliente</t>
        </is>
      </c>
      <c r="H1327" t="inlineStr">
        <is>
          <t>Otros</t>
        </is>
      </c>
      <c r="I1327" t="n">
        <v>53.5</v>
      </c>
      <c r="J1327" t="inlineStr">
        <is>
          <t>%</t>
        </is>
      </c>
      <c r="K1327" t="inlineStr">
        <is>
          <t>Fuente: informe (no disponible en notas EEFF junio)</t>
        </is>
      </c>
      <c r="L1327" t="inlineStr">
        <is>
          <t>Contabilidad</t>
        </is>
      </c>
      <c r="M1327" t="inlineStr">
        <is>
          <t>Contabilidad</t>
        </is>
      </c>
      <c r="N1327" t="inlineStr">
        <is>
          <t>Mensual</t>
        </is>
      </c>
    </row>
    <row r="1328" ht="14.25" customHeight="1" s="52">
      <c r="A1328" t="inlineStr">
        <is>
          <t>2026-01</t>
        </is>
      </c>
      <c r="B1328" t="inlineStr">
        <is>
          <t>Colombia</t>
        </is>
      </c>
      <c r="C1328" t="inlineStr">
        <is>
          <t>Coco Colombia</t>
        </is>
      </c>
      <c r="D1328" t="inlineStr">
        <is>
          <t>COP</t>
        </is>
      </c>
      <c r="E1328" t="inlineStr">
        <is>
          <t>Real</t>
        </is>
      </c>
      <c r="F1328" t="inlineStr">
        <is>
          <t>pyg_ingresos_operacionales</t>
        </is>
      </c>
      <c r="I1328" t="n">
        <v>612247701</v>
      </c>
      <c r="J1328" t="inlineStr">
        <is>
          <t>COP</t>
        </is>
      </c>
      <c r="K1328" t="inlineStr">
        <is>
          <t>P&amp;G ejecutivo oficial (estados financieros mensuales)</t>
        </is>
      </c>
      <c r="L1328" t="inlineStr">
        <is>
          <t>Finanzas</t>
        </is>
      </c>
      <c r="M1328" t="inlineStr">
        <is>
          <t>Finanzas</t>
        </is>
      </c>
      <c r="N1328" t="inlineStr">
        <is>
          <t>Mensual</t>
        </is>
      </c>
    </row>
    <row r="1329" ht="14.25" customHeight="1" s="52">
      <c r="A1329" t="inlineStr">
        <is>
          <t>2026-02</t>
        </is>
      </c>
      <c r="B1329" t="inlineStr">
        <is>
          <t>Colombia</t>
        </is>
      </c>
      <c r="C1329" t="inlineStr">
        <is>
          <t>Coco Colombia</t>
        </is>
      </c>
      <c r="D1329" t="inlineStr">
        <is>
          <t>COP</t>
        </is>
      </c>
      <c r="E1329" t="inlineStr">
        <is>
          <t>Real</t>
        </is>
      </c>
      <c r="F1329" t="inlineStr">
        <is>
          <t>pyg_ingresos_operacionales</t>
        </is>
      </c>
      <c r="I1329" t="n">
        <v>744218137</v>
      </c>
      <c r="J1329" t="inlineStr">
        <is>
          <t>COP</t>
        </is>
      </c>
      <c r="K1329" t="inlineStr">
        <is>
          <t>P&amp;G ejecutivo oficial (estados financieros mensuales)</t>
        </is>
      </c>
      <c r="L1329" t="inlineStr">
        <is>
          <t>Finanzas</t>
        </is>
      </c>
      <c r="M1329" t="inlineStr">
        <is>
          <t>Finanzas</t>
        </is>
      </c>
      <c r="N1329" t="inlineStr">
        <is>
          <t>Mensual</t>
        </is>
      </c>
    </row>
    <row r="1330" ht="14.25" customHeight="1" s="52">
      <c r="A1330" t="inlineStr">
        <is>
          <t>2026-03</t>
        </is>
      </c>
      <c r="B1330" t="inlineStr">
        <is>
          <t>Colombia</t>
        </is>
      </c>
      <c r="C1330" t="inlineStr">
        <is>
          <t>Coco Colombia</t>
        </is>
      </c>
      <c r="D1330" t="inlineStr">
        <is>
          <t>COP</t>
        </is>
      </c>
      <c r="E1330" t="inlineStr">
        <is>
          <t>Real</t>
        </is>
      </c>
      <c r="F1330" t="inlineStr">
        <is>
          <t>pyg_ingresos_operacionales</t>
        </is>
      </c>
      <c r="I1330" t="n">
        <v>787041187</v>
      </c>
      <c r="J1330" t="inlineStr">
        <is>
          <t>COP</t>
        </is>
      </c>
      <c r="K1330" t="inlineStr">
        <is>
          <t>P&amp;G ejecutivo oficial (estados financieros mensuales)</t>
        </is>
      </c>
      <c r="L1330" t="inlineStr">
        <is>
          <t>Finanzas</t>
        </is>
      </c>
      <c r="M1330" t="inlineStr">
        <is>
          <t>Finanzas</t>
        </is>
      </c>
      <c r="N1330" t="inlineStr">
        <is>
          <t>Mensual</t>
        </is>
      </c>
    </row>
    <row r="1331" ht="14.25" customHeight="1" s="52">
      <c r="A1331" t="inlineStr">
        <is>
          <t>2026-04</t>
        </is>
      </c>
      <c r="B1331" t="inlineStr">
        <is>
          <t>Colombia</t>
        </is>
      </c>
      <c r="C1331" t="inlineStr">
        <is>
          <t>Coco Colombia</t>
        </is>
      </c>
      <c r="D1331" t="inlineStr">
        <is>
          <t>COP</t>
        </is>
      </c>
      <c r="E1331" t="inlineStr">
        <is>
          <t>Real</t>
        </is>
      </c>
      <c r="F1331" t="inlineStr">
        <is>
          <t>pyg_ingresos_operacionales</t>
        </is>
      </c>
      <c r="I1331" t="n">
        <v>750867662</v>
      </c>
      <c r="J1331" t="inlineStr">
        <is>
          <t>COP</t>
        </is>
      </c>
      <c r="K1331" t="inlineStr">
        <is>
          <t>P&amp;G ejecutivo oficial (estados financieros mensuales)</t>
        </is>
      </c>
      <c r="L1331" t="inlineStr">
        <is>
          <t>Finanzas</t>
        </is>
      </c>
      <c r="M1331" t="inlineStr">
        <is>
          <t>Finanzas</t>
        </is>
      </c>
      <c r="N1331" t="inlineStr">
        <is>
          <t>Mensual</t>
        </is>
      </c>
    </row>
    <row r="1332" ht="14.25" customHeight="1" s="52">
      <c r="A1332" t="inlineStr">
        <is>
          <t>2026-05</t>
        </is>
      </c>
      <c r="B1332" t="inlineStr">
        <is>
          <t>Colombia</t>
        </is>
      </c>
      <c r="C1332" t="inlineStr">
        <is>
          <t>Coco Colombia</t>
        </is>
      </c>
      <c r="D1332" t="inlineStr">
        <is>
          <t>COP</t>
        </is>
      </c>
      <c r="E1332" t="inlineStr">
        <is>
          <t>Real</t>
        </is>
      </c>
      <c r="F1332" t="inlineStr">
        <is>
          <t>pyg_ingresos_operacionales</t>
        </is>
      </c>
      <c r="I1332" t="n">
        <v>826514746</v>
      </c>
      <c r="J1332" t="inlineStr">
        <is>
          <t>COP</t>
        </is>
      </c>
      <c r="K1332" t="inlineStr">
        <is>
          <t>P&amp;G ejecutivo oficial (estados financieros mensuales)</t>
        </is>
      </c>
      <c r="L1332" t="inlineStr">
        <is>
          <t>Finanzas</t>
        </is>
      </c>
      <c r="M1332" t="inlineStr">
        <is>
          <t>Finanzas</t>
        </is>
      </c>
      <c r="N1332" t="inlineStr">
        <is>
          <t>Mensual</t>
        </is>
      </c>
    </row>
    <row r="1333" ht="14.25" customHeight="1" s="52">
      <c r="A1333" t="inlineStr">
        <is>
          <t>2026-06</t>
        </is>
      </c>
      <c r="B1333" t="inlineStr">
        <is>
          <t>Colombia</t>
        </is>
      </c>
      <c r="C1333" t="inlineStr">
        <is>
          <t>Coco Colombia</t>
        </is>
      </c>
      <c r="D1333" t="inlineStr">
        <is>
          <t>COP</t>
        </is>
      </c>
      <c r="E1333" t="inlineStr">
        <is>
          <t>Real</t>
        </is>
      </c>
      <c r="F1333" t="inlineStr">
        <is>
          <t>pyg_ingresos_operacionales</t>
        </is>
      </c>
      <c r="I1333" t="n">
        <v>751453314</v>
      </c>
      <c r="J1333" t="inlineStr">
        <is>
          <t>COP</t>
        </is>
      </c>
      <c r="K1333" t="inlineStr">
        <is>
          <t>P&amp;G ejecutivo oficial (estados financieros mensuales)</t>
        </is>
      </c>
      <c r="L1333" t="inlineStr">
        <is>
          <t>Finanzas</t>
        </is>
      </c>
      <c r="M1333" t="inlineStr">
        <is>
          <t>Finanzas</t>
        </is>
      </c>
      <c r="N1333" t="inlineStr">
        <is>
          <t>Mensual</t>
        </is>
      </c>
    </row>
    <row r="1334" ht="14.25" customHeight="1" s="52">
      <c r="A1334" t="inlineStr">
        <is>
          <t>2026-01</t>
        </is>
      </c>
      <c r="B1334" t="inlineStr">
        <is>
          <t>Colombia</t>
        </is>
      </c>
      <c r="C1334" t="inlineStr">
        <is>
          <t>Coco Colombia</t>
        </is>
      </c>
      <c r="D1334" t="inlineStr">
        <is>
          <t>COP</t>
        </is>
      </c>
      <c r="E1334" t="inlineStr">
        <is>
          <t>Real</t>
        </is>
      </c>
      <c r="F1334" t="inlineStr">
        <is>
          <t>pyg_servicio_software</t>
        </is>
      </c>
      <c r="I1334" t="n">
        <v>689690890</v>
      </c>
      <c r="J1334" t="inlineStr">
        <is>
          <t>COP</t>
        </is>
      </c>
      <c r="K1334" t="inlineStr">
        <is>
          <t>P&amp;G ejecutivo oficial (estados financieros mensuales)</t>
        </is>
      </c>
      <c r="L1334" t="inlineStr">
        <is>
          <t>Finanzas</t>
        </is>
      </c>
      <c r="M1334" t="inlineStr">
        <is>
          <t>Finanzas</t>
        </is>
      </c>
      <c r="N1334" t="inlineStr">
        <is>
          <t>Mensual</t>
        </is>
      </c>
    </row>
    <row r="1335" ht="14.25" customHeight="1" s="52">
      <c r="A1335" t="inlineStr">
        <is>
          <t>2026-02</t>
        </is>
      </c>
      <c r="B1335" t="inlineStr">
        <is>
          <t>Colombia</t>
        </is>
      </c>
      <c r="C1335" t="inlineStr">
        <is>
          <t>Coco Colombia</t>
        </is>
      </c>
      <c r="D1335" t="inlineStr">
        <is>
          <t>COP</t>
        </is>
      </c>
      <c r="E1335" t="inlineStr">
        <is>
          <t>Real</t>
        </is>
      </c>
      <c r="F1335" t="inlineStr">
        <is>
          <t>pyg_servicio_software</t>
        </is>
      </c>
      <c r="I1335" t="n">
        <v>744218137</v>
      </c>
      <c r="J1335" t="inlineStr">
        <is>
          <t>COP</t>
        </is>
      </c>
      <c r="K1335" t="inlineStr">
        <is>
          <t>P&amp;G ejecutivo oficial (estados financieros mensuales)</t>
        </is>
      </c>
      <c r="L1335" t="inlineStr">
        <is>
          <t>Finanzas</t>
        </is>
      </c>
      <c r="M1335" t="inlineStr">
        <is>
          <t>Finanzas</t>
        </is>
      </c>
      <c r="N1335" t="inlineStr">
        <is>
          <t>Mensual</t>
        </is>
      </c>
    </row>
    <row r="1336" ht="14.25" customHeight="1" s="52">
      <c r="A1336" t="inlineStr">
        <is>
          <t>2026-03</t>
        </is>
      </c>
      <c r="B1336" t="inlineStr">
        <is>
          <t>Colombia</t>
        </is>
      </c>
      <c r="C1336" t="inlineStr">
        <is>
          <t>Coco Colombia</t>
        </is>
      </c>
      <c r="D1336" t="inlineStr">
        <is>
          <t>COP</t>
        </is>
      </c>
      <c r="E1336" t="inlineStr">
        <is>
          <t>Real</t>
        </is>
      </c>
      <c r="F1336" t="inlineStr">
        <is>
          <t>pyg_servicio_software</t>
        </is>
      </c>
      <c r="I1336" t="n">
        <v>839105106</v>
      </c>
      <c r="J1336" t="inlineStr">
        <is>
          <t>COP</t>
        </is>
      </c>
      <c r="K1336" t="inlineStr">
        <is>
          <t>P&amp;G ejecutivo oficial (estados financieros mensuales)</t>
        </is>
      </c>
      <c r="L1336" t="inlineStr">
        <is>
          <t>Finanzas</t>
        </is>
      </c>
      <c r="M1336" t="inlineStr">
        <is>
          <t>Finanzas</t>
        </is>
      </c>
      <c r="N1336" t="inlineStr">
        <is>
          <t>Mensual</t>
        </is>
      </c>
    </row>
    <row r="1337" ht="14.25" customHeight="1" s="52">
      <c r="A1337" t="inlineStr">
        <is>
          <t>2026-04</t>
        </is>
      </c>
      <c r="B1337" t="inlineStr">
        <is>
          <t>Colombia</t>
        </is>
      </c>
      <c r="C1337" t="inlineStr">
        <is>
          <t>Coco Colombia</t>
        </is>
      </c>
      <c r="D1337" t="inlineStr">
        <is>
          <t>COP</t>
        </is>
      </c>
      <c r="E1337" t="inlineStr">
        <is>
          <t>Real</t>
        </is>
      </c>
      <c r="F1337" t="inlineStr">
        <is>
          <t>pyg_servicio_software</t>
        </is>
      </c>
      <c r="I1337" t="n">
        <v>819197300</v>
      </c>
      <c r="J1337" t="inlineStr">
        <is>
          <t>COP</t>
        </is>
      </c>
      <c r="K1337" t="inlineStr">
        <is>
          <t>P&amp;G ejecutivo oficial (estados financieros mensuales)</t>
        </is>
      </c>
      <c r="L1337" t="inlineStr">
        <is>
          <t>Finanzas</t>
        </is>
      </c>
      <c r="M1337" t="inlineStr">
        <is>
          <t>Finanzas</t>
        </is>
      </c>
      <c r="N1337" t="inlineStr">
        <is>
          <t>Mensual</t>
        </is>
      </c>
    </row>
    <row r="1338" ht="14.25" customHeight="1" s="52">
      <c r="A1338" t="inlineStr">
        <is>
          <t>2026-05</t>
        </is>
      </c>
      <c r="B1338" t="inlineStr">
        <is>
          <t>Colombia</t>
        </is>
      </c>
      <c r="C1338" t="inlineStr">
        <is>
          <t>Coco Colombia</t>
        </is>
      </c>
      <c r="D1338" t="inlineStr">
        <is>
          <t>COP</t>
        </is>
      </c>
      <c r="E1338" t="inlineStr">
        <is>
          <t>Real</t>
        </is>
      </c>
      <c r="F1338" t="inlineStr">
        <is>
          <t>pyg_servicio_software</t>
        </is>
      </c>
      <c r="I1338" t="n">
        <v>881948086</v>
      </c>
      <c r="J1338" t="inlineStr">
        <is>
          <t>COP</t>
        </is>
      </c>
      <c r="K1338" t="inlineStr">
        <is>
          <t>P&amp;G ejecutivo oficial (estados financieros mensuales)</t>
        </is>
      </c>
      <c r="L1338" t="inlineStr">
        <is>
          <t>Finanzas</t>
        </is>
      </c>
      <c r="M1338" t="inlineStr">
        <is>
          <t>Finanzas</t>
        </is>
      </c>
      <c r="N1338" t="inlineStr">
        <is>
          <t>Mensual</t>
        </is>
      </c>
    </row>
    <row r="1339" ht="14.25" customHeight="1" s="52">
      <c r="A1339" t="inlineStr">
        <is>
          <t>2026-06</t>
        </is>
      </c>
      <c r="B1339" t="inlineStr">
        <is>
          <t>Colombia</t>
        </is>
      </c>
      <c r="C1339" t="inlineStr">
        <is>
          <t>Coco Colombia</t>
        </is>
      </c>
      <c r="D1339" t="inlineStr">
        <is>
          <t>COP</t>
        </is>
      </c>
      <c r="E1339" t="inlineStr">
        <is>
          <t>Real</t>
        </is>
      </c>
      <c r="F1339" t="inlineStr">
        <is>
          <t>pyg_servicio_software</t>
        </is>
      </c>
      <c r="I1339" t="n">
        <v>929451219</v>
      </c>
      <c r="J1339" t="inlineStr">
        <is>
          <t>COP</t>
        </is>
      </c>
      <c r="K1339" t="inlineStr">
        <is>
          <t>P&amp;G ejecutivo oficial (estados financieros mensuales)</t>
        </is>
      </c>
      <c r="L1339" t="inlineStr">
        <is>
          <t>Finanzas</t>
        </is>
      </c>
      <c r="M1339" t="inlineStr">
        <is>
          <t>Finanzas</t>
        </is>
      </c>
      <c r="N1339" t="inlineStr">
        <is>
          <t>Mensual</t>
        </is>
      </c>
    </row>
    <row r="1340" ht="14.25" customHeight="1" s="52">
      <c r="A1340" t="inlineStr">
        <is>
          <t>2026-01</t>
        </is>
      </c>
      <c r="B1340" t="inlineStr">
        <is>
          <t>Colombia</t>
        </is>
      </c>
      <c r="C1340" t="inlineStr">
        <is>
          <t>Coco Colombia</t>
        </is>
      </c>
      <c r="D1340" t="inlineStr">
        <is>
          <t>COP</t>
        </is>
      </c>
      <c r="E1340" t="inlineStr">
        <is>
          <t>Real</t>
        </is>
      </c>
      <c r="F1340" t="inlineStr">
        <is>
          <t>pyg_devoluciones</t>
        </is>
      </c>
      <c r="I1340" t="n">
        <v>-77443189</v>
      </c>
      <c r="J1340" t="inlineStr">
        <is>
          <t>COP</t>
        </is>
      </c>
      <c r="K1340" t="inlineStr">
        <is>
          <t>P&amp;G ejecutivo oficial (estados financieros mensuales)</t>
        </is>
      </c>
      <c r="L1340" t="inlineStr">
        <is>
          <t>Finanzas</t>
        </is>
      </c>
      <c r="M1340" t="inlineStr">
        <is>
          <t>Finanzas</t>
        </is>
      </c>
      <c r="N1340" t="inlineStr">
        <is>
          <t>Mensual</t>
        </is>
      </c>
    </row>
    <row r="1341" ht="14.25" customHeight="1" s="52">
      <c r="A1341" t="inlineStr">
        <is>
          <t>2026-02</t>
        </is>
      </c>
      <c r="B1341" t="inlineStr">
        <is>
          <t>Colombia</t>
        </is>
      </c>
      <c r="C1341" t="inlineStr">
        <is>
          <t>Coco Colombia</t>
        </is>
      </c>
      <c r="D1341" t="inlineStr">
        <is>
          <t>COP</t>
        </is>
      </c>
      <c r="E1341" t="inlineStr">
        <is>
          <t>Real</t>
        </is>
      </c>
      <c r="F1341" t="inlineStr">
        <is>
          <t>pyg_devoluciones</t>
        </is>
      </c>
      <c r="I1341" t="n">
        <v>0</v>
      </c>
      <c r="J1341" t="inlineStr">
        <is>
          <t>COP</t>
        </is>
      </c>
      <c r="K1341" t="inlineStr">
        <is>
          <t>P&amp;G ejecutivo oficial (estados financieros mensuales)</t>
        </is>
      </c>
      <c r="L1341" t="inlineStr">
        <is>
          <t>Finanzas</t>
        </is>
      </c>
      <c r="M1341" t="inlineStr">
        <is>
          <t>Finanzas</t>
        </is>
      </c>
      <c r="N1341" t="inlineStr">
        <is>
          <t>Mensual</t>
        </is>
      </c>
    </row>
    <row r="1342" ht="14.25" customHeight="1" s="52">
      <c r="A1342" t="inlineStr">
        <is>
          <t>2026-03</t>
        </is>
      </c>
      <c r="B1342" t="inlineStr">
        <is>
          <t>Colombia</t>
        </is>
      </c>
      <c r="C1342" t="inlineStr">
        <is>
          <t>Coco Colombia</t>
        </is>
      </c>
      <c r="D1342" t="inlineStr">
        <is>
          <t>COP</t>
        </is>
      </c>
      <c r="E1342" t="inlineStr">
        <is>
          <t>Real</t>
        </is>
      </c>
      <c r="F1342" t="inlineStr">
        <is>
          <t>pyg_devoluciones</t>
        </is>
      </c>
      <c r="I1342" t="n">
        <v>-52063919</v>
      </c>
      <c r="J1342" t="inlineStr">
        <is>
          <t>COP</t>
        </is>
      </c>
      <c r="K1342" t="inlineStr">
        <is>
          <t>P&amp;G ejecutivo oficial (estados financieros mensuales)</t>
        </is>
      </c>
      <c r="L1342" t="inlineStr">
        <is>
          <t>Finanzas</t>
        </is>
      </c>
      <c r="M1342" t="inlineStr">
        <is>
          <t>Finanzas</t>
        </is>
      </c>
      <c r="N1342" t="inlineStr">
        <is>
          <t>Mensual</t>
        </is>
      </c>
    </row>
    <row r="1343" ht="14.25" customHeight="1" s="52">
      <c r="A1343" t="inlineStr">
        <is>
          <t>2026-04</t>
        </is>
      </c>
      <c r="B1343" t="inlineStr">
        <is>
          <t>Colombia</t>
        </is>
      </c>
      <c r="C1343" t="inlineStr">
        <is>
          <t>Coco Colombia</t>
        </is>
      </c>
      <c r="D1343" t="inlineStr">
        <is>
          <t>COP</t>
        </is>
      </c>
      <c r="E1343" t="inlineStr">
        <is>
          <t>Real</t>
        </is>
      </c>
      <c r="F1343" t="inlineStr">
        <is>
          <t>pyg_devoluciones</t>
        </is>
      </c>
      <c r="I1343" t="n">
        <v>-68329638</v>
      </c>
      <c r="J1343" t="inlineStr">
        <is>
          <t>COP</t>
        </is>
      </c>
      <c r="K1343" t="inlineStr">
        <is>
          <t>P&amp;G ejecutivo oficial (estados financieros mensuales)</t>
        </is>
      </c>
      <c r="L1343" t="inlineStr">
        <is>
          <t>Finanzas</t>
        </is>
      </c>
      <c r="M1343" t="inlineStr">
        <is>
          <t>Finanzas</t>
        </is>
      </c>
      <c r="N1343" t="inlineStr">
        <is>
          <t>Mensual</t>
        </is>
      </c>
    </row>
    <row r="1344" ht="14.25" customHeight="1" s="52">
      <c r="A1344" t="inlineStr">
        <is>
          <t>2026-05</t>
        </is>
      </c>
      <c r="B1344" t="inlineStr">
        <is>
          <t>Colombia</t>
        </is>
      </c>
      <c r="C1344" t="inlineStr">
        <is>
          <t>Coco Colombia</t>
        </is>
      </c>
      <c r="D1344" t="inlineStr">
        <is>
          <t>COP</t>
        </is>
      </c>
      <c r="E1344" t="inlineStr">
        <is>
          <t>Real</t>
        </is>
      </c>
      <c r="F1344" t="inlineStr">
        <is>
          <t>pyg_devoluciones</t>
        </is>
      </c>
      <c r="I1344" t="n">
        <v>-55433340</v>
      </c>
      <c r="J1344" t="inlineStr">
        <is>
          <t>COP</t>
        </is>
      </c>
      <c r="K1344" t="inlineStr">
        <is>
          <t>P&amp;G ejecutivo oficial (estados financieros mensuales)</t>
        </is>
      </c>
      <c r="L1344" t="inlineStr">
        <is>
          <t>Finanzas</t>
        </is>
      </c>
      <c r="M1344" t="inlineStr">
        <is>
          <t>Finanzas</t>
        </is>
      </c>
      <c r="N1344" t="inlineStr">
        <is>
          <t>Mensual</t>
        </is>
      </c>
    </row>
    <row r="1345" ht="14.25" customHeight="1" s="52">
      <c r="A1345" t="inlineStr">
        <is>
          <t>2026-06</t>
        </is>
      </c>
      <c r="B1345" t="inlineStr">
        <is>
          <t>Colombia</t>
        </is>
      </c>
      <c r="C1345" t="inlineStr">
        <is>
          <t>Coco Colombia</t>
        </is>
      </c>
      <c r="D1345" t="inlineStr">
        <is>
          <t>COP</t>
        </is>
      </c>
      <c r="E1345" t="inlineStr">
        <is>
          <t>Real</t>
        </is>
      </c>
      <c r="F1345" t="inlineStr">
        <is>
          <t>pyg_devoluciones</t>
        </is>
      </c>
      <c r="I1345" t="n">
        <v>-177997905</v>
      </c>
      <c r="J1345" t="inlineStr">
        <is>
          <t>COP</t>
        </is>
      </c>
      <c r="K1345" t="inlineStr">
        <is>
          <t>P&amp;G ejecutivo oficial (estados financieros mensuales)</t>
        </is>
      </c>
      <c r="L1345" t="inlineStr">
        <is>
          <t>Finanzas</t>
        </is>
      </c>
      <c r="M1345" t="inlineStr">
        <is>
          <t>Finanzas</t>
        </is>
      </c>
      <c r="N1345" t="inlineStr">
        <is>
          <t>Mensual</t>
        </is>
      </c>
    </row>
    <row r="1346" ht="14.25" customHeight="1" s="52">
      <c r="A1346" t="inlineStr">
        <is>
          <t>2026-01</t>
        </is>
      </c>
      <c r="B1346" t="inlineStr">
        <is>
          <t>Colombia</t>
        </is>
      </c>
      <c r="C1346" t="inlineStr">
        <is>
          <t>Coco Colombia</t>
        </is>
      </c>
      <c r="D1346" t="inlineStr">
        <is>
          <t>COP</t>
        </is>
      </c>
      <c r="E1346" t="inlineStr">
        <is>
          <t>Real</t>
        </is>
      </c>
      <c r="F1346" t="inlineStr">
        <is>
          <t>pyg_costo_ventas</t>
        </is>
      </c>
      <c r="I1346" t="n">
        <v>238535794</v>
      </c>
      <c r="J1346" t="inlineStr">
        <is>
          <t>COP</t>
        </is>
      </c>
      <c r="K1346" t="inlineStr">
        <is>
          <t>P&amp;G ejecutivo oficial (estados financieros mensuales)</t>
        </is>
      </c>
      <c r="L1346" t="inlineStr">
        <is>
          <t>Finanzas</t>
        </is>
      </c>
      <c r="M1346" t="inlineStr">
        <is>
          <t>Finanzas</t>
        </is>
      </c>
      <c r="N1346" t="inlineStr">
        <is>
          <t>Mensual</t>
        </is>
      </c>
    </row>
    <row r="1347">
      <c r="A1347" t="inlineStr">
        <is>
          <t>2026-02</t>
        </is>
      </c>
      <c r="B1347" t="inlineStr">
        <is>
          <t>Colombia</t>
        </is>
      </c>
      <c r="C1347" t="inlineStr">
        <is>
          <t>Coco Colombia</t>
        </is>
      </c>
      <c r="D1347" t="inlineStr">
        <is>
          <t>COP</t>
        </is>
      </c>
      <c r="E1347" t="inlineStr">
        <is>
          <t>Real</t>
        </is>
      </c>
      <c r="F1347" t="inlineStr">
        <is>
          <t>pyg_costo_ventas</t>
        </is>
      </c>
      <c r="I1347" t="n">
        <v>343308791</v>
      </c>
      <c r="J1347" t="inlineStr">
        <is>
          <t>COP</t>
        </is>
      </c>
      <c r="K1347" t="inlineStr">
        <is>
          <t>P&amp;G ejecutivo oficial (estados financieros mensuales)</t>
        </is>
      </c>
      <c r="L1347" t="inlineStr">
        <is>
          <t>Finanzas</t>
        </is>
      </c>
      <c r="M1347" t="inlineStr">
        <is>
          <t>Finanzas</t>
        </is>
      </c>
      <c r="N1347" t="inlineStr">
        <is>
          <t>Mensual</t>
        </is>
      </c>
    </row>
    <row r="1348">
      <c r="A1348" t="inlineStr">
        <is>
          <t>2026-03</t>
        </is>
      </c>
      <c r="B1348" t="inlineStr">
        <is>
          <t>Colombia</t>
        </is>
      </c>
      <c r="C1348" t="inlineStr">
        <is>
          <t>Coco Colombia</t>
        </is>
      </c>
      <c r="D1348" t="inlineStr">
        <is>
          <t>COP</t>
        </is>
      </c>
      <c r="E1348" t="inlineStr">
        <is>
          <t>Real</t>
        </is>
      </c>
      <c r="F1348" t="inlineStr">
        <is>
          <t>pyg_costo_ventas</t>
        </is>
      </c>
      <c r="I1348" t="n">
        <v>455639201</v>
      </c>
      <c r="J1348" t="inlineStr">
        <is>
          <t>COP</t>
        </is>
      </c>
      <c r="K1348" t="inlineStr">
        <is>
          <t>P&amp;G ejecutivo oficial (estados financieros mensuales)</t>
        </is>
      </c>
      <c r="L1348" t="inlineStr">
        <is>
          <t>Finanzas</t>
        </is>
      </c>
      <c r="M1348" t="inlineStr">
        <is>
          <t>Finanzas</t>
        </is>
      </c>
      <c r="N1348" t="inlineStr">
        <is>
          <t>Mensual</t>
        </is>
      </c>
    </row>
    <row r="1349">
      <c r="A1349" t="inlineStr">
        <is>
          <t>2026-04</t>
        </is>
      </c>
      <c r="B1349" t="inlineStr">
        <is>
          <t>Colombia</t>
        </is>
      </c>
      <c r="C1349" t="inlineStr">
        <is>
          <t>Coco Colombia</t>
        </is>
      </c>
      <c r="D1349" t="inlineStr">
        <is>
          <t>COP</t>
        </is>
      </c>
      <c r="E1349" t="inlineStr">
        <is>
          <t>Real</t>
        </is>
      </c>
      <c r="F1349" t="inlineStr">
        <is>
          <t>pyg_costo_ventas</t>
        </is>
      </c>
      <c r="I1349" t="n">
        <v>379273594</v>
      </c>
      <c r="J1349" t="inlineStr">
        <is>
          <t>COP</t>
        </is>
      </c>
      <c r="K1349" t="inlineStr">
        <is>
          <t>P&amp;G ejecutivo oficial (estados financieros mensuales)</t>
        </is>
      </c>
      <c r="L1349" t="inlineStr">
        <is>
          <t>Finanzas</t>
        </is>
      </c>
      <c r="M1349" t="inlineStr">
        <is>
          <t>Finanzas</t>
        </is>
      </c>
      <c r="N1349" t="inlineStr">
        <is>
          <t>Mensual</t>
        </is>
      </c>
    </row>
    <row r="1350">
      <c r="A1350" t="inlineStr">
        <is>
          <t>2026-05</t>
        </is>
      </c>
      <c r="B1350" t="inlineStr">
        <is>
          <t>Colombia</t>
        </is>
      </c>
      <c r="C1350" t="inlineStr">
        <is>
          <t>Coco Colombia</t>
        </is>
      </c>
      <c r="D1350" t="inlineStr">
        <is>
          <t>COP</t>
        </is>
      </c>
      <c r="E1350" t="inlineStr">
        <is>
          <t>Real</t>
        </is>
      </c>
      <c r="F1350" t="inlineStr">
        <is>
          <t>pyg_costo_ventas</t>
        </is>
      </c>
      <c r="I1350" t="n">
        <v>355470523</v>
      </c>
      <c r="J1350" t="inlineStr">
        <is>
          <t>COP</t>
        </is>
      </c>
      <c r="K1350" t="inlineStr">
        <is>
          <t>P&amp;G ejecutivo oficial (estados financieros mensuales)</t>
        </is>
      </c>
      <c r="L1350" t="inlineStr">
        <is>
          <t>Finanzas</t>
        </is>
      </c>
      <c r="M1350" t="inlineStr">
        <is>
          <t>Finanzas</t>
        </is>
      </c>
      <c r="N1350" t="inlineStr">
        <is>
          <t>Mensual</t>
        </is>
      </c>
    </row>
    <row r="1351">
      <c r="A1351" t="inlineStr">
        <is>
          <t>2026-06</t>
        </is>
      </c>
      <c r="B1351" t="inlineStr">
        <is>
          <t>Colombia</t>
        </is>
      </c>
      <c r="C1351" t="inlineStr">
        <is>
          <t>Coco Colombia</t>
        </is>
      </c>
      <c r="D1351" t="inlineStr">
        <is>
          <t>COP</t>
        </is>
      </c>
      <c r="E1351" t="inlineStr">
        <is>
          <t>Real</t>
        </is>
      </c>
      <c r="F1351" t="inlineStr">
        <is>
          <t>pyg_costo_ventas</t>
        </is>
      </c>
      <c r="I1351" t="n">
        <v>348477606</v>
      </c>
      <c r="J1351" t="inlineStr">
        <is>
          <t>COP</t>
        </is>
      </c>
      <c r="K1351" t="inlineStr">
        <is>
          <t>P&amp;G ejecutivo oficial (estados financieros mensuales)</t>
        </is>
      </c>
      <c r="L1351" t="inlineStr">
        <is>
          <t>Finanzas</t>
        </is>
      </c>
      <c r="M1351" t="inlineStr">
        <is>
          <t>Finanzas</t>
        </is>
      </c>
      <c r="N1351" t="inlineStr">
        <is>
          <t>Mensual</t>
        </is>
      </c>
    </row>
    <row r="1352">
      <c r="A1352" t="inlineStr">
        <is>
          <t>2026-01</t>
        </is>
      </c>
      <c r="B1352" t="inlineStr">
        <is>
          <t>Colombia</t>
        </is>
      </c>
      <c r="C1352" t="inlineStr">
        <is>
          <t>Coco Colombia</t>
        </is>
      </c>
      <c r="D1352" t="inlineStr">
        <is>
          <t>COP</t>
        </is>
      </c>
      <c r="E1352" t="inlineStr">
        <is>
          <t>Real</t>
        </is>
      </c>
      <c r="F1352" t="inlineStr">
        <is>
          <t>pyg_utilidad_bruta</t>
        </is>
      </c>
      <c r="I1352" t="n">
        <v>373711907</v>
      </c>
      <c r="J1352" t="inlineStr">
        <is>
          <t>COP</t>
        </is>
      </c>
      <c r="K1352" t="inlineStr">
        <is>
          <t>P&amp;G ejecutivo oficial (estados financieros mensuales)</t>
        </is>
      </c>
      <c r="L1352" t="inlineStr">
        <is>
          <t>Finanzas</t>
        </is>
      </c>
      <c r="M1352" t="inlineStr">
        <is>
          <t>Finanzas</t>
        </is>
      </c>
      <c r="N1352" t="inlineStr">
        <is>
          <t>Mensual</t>
        </is>
      </c>
    </row>
    <row r="1353">
      <c r="A1353" t="inlineStr">
        <is>
          <t>2026-02</t>
        </is>
      </c>
      <c r="B1353" t="inlineStr">
        <is>
          <t>Colombia</t>
        </is>
      </c>
      <c r="C1353" t="inlineStr">
        <is>
          <t>Coco Colombia</t>
        </is>
      </c>
      <c r="D1353" t="inlineStr">
        <is>
          <t>COP</t>
        </is>
      </c>
      <c r="E1353" t="inlineStr">
        <is>
          <t>Real</t>
        </is>
      </c>
      <c r="F1353" t="inlineStr">
        <is>
          <t>pyg_utilidad_bruta</t>
        </is>
      </c>
      <c r="I1353" t="n">
        <v>400909346</v>
      </c>
      <c r="J1353" t="inlineStr">
        <is>
          <t>COP</t>
        </is>
      </c>
      <c r="K1353" t="inlineStr">
        <is>
          <t>P&amp;G ejecutivo oficial (estados financieros mensuales)</t>
        </is>
      </c>
      <c r="L1353" t="inlineStr">
        <is>
          <t>Finanzas</t>
        </is>
      </c>
      <c r="M1353" t="inlineStr">
        <is>
          <t>Finanzas</t>
        </is>
      </c>
      <c r="N1353" t="inlineStr">
        <is>
          <t>Mensual</t>
        </is>
      </c>
    </row>
    <row r="1354">
      <c r="A1354" t="inlineStr">
        <is>
          <t>2026-03</t>
        </is>
      </c>
      <c r="B1354" t="inlineStr">
        <is>
          <t>Colombia</t>
        </is>
      </c>
      <c r="C1354" t="inlineStr">
        <is>
          <t>Coco Colombia</t>
        </is>
      </c>
      <c r="D1354" t="inlineStr">
        <is>
          <t>COP</t>
        </is>
      </c>
      <c r="E1354" t="inlineStr">
        <is>
          <t>Real</t>
        </is>
      </c>
      <c r="F1354" t="inlineStr">
        <is>
          <t>pyg_utilidad_bruta</t>
        </is>
      </c>
      <c r="I1354" t="n">
        <v>331401986</v>
      </c>
      <c r="J1354" t="inlineStr">
        <is>
          <t>COP</t>
        </is>
      </c>
      <c r="K1354" t="inlineStr">
        <is>
          <t>P&amp;G ejecutivo oficial (estados financieros mensuales)</t>
        </is>
      </c>
      <c r="L1354" t="inlineStr">
        <is>
          <t>Finanzas</t>
        </is>
      </c>
      <c r="M1354" t="inlineStr">
        <is>
          <t>Finanzas</t>
        </is>
      </c>
      <c r="N1354" t="inlineStr">
        <is>
          <t>Mensual</t>
        </is>
      </c>
    </row>
    <row r="1355">
      <c r="A1355" t="inlineStr">
        <is>
          <t>2026-04</t>
        </is>
      </c>
      <c r="B1355" t="inlineStr">
        <is>
          <t>Colombia</t>
        </is>
      </c>
      <c r="C1355" t="inlineStr">
        <is>
          <t>Coco Colombia</t>
        </is>
      </c>
      <c r="D1355" t="inlineStr">
        <is>
          <t>COP</t>
        </is>
      </c>
      <c r="E1355" t="inlineStr">
        <is>
          <t>Real</t>
        </is>
      </c>
      <c r="F1355" t="inlineStr">
        <is>
          <t>pyg_utilidad_bruta</t>
        </is>
      </c>
      <c r="I1355" t="n">
        <v>371594068</v>
      </c>
      <c r="J1355" t="inlineStr">
        <is>
          <t>COP</t>
        </is>
      </c>
      <c r="K1355" t="inlineStr">
        <is>
          <t>P&amp;G ejecutivo oficial (estados financieros mensuales)</t>
        </is>
      </c>
      <c r="L1355" t="inlineStr">
        <is>
          <t>Finanzas</t>
        </is>
      </c>
      <c r="M1355" t="inlineStr">
        <is>
          <t>Finanzas</t>
        </is>
      </c>
      <c r="N1355" t="inlineStr">
        <is>
          <t>Mensual</t>
        </is>
      </c>
    </row>
    <row r="1356">
      <c r="A1356" t="inlineStr">
        <is>
          <t>2026-05</t>
        </is>
      </c>
      <c r="B1356" t="inlineStr">
        <is>
          <t>Colombia</t>
        </is>
      </c>
      <c r="C1356" t="inlineStr">
        <is>
          <t>Coco Colombia</t>
        </is>
      </c>
      <c r="D1356" t="inlineStr">
        <is>
          <t>COP</t>
        </is>
      </c>
      <c r="E1356" t="inlineStr">
        <is>
          <t>Real</t>
        </is>
      </c>
      <c r="F1356" t="inlineStr">
        <is>
          <t>pyg_utilidad_bruta</t>
        </is>
      </c>
      <c r="I1356" t="n">
        <v>471044223</v>
      </c>
      <c r="J1356" t="inlineStr">
        <is>
          <t>COP</t>
        </is>
      </c>
      <c r="K1356" t="inlineStr">
        <is>
          <t>P&amp;G ejecutivo oficial (estados financieros mensuales)</t>
        </is>
      </c>
      <c r="L1356" t="inlineStr">
        <is>
          <t>Finanzas</t>
        </is>
      </c>
      <c r="M1356" t="inlineStr">
        <is>
          <t>Finanzas</t>
        </is>
      </c>
      <c r="N1356" t="inlineStr">
        <is>
          <t>Mensual</t>
        </is>
      </c>
    </row>
    <row r="1357">
      <c r="A1357" t="inlineStr">
        <is>
          <t>2026-06</t>
        </is>
      </c>
      <c r="B1357" t="inlineStr">
        <is>
          <t>Colombia</t>
        </is>
      </c>
      <c r="C1357" t="inlineStr">
        <is>
          <t>Coco Colombia</t>
        </is>
      </c>
      <c r="D1357" t="inlineStr">
        <is>
          <t>COP</t>
        </is>
      </c>
      <c r="E1357" t="inlineStr">
        <is>
          <t>Real</t>
        </is>
      </c>
      <c r="F1357" t="inlineStr">
        <is>
          <t>pyg_utilidad_bruta</t>
        </is>
      </c>
      <c r="I1357" t="n">
        <v>402975708</v>
      </c>
      <c r="J1357" t="inlineStr">
        <is>
          <t>COP</t>
        </is>
      </c>
      <c r="K1357" t="inlineStr">
        <is>
          <t>P&amp;G ejecutivo oficial (estados financieros mensuales)</t>
        </is>
      </c>
      <c r="L1357" t="inlineStr">
        <is>
          <t>Finanzas</t>
        </is>
      </c>
      <c r="M1357" t="inlineStr">
        <is>
          <t>Finanzas</t>
        </is>
      </c>
      <c r="N1357" t="inlineStr">
        <is>
          <t>Mensual</t>
        </is>
      </c>
    </row>
    <row r="1358">
      <c r="A1358" t="inlineStr">
        <is>
          <t>2026-01</t>
        </is>
      </c>
      <c r="B1358" t="inlineStr">
        <is>
          <t>Colombia</t>
        </is>
      </c>
      <c r="C1358" t="inlineStr">
        <is>
          <t>Coco Colombia</t>
        </is>
      </c>
      <c r="D1358" t="inlineStr">
        <is>
          <t>COP</t>
        </is>
      </c>
      <c r="E1358" t="inlineStr">
        <is>
          <t>Real</t>
        </is>
      </c>
      <c r="F1358" t="inlineStr">
        <is>
          <t>pyg_gasto_administracion</t>
        </is>
      </c>
      <c r="I1358" t="n">
        <v>98722435</v>
      </c>
      <c r="J1358" t="inlineStr">
        <is>
          <t>COP</t>
        </is>
      </c>
      <c r="K1358" t="inlineStr">
        <is>
          <t>P&amp;G ejecutivo oficial (estados financieros mensuales)</t>
        </is>
      </c>
      <c r="L1358" t="inlineStr">
        <is>
          <t>Finanzas</t>
        </is>
      </c>
      <c r="M1358" t="inlineStr">
        <is>
          <t>Finanzas</t>
        </is>
      </c>
      <c r="N1358" t="inlineStr">
        <is>
          <t>Mensual</t>
        </is>
      </c>
    </row>
    <row r="1359">
      <c r="A1359" t="inlineStr">
        <is>
          <t>2026-02</t>
        </is>
      </c>
      <c r="B1359" t="inlineStr">
        <is>
          <t>Colombia</t>
        </is>
      </c>
      <c r="C1359" t="inlineStr">
        <is>
          <t>Coco Colombia</t>
        </is>
      </c>
      <c r="D1359" t="inlineStr">
        <is>
          <t>COP</t>
        </is>
      </c>
      <c r="E1359" t="inlineStr">
        <is>
          <t>Real</t>
        </is>
      </c>
      <c r="F1359" t="inlineStr">
        <is>
          <t>pyg_gasto_administracion</t>
        </is>
      </c>
      <c r="I1359" t="n">
        <v>105633472</v>
      </c>
      <c r="J1359" t="inlineStr">
        <is>
          <t>COP</t>
        </is>
      </c>
      <c r="K1359" t="inlineStr">
        <is>
          <t>P&amp;G ejecutivo oficial (estados financieros mensuales)</t>
        </is>
      </c>
      <c r="L1359" t="inlineStr">
        <is>
          <t>Finanzas</t>
        </is>
      </c>
      <c r="M1359" t="inlineStr">
        <is>
          <t>Finanzas</t>
        </is>
      </c>
      <c r="N1359" t="inlineStr">
        <is>
          <t>Mensual</t>
        </is>
      </c>
    </row>
    <row r="1360">
      <c r="A1360" t="inlineStr">
        <is>
          <t>2026-03</t>
        </is>
      </c>
      <c r="B1360" t="inlineStr">
        <is>
          <t>Colombia</t>
        </is>
      </c>
      <c r="C1360" t="inlineStr">
        <is>
          <t>Coco Colombia</t>
        </is>
      </c>
      <c r="D1360" t="inlineStr">
        <is>
          <t>COP</t>
        </is>
      </c>
      <c r="E1360" t="inlineStr">
        <is>
          <t>Real</t>
        </is>
      </c>
      <c r="F1360" t="inlineStr">
        <is>
          <t>pyg_gasto_administracion</t>
        </is>
      </c>
      <c r="I1360" t="n">
        <v>141811865</v>
      </c>
      <c r="J1360" t="inlineStr">
        <is>
          <t>COP</t>
        </is>
      </c>
      <c r="K1360" t="inlineStr">
        <is>
          <t>P&amp;G ejecutivo oficial (estados financieros mensuales)</t>
        </is>
      </c>
      <c r="L1360" t="inlineStr">
        <is>
          <t>Finanzas</t>
        </is>
      </c>
      <c r="M1360" t="inlineStr">
        <is>
          <t>Finanzas</t>
        </is>
      </c>
      <c r="N1360" t="inlineStr">
        <is>
          <t>Mensual</t>
        </is>
      </c>
    </row>
    <row r="1361">
      <c r="A1361" t="inlineStr">
        <is>
          <t>2026-04</t>
        </is>
      </c>
      <c r="B1361" t="inlineStr">
        <is>
          <t>Colombia</t>
        </is>
      </c>
      <c r="C1361" t="inlineStr">
        <is>
          <t>Coco Colombia</t>
        </is>
      </c>
      <c r="D1361" t="inlineStr">
        <is>
          <t>COP</t>
        </is>
      </c>
      <c r="E1361" t="inlineStr">
        <is>
          <t>Real</t>
        </is>
      </c>
      <c r="F1361" t="inlineStr">
        <is>
          <t>pyg_gasto_administracion</t>
        </is>
      </c>
      <c r="I1361" t="n">
        <v>114280887</v>
      </c>
      <c r="J1361" t="inlineStr">
        <is>
          <t>COP</t>
        </is>
      </c>
      <c r="K1361" t="inlineStr">
        <is>
          <t>P&amp;G ejecutivo oficial (estados financieros mensuales)</t>
        </is>
      </c>
      <c r="L1361" t="inlineStr">
        <is>
          <t>Finanzas</t>
        </is>
      </c>
      <c r="M1361" t="inlineStr">
        <is>
          <t>Finanzas</t>
        </is>
      </c>
      <c r="N1361" t="inlineStr">
        <is>
          <t>Mensual</t>
        </is>
      </c>
    </row>
    <row r="1362">
      <c r="A1362" t="inlineStr">
        <is>
          <t>2026-05</t>
        </is>
      </c>
      <c r="B1362" t="inlineStr">
        <is>
          <t>Colombia</t>
        </is>
      </c>
      <c r="C1362" t="inlineStr">
        <is>
          <t>Coco Colombia</t>
        </is>
      </c>
      <c r="D1362" t="inlineStr">
        <is>
          <t>COP</t>
        </is>
      </c>
      <c r="E1362" t="inlineStr">
        <is>
          <t>Real</t>
        </is>
      </c>
      <c r="F1362" t="inlineStr">
        <is>
          <t>pyg_gasto_administracion</t>
        </is>
      </c>
      <c r="I1362" t="n">
        <v>116808824</v>
      </c>
      <c r="J1362" t="inlineStr">
        <is>
          <t>COP</t>
        </is>
      </c>
      <c r="K1362" t="inlineStr">
        <is>
          <t>P&amp;G ejecutivo oficial (estados financieros mensuales)</t>
        </is>
      </c>
      <c r="L1362" t="inlineStr">
        <is>
          <t>Finanzas</t>
        </is>
      </c>
      <c r="M1362" t="inlineStr">
        <is>
          <t>Finanzas</t>
        </is>
      </c>
      <c r="N1362" t="inlineStr">
        <is>
          <t>Mensual</t>
        </is>
      </c>
    </row>
    <row r="1363">
      <c r="A1363" t="inlineStr">
        <is>
          <t>2026-06</t>
        </is>
      </c>
      <c r="B1363" t="inlineStr">
        <is>
          <t>Colombia</t>
        </is>
      </c>
      <c r="C1363" t="inlineStr">
        <is>
          <t>Coco Colombia</t>
        </is>
      </c>
      <c r="D1363" t="inlineStr">
        <is>
          <t>COP</t>
        </is>
      </c>
      <c r="E1363" t="inlineStr">
        <is>
          <t>Real</t>
        </is>
      </c>
      <c r="F1363" t="inlineStr">
        <is>
          <t>pyg_gasto_administracion</t>
        </is>
      </c>
      <c r="I1363" t="n">
        <v>112288693</v>
      </c>
      <c r="J1363" t="inlineStr">
        <is>
          <t>COP</t>
        </is>
      </c>
      <c r="K1363" t="inlineStr">
        <is>
          <t>P&amp;G ejecutivo oficial (estados financieros mensuales)</t>
        </is>
      </c>
      <c r="L1363" t="inlineStr">
        <is>
          <t>Finanzas</t>
        </is>
      </c>
      <c r="M1363" t="inlineStr">
        <is>
          <t>Finanzas</t>
        </is>
      </c>
      <c r="N1363" t="inlineStr">
        <is>
          <t>Mensual</t>
        </is>
      </c>
    </row>
    <row r="1364">
      <c r="A1364" t="inlineStr">
        <is>
          <t>2026-01</t>
        </is>
      </c>
      <c r="B1364" t="inlineStr">
        <is>
          <t>Colombia</t>
        </is>
      </c>
      <c r="C1364" t="inlineStr">
        <is>
          <t>Coco Colombia</t>
        </is>
      </c>
      <c r="D1364" t="inlineStr">
        <is>
          <t>COP</t>
        </is>
      </c>
      <c r="E1364" t="inlineStr">
        <is>
          <t>Real</t>
        </is>
      </c>
      <c r="F1364" t="inlineStr">
        <is>
          <t>pyg_gasto_proyectos</t>
        </is>
      </c>
      <c r="I1364" t="n">
        <v>73409852</v>
      </c>
      <c r="J1364" t="inlineStr">
        <is>
          <t>COP</t>
        </is>
      </c>
      <c r="K1364" t="inlineStr">
        <is>
          <t>P&amp;G ejecutivo oficial (estados financieros mensuales)</t>
        </is>
      </c>
      <c r="L1364" t="inlineStr">
        <is>
          <t>Finanzas</t>
        </is>
      </c>
      <c r="M1364" t="inlineStr">
        <is>
          <t>Finanzas</t>
        </is>
      </c>
      <c r="N1364" t="inlineStr">
        <is>
          <t>Mensual</t>
        </is>
      </c>
    </row>
    <row r="1365">
      <c r="A1365" t="inlineStr">
        <is>
          <t>2026-02</t>
        </is>
      </c>
      <c r="B1365" t="inlineStr">
        <is>
          <t>Colombia</t>
        </is>
      </c>
      <c r="C1365" t="inlineStr">
        <is>
          <t>Coco Colombia</t>
        </is>
      </c>
      <c r="D1365" t="inlineStr">
        <is>
          <t>COP</t>
        </is>
      </c>
      <c r="E1365" t="inlineStr">
        <is>
          <t>Real</t>
        </is>
      </c>
      <c r="F1365" t="inlineStr">
        <is>
          <t>pyg_gasto_proyectos</t>
        </is>
      </c>
      <c r="I1365" t="n">
        <v>75509638</v>
      </c>
      <c r="J1365" t="inlineStr">
        <is>
          <t>COP</t>
        </is>
      </c>
      <c r="K1365" t="inlineStr">
        <is>
          <t>P&amp;G ejecutivo oficial (estados financieros mensuales)</t>
        </is>
      </c>
      <c r="L1365" t="inlineStr">
        <is>
          <t>Finanzas</t>
        </is>
      </c>
      <c r="M1365" t="inlineStr">
        <is>
          <t>Finanzas</t>
        </is>
      </c>
      <c r="N1365" t="inlineStr">
        <is>
          <t>Mensual</t>
        </is>
      </c>
    </row>
    <row r="1366">
      <c r="A1366" t="inlineStr">
        <is>
          <t>2026-03</t>
        </is>
      </c>
      <c r="B1366" t="inlineStr">
        <is>
          <t>Colombia</t>
        </is>
      </c>
      <c r="C1366" t="inlineStr">
        <is>
          <t>Coco Colombia</t>
        </is>
      </c>
      <c r="D1366" t="inlineStr">
        <is>
          <t>COP</t>
        </is>
      </c>
      <c r="E1366" t="inlineStr">
        <is>
          <t>Real</t>
        </is>
      </c>
      <c r="F1366" t="inlineStr">
        <is>
          <t>pyg_gasto_proyectos</t>
        </is>
      </c>
      <c r="I1366" t="n">
        <v>72217138</v>
      </c>
      <c r="J1366" t="inlineStr">
        <is>
          <t>COP</t>
        </is>
      </c>
      <c r="K1366" t="inlineStr">
        <is>
          <t>P&amp;G ejecutivo oficial (estados financieros mensuales)</t>
        </is>
      </c>
      <c r="L1366" t="inlineStr">
        <is>
          <t>Finanzas</t>
        </is>
      </c>
      <c r="M1366" t="inlineStr">
        <is>
          <t>Finanzas</t>
        </is>
      </c>
      <c r="N1366" t="inlineStr">
        <is>
          <t>Mensual</t>
        </is>
      </c>
    </row>
    <row r="1367">
      <c r="A1367" t="inlineStr">
        <is>
          <t>2026-04</t>
        </is>
      </c>
      <c r="B1367" t="inlineStr">
        <is>
          <t>Colombia</t>
        </is>
      </c>
      <c r="C1367" t="inlineStr">
        <is>
          <t>Coco Colombia</t>
        </is>
      </c>
      <c r="D1367" t="inlineStr">
        <is>
          <t>COP</t>
        </is>
      </c>
      <c r="E1367" t="inlineStr">
        <is>
          <t>Real</t>
        </is>
      </c>
      <c r="F1367" t="inlineStr">
        <is>
          <t>pyg_gasto_proyectos</t>
        </is>
      </c>
      <c r="I1367" t="n">
        <v>122384514</v>
      </c>
      <c r="J1367" t="inlineStr">
        <is>
          <t>COP</t>
        </is>
      </c>
      <c r="K1367" t="inlineStr">
        <is>
          <t>P&amp;G ejecutivo oficial (estados financieros mensuales)</t>
        </is>
      </c>
      <c r="L1367" t="inlineStr">
        <is>
          <t>Finanzas</t>
        </is>
      </c>
      <c r="M1367" t="inlineStr">
        <is>
          <t>Finanzas</t>
        </is>
      </c>
      <c r="N1367" t="inlineStr">
        <is>
          <t>Mensual</t>
        </is>
      </c>
    </row>
    <row r="1368">
      <c r="A1368" t="inlineStr">
        <is>
          <t>2026-05</t>
        </is>
      </c>
      <c r="B1368" t="inlineStr">
        <is>
          <t>Colombia</t>
        </is>
      </c>
      <c r="C1368" t="inlineStr">
        <is>
          <t>Coco Colombia</t>
        </is>
      </c>
      <c r="D1368" t="inlineStr">
        <is>
          <t>COP</t>
        </is>
      </c>
      <c r="E1368" t="inlineStr">
        <is>
          <t>Real</t>
        </is>
      </c>
      <c r="F1368" t="inlineStr">
        <is>
          <t>pyg_gasto_proyectos</t>
        </is>
      </c>
      <c r="I1368" t="n">
        <v>120992711</v>
      </c>
      <c r="J1368" t="inlineStr">
        <is>
          <t>COP</t>
        </is>
      </c>
      <c r="K1368" t="inlineStr">
        <is>
          <t>P&amp;G ejecutivo oficial (estados financieros mensuales)</t>
        </is>
      </c>
      <c r="L1368" t="inlineStr">
        <is>
          <t>Finanzas</t>
        </is>
      </c>
      <c r="M1368" t="inlineStr">
        <is>
          <t>Finanzas</t>
        </is>
      </c>
      <c r="N1368" t="inlineStr">
        <is>
          <t>Mensual</t>
        </is>
      </c>
    </row>
    <row r="1369">
      <c r="A1369" t="inlineStr">
        <is>
          <t>2026-06</t>
        </is>
      </c>
      <c r="B1369" t="inlineStr">
        <is>
          <t>Colombia</t>
        </is>
      </c>
      <c r="C1369" t="inlineStr">
        <is>
          <t>Coco Colombia</t>
        </is>
      </c>
      <c r="D1369" t="inlineStr">
        <is>
          <t>COP</t>
        </is>
      </c>
      <c r="E1369" t="inlineStr">
        <is>
          <t>Real</t>
        </is>
      </c>
      <c r="F1369" t="inlineStr">
        <is>
          <t>pyg_gasto_proyectos</t>
        </is>
      </c>
      <c r="I1369" t="n">
        <v>108908060</v>
      </c>
      <c r="J1369" t="inlineStr">
        <is>
          <t>COP</t>
        </is>
      </c>
      <c r="K1369" t="inlineStr">
        <is>
          <t>P&amp;G ejecutivo oficial (estados financieros mensuales)</t>
        </is>
      </c>
      <c r="L1369" t="inlineStr">
        <is>
          <t>Finanzas</t>
        </is>
      </c>
      <c r="M1369" t="inlineStr">
        <is>
          <t>Finanzas</t>
        </is>
      </c>
      <c r="N1369" t="inlineStr">
        <is>
          <t>Mensual</t>
        </is>
      </c>
    </row>
    <row r="1370">
      <c r="A1370" t="inlineStr">
        <is>
          <t>2026-01</t>
        </is>
      </c>
      <c r="B1370" t="inlineStr">
        <is>
          <t>Colombia</t>
        </is>
      </c>
      <c r="C1370" t="inlineStr">
        <is>
          <t>Coco Colombia</t>
        </is>
      </c>
      <c r="D1370" t="inlineStr">
        <is>
          <t>COP</t>
        </is>
      </c>
      <c r="E1370" t="inlineStr">
        <is>
          <t>Real</t>
        </is>
      </c>
      <c r="F1370" t="inlineStr">
        <is>
          <t>pyg_gasto_ventas</t>
        </is>
      </c>
      <c r="I1370" t="n">
        <v>131600259</v>
      </c>
      <c r="J1370" t="inlineStr">
        <is>
          <t>COP</t>
        </is>
      </c>
      <c r="K1370" t="inlineStr">
        <is>
          <t>P&amp;G ejecutivo oficial (estados financieros mensuales)</t>
        </is>
      </c>
      <c r="L1370" t="inlineStr">
        <is>
          <t>Finanzas</t>
        </is>
      </c>
      <c r="M1370" t="inlineStr">
        <is>
          <t>Finanzas</t>
        </is>
      </c>
      <c r="N1370" t="inlineStr">
        <is>
          <t>Mensual</t>
        </is>
      </c>
    </row>
    <row r="1371">
      <c r="A1371" t="inlineStr">
        <is>
          <t>2026-02</t>
        </is>
      </c>
      <c r="B1371" t="inlineStr">
        <is>
          <t>Colombia</t>
        </is>
      </c>
      <c r="C1371" t="inlineStr">
        <is>
          <t>Coco Colombia</t>
        </is>
      </c>
      <c r="D1371" t="inlineStr">
        <is>
          <t>COP</t>
        </is>
      </c>
      <c r="E1371" t="inlineStr">
        <is>
          <t>Real</t>
        </is>
      </c>
      <c r="F1371" t="inlineStr">
        <is>
          <t>pyg_gasto_ventas</t>
        </is>
      </c>
      <c r="I1371" t="n">
        <v>173632204</v>
      </c>
      <c r="J1371" t="inlineStr">
        <is>
          <t>COP</t>
        </is>
      </c>
      <c r="K1371" t="inlineStr">
        <is>
          <t>P&amp;G ejecutivo oficial (estados financieros mensuales)</t>
        </is>
      </c>
      <c r="L1371" t="inlineStr">
        <is>
          <t>Finanzas</t>
        </is>
      </c>
      <c r="M1371" t="inlineStr">
        <is>
          <t>Finanzas</t>
        </is>
      </c>
      <c r="N1371" t="inlineStr">
        <is>
          <t>Mensual</t>
        </is>
      </c>
    </row>
    <row r="1372">
      <c r="A1372" t="inlineStr">
        <is>
          <t>2026-03</t>
        </is>
      </c>
      <c r="B1372" t="inlineStr">
        <is>
          <t>Colombia</t>
        </is>
      </c>
      <c r="C1372" t="inlineStr">
        <is>
          <t>Coco Colombia</t>
        </is>
      </c>
      <c r="D1372" t="inlineStr">
        <is>
          <t>COP</t>
        </is>
      </c>
      <c r="E1372" t="inlineStr">
        <is>
          <t>Real</t>
        </is>
      </c>
      <c r="F1372" t="inlineStr">
        <is>
          <t>pyg_gasto_ventas</t>
        </is>
      </c>
      <c r="I1372" t="n">
        <v>139615776</v>
      </c>
      <c r="J1372" t="inlineStr">
        <is>
          <t>COP</t>
        </is>
      </c>
      <c r="K1372" t="inlineStr">
        <is>
          <t>P&amp;G ejecutivo oficial (estados financieros mensuales)</t>
        </is>
      </c>
      <c r="L1372" t="inlineStr">
        <is>
          <t>Finanzas</t>
        </is>
      </c>
      <c r="M1372" t="inlineStr">
        <is>
          <t>Finanzas</t>
        </is>
      </c>
      <c r="N1372" t="inlineStr">
        <is>
          <t>Mensual</t>
        </is>
      </c>
    </row>
    <row r="1373">
      <c r="A1373" t="inlineStr">
        <is>
          <t>2026-04</t>
        </is>
      </c>
      <c r="B1373" t="inlineStr">
        <is>
          <t>Colombia</t>
        </is>
      </c>
      <c r="C1373" t="inlineStr">
        <is>
          <t>Coco Colombia</t>
        </is>
      </c>
      <c r="D1373" t="inlineStr">
        <is>
          <t>COP</t>
        </is>
      </c>
      <c r="E1373" t="inlineStr">
        <is>
          <t>Real</t>
        </is>
      </c>
      <c r="F1373" t="inlineStr">
        <is>
          <t>pyg_gasto_ventas</t>
        </is>
      </c>
      <c r="I1373" t="n">
        <v>130090415</v>
      </c>
      <c r="J1373" t="inlineStr">
        <is>
          <t>COP</t>
        </is>
      </c>
      <c r="K1373" t="inlineStr">
        <is>
          <t>P&amp;G ejecutivo oficial (estados financieros mensuales)</t>
        </is>
      </c>
      <c r="L1373" t="inlineStr">
        <is>
          <t>Finanzas</t>
        </is>
      </c>
      <c r="M1373" t="inlineStr">
        <is>
          <t>Finanzas</t>
        </is>
      </c>
      <c r="N1373" t="inlineStr">
        <is>
          <t>Mensual</t>
        </is>
      </c>
    </row>
    <row r="1374">
      <c r="A1374" t="inlineStr">
        <is>
          <t>2026-05</t>
        </is>
      </c>
      <c r="B1374" t="inlineStr">
        <is>
          <t>Colombia</t>
        </is>
      </c>
      <c r="C1374" t="inlineStr">
        <is>
          <t>Coco Colombia</t>
        </is>
      </c>
      <c r="D1374" t="inlineStr">
        <is>
          <t>COP</t>
        </is>
      </c>
      <c r="E1374" t="inlineStr">
        <is>
          <t>Real</t>
        </is>
      </c>
      <c r="F1374" t="inlineStr">
        <is>
          <t>pyg_gasto_ventas</t>
        </is>
      </c>
      <c r="I1374" t="n">
        <v>120233213</v>
      </c>
      <c r="J1374" t="inlineStr">
        <is>
          <t>COP</t>
        </is>
      </c>
      <c r="K1374" t="inlineStr">
        <is>
          <t>P&amp;G ejecutivo oficial (estados financieros mensuales)</t>
        </is>
      </c>
      <c r="L1374" t="inlineStr">
        <is>
          <t>Finanzas</t>
        </is>
      </c>
      <c r="M1374" t="inlineStr">
        <is>
          <t>Finanzas</t>
        </is>
      </c>
      <c r="N1374" t="inlineStr">
        <is>
          <t>Mensual</t>
        </is>
      </c>
    </row>
    <row r="1375">
      <c r="A1375" t="inlineStr">
        <is>
          <t>2026-06</t>
        </is>
      </c>
      <c r="B1375" t="inlineStr">
        <is>
          <t>Colombia</t>
        </is>
      </c>
      <c r="C1375" t="inlineStr">
        <is>
          <t>Coco Colombia</t>
        </is>
      </c>
      <c r="D1375" t="inlineStr">
        <is>
          <t>COP</t>
        </is>
      </c>
      <c r="E1375" t="inlineStr">
        <is>
          <t>Real</t>
        </is>
      </c>
      <c r="F1375" t="inlineStr">
        <is>
          <t>pyg_gasto_ventas</t>
        </is>
      </c>
      <c r="I1375" t="n">
        <v>146803460</v>
      </c>
      <c r="J1375" t="inlineStr">
        <is>
          <t>COP</t>
        </is>
      </c>
      <c r="K1375" t="inlineStr">
        <is>
          <t>P&amp;G ejecutivo oficial (estados financieros mensuales)</t>
        </is>
      </c>
      <c r="L1375" t="inlineStr">
        <is>
          <t>Finanzas</t>
        </is>
      </c>
      <c r="M1375" t="inlineStr">
        <is>
          <t>Finanzas</t>
        </is>
      </c>
      <c r="N1375" t="inlineStr">
        <is>
          <t>Mensual</t>
        </is>
      </c>
    </row>
    <row r="1376">
      <c r="A1376" t="inlineStr">
        <is>
          <t>2026-01</t>
        </is>
      </c>
      <c r="B1376" t="inlineStr">
        <is>
          <t>Colombia</t>
        </is>
      </c>
      <c r="C1376" t="inlineStr">
        <is>
          <t>Coco Colombia</t>
        </is>
      </c>
      <c r="D1376" t="inlineStr">
        <is>
          <t>COP</t>
        </is>
      </c>
      <c r="E1376" t="inlineStr">
        <is>
          <t>Real</t>
        </is>
      </c>
      <c r="F1376" t="inlineStr">
        <is>
          <t>pyg_utilidad_operativa</t>
        </is>
      </c>
      <c r="I1376" t="n">
        <v>69979361</v>
      </c>
      <c r="J1376" t="inlineStr">
        <is>
          <t>COP</t>
        </is>
      </c>
      <c r="K1376" t="inlineStr">
        <is>
          <t>P&amp;G ejecutivo oficial (estados financieros mensuales)</t>
        </is>
      </c>
      <c r="L1376" t="inlineStr">
        <is>
          <t>Finanzas</t>
        </is>
      </c>
      <c r="M1376" t="inlineStr">
        <is>
          <t>Finanzas</t>
        </is>
      </c>
      <c r="N1376" t="inlineStr">
        <is>
          <t>Mensual</t>
        </is>
      </c>
    </row>
    <row r="1377">
      <c r="A1377" t="inlineStr">
        <is>
          <t>2026-02</t>
        </is>
      </c>
      <c r="B1377" t="inlineStr">
        <is>
          <t>Colombia</t>
        </is>
      </c>
      <c r="C1377" t="inlineStr">
        <is>
          <t>Coco Colombia</t>
        </is>
      </c>
      <c r="D1377" t="inlineStr">
        <is>
          <t>COP</t>
        </is>
      </c>
      <c r="E1377" t="inlineStr">
        <is>
          <t>Real</t>
        </is>
      </c>
      <c r="F1377" t="inlineStr">
        <is>
          <t>pyg_utilidad_operativa</t>
        </is>
      </c>
      <c r="I1377" t="n">
        <v>46134032</v>
      </c>
      <c r="J1377" t="inlineStr">
        <is>
          <t>COP</t>
        </is>
      </c>
      <c r="K1377" t="inlineStr">
        <is>
          <t>P&amp;G ejecutivo oficial (estados financieros mensuales)</t>
        </is>
      </c>
      <c r="L1377" t="inlineStr">
        <is>
          <t>Finanzas</t>
        </is>
      </c>
      <c r="M1377" t="inlineStr">
        <is>
          <t>Finanzas</t>
        </is>
      </c>
      <c r="N1377" t="inlineStr">
        <is>
          <t>Mensual</t>
        </is>
      </c>
    </row>
    <row r="1378">
      <c r="A1378" t="inlineStr">
        <is>
          <t>2026-03</t>
        </is>
      </c>
      <c r="B1378" t="inlineStr">
        <is>
          <t>Colombia</t>
        </is>
      </c>
      <c r="C1378" t="inlineStr">
        <is>
          <t>Coco Colombia</t>
        </is>
      </c>
      <c r="D1378" t="inlineStr">
        <is>
          <t>COP</t>
        </is>
      </c>
      <c r="E1378" t="inlineStr">
        <is>
          <t>Real</t>
        </is>
      </c>
      <c r="F1378" t="inlineStr">
        <is>
          <t>pyg_utilidad_operativa</t>
        </is>
      </c>
      <c r="I1378" t="n">
        <v>-22242793</v>
      </c>
      <c r="J1378" t="inlineStr">
        <is>
          <t>COP</t>
        </is>
      </c>
      <c r="K1378" t="inlineStr">
        <is>
          <t>P&amp;G ejecutivo oficial (estados financieros mensuales)</t>
        </is>
      </c>
      <c r="L1378" t="inlineStr">
        <is>
          <t>Finanzas</t>
        </is>
      </c>
      <c r="M1378" t="inlineStr">
        <is>
          <t>Finanzas</t>
        </is>
      </c>
      <c r="N1378" t="inlineStr">
        <is>
          <t>Mensual</t>
        </is>
      </c>
    </row>
    <row r="1379">
      <c r="A1379" t="inlineStr">
        <is>
          <t>2026-04</t>
        </is>
      </c>
      <c r="B1379" t="inlineStr">
        <is>
          <t>Colombia</t>
        </is>
      </c>
      <c r="C1379" t="inlineStr">
        <is>
          <t>Coco Colombia</t>
        </is>
      </c>
      <c r="D1379" t="inlineStr">
        <is>
          <t>COP</t>
        </is>
      </c>
      <c r="E1379" t="inlineStr">
        <is>
          <t>Real</t>
        </is>
      </c>
      <c r="F1379" t="inlineStr">
        <is>
          <t>pyg_utilidad_operativa</t>
        </is>
      </c>
      <c r="I1379" t="n">
        <v>4838252</v>
      </c>
      <c r="J1379" t="inlineStr">
        <is>
          <t>COP</t>
        </is>
      </c>
      <c r="K1379" t="inlineStr">
        <is>
          <t>P&amp;G ejecutivo oficial (estados financieros mensuales)</t>
        </is>
      </c>
      <c r="L1379" t="inlineStr">
        <is>
          <t>Finanzas</t>
        </is>
      </c>
      <c r="M1379" t="inlineStr">
        <is>
          <t>Finanzas</t>
        </is>
      </c>
      <c r="N1379" t="inlineStr">
        <is>
          <t>Mensual</t>
        </is>
      </c>
    </row>
    <row r="1380">
      <c r="A1380" t="inlineStr">
        <is>
          <t>2026-05</t>
        </is>
      </c>
      <c r="B1380" t="inlineStr">
        <is>
          <t>Colombia</t>
        </is>
      </c>
      <c r="C1380" t="inlineStr">
        <is>
          <t>Coco Colombia</t>
        </is>
      </c>
      <c r="D1380" t="inlineStr">
        <is>
          <t>COP</t>
        </is>
      </c>
      <c r="E1380" t="inlineStr">
        <is>
          <t>Real</t>
        </is>
      </c>
      <c r="F1380" t="inlineStr">
        <is>
          <t>pyg_utilidad_operativa</t>
        </is>
      </c>
      <c r="I1380" t="n">
        <v>113009475</v>
      </c>
      <c r="J1380" t="inlineStr">
        <is>
          <t>COP</t>
        </is>
      </c>
      <c r="K1380" t="inlineStr">
        <is>
          <t>P&amp;G ejecutivo oficial (estados financieros mensuales)</t>
        </is>
      </c>
      <c r="L1380" t="inlineStr">
        <is>
          <t>Finanzas</t>
        </is>
      </c>
      <c r="M1380" t="inlineStr">
        <is>
          <t>Finanzas</t>
        </is>
      </c>
      <c r="N1380" t="inlineStr">
        <is>
          <t>Mensual</t>
        </is>
      </c>
    </row>
    <row r="1381">
      <c r="A1381" t="inlineStr">
        <is>
          <t>2026-06</t>
        </is>
      </c>
      <c r="B1381" t="inlineStr">
        <is>
          <t>Colombia</t>
        </is>
      </c>
      <c r="C1381" t="inlineStr">
        <is>
          <t>Coco Colombia</t>
        </is>
      </c>
      <c r="D1381" t="inlineStr">
        <is>
          <t>COP</t>
        </is>
      </c>
      <c r="E1381" t="inlineStr">
        <is>
          <t>Real</t>
        </is>
      </c>
      <c r="F1381" t="inlineStr">
        <is>
          <t>pyg_utilidad_operativa</t>
        </is>
      </c>
      <c r="I1381" t="n">
        <v>34975495</v>
      </c>
      <c r="J1381" t="inlineStr">
        <is>
          <t>COP</t>
        </is>
      </c>
      <c r="K1381" t="inlineStr">
        <is>
          <t>P&amp;G ejecutivo oficial (estados financieros mensuales)</t>
        </is>
      </c>
      <c r="L1381" t="inlineStr">
        <is>
          <t>Finanzas</t>
        </is>
      </c>
      <c r="M1381" t="inlineStr">
        <is>
          <t>Finanzas</t>
        </is>
      </c>
      <c r="N1381" t="inlineStr">
        <is>
          <t>Mensual</t>
        </is>
      </c>
    </row>
    <row r="1382">
      <c r="A1382" t="inlineStr">
        <is>
          <t>2026-01</t>
        </is>
      </c>
      <c r="B1382" t="inlineStr">
        <is>
          <t>Colombia</t>
        </is>
      </c>
      <c r="C1382" t="inlineStr">
        <is>
          <t>Coco Colombia</t>
        </is>
      </c>
      <c r="D1382" t="inlineStr">
        <is>
          <t>COP</t>
        </is>
      </c>
      <c r="E1382" t="inlineStr">
        <is>
          <t>Real</t>
        </is>
      </c>
      <c r="F1382" t="inlineStr">
        <is>
          <t>pyg_ingresos_no_operacionales</t>
        </is>
      </c>
      <c r="I1382" t="n">
        <v>597687</v>
      </c>
      <c r="J1382" t="inlineStr">
        <is>
          <t>COP</t>
        </is>
      </c>
      <c r="K1382" t="inlineStr">
        <is>
          <t>P&amp;G ejecutivo oficial (estados financieros mensuales)</t>
        </is>
      </c>
      <c r="L1382" t="inlineStr">
        <is>
          <t>Finanzas</t>
        </is>
      </c>
      <c r="M1382" t="inlineStr">
        <is>
          <t>Finanzas</t>
        </is>
      </c>
      <c r="N1382" t="inlineStr">
        <is>
          <t>Mensual</t>
        </is>
      </c>
    </row>
    <row r="1383">
      <c r="A1383" t="inlineStr">
        <is>
          <t>2026-02</t>
        </is>
      </c>
      <c r="B1383" t="inlineStr">
        <is>
          <t>Colombia</t>
        </is>
      </c>
      <c r="C1383" t="inlineStr">
        <is>
          <t>Coco Colombia</t>
        </is>
      </c>
      <c r="D1383" t="inlineStr">
        <is>
          <t>COP</t>
        </is>
      </c>
      <c r="E1383" t="inlineStr">
        <is>
          <t>Real</t>
        </is>
      </c>
      <c r="F1383" t="inlineStr">
        <is>
          <t>pyg_ingresos_no_operacionales</t>
        </is>
      </c>
      <c r="I1383" t="n">
        <v>13488976</v>
      </c>
      <c r="J1383" t="inlineStr">
        <is>
          <t>COP</t>
        </is>
      </c>
      <c r="K1383" t="inlineStr">
        <is>
          <t>P&amp;G ejecutivo oficial (estados financieros mensuales)</t>
        </is>
      </c>
      <c r="L1383" t="inlineStr">
        <is>
          <t>Finanzas</t>
        </is>
      </c>
      <c r="M1383" t="inlineStr">
        <is>
          <t>Finanzas</t>
        </is>
      </c>
      <c r="N1383" t="inlineStr">
        <is>
          <t>Mensual</t>
        </is>
      </c>
    </row>
    <row r="1384">
      <c r="A1384" t="inlineStr">
        <is>
          <t>2026-03</t>
        </is>
      </c>
      <c r="B1384" t="inlineStr">
        <is>
          <t>Colombia</t>
        </is>
      </c>
      <c r="C1384" t="inlineStr">
        <is>
          <t>Coco Colombia</t>
        </is>
      </c>
      <c r="D1384" t="inlineStr">
        <is>
          <t>COP</t>
        </is>
      </c>
      <c r="E1384" t="inlineStr">
        <is>
          <t>Real</t>
        </is>
      </c>
      <c r="F1384" t="inlineStr">
        <is>
          <t>pyg_ingresos_no_operacionales</t>
        </is>
      </c>
      <c r="I1384" t="n">
        <v>-10197660</v>
      </c>
      <c r="J1384" t="inlineStr">
        <is>
          <t>COP</t>
        </is>
      </c>
      <c r="K1384" t="inlineStr">
        <is>
          <t>P&amp;G ejecutivo oficial (estados financieros mensuales)</t>
        </is>
      </c>
      <c r="L1384" t="inlineStr">
        <is>
          <t>Finanzas</t>
        </is>
      </c>
      <c r="M1384" t="inlineStr">
        <is>
          <t>Finanzas</t>
        </is>
      </c>
      <c r="N1384" t="inlineStr">
        <is>
          <t>Mensual</t>
        </is>
      </c>
    </row>
    <row r="1385">
      <c r="A1385" t="inlineStr">
        <is>
          <t>2026-04</t>
        </is>
      </c>
      <c r="B1385" t="inlineStr">
        <is>
          <t>Colombia</t>
        </is>
      </c>
      <c r="C1385" t="inlineStr">
        <is>
          <t>Coco Colombia</t>
        </is>
      </c>
      <c r="D1385" t="inlineStr">
        <is>
          <t>COP</t>
        </is>
      </c>
      <c r="E1385" t="inlineStr">
        <is>
          <t>Real</t>
        </is>
      </c>
      <c r="F1385" t="inlineStr">
        <is>
          <t>pyg_ingresos_no_operacionales</t>
        </is>
      </c>
      <c r="I1385" t="n">
        <v>906545</v>
      </c>
      <c r="J1385" t="inlineStr">
        <is>
          <t>COP</t>
        </is>
      </c>
      <c r="K1385" t="inlineStr">
        <is>
          <t>P&amp;G ejecutivo oficial (estados financieros mensuales)</t>
        </is>
      </c>
      <c r="L1385" t="inlineStr">
        <is>
          <t>Finanzas</t>
        </is>
      </c>
      <c r="M1385" t="inlineStr">
        <is>
          <t>Finanzas</t>
        </is>
      </c>
      <c r="N1385" t="inlineStr">
        <is>
          <t>Mensual</t>
        </is>
      </c>
    </row>
    <row r="1386">
      <c r="A1386" t="inlineStr">
        <is>
          <t>2026-05</t>
        </is>
      </c>
      <c r="B1386" t="inlineStr">
        <is>
          <t>Colombia</t>
        </is>
      </c>
      <c r="C1386" t="inlineStr">
        <is>
          <t>Coco Colombia</t>
        </is>
      </c>
      <c r="D1386" t="inlineStr">
        <is>
          <t>COP</t>
        </is>
      </c>
      <c r="E1386" t="inlineStr">
        <is>
          <t>Real</t>
        </is>
      </c>
      <c r="F1386" t="inlineStr">
        <is>
          <t>pyg_ingresos_no_operacionales</t>
        </is>
      </c>
      <c r="I1386" t="n">
        <v>1366339</v>
      </c>
      <c r="J1386" t="inlineStr">
        <is>
          <t>COP</t>
        </is>
      </c>
      <c r="K1386" t="inlineStr">
        <is>
          <t>P&amp;G ejecutivo oficial (estados financieros mensuales)</t>
        </is>
      </c>
      <c r="L1386" t="inlineStr">
        <is>
          <t>Finanzas</t>
        </is>
      </c>
      <c r="M1386" t="inlineStr">
        <is>
          <t>Finanzas</t>
        </is>
      </c>
      <c r="N1386" t="inlineStr">
        <is>
          <t>Mensual</t>
        </is>
      </c>
    </row>
    <row r="1387">
      <c r="A1387" t="inlineStr">
        <is>
          <t>2026-06</t>
        </is>
      </c>
      <c r="B1387" t="inlineStr">
        <is>
          <t>Colombia</t>
        </is>
      </c>
      <c r="C1387" t="inlineStr">
        <is>
          <t>Coco Colombia</t>
        </is>
      </c>
      <c r="D1387" t="inlineStr">
        <is>
          <t>COP</t>
        </is>
      </c>
      <c r="E1387" t="inlineStr">
        <is>
          <t>Real</t>
        </is>
      </c>
      <c r="F1387" t="inlineStr">
        <is>
          <t>pyg_ingresos_no_operacionales</t>
        </is>
      </c>
      <c r="I1387" t="n">
        <v>3920249</v>
      </c>
      <c r="J1387" t="inlineStr">
        <is>
          <t>COP</t>
        </is>
      </c>
      <c r="K1387" t="inlineStr">
        <is>
          <t>P&amp;G ejecutivo oficial (estados financieros mensuales)</t>
        </is>
      </c>
      <c r="L1387" t="inlineStr">
        <is>
          <t>Finanzas</t>
        </is>
      </c>
      <c r="M1387" t="inlineStr">
        <is>
          <t>Finanzas</t>
        </is>
      </c>
      <c r="N1387" t="inlineStr">
        <is>
          <t>Mensual</t>
        </is>
      </c>
    </row>
    <row r="1388">
      <c r="A1388" t="inlineStr">
        <is>
          <t>2026-01</t>
        </is>
      </c>
      <c r="B1388" t="inlineStr">
        <is>
          <t>Colombia</t>
        </is>
      </c>
      <c r="C1388" t="inlineStr">
        <is>
          <t>Coco Colombia</t>
        </is>
      </c>
      <c r="D1388" t="inlineStr">
        <is>
          <t>COP</t>
        </is>
      </c>
      <c r="E1388" t="inlineStr">
        <is>
          <t>Real</t>
        </is>
      </c>
      <c r="F1388" t="inlineStr">
        <is>
          <t>pyg_gastos_financieros</t>
        </is>
      </c>
      <c r="I1388" t="n">
        <v>7091551</v>
      </c>
      <c r="J1388" t="inlineStr">
        <is>
          <t>COP</t>
        </is>
      </c>
      <c r="K1388" t="inlineStr">
        <is>
          <t>P&amp;G ejecutivo oficial (estados financieros mensuales)</t>
        </is>
      </c>
      <c r="L1388" t="inlineStr">
        <is>
          <t>Finanzas</t>
        </is>
      </c>
      <c r="M1388" t="inlineStr">
        <is>
          <t>Finanzas</t>
        </is>
      </c>
      <c r="N1388" t="inlineStr">
        <is>
          <t>Mensual</t>
        </is>
      </c>
    </row>
    <row r="1389">
      <c r="A1389" t="inlineStr">
        <is>
          <t>2026-02</t>
        </is>
      </c>
      <c r="B1389" t="inlineStr">
        <is>
          <t>Colombia</t>
        </is>
      </c>
      <c r="C1389" t="inlineStr">
        <is>
          <t>Coco Colombia</t>
        </is>
      </c>
      <c r="D1389" t="inlineStr">
        <is>
          <t>COP</t>
        </is>
      </c>
      <c r="E1389" t="inlineStr">
        <is>
          <t>Real</t>
        </is>
      </c>
      <c r="F1389" t="inlineStr">
        <is>
          <t>pyg_gastos_financieros</t>
        </is>
      </c>
      <c r="I1389" t="n">
        <v>5574093</v>
      </c>
      <c r="J1389" t="inlineStr">
        <is>
          <t>COP</t>
        </is>
      </c>
      <c r="K1389" t="inlineStr">
        <is>
          <t>P&amp;G ejecutivo oficial (estados financieros mensuales)</t>
        </is>
      </c>
      <c r="L1389" t="inlineStr">
        <is>
          <t>Finanzas</t>
        </is>
      </c>
      <c r="M1389" t="inlineStr">
        <is>
          <t>Finanzas</t>
        </is>
      </c>
      <c r="N1389" t="inlineStr">
        <is>
          <t>Mensual</t>
        </is>
      </c>
    </row>
    <row r="1390">
      <c r="A1390" t="inlineStr">
        <is>
          <t>2026-03</t>
        </is>
      </c>
      <c r="B1390" t="inlineStr">
        <is>
          <t>Colombia</t>
        </is>
      </c>
      <c r="C1390" t="inlineStr">
        <is>
          <t>Coco Colombia</t>
        </is>
      </c>
      <c r="D1390" t="inlineStr">
        <is>
          <t>COP</t>
        </is>
      </c>
      <c r="E1390" t="inlineStr">
        <is>
          <t>Real</t>
        </is>
      </c>
      <c r="F1390" t="inlineStr">
        <is>
          <t>pyg_gastos_financieros</t>
        </is>
      </c>
      <c r="I1390" t="n">
        <v>5497554</v>
      </c>
      <c r="J1390" t="inlineStr">
        <is>
          <t>COP</t>
        </is>
      </c>
      <c r="K1390" t="inlineStr">
        <is>
          <t>P&amp;G ejecutivo oficial (estados financieros mensuales)</t>
        </is>
      </c>
      <c r="L1390" t="inlineStr">
        <is>
          <t>Finanzas</t>
        </is>
      </c>
      <c r="M1390" t="inlineStr">
        <is>
          <t>Finanzas</t>
        </is>
      </c>
      <c r="N1390" t="inlineStr">
        <is>
          <t>Mensual</t>
        </is>
      </c>
    </row>
    <row r="1391">
      <c r="A1391" t="inlineStr">
        <is>
          <t>2026-04</t>
        </is>
      </c>
      <c r="B1391" t="inlineStr">
        <is>
          <t>Colombia</t>
        </is>
      </c>
      <c r="C1391" t="inlineStr">
        <is>
          <t>Coco Colombia</t>
        </is>
      </c>
      <c r="D1391" t="inlineStr">
        <is>
          <t>COP</t>
        </is>
      </c>
      <c r="E1391" t="inlineStr">
        <is>
          <t>Real</t>
        </is>
      </c>
      <c r="F1391" t="inlineStr">
        <is>
          <t>pyg_gastos_financieros</t>
        </is>
      </c>
      <c r="I1391" t="n">
        <v>5038594</v>
      </c>
      <c r="J1391" t="inlineStr">
        <is>
          <t>COP</t>
        </is>
      </c>
      <c r="K1391" t="inlineStr">
        <is>
          <t>P&amp;G ejecutivo oficial (estados financieros mensuales)</t>
        </is>
      </c>
      <c r="L1391" t="inlineStr">
        <is>
          <t>Finanzas</t>
        </is>
      </c>
      <c r="M1391" t="inlineStr">
        <is>
          <t>Finanzas</t>
        </is>
      </c>
      <c r="N1391" t="inlineStr">
        <is>
          <t>Mensual</t>
        </is>
      </c>
    </row>
    <row r="1392">
      <c r="A1392" t="inlineStr">
        <is>
          <t>2026-05</t>
        </is>
      </c>
      <c r="B1392" t="inlineStr">
        <is>
          <t>Colombia</t>
        </is>
      </c>
      <c r="C1392" t="inlineStr">
        <is>
          <t>Coco Colombia</t>
        </is>
      </c>
      <c r="D1392" t="inlineStr">
        <is>
          <t>COP</t>
        </is>
      </c>
      <c r="E1392" t="inlineStr">
        <is>
          <t>Real</t>
        </is>
      </c>
      <c r="F1392" t="inlineStr">
        <is>
          <t>pyg_gastos_financieros</t>
        </is>
      </c>
      <c r="I1392" t="n">
        <v>6000846</v>
      </c>
      <c r="J1392" t="inlineStr">
        <is>
          <t>COP</t>
        </is>
      </c>
      <c r="K1392" t="inlineStr">
        <is>
          <t>P&amp;G ejecutivo oficial (estados financieros mensuales)</t>
        </is>
      </c>
      <c r="L1392" t="inlineStr">
        <is>
          <t>Finanzas</t>
        </is>
      </c>
      <c r="M1392" t="inlineStr">
        <is>
          <t>Finanzas</t>
        </is>
      </c>
      <c r="N1392" t="inlineStr">
        <is>
          <t>Mensual</t>
        </is>
      </c>
    </row>
    <row r="1393">
      <c r="A1393" t="inlineStr">
        <is>
          <t>2026-06</t>
        </is>
      </c>
      <c r="B1393" t="inlineStr">
        <is>
          <t>Colombia</t>
        </is>
      </c>
      <c r="C1393" t="inlineStr">
        <is>
          <t>Coco Colombia</t>
        </is>
      </c>
      <c r="D1393" t="inlineStr">
        <is>
          <t>COP</t>
        </is>
      </c>
      <c r="E1393" t="inlineStr">
        <is>
          <t>Real</t>
        </is>
      </c>
      <c r="F1393" t="inlineStr">
        <is>
          <t>pyg_gastos_financieros</t>
        </is>
      </c>
      <c r="I1393" t="n">
        <v>5552094</v>
      </c>
      <c r="J1393" t="inlineStr">
        <is>
          <t>COP</t>
        </is>
      </c>
      <c r="K1393" t="inlineStr">
        <is>
          <t>P&amp;G ejecutivo oficial (estados financieros mensuales)</t>
        </is>
      </c>
      <c r="L1393" t="inlineStr">
        <is>
          <t>Finanzas</t>
        </is>
      </c>
      <c r="M1393" t="inlineStr">
        <is>
          <t>Finanzas</t>
        </is>
      </c>
      <c r="N1393" t="inlineStr">
        <is>
          <t>Mensual</t>
        </is>
      </c>
    </row>
    <row r="1394">
      <c r="A1394" t="inlineStr">
        <is>
          <t>2026-01</t>
        </is>
      </c>
      <c r="B1394" t="inlineStr">
        <is>
          <t>Colombia</t>
        </is>
      </c>
      <c r="C1394" t="inlineStr">
        <is>
          <t>Coco Colombia</t>
        </is>
      </c>
      <c r="D1394" t="inlineStr">
        <is>
          <t>COP</t>
        </is>
      </c>
      <c r="E1394" t="inlineStr">
        <is>
          <t>Real</t>
        </is>
      </c>
      <c r="F1394" t="inlineStr">
        <is>
          <t>pyg_utilidad_neta</t>
        </is>
      </c>
      <c r="I1394" t="n">
        <v>63485497</v>
      </c>
      <c r="J1394" t="inlineStr">
        <is>
          <t>COP</t>
        </is>
      </c>
      <c r="K1394" t="inlineStr">
        <is>
          <t>P&amp;G ejecutivo oficial (estados financieros mensuales)</t>
        </is>
      </c>
      <c r="L1394" t="inlineStr">
        <is>
          <t>Finanzas</t>
        </is>
      </c>
      <c r="M1394" t="inlineStr">
        <is>
          <t>Finanzas</t>
        </is>
      </c>
      <c r="N1394" t="inlineStr">
        <is>
          <t>Mensual</t>
        </is>
      </c>
    </row>
    <row r="1395">
      <c r="A1395" t="inlineStr">
        <is>
          <t>2026-02</t>
        </is>
      </c>
      <c r="B1395" t="inlineStr">
        <is>
          <t>Colombia</t>
        </is>
      </c>
      <c r="C1395" t="inlineStr">
        <is>
          <t>Coco Colombia</t>
        </is>
      </c>
      <c r="D1395" t="inlineStr">
        <is>
          <t>COP</t>
        </is>
      </c>
      <c r="E1395" t="inlineStr">
        <is>
          <t>Real</t>
        </is>
      </c>
      <c r="F1395" t="inlineStr">
        <is>
          <t>pyg_utilidad_neta</t>
        </is>
      </c>
      <c r="I1395" t="n">
        <v>54048915</v>
      </c>
      <c r="J1395" t="inlineStr">
        <is>
          <t>COP</t>
        </is>
      </c>
      <c r="K1395" t="inlineStr">
        <is>
          <t>P&amp;G ejecutivo oficial (estados financieros mensuales)</t>
        </is>
      </c>
      <c r="L1395" t="inlineStr">
        <is>
          <t>Finanzas</t>
        </is>
      </c>
      <c r="M1395" t="inlineStr">
        <is>
          <t>Finanzas</t>
        </is>
      </c>
      <c r="N1395" t="inlineStr">
        <is>
          <t>Mensual</t>
        </is>
      </c>
    </row>
    <row r="1396">
      <c r="A1396" t="inlineStr">
        <is>
          <t>2026-03</t>
        </is>
      </c>
      <c r="B1396" t="inlineStr">
        <is>
          <t>Colombia</t>
        </is>
      </c>
      <c r="C1396" t="inlineStr">
        <is>
          <t>Coco Colombia</t>
        </is>
      </c>
      <c r="D1396" t="inlineStr">
        <is>
          <t>COP</t>
        </is>
      </c>
      <c r="E1396" t="inlineStr">
        <is>
          <t>Real</t>
        </is>
      </c>
      <c r="F1396" t="inlineStr">
        <is>
          <t>pyg_utilidad_neta</t>
        </is>
      </c>
      <c r="I1396" t="n">
        <v>-37938007</v>
      </c>
      <c r="J1396" t="inlineStr">
        <is>
          <t>COP</t>
        </is>
      </c>
      <c r="K1396" t="inlineStr">
        <is>
          <t>P&amp;G ejecutivo oficial (estados financieros mensuales)</t>
        </is>
      </c>
      <c r="L1396" t="inlineStr">
        <is>
          <t>Finanzas</t>
        </is>
      </c>
      <c r="M1396" t="inlineStr">
        <is>
          <t>Finanzas</t>
        </is>
      </c>
      <c r="N1396" t="inlineStr">
        <is>
          <t>Mensual</t>
        </is>
      </c>
    </row>
    <row r="1397">
      <c r="A1397" t="inlineStr">
        <is>
          <t>2026-04</t>
        </is>
      </c>
      <c r="B1397" t="inlineStr">
        <is>
          <t>Colombia</t>
        </is>
      </c>
      <c r="C1397" t="inlineStr">
        <is>
          <t>Coco Colombia</t>
        </is>
      </c>
      <c r="D1397" t="inlineStr">
        <is>
          <t>COP</t>
        </is>
      </c>
      <c r="E1397" t="inlineStr">
        <is>
          <t>Real</t>
        </is>
      </c>
      <c r="F1397" t="inlineStr">
        <is>
          <t>pyg_utilidad_neta</t>
        </is>
      </c>
      <c r="I1397" t="n">
        <v>706203</v>
      </c>
      <c r="J1397" t="inlineStr">
        <is>
          <t>COP</t>
        </is>
      </c>
      <c r="K1397" t="inlineStr">
        <is>
          <t>P&amp;G ejecutivo oficial (estados financieros mensuales)</t>
        </is>
      </c>
      <c r="L1397" t="inlineStr">
        <is>
          <t>Finanzas</t>
        </is>
      </c>
      <c r="M1397" t="inlineStr">
        <is>
          <t>Finanzas</t>
        </is>
      </c>
      <c r="N1397" t="inlineStr">
        <is>
          <t>Mensual</t>
        </is>
      </c>
    </row>
    <row r="1398">
      <c r="A1398" t="inlineStr">
        <is>
          <t>2026-05</t>
        </is>
      </c>
      <c r="B1398" t="inlineStr">
        <is>
          <t>Colombia</t>
        </is>
      </c>
      <c r="C1398" t="inlineStr">
        <is>
          <t>Coco Colombia</t>
        </is>
      </c>
      <c r="D1398" t="inlineStr">
        <is>
          <t>COP</t>
        </is>
      </c>
      <c r="E1398" t="inlineStr">
        <is>
          <t>Real</t>
        </is>
      </c>
      <c r="F1398" t="inlineStr">
        <is>
          <t>pyg_utilidad_neta</t>
        </is>
      </c>
      <c r="I1398" t="n">
        <v>108374968</v>
      </c>
      <c r="J1398" t="inlineStr">
        <is>
          <t>COP</t>
        </is>
      </c>
      <c r="K1398" t="inlineStr">
        <is>
          <t>P&amp;G ejecutivo oficial (estados financieros mensuales)</t>
        </is>
      </c>
      <c r="L1398" t="inlineStr">
        <is>
          <t>Finanzas</t>
        </is>
      </c>
      <c r="M1398" t="inlineStr">
        <is>
          <t>Finanzas</t>
        </is>
      </c>
      <c r="N1398" t="inlineStr">
        <is>
          <t>Mensual</t>
        </is>
      </c>
    </row>
    <row r="1399">
      <c r="A1399" t="inlineStr">
        <is>
          <t>2026-06</t>
        </is>
      </c>
      <c r="B1399" t="inlineStr">
        <is>
          <t>Colombia</t>
        </is>
      </c>
      <c r="C1399" t="inlineStr">
        <is>
          <t>Coco Colombia</t>
        </is>
      </c>
      <c r="D1399" t="inlineStr">
        <is>
          <t>COP</t>
        </is>
      </c>
      <c r="E1399" t="inlineStr">
        <is>
          <t>Real</t>
        </is>
      </c>
      <c r="F1399" t="inlineStr">
        <is>
          <t>pyg_utilidad_neta</t>
        </is>
      </c>
      <c r="I1399" t="n">
        <v>33343650</v>
      </c>
      <c r="J1399" t="inlineStr">
        <is>
          <t>COP</t>
        </is>
      </c>
      <c r="K1399" t="inlineStr">
        <is>
          <t>P&amp;G ejecutivo oficial (estados financieros mensuales)</t>
        </is>
      </c>
      <c r="L1399" t="inlineStr">
        <is>
          <t>Finanzas</t>
        </is>
      </c>
      <c r="M1399" t="inlineStr">
        <is>
          <t>Finanzas</t>
        </is>
      </c>
      <c r="N1399" t="inlineStr">
        <is>
          <t>Mensual</t>
        </is>
      </c>
    </row>
    <row r="1400">
      <c r="A1400" t="inlineStr">
        <is>
          <t>2026-04</t>
        </is>
      </c>
      <c r="B1400" t="inlineStr">
        <is>
          <t>EE.UU.</t>
        </is>
      </c>
      <c r="C1400" t="inlineStr">
        <is>
          <t>Coco LLC</t>
        </is>
      </c>
      <c r="D1400" t="inlineStr">
        <is>
          <t>USD</t>
        </is>
      </c>
      <c r="E1400" t="inlineStr">
        <is>
          <t>Real</t>
        </is>
      </c>
      <c r="F1400" t="inlineStr">
        <is>
          <t>pyg_ingresos_operacionales</t>
        </is>
      </c>
      <c r="G1400" t="inlineStr">
        <is>
          <t>Consolidación USD</t>
        </is>
      </c>
      <c r="I1400" t="n">
        <v>5992.45</v>
      </c>
      <c r="J1400" t="inlineStr">
        <is>
          <t>USD</t>
        </is>
      </c>
      <c r="K1400" t="inlineStr">
        <is>
          <t>Homologado desde auxiliar contable (Abril 2026 USA.xlsx). Reemplaza fuente previa (modelo/sin dato).</t>
        </is>
      </c>
      <c r="L1400" t="inlineStr">
        <is>
          <t>Internacional</t>
        </is>
      </c>
      <c r="M1400" t="inlineStr">
        <is>
          <t>Finanzas</t>
        </is>
      </c>
      <c r="N1400" t="inlineStr">
        <is>
          <t>Mensual</t>
        </is>
      </c>
    </row>
    <row r="1401">
      <c r="A1401" t="inlineStr">
        <is>
          <t>2026-04</t>
        </is>
      </c>
      <c r="B1401" t="inlineStr">
        <is>
          <t>Perú</t>
        </is>
      </c>
      <c r="C1401" t="inlineStr">
        <is>
          <t>Coco Peru</t>
        </is>
      </c>
      <c r="D1401" t="inlineStr">
        <is>
          <t>USD</t>
        </is>
      </c>
      <c r="E1401" t="inlineStr">
        <is>
          <t>Real</t>
        </is>
      </c>
      <c r="F1401" t="inlineStr">
        <is>
          <t>pyg_ingresos_operacionales</t>
        </is>
      </c>
      <c r="G1401" t="inlineStr">
        <is>
          <t>Consolidación USD</t>
        </is>
      </c>
      <c r="I1401" t="n">
        <v>826.61</v>
      </c>
      <c r="J1401" t="inlineStr">
        <is>
          <t>USD</t>
        </is>
      </c>
      <c r="K1401" t="inlineStr">
        <is>
          <t>Homologado desde auxiliar contable (V4 Abril 2026 PERU.xlsx). Reemplaza fuente previa (modelo/sin dato).</t>
        </is>
      </c>
      <c r="L1401" t="inlineStr">
        <is>
          <t>Internacional</t>
        </is>
      </c>
      <c r="M1401" t="inlineStr">
        <is>
          <t>Finanzas</t>
        </is>
      </c>
      <c r="N1401" t="inlineStr">
        <is>
          <t>Mensual</t>
        </is>
      </c>
    </row>
    <row r="1402">
      <c r="A1402" t="inlineStr">
        <is>
          <t>2026-04</t>
        </is>
      </c>
      <c r="B1402" t="inlineStr">
        <is>
          <t>Costa Rica</t>
        </is>
      </c>
      <c r="C1402" t="inlineStr">
        <is>
          <t>Coco Costa Rica</t>
        </is>
      </c>
      <c r="D1402" t="inlineStr">
        <is>
          <t>USD</t>
        </is>
      </c>
      <c r="E1402" t="inlineStr">
        <is>
          <t>Real</t>
        </is>
      </c>
      <c r="F1402" t="inlineStr">
        <is>
          <t>pyg_ingresos_operacionales</t>
        </is>
      </c>
      <c r="G1402" t="inlineStr">
        <is>
          <t>Consolidación USD</t>
        </is>
      </c>
      <c r="I1402" t="n">
        <v>0</v>
      </c>
      <c r="J1402" t="inlineStr">
        <is>
          <t>USD</t>
        </is>
      </c>
      <c r="K1402" t="inlineStr">
        <is>
          <t>Homologado desde auxiliar contable (Abril 2026 CR.xlsx). Reemplaza fuente previa (modelo/sin dato).</t>
        </is>
      </c>
      <c r="L1402" t="inlineStr">
        <is>
          <t>Internacional</t>
        </is>
      </c>
      <c r="M1402" t="inlineStr">
        <is>
          <t>Finanzas</t>
        </is>
      </c>
      <c r="N1402" t="inlineStr">
        <is>
          <t>Mensual</t>
        </is>
      </c>
    </row>
    <row r="1403">
      <c r="A1403" t="inlineStr">
        <is>
          <t>2026-04</t>
        </is>
      </c>
      <c r="B1403" t="inlineStr">
        <is>
          <t>Colombia</t>
        </is>
      </c>
      <c r="C1403" t="inlineStr">
        <is>
          <t>Coco Colombia</t>
        </is>
      </c>
      <c r="D1403" t="inlineStr">
        <is>
          <t>USD</t>
        </is>
      </c>
      <c r="E1403" t="inlineStr">
        <is>
          <t>Real</t>
        </is>
      </c>
      <c r="F1403" t="inlineStr">
        <is>
          <t>pyg_ingresos_operacionales</t>
        </is>
      </c>
      <c r="G1403" t="inlineStr">
        <is>
          <t>Consolidación USD</t>
        </is>
      </c>
      <c r="I1403" t="n">
        <v>207564.28</v>
      </c>
      <c r="J1403" t="inlineStr">
        <is>
          <t>USD</t>
        </is>
      </c>
      <c r="K1403" t="inlineStr">
        <is>
          <t>Consolidación subsidiarias (USD). Colombia derivado del P&amp;G oficial / TRM del mes.</t>
        </is>
      </c>
      <c r="L1403" t="inlineStr">
        <is>
          <t>Internacional</t>
        </is>
      </c>
      <c r="M1403" t="inlineStr">
        <is>
          <t>Finanzas</t>
        </is>
      </c>
      <c r="N1403" t="inlineStr">
        <is>
          <t>Mensual</t>
        </is>
      </c>
    </row>
    <row r="1404">
      <c r="A1404" t="inlineStr">
        <is>
          <t>2026-04</t>
        </is>
      </c>
      <c r="B1404" t="inlineStr">
        <is>
          <t>Consolidado</t>
        </is>
      </c>
      <c r="C1404" t="inlineStr">
        <is>
          <t>COCO Tecnologias</t>
        </is>
      </c>
      <c r="D1404" t="inlineStr">
        <is>
          <t>USD</t>
        </is>
      </c>
      <c r="E1404" t="inlineStr">
        <is>
          <t>Real</t>
        </is>
      </c>
      <c r="F1404" t="inlineStr">
        <is>
          <t>pyg_ingresos_operacionales</t>
        </is>
      </c>
      <c r="G1404" t="inlineStr">
        <is>
          <t>Consolidación USD</t>
        </is>
      </c>
      <c r="I1404" t="n">
        <v>214383.34</v>
      </c>
      <c r="J1404" t="inlineStr">
        <is>
          <t>USD</t>
        </is>
      </c>
      <c r="K1404" t="inlineStr">
        <is>
          <t>Recalculado: suma Colombia + EE.UU. + Peru + Costa Rica (Consolidacion USD).</t>
        </is>
      </c>
      <c r="L1404" t="inlineStr">
        <is>
          <t>Internacional</t>
        </is>
      </c>
      <c r="M1404" t="inlineStr">
        <is>
          <t>Finanzas</t>
        </is>
      </c>
      <c r="N1404" t="inlineStr">
        <is>
          <t>Mensual</t>
        </is>
      </c>
    </row>
    <row r="1405">
      <c r="A1405" t="inlineStr">
        <is>
          <t>2026-05</t>
        </is>
      </c>
      <c r="B1405" t="inlineStr">
        <is>
          <t>EE.UU.</t>
        </is>
      </c>
      <c r="C1405" t="inlineStr">
        <is>
          <t>Coco LLC</t>
        </is>
      </c>
      <c r="D1405" t="inlineStr">
        <is>
          <t>USD</t>
        </is>
      </c>
      <c r="E1405" t="inlineStr">
        <is>
          <t>Real</t>
        </is>
      </c>
      <c r="F1405" t="inlineStr">
        <is>
          <t>pyg_ingresos_operacionales</t>
        </is>
      </c>
      <c r="G1405" t="inlineStr">
        <is>
          <t>Consolidación USD</t>
        </is>
      </c>
      <c r="I1405" t="n">
        <v>9716.450000000001</v>
      </c>
      <c r="J1405" t="inlineStr">
        <is>
          <t>USD</t>
        </is>
      </c>
      <c r="K1405" t="inlineStr">
        <is>
          <t>Homologado desde auxiliar contable (Mayo 2026 USA.xlsx). Reemplaza fuente previa (modelo/sin dato).</t>
        </is>
      </c>
      <c r="L1405" t="inlineStr">
        <is>
          <t>Internacional</t>
        </is>
      </c>
      <c r="M1405" t="inlineStr">
        <is>
          <t>Finanzas</t>
        </is>
      </c>
      <c r="N1405" t="inlineStr">
        <is>
          <t>Mensual</t>
        </is>
      </c>
    </row>
    <row r="1406">
      <c r="A1406" t="inlineStr">
        <is>
          <t>2026-05</t>
        </is>
      </c>
      <c r="B1406" t="inlineStr">
        <is>
          <t>Perú</t>
        </is>
      </c>
      <c r="C1406" t="inlineStr">
        <is>
          <t>Coco Peru</t>
        </is>
      </c>
      <c r="D1406" t="inlineStr">
        <is>
          <t>USD</t>
        </is>
      </c>
      <c r="E1406" t="inlineStr">
        <is>
          <t>Real</t>
        </is>
      </c>
      <c r="F1406" t="inlineStr">
        <is>
          <t>pyg_ingresos_operacionales</t>
        </is>
      </c>
      <c r="G1406" t="inlineStr">
        <is>
          <t>Consolidación USD</t>
        </is>
      </c>
      <c r="I1406" t="n">
        <v>819.21</v>
      </c>
      <c r="J1406" t="inlineStr">
        <is>
          <t>USD</t>
        </is>
      </c>
      <c r="K1406" t="inlineStr">
        <is>
          <t>Homologado desde auxiliar contable (Mayo 2026 PERU.xlsx). Reemplaza fuente previa (modelo/sin dato).</t>
        </is>
      </c>
      <c r="L1406" t="inlineStr">
        <is>
          <t>Internacional</t>
        </is>
      </c>
      <c r="M1406" t="inlineStr">
        <is>
          <t>Finanzas</t>
        </is>
      </c>
      <c r="N1406" t="inlineStr">
        <is>
          <t>Mensual</t>
        </is>
      </c>
    </row>
    <row r="1407">
      <c r="A1407" t="inlineStr">
        <is>
          <t>2026-05</t>
        </is>
      </c>
      <c r="B1407" t="inlineStr">
        <is>
          <t>Costa Rica</t>
        </is>
      </c>
      <c r="C1407" t="inlineStr">
        <is>
          <t>Coco Costa Rica</t>
        </is>
      </c>
      <c r="D1407" t="inlineStr">
        <is>
          <t>USD</t>
        </is>
      </c>
      <c r="E1407" t="inlineStr">
        <is>
          <t>Real</t>
        </is>
      </c>
      <c r="F1407" t="inlineStr">
        <is>
          <t>pyg_ingresos_operacionales</t>
        </is>
      </c>
      <c r="G1407" t="inlineStr">
        <is>
          <t>Consolidación USD</t>
        </is>
      </c>
      <c r="I1407" t="n">
        <v>0</v>
      </c>
      <c r="J1407" t="inlineStr">
        <is>
          <t>USD</t>
        </is>
      </c>
      <c r="K1407" t="inlineStr">
        <is>
          <t>Homologado desde auxiliar contable (Mayo 2026 CR.xlsx). Reemplaza fuente previa (modelo/sin dato).</t>
        </is>
      </c>
      <c r="L1407" t="inlineStr">
        <is>
          <t>Internacional</t>
        </is>
      </c>
      <c r="M1407" t="inlineStr">
        <is>
          <t>Finanzas</t>
        </is>
      </c>
      <c r="N1407" t="inlineStr">
        <is>
          <t>Mensual</t>
        </is>
      </c>
    </row>
    <row r="1408">
      <c r="A1408" t="inlineStr">
        <is>
          <t>2026-05</t>
        </is>
      </c>
      <c r="B1408" t="inlineStr">
        <is>
          <t>Colombia</t>
        </is>
      </c>
      <c r="C1408" t="inlineStr">
        <is>
          <t>Coco Colombia</t>
        </is>
      </c>
      <c r="D1408" t="inlineStr">
        <is>
          <t>USD</t>
        </is>
      </c>
      <c r="E1408" t="inlineStr">
        <is>
          <t>Real</t>
        </is>
      </c>
      <c r="F1408" t="inlineStr">
        <is>
          <t>pyg_ingresos_operacionales</t>
        </is>
      </c>
      <c r="G1408" t="inlineStr">
        <is>
          <t>Consolidación USD</t>
        </is>
      </c>
      <c r="I1408" t="n">
        <v>222539.06</v>
      </c>
      <c r="J1408" t="inlineStr">
        <is>
          <t>USD</t>
        </is>
      </c>
      <c r="K1408" t="inlineStr">
        <is>
          <t>Consolidación subsidiarias (USD). Colombia derivado del P&amp;G oficial / TRM del mes.</t>
        </is>
      </c>
      <c r="L1408" t="inlineStr">
        <is>
          <t>Internacional</t>
        </is>
      </c>
      <c r="M1408" t="inlineStr">
        <is>
          <t>Finanzas</t>
        </is>
      </c>
      <c r="N1408" t="inlineStr">
        <is>
          <t>Mensual</t>
        </is>
      </c>
    </row>
    <row r="1409">
      <c r="A1409" t="inlineStr">
        <is>
          <t>2026-05</t>
        </is>
      </c>
      <c r="B1409" t="inlineStr">
        <is>
          <t>Consolidado</t>
        </is>
      </c>
      <c r="C1409" t="inlineStr">
        <is>
          <t>COCO Tecnologias</t>
        </is>
      </c>
      <c r="D1409" t="inlineStr">
        <is>
          <t>USD</t>
        </is>
      </c>
      <c r="E1409" t="inlineStr">
        <is>
          <t>Real</t>
        </is>
      </c>
      <c r="F1409" t="inlineStr">
        <is>
          <t>pyg_ingresos_operacionales</t>
        </is>
      </c>
      <c r="G1409" t="inlineStr">
        <is>
          <t>Consolidación USD</t>
        </is>
      </c>
      <c r="I1409" t="n">
        <v>233074.72</v>
      </c>
      <c r="J1409" t="inlineStr">
        <is>
          <t>USD</t>
        </is>
      </c>
      <c r="K1409" t="inlineStr">
        <is>
          <t>Recalculado: suma Colombia + EE.UU. + Peru + Costa Rica (Consolidacion USD).</t>
        </is>
      </c>
      <c r="L1409" t="inlineStr">
        <is>
          <t>Internacional</t>
        </is>
      </c>
      <c r="M1409" t="inlineStr">
        <is>
          <t>Finanzas</t>
        </is>
      </c>
      <c r="N1409" t="inlineStr">
        <is>
          <t>Mensual</t>
        </is>
      </c>
    </row>
    <row r="1410">
      <c r="A1410" t="inlineStr">
        <is>
          <t>2026-06</t>
        </is>
      </c>
      <c r="B1410" t="inlineStr">
        <is>
          <t>EE.UU.</t>
        </is>
      </c>
      <c r="C1410" t="inlineStr">
        <is>
          <t>Coco LLC</t>
        </is>
      </c>
      <c r="D1410" t="inlineStr">
        <is>
          <t>USD</t>
        </is>
      </c>
      <c r="E1410" t="inlineStr">
        <is>
          <t>Real</t>
        </is>
      </c>
      <c r="F1410" t="inlineStr">
        <is>
          <t>pyg_ingresos_operacionales</t>
        </is>
      </c>
      <c r="G1410" t="inlineStr">
        <is>
          <t>Consolidación USD</t>
        </is>
      </c>
      <c r="I1410" t="n">
        <v>5664.45</v>
      </c>
      <c r="J1410" t="inlineStr">
        <is>
          <t>USD</t>
        </is>
      </c>
      <c r="K1410" t="inlineStr">
        <is>
          <t>Homologado desde auxiliar contable (Junio 2026 USA.xlsx). Reemplaza fuente previa (modelo/sin dato).</t>
        </is>
      </c>
      <c r="L1410" t="inlineStr">
        <is>
          <t>Internacional</t>
        </is>
      </c>
      <c r="M1410" t="inlineStr">
        <is>
          <t>Finanzas</t>
        </is>
      </c>
      <c r="N1410" t="inlineStr">
        <is>
          <t>Mensual</t>
        </is>
      </c>
    </row>
    <row r="1411">
      <c r="A1411" t="inlineStr">
        <is>
          <t>2026-06</t>
        </is>
      </c>
      <c r="B1411" t="inlineStr">
        <is>
          <t>Perú</t>
        </is>
      </c>
      <c r="C1411" t="inlineStr">
        <is>
          <t>Coco Peru</t>
        </is>
      </c>
      <c r="D1411" t="inlineStr">
        <is>
          <t>USD</t>
        </is>
      </c>
      <c r="E1411" t="inlineStr">
        <is>
          <t>Real</t>
        </is>
      </c>
      <c r="F1411" t="inlineStr">
        <is>
          <t>pyg_ingresos_operacionales</t>
        </is>
      </c>
      <c r="G1411" t="inlineStr">
        <is>
          <t>Consolidación USD</t>
        </is>
      </c>
      <c r="I1411" t="n">
        <v>1821.51</v>
      </c>
      <c r="J1411" t="inlineStr">
        <is>
          <t>USD</t>
        </is>
      </c>
      <c r="K1411" t="inlineStr">
        <is>
          <t>Homologado desde auxiliar contable (Junio 2026 PERU.xlsx). Reemplaza fuente previa (modelo/sin dato).</t>
        </is>
      </c>
      <c r="L1411" t="inlineStr">
        <is>
          <t>Internacional</t>
        </is>
      </c>
      <c r="M1411" t="inlineStr">
        <is>
          <t>Finanzas</t>
        </is>
      </c>
      <c r="N1411" t="inlineStr">
        <is>
          <t>Mensual</t>
        </is>
      </c>
    </row>
    <row r="1412">
      <c r="A1412" t="inlineStr">
        <is>
          <t>2026-06</t>
        </is>
      </c>
      <c r="B1412" t="inlineStr">
        <is>
          <t>Costa Rica</t>
        </is>
      </c>
      <c r="C1412" t="inlineStr">
        <is>
          <t>Coco Costa Rica</t>
        </is>
      </c>
      <c r="D1412" t="inlineStr">
        <is>
          <t>USD</t>
        </is>
      </c>
      <c r="E1412" t="inlineStr">
        <is>
          <t>Real</t>
        </is>
      </c>
      <c r="F1412" t="inlineStr">
        <is>
          <t>pyg_ingresos_operacionales</t>
        </is>
      </c>
      <c r="G1412" t="inlineStr">
        <is>
          <t>Consolidación USD</t>
        </is>
      </c>
      <c r="I1412" t="n">
        <v>0</v>
      </c>
      <c r="J1412" t="inlineStr">
        <is>
          <t>USD</t>
        </is>
      </c>
      <c r="K1412" t="inlineStr">
        <is>
          <t>Homologado desde auxiliar contable (Junio 2026 CR.xlsx). Reemplaza fuente previa (modelo/sin dato).</t>
        </is>
      </c>
      <c r="L1412" t="inlineStr">
        <is>
          <t>Internacional</t>
        </is>
      </c>
      <c r="M1412" t="inlineStr">
        <is>
          <t>Finanzas</t>
        </is>
      </c>
      <c r="N1412" t="inlineStr">
        <is>
          <t>Mensual</t>
        </is>
      </c>
    </row>
    <row r="1413">
      <c r="A1413" t="inlineStr">
        <is>
          <t>2026-06</t>
        </is>
      </c>
      <c r="B1413" t="inlineStr">
        <is>
          <t>Colombia</t>
        </is>
      </c>
      <c r="C1413" t="inlineStr">
        <is>
          <t>Coco Colombia</t>
        </is>
      </c>
      <c r="D1413" t="inlineStr">
        <is>
          <t>USD</t>
        </is>
      </c>
      <c r="E1413" t="inlineStr">
        <is>
          <t>Real</t>
        </is>
      </c>
      <c r="F1413" t="inlineStr">
        <is>
          <t>pyg_ingresos_operacionales</t>
        </is>
      </c>
      <c r="G1413" t="inlineStr">
        <is>
          <t>Consolidación USD</t>
        </is>
      </c>
      <c r="I1413" t="n">
        <v>214378.26</v>
      </c>
      <c r="J1413" t="inlineStr">
        <is>
          <t>USD</t>
        </is>
      </c>
      <c r="K1413" t="inlineStr">
        <is>
          <t>Consolidación subsidiarias (USD). Colombia derivado del P&amp;G oficial / TRM del mes.</t>
        </is>
      </c>
      <c r="L1413" t="inlineStr">
        <is>
          <t>Internacional</t>
        </is>
      </c>
      <c r="M1413" t="inlineStr">
        <is>
          <t>Finanzas</t>
        </is>
      </c>
      <c r="N1413" t="inlineStr">
        <is>
          <t>Mensual</t>
        </is>
      </c>
    </row>
    <row r="1414">
      <c r="A1414" t="inlineStr">
        <is>
          <t>2026-06</t>
        </is>
      </c>
      <c r="B1414" t="inlineStr">
        <is>
          <t>Consolidado</t>
        </is>
      </c>
      <c r="C1414" t="inlineStr">
        <is>
          <t>COCO Tecnologias</t>
        </is>
      </c>
      <c r="D1414" t="inlineStr">
        <is>
          <t>USD</t>
        </is>
      </c>
      <c r="E1414" t="inlineStr">
        <is>
          <t>Real</t>
        </is>
      </c>
      <c r="F1414" t="inlineStr">
        <is>
          <t>pyg_ingresos_operacionales</t>
        </is>
      </c>
      <c r="G1414" t="inlineStr">
        <is>
          <t>Consolidación USD</t>
        </is>
      </c>
      <c r="I1414" t="n">
        <v>221864.22</v>
      </c>
      <c r="J1414" t="inlineStr">
        <is>
          <t>USD</t>
        </is>
      </c>
      <c r="K1414" t="inlineStr">
        <is>
          <t>Recalculado: suma Colombia + EE.UU. + Peru + Costa Rica (Consolidacion USD).</t>
        </is>
      </c>
      <c r="L1414" t="inlineStr">
        <is>
          <t>Internacional</t>
        </is>
      </c>
      <c r="M1414" t="inlineStr">
        <is>
          <t>Finanzas</t>
        </is>
      </c>
      <c r="N1414" t="inlineStr">
        <is>
          <t>Mensual</t>
        </is>
      </c>
    </row>
    <row r="1415">
      <c r="A1415" t="inlineStr">
        <is>
          <t>2026-04</t>
        </is>
      </c>
      <c r="B1415" t="inlineStr">
        <is>
          <t>EE.UU.</t>
        </is>
      </c>
      <c r="C1415" t="inlineStr">
        <is>
          <t>Coco LLC</t>
        </is>
      </c>
      <c r="D1415" t="inlineStr">
        <is>
          <t>USD</t>
        </is>
      </c>
      <c r="E1415" t="inlineStr">
        <is>
          <t>Real</t>
        </is>
      </c>
      <c r="F1415" t="inlineStr">
        <is>
          <t>pyg_ingresos_no_operacionales</t>
        </is>
      </c>
      <c r="G1415" t="inlineStr">
        <is>
          <t>Consolidación USD</t>
        </is>
      </c>
      <c r="I1415" t="n">
        <v>51.18</v>
      </c>
      <c r="J1415" t="inlineStr">
        <is>
          <t>USD</t>
        </is>
      </c>
      <c r="K1415" t="inlineStr">
        <is>
          <t>Homologado desde auxiliar contable (Abril 2026 USA.xlsx). Reemplaza fuente previa (modelo/sin dato).</t>
        </is>
      </c>
      <c r="L1415" t="inlineStr">
        <is>
          <t>Internacional</t>
        </is>
      </c>
      <c r="M1415" t="inlineStr">
        <is>
          <t>Finanzas</t>
        </is>
      </c>
      <c r="N1415" t="inlineStr">
        <is>
          <t>Mensual</t>
        </is>
      </c>
    </row>
    <row r="1416">
      <c r="A1416" t="inlineStr">
        <is>
          <t>2026-04</t>
        </is>
      </c>
      <c r="B1416" t="inlineStr">
        <is>
          <t>Perú</t>
        </is>
      </c>
      <c r="C1416" t="inlineStr">
        <is>
          <t>Coco Peru</t>
        </is>
      </c>
      <c r="D1416" t="inlineStr">
        <is>
          <t>USD</t>
        </is>
      </c>
      <c r="E1416" t="inlineStr">
        <is>
          <t>Real</t>
        </is>
      </c>
      <c r="F1416" t="inlineStr">
        <is>
          <t>pyg_ingresos_no_operacionales</t>
        </is>
      </c>
      <c r="G1416" t="inlineStr">
        <is>
          <t>Consolidación USD</t>
        </is>
      </c>
      <c r="I1416" t="n">
        <v>0</v>
      </c>
      <c r="J1416" t="inlineStr">
        <is>
          <t>USD</t>
        </is>
      </c>
      <c r="K1416" t="inlineStr">
        <is>
          <t>Homologado desde auxiliar contable (V4 Abril 2026 PERU.xlsx). Reemplaza fuente previa (modelo/sin dato).</t>
        </is>
      </c>
      <c r="L1416" t="inlineStr">
        <is>
          <t>Internacional</t>
        </is>
      </c>
      <c r="M1416" t="inlineStr">
        <is>
          <t>Finanzas</t>
        </is>
      </c>
      <c r="N1416" t="inlineStr">
        <is>
          <t>Mensual</t>
        </is>
      </c>
    </row>
    <row r="1417">
      <c r="A1417" t="inlineStr">
        <is>
          <t>2026-04</t>
        </is>
      </c>
      <c r="B1417" t="inlineStr">
        <is>
          <t>Costa Rica</t>
        </is>
      </c>
      <c r="C1417" t="inlineStr">
        <is>
          <t>Coco Costa Rica</t>
        </is>
      </c>
      <c r="D1417" t="inlineStr">
        <is>
          <t>USD</t>
        </is>
      </c>
      <c r="E1417" t="inlineStr">
        <is>
          <t>Real</t>
        </is>
      </c>
      <c r="F1417" t="inlineStr">
        <is>
          <t>pyg_ingresos_no_operacionales</t>
        </is>
      </c>
      <c r="G1417" t="inlineStr">
        <is>
          <t>Consolidación USD</t>
        </is>
      </c>
      <c r="I1417" t="n">
        <v>0</v>
      </c>
      <c r="J1417" t="inlineStr">
        <is>
          <t>USD</t>
        </is>
      </c>
      <c r="K1417" t="inlineStr">
        <is>
          <t>Homologado desde auxiliar contable (Abril 2026 CR.xlsx). Reemplaza fuente previa (modelo/sin dato).</t>
        </is>
      </c>
      <c r="L1417" t="inlineStr">
        <is>
          <t>Internacional</t>
        </is>
      </c>
      <c r="M1417" t="inlineStr">
        <is>
          <t>Finanzas</t>
        </is>
      </c>
      <c r="N1417" t="inlineStr">
        <is>
          <t>Mensual</t>
        </is>
      </c>
    </row>
    <row r="1418">
      <c r="A1418" t="inlineStr">
        <is>
          <t>2026-04</t>
        </is>
      </c>
      <c r="B1418" t="inlineStr">
        <is>
          <t>Colombia</t>
        </is>
      </c>
      <c r="C1418" t="inlineStr">
        <is>
          <t>Coco Colombia</t>
        </is>
      </c>
      <c r="D1418" t="inlineStr">
        <is>
          <t>USD</t>
        </is>
      </c>
      <c r="E1418" t="inlineStr">
        <is>
          <t>Real</t>
        </is>
      </c>
      <c r="F1418" t="inlineStr">
        <is>
          <t>pyg_ingresos_no_operacionales</t>
        </is>
      </c>
      <c r="G1418" t="inlineStr">
        <is>
          <t>Consolidación USD</t>
        </is>
      </c>
      <c r="I1418" t="n">
        <v>250.6</v>
      </c>
      <c r="J1418" t="inlineStr">
        <is>
          <t>USD</t>
        </is>
      </c>
      <c r="K1418" t="inlineStr">
        <is>
          <t>Consolidación subsidiarias (USD). Colombia derivado del P&amp;G oficial / TRM del mes.</t>
        </is>
      </c>
      <c r="L1418" t="inlineStr">
        <is>
          <t>Internacional</t>
        </is>
      </c>
      <c r="M1418" t="inlineStr">
        <is>
          <t>Finanzas</t>
        </is>
      </c>
      <c r="N1418" t="inlineStr">
        <is>
          <t>Mensual</t>
        </is>
      </c>
    </row>
    <row r="1419">
      <c r="A1419" t="inlineStr">
        <is>
          <t>2026-04</t>
        </is>
      </c>
      <c r="B1419" t="inlineStr">
        <is>
          <t>Consolidado</t>
        </is>
      </c>
      <c r="C1419" t="inlineStr">
        <is>
          <t>COCO Tecnologias</t>
        </is>
      </c>
      <c r="D1419" t="inlineStr">
        <is>
          <t>USD</t>
        </is>
      </c>
      <c r="E1419" t="inlineStr">
        <is>
          <t>Real</t>
        </is>
      </c>
      <c r="F1419" t="inlineStr">
        <is>
          <t>pyg_ingresos_no_operacionales</t>
        </is>
      </c>
      <c r="G1419" t="inlineStr">
        <is>
          <t>Consolidación USD</t>
        </is>
      </c>
      <c r="I1419" t="n">
        <v>301.78</v>
      </c>
      <c r="J1419" t="inlineStr">
        <is>
          <t>USD</t>
        </is>
      </c>
      <c r="K1419" t="inlineStr">
        <is>
          <t>Recalculado: suma Colombia + EE.UU. + Peru + Costa Rica (Consolidacion USD).</t>
        </is>
      </c>
      <c r="L1419" t="inlineStr">
        <is>
          <t>Internacional</t>
        </is>
      </c>
      <c r="M1419" t="inlineStr">
        <is>
          <t>Finanzas</t>
        </is>
      </c>
      <c r="N1419" t="inlineStr">
        <is>
          <t>Mensual</t>
        </is>
      </c>
    </row>
    <row r="1420">
      <c r="A1420" t="inlineStr">
        <is>
          <t>2026-05</t>
        </is>
      </c>
      <c r="B1420" t="inlineStr">
        <is>
          <t>EE.UU.</t>
        </is>
      </c>
      <c r="C1420" t="inlineStr">
        <is>
          <t>Coco LLC</t>
        </is>
      </c>
      <c r="D1420" t="inlineStr">
        <is>
          <t>USD</t>
        </is>
      </c>
      <c r="E1420" t="inlineStr">
        <is>
          <t>Real</t>
        </is>
      </c>
      <c r="F1420" t="inlineStr">
        <is>
          <t>pyg_ingresos_no_operacionales</t>
        </is>
      </c>
      <c r="G1420" t="inlineStr">
        <is>
          <t>Consolidación USD</t>
        </is>
      </c>
      <c r="I1420" t="n">
        <v>188.15</v>
      </c>
      <c r="J1420" t="inlineStr">
        <is>
          <t>USD</t>
        </is>
      </c>
      <c r="K1420" t="inlineStr">
        <is>
          <t>Homologado desde auxiliar contable (Mayo 2026 USA.xlsx). Reemplaza fuente previa (modelo/sin dato).</t>
        </is>
      </c>
      <c r="L1420" t="inlineStr">
        <is>
          <t>Internacional</t>
        </is>
      </c>
      <c r="M1420" t="inlineStr">
        <is>
          <t>Finanzas</t>
        </is>
      </c>
      <c r="N1420" t="inlineStr">
        <is>
          <t>Mensual</t>
        </is>
      </c>
    </row>
    <row r="1421">
      <c r="A1421" t="inlineStr">
        <is>
          <t>2026-05</t>
        </is>
      </c>
      <c r="B1421" t="inlineStr">
        <is>
          <t>Perú</t>
        </is>
      </c>
      <c r="C1421" t="inlineStr">
        <is>
          <t>Coco Peru</t>
        </is>
      </c>
      <c r="D1421" t="inlineStr">
        <is>
          <t>USD</t>
        </is>
      </c>
      <c r="E1421" t="inlineStr">
        <is>
          <t>Real</t>
        </is>
      </c>
      <c r="F1421" t="inlineStr">
        <is>
          <t>pyg_ingresos_no_operacionales</t>
        </is>
      </c>
      <c r="G1421" t="inlineStr">
        <is>
          <t>Consolidación USD</t>
        </is>
      </c>
      <c r="I1421" t="n">
        <v>0</v>
      </c>
      <c r="J1421" t="inlineStr">
        <is>
          <t>USD</t>
        </is>
      </c>
      <c r="K1421" t="inlineStr">
        <is>
          <t>Homologado desde auxiliar contable (Mayo 2026 PERU.xlsx). Reemplaza fuente previa (modelo/sin dato).</t>
        </is>
      </c>
      <c r="L1421" t="inlineStr">
        <is>
          <t>Internacional</t>
        </is>
      </c>
      <c r="M1421" t="inlineStr">
        <is>
          <t>Finanzas</t>
        </is>
      </c>
      <c r="N1421" t="inlineStr">
        <is>
          <t>Mensual</t>
        </is>
      </c>
    </row>
    <row r="1422">
      <c r="A1422" t="inlineStr">
        <is>
          <t>2026-05</t>
        </is>
      </c>
      <c r="B1422" t="inlineStr">
        <is>
          <t>Costa Rica</t>
        </is>
      </c>
      <c r="C1422" t="inlineStr">
        <is>
          <t>Coco Costa Rica</t>
        </is>
      </c>
      <c r="D1422" t="inlineStr">
        <is>
          <t>USD</t>
        </is>
      </c>
      <c r="E1422" t="inlineStr">
        <is>
          <t>Real</t>
        </is>
      </c>
      <c r="F1422" t="inlineStr">
        <is>
          <t>pyg_ingresos_no_operacionales</t>
        </is>
      </c>
      <c r="G1422" t="inlineStr">
        <is>
          <t>Consolidación USD</t>
        </is>
      </c>
      <c r="I1422" t="n">
        <v>0</v>
      </c>
      <c r="J1422" t="inlineStr">
        <is>
          <t>USD</t>
        </is>
      </c>
      <c r="K1422" t="inlineStr">
        <is>
          <t>Homologado desde auxiliar contable (Mayo 2026 CR.xlsx). Reemplaza fuente previa (modelo/sin dato).</t>
        </is>
      </c>
      <c r="L1422" t="inlineStr">
        <is>
          <t>Internacional</t>
        </is>
      </c>
      <c r="M1422" t="inlineStr">
        <is>
          <t>Finanzas</t>
        </is>
      </c>
      <c r="N1422" t="inlineStr">
        <is>
          <t>Mensual</t>
        </is>
      </c>
    </row>
    <row r="1423">
      <c r="A1423" t="inlineStr">
        <is>
          <t>2026-05</t>
        </is>
      </c>
      <c r="B1423" t="inlineStr">
        <is>
          <t>Colombia</t>
        </is>
      </c>
      <c r="C1423" t="inlineStr">
        <is>
          <t>Coco Colombia</t>
        </is>
      </c>
      <c r="D1423" t="inlineStr">
        <is>
          <t>USD</t>
        </is>
      </c>
      <c r="E1423" t="inlineStr">
        <is>
          <t>Real</t>
        </is>
      </c>
      <c r="F1423" t="inlineStr">
        <is>
          <t>pyg_ingresos_no_operacionales</t>
        </is>
      </c>
      <c r="G1423" t="inlineStr">
        <is>
          <t>Consolidación USD</t>
        </is>
      </c>
      <c r="I1423" t="n">
        <v>367.89</v>
      </c>
      <c r="J1423" t="inlineStr">
        <is>
          <t>USD</t>
        </is>
      </c>
      <c r="K1423" t="inlineStr">
        <is>
          <t>Consolidación subsidiarias (USD). Colombia derivado del P&amp;G oficial / TRM del mes.</t>
        </is>
      </c>
      <c r="L1423" t="inlineStr">
        <is>
          <t>Internacional</t>
        </is>
      </c>
      <c r="M1423" t="inlineStr">
        <is>
          <t>Finanzas</t>
        </is>
      </c>
      <c r="N1423" t="inlineStr">
        <is>
          <t>Mensual</t>
        </is>
      </c>
    </row>
    <row r="1424">
      <c r="A1424" t="inlineStr">
        <is>
          <t>2026-05</t>
        </is>
      </c>
      <c r="B1424" t="inlineStr">
        <is>
          <t>Consolidado</t>
        </is>
      </c>
      <c r="C1424" t="inlineStr">
        <is>
          <t>COCO Tecnologias</t>
        </is>
      </c>
      <c r="D1424" t="inlineStr">
        <is>
          <t>USD</t>
        </is>
      </c>
      <c r="E1424" t="inlineStr">
        <is>
          <t>Real</t>
        </is>
      </c>
      <c r="F1424" t="inlineStr">
        <is>
          <t>pyg_ingresos_no_operacionales</t>
        </is>
      </c>
      <c r="G1424" t="inlineStr">
        <is>
          <t>Consolidación USD</t>
        </is>
      </c>
      <c r="I1424" t="n">
        <v>556.04</v>
      </c>
      <c r="J1424" t="inlineStr">
        <is>
          <t>USD</t>
        </is>
      </c>
      <c r="K1424" t="inlineStr">
        <is>
          <t>Recalculado: suma Colombia + EE.UU. + Peru + Costa Rica (Consolidacion USD).</t>
        </is>
      </c>
      <c r="L1424" t="inlineStr">
        <is>
          <t>Internacional</t>
        </is>
      </c>
      <c r="M1424" t="inlineStr">
        <is>
          <t>Finanzas</t>
        </is>
      </c>
      <c r="N1424" t="inlineStr">
        <is>
          <t>Mensual</t>
        </is>
      </c>
    </row>
    <row r="1425">
      <c r="A1425" t="inlineStr">
        <is>
          <t>2026-06</t>
        </is>
      </c>
      <c r="B1425" t="inlineStr">
        <is>
          <t>EE.UU.</t>
        </is>
      </c>
      <c r="C1425" t="inlineStr">
        <is>
          <t>Coco LLC</t>
        </is>
      </c>
      <c r="D1425" t="inlineStr">
        <is>
          <t>USD</t>
        </is>
      </c>
      <c r="E1425" t="inlineStr">
        <is>
          <t>Real</t>
        </is>
      </c>
      <c r="F1425" t="inlineStr">
        <is>
          <t>pyg_ingresos_no_operacionales</t>
        </is>
      </c>
      <c r="G1425" t="inlineStr">
        <is>
          <t>Consolidación USD</t>
        </is>
      </c>
      <c r="I1425" t="n">
        <v>165.11</v>
      </c>
      <c r="J1425" t="inlineStr">
        <is>
          <t>USD</t>
        </is>
      </c>
      <c r="K1425" t="inlineStr">
        <is>
          <t>Homologado desde auxiliar contable (Junio 2026 USA.xlsx). Reemplaza fuente previa (modelo/sin dato).</t>
        </is>
      </c>
      <c r="L1425" t="inlineStr">
        <is>
          <t>Internacional</t>
        </is>
      </c>
      <c r="M1425" t="inlineStr">
        <is>
          <t>Finanzas</t>
        </is>
      </c>
      <c r="N1425" t="inlineStr">
        <is>
          <t>Mensual</t>
        </is>
      </c>
    </row>
    <row r="1426">
      <c r="A1426" t="inlineStr">
        <is>
          <t>2026-06</t>
        </is>
      </c>
      <c r="B1426" t="inlineStr">
        <is>
          <t>Perú</t>
        </is>
      </c>
      <c r="C1426" t="inlineStr">
        <is>
          <t>Coco Peru</t>
        </is>
      </c>
      <c r="D1426" t="inlineStr">
        <is>
          <t>USD</t>
        </is>
      </c>
      <c r="E1426" t="inlineStr">
        <is>
          <t>Real</t>
        </is>
      </c>
      <c r="F1426" t="inlineStr">
        <is>
          <t>pyg_ingresos_no_operacionales</t>
        </is>
      </c>
      <c r="G1426" t="inlineStr">
        <is>
          <t>Consolidación USD</t>
        </is>
      </c>
      <c r="I1426" t="n">
        <v>0</v>
      </c>
      <c r="J1426" t="inlineStr">
        <is>
          <t>USD</t>
        </is>
      </c>
      <c r="K1426" t="inlineStr">
        <is>
          <t>Homologado desde auxiliar contable (Junio 2026 PERU.xlsx). Reemplaza fuente previa (modelo/sin dato).</t>
        </is>
      </c>
      <c r="L1426" t="inlineStr">
        <is>
          <t>Internacional</t>
        </is>
      </c>
      <c r="M1426" t="inlineStr">
        <is>
          <t>Finanzas</t>
        </is>
      </c>
      <c r="N1426" t="inlineStr">
        <is>
          <t>Mensual</t>
        </is>
      </c>
    </row>
    <row r="1427">
      <c r="A1427" t="inlineStr">
        <is>
          <t>2026-06</t>
        </is>
      </c>
      <c r="B1427" t="inlineStr">
        <is>
          <t>Costa Rica</t>
        </is>
      </c>
      <c r="C1427" t="inlineStr">
        <is>
          <t>Coco Costa Rica</t>
        </is>
      </c>
      <c r="D1427" t="inlineStr">
        <is>
          <t>USD</t>
        </is>
      </c>
      <c r="E1427" t="inlineStr">
        <is>
          <t>Real</t>
        </is>
      </c>
      <c r="F1427" t="inlineStr">
        <is>
          <t>pyg_ingresos_no_operacionales</t>
        </is>
      </c>
      <c r="G1427" t="inlineStr">
        <is>
          <t>Consolidación USD</t>
        </is>
      </c>
      <c r="I1427" t="n">
        <v>0</v>
      </c>
      <c r="J1427" t="inlineStr">
        <is>
          <t>USD</t>
        </is>
      </c>
      <c r="K1427" t="inlineStr">
        <is>
          <t>Homologado desde auxiliar contable (Junio 2026 CR.xlsx). Reemplaza fuente previa (modelo/sin dato).</t>
        </is>
      </c>
      <c r="L1427" t="inlineStr">
        <is>
          <t>Internacional</t>
        </is>
      </c>
      <c r="M1427" t="inlineStr">
        <is>
          <t>Finanzas</t>
        </is>
      </c>
      <c r="N1427" t="inlineStr">
        <is>
          <t>Mensual</t>
        </is>
      </c>
    </row>
    <row r="1428">
      <c r="A1428" t="inlineStr">
        <is>
          <t>2026-06</t>
        </is>
      </c>
      <c r="B1428" t="inlineStr">
        <is>
          <t>Colombia</t>
        </is>
      </c>
      <c r="C1428" t="inlineStr">
        <is>
          <t>Coco Colombia</t>
        </is>
      </c>
      <c r="D1428" t="inlineStr">
        <is>
          <t>USD</t>
        </is>
      </c>
      <c r="E1428" t="inlineStr">
        <is>
          <t>Real</t>
        </is>
      </c>
      <c r="F1428" t="inlineStr">
        <is>
          <t>pyg_ingresos_no_operacionales</t>
        </is>
      </c>
      <c r="G1428" t="inlineStr">
        <is>
          <t>Consolidación USD</t>
        </is>
      </c>
      <c r="I1428" t="n">
        <v>1118.39</v>
      </c>
      <c r="J1428" t="inlineStr">
        <is>
          <t>USD</t>
        </is>
      </c>
      <c r="K1428" t="inlineStr">
        <is>
          <t>Consolidación subsidiarias (USD). Colombia derivado del P&amp;G oficial / TRM del mes.</t>
        </is>
      </c>
      <c r="L1428" t="inlineStr">
        <is>
          <t>Internacional</t>
        </is>
      </c>
      <c r="M1428" t="inlineStr">
        <is>
          <t>Finanzas</t>
        </is>
      </c>
      <c r="N1428" t="inlineStr">
        <is>
          <t>Mensual</t>
        </is>
      </c>
    </row>
    <row r="1429">
      <c r="A1429" t="inlineStr">
        <is>
          <t>2026-06</t>
        </is>
      </c>
      <c r="B1429" t="inlineStr">
        <is>
          <t>Consolidado</t>
        </is>
      </c>
      <c r="C1429" t="inlineStr">
        <is>
          <t>COCO Tecnologias</t>
        </is>
      </c>
      <c r="D1429" t="inlineStr">
        <is>
          <t>USD</t>
        </is>
      </c>
      <c r="E1429" t="inlineStr">
        <is>
          <t>Real</t>
        </is>
      </c>
      <c r="F1429" t="inlineStr">
        <is>
          <t>pyg_ingresos_no_operacionales</t>
        </is>
      </c>
      <c r="G1429" t="inlineStr">
        <is>
          <t>Consolidación USD</t>
        </is>
      </c>
      <c r="I1429" t="n">
        <v>1283.5</v>
      </c>
      <c r="J1429" t="inlineStr">
        <is>
          <t>USD</t>
        </is>
      </c>
      <c r="K1429" t="inlineStr">
        <is>
          <t>Recalculado: suma Colombia + EE.UU. + Peru + Costa Rica (Consolidacion USD).</t>
        </is>
      </c>
      <c r="L1429" t="inlineStr">
        <is>
          <t>Internacional</t>
        </is>
      </c>
      <c r="M1429" t="inlineStr">
        <is>
          <t>Finanzas</t>
        </is>
      </c>
      <c r="N1429" t="inlineStr">
        <is>
          <t>Mensual</t>
        </is>
      </c>
    </row>
    <row r="1430">
      <c r="A1430" t="inlineStr">
        <is>
          <t>2026-04</t>
        </is>
      </c>
      <c r="B1430" t="inlineStr">
        <is>
          <t>EE.UU.</t>
        </is>
      </c>
      <c r="C1430" t="inlineStr">
        <is>
          <t>Coco LLC</t>
        </is>
      </c>
      <c r="D1430" t="inlineStr">
        <is>
          <t>USD</t>
        </is>
      </c>
      <c r="E1430" t="inlineStr">
        <is>
          <t>Real</t>
        </is>
      </c>
      <c r="F1430" t="inlineStr">
        <is>
          <t>pyg_costo_ventas</t>
        </is>
      </c>
      <c r="G1430" t="inlineStr">
        <is>
          <t>Consolidación USD</t>
        </is>
      </c>
      <c r="I1430" t="n">
        <v>0</v>
      </c>
      <c r="J1430" t="inlineStr">
        <is>
          <t>USD</t>
        </is>
      </c>
      <c r="K1430" t="inlineStr">
        <is>
          <t>Homologado desde auxiliar contable (Abril 2026 USA.xlsx). Reemplaza fuente previa (modelo/sin dato).</t>
        </is>
      </c>
      <c r="L1430" t="inlineStr">
        <is>
          <t>Internacional</t>
        </is>
      </c>
      <c r="M1430" t="inlineStr">
        <is>
          <t>Finanzas</t>
        </is>
      </c>
      <c r="N1430" t="inlineStr">
        <is>
          <t>Mensual</t>
        </is>
      </c>
    </row>
    <row r="1431">
      <c r="A1431" t="inlineStr">
        <is>
          <t>2026-04</t>
        </is>
      </c>
      <c r="B1431" t="inlineStr">
        <is>
          <t>Perú</t>
        </is>
      </c>
      <c r="C1431" t="inlineStr">
        <is>
          <t>Coco Peru</t>
        </is>
      </c>
      <c r="D1431" t="inlineStr">
        <is>
          <t>USD</t>
        </is>
      </c>
      <c r="E1431" t="inlineStr">
        <is>
          <t>Real</t>
        </is>
      </c>
      <c r="F1431" t="inlineStr">
        <is>
          <t>pyg_costo_ventas</t>
        </is>
      </c>
      <c r="G1431" t="inlineStr">
        <is>
          <t>Consolidación USD</t>
        </is>
      </c>
      <c r="I1431" t="n">
        <v>0</v>
      </c>
      <c r="J1431" t="inlineStr">
        <is>
          <t>USD</t>
        </is>
      </c>
      <c r="K1431" t="inlineStr">
        <is>
          <t>Homologado desde auxiliar contable (V4 Abril 2026 PERU.xlsx). Reemplaza fuente previa (modelo/sin dato).</t>
        </is>
      </c>
      <c r="L1431" t="inlineStr">
        <is>
          <t>Internacional</t>
        </is>
      </c>
      <c r="M1431" t="inlineStr">
        <is>
          <t>Finanzas</t>
        </is>
      </c>
      <c r="N1431" t="inlineStr">
        <is>
          <t>Mensual</t>
        </is>
      </c>
    </row>
    <row r="1432">
      <c r="A1432" t="inlineStr">
        <is>
          <t>2026-04</t>
        </is>
      </c>
      <c r="B1432" t="inlineStr">
        <is>
          <t>Costa Rica</t>
        </is>
      </c>
      <c r="C1432" t="inlineStr">
        <is>
          <t>Coco Costa Rica</t>
        </is>
      </c>
      <c r="D1432" t="inlineStr">
        <is>
          <t>USD</t>
        </is>
      </c>
      <c r="E1432" t="inlineStr">
        <is>
          <t>Real</t>
        </is>
      </c>
      <c r="F1432" t="inlineStr">
        <is>
          <t>pyg_costo_ventas</t>
        </is>
      </c>
      <c r="G1432" t="inlineStr">
        <is>
          <t>Consolidación USD</t>
        </is>
      </c>
      <c r="I1432" t="n">
        <v>0</v>
      </c>
      <c r="J1432" t="inlineStr">
        <is>
          <t>USD</t>
        </is>
      </c>
      <c r="K1432" t="inlineStr">
        <is>
          <t>Homologado desde auxiliar contable (Abril 2026 CR.xlsx). Reemplaza fuente previa (modelo/sin dato).</t>
        </is>
      </c>
      <c r="L1432" t="inlineStr">
        <is>
          <t>Internacional</t>
        </is>
      </c>
      <c r="M1432" t="inlineStr">
        <is>
          <t>Finanzas</t>
        </is>
      </c>
      <c r="N1432" t="inlineStr">
        <is>
          <t>Mensual</t>
        </is>
      </c>
    </row>
    <row r="1433">
      <c r="A1433" t="inlineStr">
        <is>
          <t>2026-04</t>
        </is>
      </c>
      <c r="B1433" t="inlineStr">
        <is>
          <t>Colombia</t>
        </is>
      </c>
      <c r="C1433" t="inlineStr">
        <is>
          <t>Coco Colombia</t>
        </is>
      </c>
      <c r="D1433" t="inlineStr">
        <is>
          <t>USD</t>
        </is>
      </c>
      <c r="E1433" t="inlineStr">
        <is>
          <t>Real</t>
        </is>
      </c>
      <c r="F1433" t="inlineStr">
        <is>
          <t>pyg_costo_ventas</t>
        </is>
      </c>
      <c r="G1433" t="inlineStr">
        <is>
          <t>Consolidación USD</t>
        </is>
      </c>
      <c r="I1433" t="n">
        <v>104843.58</v>
      </c>
      <c r="J1433" t="inlineStr">
        <is>
          <t>USD</t>
        </is>
      </c>
      <c r="K1433" t="inlineStr">
        <is>
          <t>Consolidación subsidiarias (USD). Colombia derivado del P&amp;G oficial / TRM del mes.</t>
        </is>
      </c>
      <c r="L1433" t="inlineStr">
        <is>
          <t>Internacional</t>
        </is>
      </c>
      <c r="M1433" t="inlineStr">
        <is>
          <t>Finanzas</t>
        </is>
      </c>
      <c r="N1433" t="inlineStr">
        <is>
          <t>Mensual</t>
        </is>
      </c>
    </row>
    <row r="1434">
      <c r="A1434" t="inlineStr">
        <is>
          <t>2026-04</t>
        </is>
      </c>
      <c r="B1434" t="inlineStr">
        <is>
          <t>Consolidado</t>
        </is>
      </c>
      <c r="C1434" t="inlineStr">
        <is>
          <t>COCO Tecnologias</t>
        </is>
      </c>
      <c r="D1434" t="inlineStr">
        <is>
          <t>USD</t>
        </is>
      </c>
      <c r="E1434" t="inlineStr">
        <is>
          <t>Real</t>
        </is>
      </c>
      <c r="F1434" t="inlineStr">
        <is>
          <t>pyg_costo_ventas</t>
        </is>
      </c>
      <c r="G1434" t="inlineStr">
        <is>
          <t>Consolidación USD</t>
        </is>
      </c>
      <c r="I1434" t="n">
        <v>104843.58</v>
      </c>
      <c r="J1434" t="inlineStr">
        <is>
          <t>USD</t>
        </is>
      </c>
      <c r="K1434" t="inlineStr">
        <is>
          <t>Recalculado: suma Colombia + EE.UU. + Peru + Costa Rica (Consolidacion USD).</t>
        </is>
      </c>
      <c r="L1434" t="inlineStr">
        <is>
          <t>Internacional</t>
        </is>
      </c>
      <c r="M1434" t="inlineStr">
        <is>
          <t>Finanzas</t>
        </is>
      </c>
      <c r="N1434" t="inlineStr">
        <is>
          <t>Mensual</t>
        </is>
      </c>
    </row>
    <row r="1435">
      <c r="A1435" t="inlineStr">
        <is>
          <t>2026-05</t>
        </is>
      </c>
      <c r="B1435" t="inlineStr">
        <is>
          <t>EE.UU.</t>
        </is>
      </c>
      <c r="C1435" t="inlineStr">
        <is>
          <t>Coco LLC</t>
        </is>
      </c>
      <c r="D1435" t="inlineStr">
        <is>
          <t>USD</t>
        </is>
      </c>
      <c r="E1435" t="inlineStr">
        <is>
          <t>Real</t>
        </is>
      </c>
      <c r="F1435" t="inlineStr">
        <is>
          <t>pyg_costo_ventas</t>
        </is>
      </c>
      <c r="G1435" t="inlineStr">
        <is>
          <t>Consolidación USD</t>
        </is>
      </c>
      <c r="I1435" t="n">
        <v>0</v>
      </c>
      <c r="J1435" t="inlineStr">
        <is>
          <t>USD</t>
        </is>
      </c>
      <c r="K1435" t="inlineStr">
        <is>
          <t>Homologado desde auxiliar contable (Mayo 2026 USA.xlsx). Reemplaza fuente previa (modelo/sin dato).</t>
        </is>
      </c>
      <c r="L1435" t="inlineStr">
        <is>
          <t>Internacional</t>
        </is>
      </c>
      <c r="M1435" t="inlineStr">
        <is>
          <t>Finanzas</t>
        </is>
      </c>
      <c r="N1435" t="inlineStr">
        <is>
          <t>Mensual</t>
        </is>
      </c>
    </row>
    <row r="1436">
      <c r="A1436" t="inlineStr">
        <is>
          <t>2026-05</t>
        </is>
      </c>
      <c r="B1436" t="inlineStr">
        <is>
          <t>Perú</t>
        </is>
      </c>
      <c r="C1436" t="inlineStr">
        <is>
          <t>Coco Peru</t>
        </is>
      </c>
      <c r="D1436" t="inlineStr">
        <is>
          <t>USD</t>
        </is>
      </c>
      <c r="E1436" t="inlineStr">
        <is>
          <t>Real</t>
        </is>
      </c>
      <c r="F1436" t="inlineStr">
        <is>
          <t>pyg_costo_ventas</t>
        </is>
      </c>
      <c r="G1436" t="inlineStr">
        <is>
          <t>Consolidación USD</t>
        </is>
      </c>
      <c r="I1436" t="n">
        <v>0</v>
      </c>
      <c r="J1436" t="inlineStr">
        <is>
          <t>USD</t>
        </is>
      </c>
      <c r="K1436" t="inlineStr">
        <is>
          <t>Homologado desde auxiliar contable (Mayo 2026 PERU.xlsx). Reemplaza fuente previa (modelo/sin dato).</t>
        </is>
      </c>
      <c r="L1436" t="inlineStr">
        <is>
          <t>Internacional</t>
        </is>
      </c>
      <c r="M1436" t="inlineStr">
        <is>
          <t>Finanzas</t>
        </is>
      </c>
      <c r="N1436" t="inlineStr">
        <is>
          <t>Mensual</t>
        </is>
      </c>
    </row>
    <row r="1437">
      <c r="A1437" t="inlineStr">
        <is>
          <t>2026-05</t>
        </is>
      </c>
      <c r="B1437" t="inlineStr">
        <is>
          <t>Costa Rica</t>
        </is>
      </c>
      <c r="C1437" t="inlineStr">
        <is>
          <t>Coco Costa Rica</t>
        </is>
      </c>
      <c r="D1437" t="inlineStr">
        <is>
          <t>USD</t>
        </is>
      </c>
      <c r="E1437" t="inlineStr">
        <is>
          <t>Real</t>
        </is>
      </c>
      <c r="F1437" t="inlineStr">
        <is>
          <t>pyg_costo_ventas</t>
        </is>
      </c>
      <c r="G1437" t="inlineStr">
        <is>
          <t>Consolidación USD</t>
        </is>
      </c>
      <c r="I1437" t="n">
        <v>0</v>
      </c>
      <c r="J1437" t="inlineStr">
        <is>
          <t>USD</t>
        </is>
      </c>
      <c r="K1437" t="inlineStr">
        <is>
          <t>Homologado desde auxiliar contable (Mayo 2026 CR.xlsx). Reemplaza fuente previa (modelo/sin dato).</t>
        </is>
      </c>
      <c r="L1437" t="inlineStr">
        <is>
          <t>Internacional</t>
        </is>
      </c>
      <c r="M1437" t="inlineStr">
        <is>
          <t>Finanzas</t>
        </is>
      </c>
      <c r="N1437" t="inlineStr">
        <is>
          <t>Mensual</t>
        </is>
      </c>
    </row>
    <row r="1438">
      <c r="A1438" t="inlineStr">
        <is>
          <t>2026-05</t>
        </is>
      </c>
      <c r="B1438" t="inlineStr">
        <is>
          <t>Colombia</t>
        </is>
      </c>
      <c r="C1438" t="inlineStr">
        <is>
          <t>Coco Colombia</t>
        </is>
      </c>
      <c r="D1438" t="inlineStr">
        <is>
          <t>USD</t>
        </is>
      </c>
      <c r="E1438" t="inlineStr">
        <is>
          <t>Real</t>
        </is>
      </c>
      <c r="F1438" t="inlineStr">
        <is>
          <t>pyg_costo_ventas</t>
        </is>
      </c>
      <c r="G1438" t="inlineStr">
        <is>
          <t>Consolidación USD</t>
        </is>
      </c>
      <c r="I1438" t="n">
        <v>95710.42</v>
      </c>
      <c r="J1438" t="inlineStr">
        <is>
          <t>USD</t>
        </is>
      </c>
      <c r="K1438" t="inlineStr">
        <is>
          <t>Consolidación subsidiarias (USD). Colombia derivado del P&amp;G oficial / TRM del mes.</t>
        </is>
      </c>
      <c r="L1438" t="inlineStr">
        <is>
          <t>Internacional</t>
        </is>
      </c>
      <c r="M1438" t="inlineStr">
        <is>
          <t>Finanzas</t>
        </is>
      </c>
      <c r="N1438" t="inlineStr">
        <is>
          <t>Mensual</t>
        </is>
      </c>
    </row>
    <row r="1439">
      <c r="A1439" t="inlineStr">
        <is>
          <t>2026-05</t>
        </is>
      </c>
      <c r="B1439" t="inlineStr">
        <is>
          <t>Consolidado</t>
        </is>
      </c>
      <c r="C1439" t="inlineStr">
        <is>
          <t>COCO Tecnologias</t>
        </is>
      </c>
      <c r="D1439" t="inlineStr">
        <is>
          <t>USD</t>
        </is>
      </c>
      <c r="E1439" t="inlineStr">
        <is>
          <t>Real</t>
        </is>
      </c>
      <c r="F1439" t="inlineStr">
        <is>
          <t>pyg_costo_ventas</t>
        </is>
      </c>
      <c r="G1439" t="inlineStr">
        <is>
          <t>Consolidación USD</t>
        </is>
      </c>
      <c r="I1439" t="n">
        <v>95710.42</v>
      </c>
      <c r="J1439" t="inlineStr">
        <is>
          <t>USD</t>
        </is>
      </c>
      <c r="K1439" t="inlineStr">
        <is>
          <t>Recalculado: suma Colombia + EE.UU. + Peru + Costa Rica (Consolidacion USD).</t>
        </is>
      </c>
      <c r="L1439" t="inlineStr">
        <is>
          <t>Internacional</t>
        </is>
      </c>
      <c r="M1439" t="inlineStr">
        <is>
          <t>Finanzas</t>
        </is>
      </c>
      <c r="N1439" t="inlineStr">
        <is>
          <t>Mensual</t>
        </is>
      </c>
    </row>
    <row r="1440">
      <c r="A1440" t="inlineStr">
        <is>
          <t>2026-06</t>
        </is>
      </c>
      <c r="B1440" t="inlineStr">
        <is>
          <t>EE.UU.</t>
        </is>
      </c>
      <c r="C1440" t="inlineStr">
        <is>
          <t>Coco LLC</t>
        </is>
      </c>
      <c r="D1440" t="inlineStr">
        <is>
          <t>USD</t>
        </is>
      </c>
      <c r="E1440" t="inlineStr">
        <is>
          <t>Real</t>
        </is>
      </c>
      <c r="F1440" t="inlineStr">
        <is>
          <t>pyg_costo_ventas</t>
        </is>
      </c>
      <c r="G1440" t="inlineStr">
        <is>
          <t>Consolidación USD</t>
        </is>
      </c>
      <c r="I1440" t="n">
        <v>0</v>
      </c>
      <c r="J1440" t="inlineStr">
        <is>
          <t>USD</t>
        </is>
      </c>
      <c r="K1440" t="inlineStr">
        <is>
          <t>Homologado desde auxiliar contable (Junio 2026 USA.xlsx). Reemplaza fuente previa (modelo/sin dato).</t>
        </is>
      </c>
      <c r="L1440" t="inlineStr">
        <is>
          <t>Internacional</t>
        </is>
      </c>
      <c r="M1440" t="inlineStr">
        <is>
          <t>Finanzas</t>
        </is>
      </c>
      <c r="N1440" t="inlineStr">
        <is>
          <t>Mensual</t>
        </is>
      </c>
    </row>
    <row r="1441">
      <c r="A1441" t="inlineStr">
        <is>
          <t>2026-06</t>
        </is>
      </c>
      <c r="B1441" t="inlineStr">
        <is>
          <t>Perú</t>
        </is>
      </c>
      <c r="C1441" t="inlineStr">
        <is>
          <t>Coco Peru</t>
        </is>
      </c>
      <c r="D1441" t="inlineStr">
        <is>
          <t>USD</t>
        </is>
      </c>
      <c r="E1441" t="inlineStr">
        <is>
          <t>Real</t>
        </is>
      </c>
      <c r="F1441" t="inlineStr">
        <is>
          <t>pyg_costo_ventas</t>
        </is>
      </c>
      <c r="G1441" t="inlineStr">
        <is>
          <t>Consolidación USD</t>
        </is>
      </c>
      <c r="I1441" t="n">
        <v>0</v>
      </c>
      <c r="J1441" t="inlineStr">
        <is>
          <t>USD</t>
        </is>
      </c>
      <c r="K1441" t="inlineStr">
        <is>
          <t>Homologado desde auxiliar contable (Junio 2026 PERU.xlsx). Reemplaza fuente previa (modelo/sin dato).</t>
        </is>
      </c>
      <c r="L1441" t="inlineStr">
        <is>
          <t>Internacional</t>
        </is>
      </c>
      <c r="M1441" t="inlineStr">
        <is>
          <t>Finanzas</t>
        </is>
      </c>
      <c r="N1441" t="inlineStr">
        <is>
          <t>Mensual</t>
        </is>
      </c>
    </row>
    <row r="1442">
      <c r="A1442" t="inlineStr">
        <is>
          <t>2026-06</t>
        </is>
      </c>
      <c r="B1442" t="inlineStr">
        <is>
          <t>Costa Rica</t>
        </is>
      </c>
      <c r="C1442" t="inlineStr">
        <is>
          <t>Coco Costa Rica</t>
        </is>
      </c>
      <c r="D1442" t="inlineStr">
        <is>
          <t>USD</t>
        </is>
      </c>
      <c r="E1442" t="inlineStr">
        <is>
          <t>Real</t>
        </is>
      </c>
      <c r="F1442" t="inlineStr">
        <is>
          <t>pyg_costo_ventas</t>
        </is>
      </c>
      <c r="G1442" t="inlineStr">
        <is>
          <t>Consolidación USD</t>
        </is>
      </c>
      <c r="I1442" t="n">
        <v>0</v>
      </c>
      <c r="J1442" t="inlineStr">
        <is>
          <t>USD</t>
        </is>
      </c>
      <c r="K1442" t="inlineStr">
        <is>
          <t>Homologado desde auxiliar contable (Junio 2026 CR.xlsx). Reemplaza fuente previa (modelo/sin dato).</t>
        </is>
      </c>
      <c r="L1442" t="inlineStr">
        <is>
          <t>Internacional</t>
        </is>
      </c>
      <c r="M1442" t="inlineStr">
        <is>
          <t>Finanzas</t>
        </is>
      </c>
      <c r="N1442" t="inlineStr">
        <is>
          <t>Mensual</t>
        </is>
      </c>
    </row>
    <row r="1443">
      <c r="A1443" t="inlineStr">
        <is>
          <t>2026-06</t>
        </is>
      </c>
      <c r="B1443" t="inlineStr">
        <is>
          <t>Colombia</t>
        </is>
      </c>
      <c r="C1443" t="inlineStr">
        <is>
          <t>Coco Colombia</t>
        </is>
      </c>
      <c r="D1443" t="inlineStr">
        <is>
          <t>USD</t>
        </is>
      </c>
      <c r="E1443" t="inlineStr">
        <is>
          <t>Real</t>
        </is>
      </c>
      <c r="F1443" t="inlineStr">
        <is>
          <t>pyg_costo_ventas</t>
        </is>
      </c>
      <c r="G1443" t="inlineStr">
        <is>
          <t>Consolidación USD</t>
        </is>
      </c>
      <c r="I1443" t="n">
        <v>99415.39</v>
      </c>
      <c r="J1443" t="inlineStr">
        <is>
          <t>USD</t>
        </is>
      </c>
      <c r="K1443" t="inlineStr">
        <is>
          <t>Consolidación subsidiarias (USD). Colombia derivado del P&amp;G oficial / TRM del mes.</t>
        </is>
      </c>
      <c r="L1443" t="inlineStr">
        <is>
          <t>Internacional</t>
        </is>
      </c>
      <c r="M1443" t="inlineStr">
        <is>
          <t>Finanzas</t>
        </is>
      </c>
      <c r="N1443" t="inlineStr">
        <is>
          <t>Mensual</t>
        </is>
      </c>
    </row>
    <row r="1444">
      <c r="A1444" t="inlineStr">
        <is>
          <t>2026-06</t>
        </is>
      </c>
      <c r="B1444" t="inlineStr">
        <is>
          <t>Consolidado</t>
        </is>
      </c>
      <c r="C1444" t="inlineStr">
        <is>
          <t>COCO Tecnologias</t>
        </is>
      </c>
      <c r="D1444" t="inlineStr">
        <is>
          <t>USD</t>
        </is>
      </c>
      <c r="E1444" t="inlineStr">
        <is>
          <t>Real</t>
        </is>
      </c>
      <c r="F1444" t="inlineStr">
        <is>
          <t>pyg_costo_ventas</t>
        </is>
      </c>
      <c r="G1444" t="inlineStr">
        <is>
          <t>Consolidación USD</t>
        </is>
      </c>
      <c r="I1444" t="n">
        <v>99415.39</v>
      </c>
      <c r="J1444" t="inlineStr">
        <is>
          <t>USD</t>
        </is>
      </c>
      <c r="K1444" t="inlineStr">
        <is>
          <t>Recalculado: suma Colombia + EE.UU. + Peru + Costa Rica (Consolidacion USD).</t>
        </is>
      </c>
      <c r="L1444" t="inlineStr">
        <is>
          <t>Internacional</t>
        </is>
      </c>
      <c r="M1444" t="inlineStr">
        <is>
          <t>Finanzas</t>
        </is>
      </c>
      <c r="N1444" t="inlineStr">
        <is>
          <t>Mensual</t>
        </is>
      </c>
    </row>
    <row r="1445">
      <c r="A1445" t="inlineStr">
        <is>
          <t>2026-04</t>
        </is>
      </c>
      <c r="B1445" t="inlineStr">
        <is>
          <t>EE.UU.</t>
        </is>
      </c>
      <c r="C1445" t="inlineStr">
        <is>
          <t>Coco LLC</t>
        </is>
      </c>
      <c r="D1445" t="inlineStr">
        <is>
          <t>USD</t>
        </is>
      </c>
      <c r="E1445" t="inlineStr">
        <is>
          <t>Real</t>
        </is>
      </c>
      <c r="F1445" t="inlineStr">
        <is>
          <t>pyg_gasto_administracion</t>
        </is>
      </c>
      <c r="G1445" t="inlineStr">
        <is>
          <t>Consolidación USD</t>
        </is>
      </c>
      <c r="I1445" t="n">
        <v>7117.46</v>
      </c>
      <c r="J1445" t="inlineStr">
        <is>
          <t>USD</t>
        </is>
      </c>
      <c r="K1445" t="inlineStr">
        <is>
          <t>Homologado desde auxiliar contable (Abril 2026 USA.xlsx). Reemplaza fuente previa (modelo/sin dato).</t>
        </is>
      </c>
      <c r="L1445" t="inlineStr">
        <is>
          <t>Internacional</t>
        </is>
      </c>
      <c r="M1445" t="inlineStr">
        <is>
          <t>Finanzas</t>
        </is>
      </c>
      <c r="N1445" t="inlineStr">
        <is>
          <t>Mensual</t>
        </is>
      </c>
    </row>
    <row r="1446">
      <c r="A1446" t="inlineStr">
        <is>
          <t>2026-04</t>
        </is>
      </c>
      <c r="B1446" t="inlineStr">
        <is>
          <t>Perú</t>
        </is>
      </c>
      <c r="C1446" t="inlineStr">
        <is>
          <t>Coco Peru</t>
        </is>
      </c>
      <c r="D1446" t="inlineStr">
        <is>
          <t>USD</t>
        </is>
      </c>
      <c r="E1446" t="inlineStr">
        <is>
          <t>Real</t>
        </is>
      </c>
      <c r="F1446" t="inlineStr">
        <is>
          <t>pyg_gasto_administracion</t>
        </is>
      </c>
      <c r="G1446" t="inlineStr">
        <is>
          <t>Consolidación USD</t>
        </is>
      </c>
      <c r="I1446" t="n">
        <v>471.75</v>
      </c>
      <c r="J1446" t="inlineStr">
        <is>
          <t>USD</t>
        </is>
      </c>
      <c r="K1446" t="inlineStr">
        <is>
          <t>Homologado desde auxiliar contable (V4 Abril 2026 PERU.xlsx). Reemplaza fuente previa (modelo/sin dato).</t>
        </is>
      </c>
      <c r="L1446" t="inlineStr">
        <is>
          <t>Internacional</t>
        </is>
      </c>
      <c r="M1446" t="inlineStr">
        <is>
          <t>Finanzas</t>
        </is>
      </c>
      <c r="N1446" t="inlineStr">
        <is>
          <t>Mensual</t>
        </is>
      </c>
    </row>
    <row r="1447">
      <c r="A1447" t="inlineStr">
        <is>
          <t>2026-04</t>
        </is>
      </c>
      <c r="B1447" t="inlineStr">
        <is>
          <t>Costa Rica</t>
        </is>
      </c>
      <c r="C1447" t="inlineStr">
        <is>
          <t>Coco Costa Rica</t>
        </is>
      </c>
      <c r="D1447" t="inlineStr">
        <is>
          <t>USD</t>
        </is>
      </c>
      <c r="E1447" t="inlineStr">
        <is>
          <t>Real</t>
        </is>
      </c>
      <c r="F1447" t="inlineStr">
        <is>
          <t>pyg_gasto_administracion</t>
        </is>
      </c>
      <c r="G1447" t="inlineStr">
        <is>
          <t>Consolidación USD</t>
        </is>
      </c>
      <c r="I1447" t="n">
        <v>11279.07</v>
      </c>
      <c r="J1447" t="inlineStr">
        <is>
          <t>USD</t>
        </is>
      </c>
      <c r="K1447" t="inlineStr">
        <is>
          <t>Homologado desde auxiliar contable (Abril 2026 CR.xlsx). Reemplaza fuente previa (modelo/sin dato).</t>
        </is>
      </c>
      <c r="L1447" t="inlineStr">
        <is>
          <t>Internacional</t>
        </is>
      </c>
      <c r="M1447" t="inlineStr">
        <is>
          <t>Finanzas</t>
        </is>
      </c>
      <c r="N1447" t="inlineStr">
        <is>
          <t>Mensual</t>
        </is>
      </c>
    </row>
    <row r="1448">
      <c r="A1448" t="inlineStr">
        <is>
          <t>2026-04</t>
        </is>
      </c>
      <c r="B1448" t="inlineStr">
        <is>
          <t>Colombia</t>
        </is>
      </c>
      <c r="C1448" t="inlineStr">
        <is>
          <t>Coco Colombia</t>
        </is>
      </c>
      <c r="D1448" t="inlineStr">
        <is>
          <t>USD</t>
        </is>
      </c>
      <c r="E1448" t="inlineStr">
        <is>
          <t>Real</t>
        </is>
      </c>
      <c r="F1448" t="inlineStr">
        <is>
          <t>pyg_gasto_administracion</t>
        </is>
      </c>
      <c r="G1448" t="inlineStr">
        <is>
          <t>Consolidación USD</t>
        </is>
      </c>
      <c r="I1448" t="n">
        <v>31590.96</v>
      </c>
      <c r="J1448" t="inlineStr">
        <is>
          <t>USD</t>
        </is>
      </c>
      <c r="K1448" t="inlineStr">
        <is>
          <t>Consolidación subsidiarias (USD). Colombia derivado del P&amp;G oficial / TRM del mes.</t>
        </is>
      </c>
      <c r="L1448" t="inlineStr">
        <is>
          <t>Internacional</t>
        </is>
      </c>
      <c r="M1448" t="inlineStr">
        <is>
          <t>Finanzas</t>
        </is>
      </c>
      <c r="N1448" t="inlineStr">
        <is>
          <t>Mensual</t>
        </is>
      </c>
    </row>
    <row r="1449">
      <c r="A1449" t="inlineStr">
        <is>
          <t>2026-04</t>
        </is>
      </c>
      <c r="B1449" t="inlineStr">
        <is>
          <t>Consolidado</t>
        </is>
      </c>
      <c r="C1449" t="inlineStr">
        <is>
          <t>COCO Tecnologias</t>
        </is>
      </c>
      <c r="D1449" t="inlineStr">
        <is>
          <t>USD</t>
        </is>
      </c>
      <c r="E1449" t="inlineStr">
        <is>
          <t>Real</t>
        </is>
      </c>
      <c r="F1449" t="inlineStr">
        <is>
          <t>pyg_gasto_administracion</t>
        </is>
      </c>
      <c r="G1449" t="inlineStr">
        <is>
          <t>Consolidación USD</t>
        </is>
      </c>
      <c r="I1449" t="n">
        <v>50459.24</v>
      </c>
      <c r="J1449" t="inlineStr">
        <is>
          <t>USD</t>
        </is>
      </c>
      <c r="K1449" t="inlineStr">
        <is>
          <t>Recalculado: suma Colombia + EE.UU. + Peru + Costa Rica (Consolidacion USD).</t>
        </is>
      </c>
      <c r="L1449" t="inlineStr">
        <is>
          <t>Internacional</t>
        </is>
      </c>
      <c r="M1449" t="inlineStr">
        <is>
          <t>Finanzas</t>
        </is>
      </c>
      <c r="N1449" t="inlineStr">
        <is>
          <t>Mensual</t>
        </is>
      </c>
    </row>
    <row r="1450">
      <c r="A1450" t="inlineStr">
        <is>
          <t>2026-05</t>
        </is>
      </c>
      <c r="B1450" t="inlineStr">
        <is>
          <t>EE.UU.</t>
        </is>
      </c>
      <c r="C1450" t="inlineStr">
        <is>
          <t>Coco LLC</t>
        </is>
      </c>
      <c r="D1450" t="inlineStr">
        <is>
          <t>USD</t>
        </is>
      </c>
      <c r="E1450" t="inlineStr">
        <is>
          <t>Real</t>
        </is>
      </c>
      <c r="F1450" t="inlineStr">
        <is>
          <t>pyg_gasto_administracion</t>
        </is>
      </c>
      <c r="G1450" t="inlineStr">
        <is>
          <t>Consolidación USD</t>
        </is>
      </c>
      <c r="I1450" t="n">
        <v>11883.61</v>
      </c>
      <c r="J1450" t="inlineStr">
        <is>
          <t>USD</t>
        </is>
      </c>
      <c r="K1450" t="inlineStr">
        <is>
          <t>Homologado desde auxiliar contable (Mayo 2026 USA.xlsx). Reemplaza fuente previa (modelo/sin dato).</t>
        </is>
      </c>
      <c r="L1450" t="inlineStr">
        <is>
          <t>Internacional</t>
        </is>
      </c>
      <c r="M1450" t="inlineStr">
        <is>
          <t>Finanzas</t>
        </is>
      </c>
      <c r="N1450" t="inlineStr">
        <is>
          <t>Mensual</t>
        </is>
      </c>
    </row>
    <row r="1451">
      <c r="A1451" t="inlineStr">
        <is>
          <t>2026-05</t>
        </is>
      </c>
      <c r="B1451" t="inlineStr">
        <is>
          <t>Perú</t>
        </is>
      </c>
      <c r="C1451" t="inlineStr">
        <is>
          <t>Coco Peru</t>
        </is>
      </c>
      <c r="D1451" t="inlineStr">
        <is>
          <t>USD</t>
        </is>
      </c>
      <c r="E1451" t="inlineStr">
        <is>
          <t>Real</t>
        </is>
      </c>
      <c r="F1451" t="inlineStr">
        <is>
          <t>pyg_gasto_administracion</t>
        </is>
      </c>
      <c r="G1451" t="inlineStr">
        <is>
          <t>Consolidación USD</t>
        </is>
      </c>
      <c r="I1451" t="n">
        <v>357.89</v>
      </c>
      <c r="J1451" t="inlineStr">
        <is>
          <t>USD</t>
        </is>
      </c>
      <c r="K1451" t="inlineStr">
        <is>
          <t>Homologado desde auxiliar contable (Mayo 2026 PERU.xlsx). Reemplaza fuente previa (modelo/sin dato).</t>
        </is>
      </c>
      <c r="L1451" t="inlineStr">
        <is>
          <t>Internacional</t>
        </is>
      </c>
      <c r="M1451" t="inlineStr">
        <is>
          <t>Finanzas</t>
        </is>
      </c>
      <c r="N1451" t="inlineStr">
        <is>
          <t>Mensual</t>
        </is>
      </c>
    </row>
    <row r="1452">
      <c r="A1452" t="inlineStr">
        <is>
          <t>2026-05</t>
        </is>
      </c>
      <c r="B1452" t="inlineStr">
        <is>
          <t>Costa Rica</t>
        </is>
      </c>
      <c r="C1452" t="inlineStr">
        <is>
          <t>Coco Costa Rica</t>
        </is>
      </c>
      <c r="D1452" t="inlineStr">
        <is>
          <t>USD</t>
        </is>
      </c>
      <c r="E1452" t="inlineStr">
        <is>
          <t>Real</t>
        </is>
      </c>
      <c r="F1452" t="inlineStr">
        <is>
          <t>pyg_gasto_administracion</t>
        </is>
      </c>
      <c r="G1452" t="inlineStr">
        <is>
          <t>Consolidación USD</t>
        </is>
      </c>
      <c r="I1452" t="n">
        <v>1357.8</v>
      </c>
      <c r="J1452" t="inlineStr">
        <is>
          <t>USD</t>
        </is>
      </c>
      <c r="K1452" t="inlineStr">
        <is>
          <t>Homologado desde auxiliar contable (Mayo 2026 CR.xlsx). Reemplaza fuente previa (modelo/sin dato).</t>
        </is>
      </c>
      <c r="L1452" t="inlineStr">
        <is>
          <t>Internacional</t>
        </is>
      </c>
      <c r="M1452" t="inlineStr">
        <is>
          <t>Finanzas</t>
        </is>
      </c>
      <c r="N1452" t="inlineStr">
        <is>
          <t>Mensual</t>
        </is>
      </c>
    </row>
    <row r="1453">
      <c r="A1453" t="inlineStr">
        <is>
          <t>2026-05</t>
        </is>
      </c>
      <c r="B1453" t="inlineStr">
        <is>
          <t>Colombia</t>
        </is>
      </c>
      <c r="C1453" t="inlineStr">
        <is>
          <t>Coco Colombia</t>
        </is>
      </c>
      <c r="D1453" t="inlineStr">
        <is>
          <t>USD</t>
        </is>
      </c>
      <c r="E1453" t="inlineStr">
        <is>
          <t>Real</t>
        </is>
      </c>
      <c r="F1453" t="inlineStr">
        <is>
          <t>pyg_gasto_administracion</t>
        </is>
      </c>
      <c r="G1453" t="inlineStr">
        <is>
          <t>Consolidación USD</t>
        </is>
      </c>
      <c r="I1453" t="n">
        <v>31450.77</v>
      </c>
      <c r="J1453" t="inlineStr">
        <is>
          <t>USD</t>
        </is>
      </c>
      <c r="K1453" t="inlineStr">
        <is>
          <t>Consolidación subsidiarias (USD). Colombia derivado del P&amp;G oficial / TRM del mes.</t>
        </is>
      </c>
      <c r="L1453" t="inlineStr">
        <is>
          <t>Internacional</t>
        </is>
      </c>
      <c r="M1453" t="inlineStr">
        <is>
          <t>Finanzas</t>
        </is>
      </c>
      <c r="N1453" t="inlineStr">
        <is>
          <t>Mensual</t>
        </is>
      </c>
    </row>
    <row r="1454">
      <c r="A1454" t="inlineStr">
        <is>
          <t>2026-05</t>
        </is>
      </c>
      <c r="B1454" t="inlineStr">
        <is>
          <t>Consolidado</t>
        </is>
      </c>
      <c r="C1454" t="inlineStr">
        <is>
          <t>COCO Tecnologias</t>
        </is>
      </c>
      <c r="D1454" t="inlineStr">
        <is>
          <t>USD</t>
        </is>
      </c>
      <c r="E1454" t="inlineStr">
        <is>
          <t>Real</t>
        </is>
      </c>
      <c r="F1454" t="inlineStr">
        <is>
          <t>pyg_gasto_administracion</t>
        </is>
      </c>
      <c r="G1454" t="inlineStr">
        <is>
          <t>Consolidación USD</t>
        </is>
      </c>
      <c r="I1454" t="n">
        <v>45050.07</v>
      </c>
      <c r="J1454" t="inlineStr">
        <is>
          <t>USD</t>
        </is>
      </c>
      <c r="K1454" t="inlineStr">
        <is>
          <t>Recalculado: suma Colombia + EE.UU. + Peru + Costa Rica (Consolidacion USD).</t>
        </is>
      </c>
      <c r="L1454" t="inlineStr">
        <is>
          <t>Internacional</t>
        </is>
      </c>
      <c r="M1454" t="inlineStr">
        <is>
          <t>Finanzas</t>
        </is>
      </c>
      <c r="N1454" t="inlineStr">
        <is>
          <t>Mensual</t>
        </is>
      </c>
    </row>
    <row r="1455">
      <c r="A1455" t="inlineStr">
        <is>
          <t>2026-06</t>
        </is>
      </c>
      <c r="B1455" t="inlineStr">
        <is>
          <t>EE.UU.</t>
        </is>
      </c>
      <c r="C1455" t="inlineStr">
        <is>
          <t>Coco LLC</t>
        </is>
      </c>
      <c r="D1455" t="inlineStr">
        <is>
          <t>USD</t>
        </is>
      </c>
      <c r="E1455" t="inlineStr">
        <is>
          <t>Real</t>
        </is>
      </c>
      <c r="F1455" t="inlineStr">
        <is>
          <t>pyg_gasto_administracion</t>
        </is>
      </c>
      <c r="G1455" t="inlineStr">
        <is>
          <t>Consolidación USD</t>
        </is>
      </c>
      <c r="I1455" t="n">
        <v>16502.37</v>
      </c>
      <c r="J1455" t="inlineStr">
        <is>
          <t>USD</t>
        </is>
      </c>
      <c r="K1455" t="inlineStr">
        <is>
          <t>Homologado desde auxiliar contable (Junio 2026 USA.xlsx). Reemplaza fuente previa (modelo/sin dato).</t>
        </is>
      </c>
      <c r="L1455" t="inlineStr">
        <is>
          <t>Internacional</t>
        </is>
      </c>
      <c r="M1455" t="inlineStr">
        <is>
          <t>Finanzas</t>
        </is>
      </c>
      <c r="N1455" t="inlineStr">
        <is>
          <t>Mensual</t>
        </is>
      </c>
    </row>
    <row r="1456">
      <c r="A1456" t="inlineStr">
        <is>
          <t>2026-06</t>
        </is>
      </c>
      <c r="B1456" t="inlineStr">
        <is>
          <t>Perú</t>
        </is>
      </c>
      <c r="C1456" t="inlineStr">
        <is>
          <t>Coco Peru</t>
        </is>
      </c>
      <c r="D1456" t="inlineStr">
        <is>
          <t>USD</t>
        </is>
      </c>
      <c r="E1456" t="inlineStr">
        <is>
          <t>Real</t>
        </is>
      </c>
      <c r="F1456" t="inlineStr">
        <is>
          <t>pyg_gasto_administracion</t>
        </is>
      </c>
      <c r="G1456" t="inlineStr">
        <is>
          <t>Consolidación USD</t>
        </is>
      </c>
      <c r="I1456" t="n">
        <v>257.86</v>
      </c>
      <c r="J1456" t="inlineStr">
        <is>
          <t>USD</t>
        </is>
      </c>
      <c r="K1456" t="inlineStr">
        <is>
          <t>Homologado desde auxiliar contable (Junio 2026 PERU.xlsx). Reemplaza fuente previa (modelo/sin dato).</t>
        </is>
      </c>
      <c r="L1456" t="inlineStr">
        <is>
          <t>Internacional</t>
        </is>
      </c>
      <c r="M1456" t="inlineStr">
        <is>
          <t>Finanzas</t>
        </is>
      </c>
      <c r="N1456" t="inlineStr">
        <is>
          <t>Mensual</t>
        </is>
      </c>
    </row>
    <row r="1457">
      <c r="A1457" t="inlineStr">
        <is>
          <t>2026-06</t>
        </is>
      </c>
      <c r="B1457" t="inlineStr">
        <is>
          <t>Costa Rica</t>
        </is>
      </c>
      <c r="C1457" t="inlineStr">
        <is>
          <t>Coco Costa Rica</t>
        </is>
      </c>
      <c r="D1457" t="inlineStr">
        <is>
          <t>USD</t>
        </is>
      </c>
      <c r="E1457" t="inlineStr">
        <is>
          <t>Real</t>
        </is>
      </c>
      <c r="F1457" t="inlineStr">
        <is>
          <t>pyg_gasto_administracion</t>
        </is>
      </c>
      <c r="G1457" t="inlineStr">
        <is>
          <t>Consolidación USD</t>
        </is>
      </c>
      <c r="I1457" t="n">
        <v>2621.99</v>
      </c>
      <c r="J1457" t="inlineStr">
        <is>
          <t>USD</t>
        </is>
      </c>
      <c r="K1457" t="inlineStr">
        <is>
          <t>Homologado desde auxiliar contable (Junio 2026 CR.xlsx). Reemplaza fuente previa (modelo/sin dato).</t>
        </is>
      </c>
      <c r="L1457" t="inlineStr">
        <is>
          <t>Internacional</t>
        </is>
      </c>
      <c r="M1457" t="inlineStr">
        <is>
          <t>Finanzas</t>
        </is>
      </c>
      <c r="N1457" t="inlineStr">
        <is>
          <t>Mensual</t>
        </is>
      </c>
    </row>
    <row r="1458">
      <c r="A1458" t="inlineStr">
        <is>
          <t>2026-06</t>
        </is>
      </c>
      <c r="B1458" t="inlineStr">
        <is>
          <t>Colombia</t>
        </is>
      </c>
      <c r="C1458" t="inlineStr">
        <is>
          <t>Coco Colombia</t>
        </is>
      </c>
      <c r="D1458" t="inlineStr">
        <is>
          <t>USD</t>
        </is>
      </c>
      <c r="E1458" t="inlineStr">
        <is>
          <t>Real</t>
        </is>
      </c>
      <c r="F1458" t="inlineStr">
        <is>
          <t>pyg_gasto_administracion</t>
        </is>
      </c>
      <c r="G1458" t="inlineStr">
        <is>
          <t>Consolidación USD</t>
        </is>
      </c>
      <c r="I1458" t="n">
        <v>32034.26</v>
      </c>
      <c r="J1458" t="inlineStr">
        <is>
          <t>USD</t>
        </is>
      </c>
      <c r="K1458" t="inlineStr">
        <is>
          <t>Consolidación subsidiarias (USD). Colombia derivado del P&amp;G oficial / TRM del mes.</t>
        </is>
      </c>
      <c r="L1458" t="inlineStr">
        <is>
          <t>Internacional</t>
        </is>
      </c>
      <c r="M1458" t="inlineStr">
        <is>
          <t>Finanzas</t>
        </is>
      </c>
      <c r="N1458" t="inlineStr">
        <is>
          <t>Mensual</t>
        </is>
      </c>
    </row>
    <row r="1459">
      <c r="A1459" t="inlineStr">
        <is>
          <t>2026-06</t>
        </is>
      </c>
      <c r="B1459" t="inlineStr">
        <is>
          <t>Consolidado</t>
        </is>
      </c>
      <c r="C1459" t="inlineStr">
        <is>
          <t>COCO Tecnologias</t>
        </is>
      </c>
      <c r="D1459" t="inlineStr">
        <is>
          <t>USD</t>
        </is>
      </c>
      <c r="E1459" t="inlineStr">
        <is>
          <t>Real</t>
        </is>
      </c>
      <c r="F1459" t="inlineStr">
        <is>
          <t>pyg_gasto_administracion</t>
        </is>
      </c>
      <c r="G1459" t="inlineStr">
        <is>
          <t>Consolidación USD</t>
        </is>
      </c>
      <c r="I1459" t="n">
        <v>51416.48</v>
      </c>
      <c r="J1459" t="inlineStr">
        <is>
          <t>USD</t>
        </is>
      </c>
      <c r="K1459" t="inlineStr">
        <is>
          <t>Recalculado: suma Colombia + EE.UU. + Peru + Costa Rica (Consolidacion USD).</t>
        </is>
      </c>
      <c r="L1459" t="inlineStr">
        <is>
          <t>Internacional</t>
        </is>
      </c>
      <c r="M1459" t="inlineStr">
        <is>
          <t>Finanzas</t>
        </is>
      </c>
      <c r="N1459" t="inlineStr">
        <is>
          <t>Mensual</t>
        </is>
      </c>
    </row>
    <row r="1460">
      <c r="A1460" t="inlineStr">
        <is>
          <t>2026-04</t>
        </is>
      </c>
      <c r="B1460" t="inlineStr">
        <is>
          <t>EE.UU.</t>
        </is>
      </c>
      <c r="C1460" t="inlineStr">
        <is>
          <t>Coco LLC</t>
        </is>
      </c>
      <c r="D1460" t="inlineStr">
        <is>
          <t>USD</t>
        </is>
      </c>
      <c r="E1460" t="inlineStr">
        <is>
          <t>Real</t>
        </is>
      </c>
      <c r="F1460" t="inlineStr">
        <is>
          <t>pyg_gasto_ventas</t>
        </is>
      </c>
      <c r="G1460" t="inlineStr">
        <is>
          <t>Consolidación USD</t>
        </is>
      </c>
      <c r="I1460" t="n">
        <v>0</v>
      </c>
      <c r="J1460" t="inlineStr">
        <is>
          <t>USD</t>
        </is>
      </c>
      <c r="K1460" t="inlineStr">
        <is>
          <t>Homologado desde auxiliar contable (Abril 2026 USA.xlsx). Reemplaza fuente previa (modelo/sin dato).</t>
        </is>
      </c>
      <c r="L1460" t="inlineStr">
        <is>
          <t>Internacional</t>
        </is>
      </c>
      <c r="M1460" t="inlineStr">
        <is>
          <t>Finanzas</t>
        </is>
      </c>
      <c r="N1460" t="inlineStr">
        <is>
          <t>Mensual</t>
        </is>
      </c>
    </row>
    <row r="1461">
      <c r="A1461" t="inlineStr">
        <is>
          <t>2026-04</t>
        </is>
      </c>
      <c r="B1461" t="inlineStr">
        <is>
          <t>Perú</t>
        </is>
      </c>
      <c r="C1461" t="inlineStr">
        <is>
          <t>Coco Peru</t>
        </is>
      </c>
      <c r="D1461" t="inlineStr">
        <is>
          <t>USD</t>
        </is>
      </c>
      <c r="E1461" t="inlineStr">
        <is>
          <t>Real</t>
        </is>
      </c>
      <c r="F1461" t="inlineStr">
        <is>
          <t>pyg_gasto_ventas</t>
        </is>
      </c>
      <c r="G1461" t="inlineStr">
        <is>
          <t>Consolidación USD</t>
        </is>
      </c>
      <c r="I1461" t="n">
        <v>246.79</v>
      </c>
      <c r="J1461" t="inlineStr">
        <is>
          <t>USD</t>
        </is>
      </c>
      <c r="K1461" t="inlineStr">
        <is>
          <t>Homologado desde auxiliar contable (V4 Abril 2026 PERU.xlsx). Reemplaza fuente previa (modelo/sin dato).</t>
        </is>
      </c>
      <c r="L1461" t="inlineStr">
        <is>
          <t>Internacional</t>
        </is>
      </c>
      <c r="M1461" t="inlineStr">
        <is>
          <t>Finanzas</t>
        </is>
      </c>
      <c r="N1461" t="inlineStr">
        <is>
          <t>Mensual</t>
        </is>
      </c>
    </row>
    <row r="1462">
      <c r="A1462" t="inlineStr">
        <is>
          <t>2026-04</t>
        </is>
      </c>
      <c r="B1462" t="inlineStr">
        <is>
          <t>Costa Rica</t>
        </is>
      </c>
      <c r="C1462" t="inlineStr">
        <is>
          <t>Coco Costa Rica</t>
        </is>
      </c>
      <c r="D1462" t="inlineStr">
        <is>
          <t>USD</t>
        </is>
      </c>
      <c r="E1462" t="inlineStr">
        <is>
          <t>Real</t>
        </is>
      </c>
      <c r="F1462" t="inlineStr">
        <is>
          <t>pyg_gasto_ventas</t>
        </is>
      </c>
      <c r="G1462" t="inlineStr">
        <is>
          <t>Consolidación USD</t>
        </is>
      </c>
      <c r="I1462" t="n">
        <v>0</v>
      </c>
      <c r="J1462" t="inlineStr">
        <is>
          <t>USD</t>
        </is>
      </c>
      <c r="K1462" t="inlineStr">
        <is>
          <t>Homologado desde auxiliar contable (Abril 2026 CR.xlsx). Reemplaza fuente previa (modelo/sin dato).</t>
        </is>
      </c>
      <c r="L1462" t="inlineStr">
        <is>
          <t>Internacional</t>
        </is>
      </c>
      <c r="M1462" t="inlineStr">
        <is>
          <t>Finanzas</t>
        </is>
      </c>
      <c r="N1462" t="inlineStr">
        <is>
          <t>Mensual</t>
        </is>
      </c>
    </row>
    <row r="1463">
      <c r="A1463" t="inlineStr">
        <is>
          <t>2026-04</t>
        </is>
      </c>
      <c r="B1463" t="inlineStr">
        <is>
          <t>Colombia</t>
        </is>
      </c>
      <c r="C1463" t="inlineStr">
        <is>
          <t>Coco Colombia</t>
        </is>
      </c>
      <c r="D1463" t="inlineStr">
        <is>
          <t>USD</t>
        </is>
      </c>
      <c r="E1463" t="inlineStr">
        <is>
          <t>Real</t>
        </is>
      </c>
      <c r="F1463" t="inlineStr">
        <is>
          <t>pyg_gasto_ventas</t>
        </is>
      </c>
      <c r="G1463" t="inlineStr">
        <is>
          <t>Consolidación USD</t>
        </is>
      </c>
      <c r="I1463" t="n">
        <v>35961.23</v>
      </c>
      <c r="J1463" t="inlineStr">
        <is>
          <t>USD</t>
        </is>
      </c>
      <c r="K1463" t="inlineStr">
        <is>
          <t>Consolidación subsidiarias (USD). Colombia derivado del P&amp;G oficial / TRM del mes.</t>
        </is>
      </c>
      <c r="L1463" t="inlineStr">
        <is>
          <t>Internacional</t>
        </is>
      </c>
      <c r="M1463" t="inlineStr">
        <is>
          <t>Finanzas</t>
        </is>
      </c>
      <c r="N1463" t="inlineStr">
        <is>
          <t>Mensual</t>
        </is>
      </c>
    </row>
    <row r="1464">
      <c r="A1464" t="inlineStr">
        <is>
          <t>2026-04</t>
        </is>
      </c>
      <c r="B1464" t="inlineStr">
        <is>
          <t>Consolidado</t>
        </is>
      </c>
      <c r="C1464" t="inlineStr">
        <is>
          <t>COCO Tecnologias</t>
        </is>
      </c>
      <c r="D1464" t="inlineStr">
        <is>
          <t>USD</t>
        </is>
      </c>
      <c r="E1464" t="inlineStr">
        <is>
          <t>Real</t>
        </is>
      </c>
      <c r="F1464" t="inlineStr">
        <is>
          <t>pyg_gasto_ventas</t>
        </is>
      </c>
      <c r="G1464" t="inlineStr">
        <is>
          <t>Consolidación USD</t>
        </is>
      </c>
      <c r="I1464" t="n">
        <v>36208.02</v>
      </c>
      <c r="J1464" t="inlineStr">
        <is>
          <t>USD</t>
        </is>
      </c>
      <c r="K1464" t="inlineStr">
        <is>
          <t>Recalculado: suma Colombia + EE.UU. + Peru + Costa Rica (Consolidacion USD).</t>
        </is>
      </c>
      <c r="L1464" t="inlineStr">
        <is>
          <t>Internacional</t>
        </is>
      </c>
      <c r="M1464" t="inlineStr">
        <is>
          <t>Finanzas</t>
        </is>
      </c>
      <c r="N1464" t="inlineStr">
        <is>
          <t>Mensual</t>
        </is>
      </c>
    </row>
    <row r="1465">
      <c r="A1465" t="inlineStr">
        <is>
          <t>2026-05</t>
        </is>
      </c>
      <c r="B1465" t="inlineStr">
        <is>
          <t>EE.UU.</t>
        </is>
      </c>
      <c r="C1465" t="inlineStr">
        <is>
          <t>Coco LLC</t>
        </is>
      </c>
      <c r="D1465" t="inlineStr">
        <is>
          <t>USD</t>
        </is>
      </c>
      <c r="E1465" t="inlineStr">
        <is>
          <t>Real</t>
        </is>
      </c>
      <c r="F1465" t="inlineStr">
        <is>
          <t>pyg_gasto_ventas</t>
        </is>
      </c>
      <c r="G1465" t="inlineStr">
        <is>
          <t>Consolidación USD</t>
        </is>
      </c>
      <c r="I1465" t="n">
        <v>7500</v>
      </c>
      <c r="J1465" t="inlineStr">
        <is>
          <t>USD</t>
        </is>
      </c>
      <c r="K1465" t="inlineStr">
        <is>
          <t>Homologado desde auxiliar contable (Mayo 2026 USA.xlsx). Reemplaza fuente previa (modelo/sin dato).</t>
        </is>
      </c>
      <c r="L1465" t="inlineStr">
        <is>
          <t>Internacional</t>
        </is>
      </c>
      <c r="M1465" t="inlineStr">
        <is>
          <t>Finanzas</t>
        </is>
      </c>
      <c r="N1465" t="inlineStr">
        <is>
          <t>Mensual</t>
        </is>
      </c>
    </row>
    <row r="1466">
      <c r="A1466" t="inlineStr">
        <is>
          <t>2026-05</t>
        </is>
      </c>
      <c r="B1466" t="inlineStr">
        <is>
          <t>Perú</t>
        </is>
      </c>
      <c r="C1466" t="inlineStr">
        <is>
          <t>Coco Peru</t>
        </is>
      </c>
      <c r="D1466" t="inlineStr">
        <is>
          <t>USD</t>
        </is>
      </c>
      <c r="E1466" t="inlineStr">
        <is>
          <t>Real</t>
        </is>
      </c>
      <c r="F1466" t="inlineStr">
        <is>
          <t>pyg_gasto_ventas</t>
        </is>
      </c>
      <c r="G1466" t="inlineStr">
        <is>
          <t>Consolidación USD</t>
        </is>
      </c>
      <c r="I1466" t="n">
        <v>10285.3</v>
      </c>
      <c r="J1466" t="inlineStr">
        <is>
          <t>USD</t>
        </is>
      </c>
      <c r="K1466" t="inlineStr">
        <is>
          <t>Homologado desde auxiliar contable (Mayo 2026 PERU.xlsx). Reemplaza fuente previa (modelo/sin dato).</t>
        </is>
      </c>
      <c r="L1466" t="inlineStr">
        <is>
          <t>Internacional</t>
        </is>
      </c>
      <c r="M1466" t="inlineStr">
        <is>
          <t>Finanzas</t>
        </is>
      </c>
      <c r="N1466" t="inlineStr">
        <is>
          <t>Mensual</t>
        </is>
      </c>
    </row>
    <row r="1467">
      <c r="A1467" t="inlineStr">
        <is>
          <t>2026-05</t>
        </is>
      </c>
      <c r="B1467" t="inlineStr">
        <is>
          <t>Costa Rica</t>
        </is>
      </c>
      <c r="C1467" t="inlineStr">
        <is>
          <t>Coco Costa Rica</t>
        </is>
      </c>
      <c r="D1467" t="inlineStr">
        <is>
          <t>USD</t>
        </is>
      </c>
      <c r="E1467" t="inlineStr">
        <is>
          <t>Real</t>
        </is>
      </c>
      <c r="F1467" t="inlineStr">
        <is>
          <t>pyg_gasto_ventas</t>
        </is>
      </c>
      <c r="G1467" t="inlineStr">
        <is>
          <t>Consolidación USD</t>
        </is>
      </c>
      <c r="I1467" t="n">
        <v>0</v>
      </c>
      <c r="J1467" t="inlineStr">
        <is>
          <t>USD</t>
        </is>
      </c>
      <c r="K1467" t="inlineStr">
        <is>
          <t>Homologado desde auxiliar contable (Mayo 2026 CR.xlsx). Reemplaza fuente previa (modelo/sin dato).</t>
        </is>
      </c>
      <c r="L1467" t="inlineStr">
        <is>
          <t>Internacional</t>
        </is>
      </c>
      <c r="M1467" t="inlineStr">
        <is>
          <t>Finanzas</t>
        </is>
      </c>
      <c r="N1467" t="inlineStr">
        <is>
          <t>Mensual</t>
        </is>
      </c>
    </row>
    <row r="1468">
      <c r="A1468" t="inlineStr">
        <is>
          <t>2026-05</t>
        </is>
      </c>
      <c r="B1468" t="inlineStr">
        <is>
          <t>Colombia</t>
        </is>
      </c>
      <c r="C1468" t="inlineStr">
        <is>
          <t>Coco Colombia</t>
        </is>
      </c>
      <c r="D1468" t="inlineStr">
        <is>
          <t>USD</t>
        </is>
      </c>
      <c r="E1468" t="inlineStr">
        <is>
          <t>Real</t>
        </is>
      </c>
      <c r="F1468" t="inlineStr">
        <is>
          <t>pyg_gasto_ventas</t>
        </is>
      </c>
      <c r="G1468" t="inlineStr">
        <is>
          <t>Consolidación USD</t>
        </is>
      </c>
      <c r="I1468" t="n">
        <v>32372.79</v>
      </c>
      <c r="J1468" t="inlineStr">
        <is>
          <t>USD</t>
        </is>
      </c>
      <c r="K1468" t="inlineStr">
        <is>
          <t>Consolidación subsidiarias (USD). Colombia derivado del P&amp;G oficial / TRM del mes.</t>
        </is>
      </c>
      <c r="L1468" t="inlineStr">
        <is>
          <t>Internacional</t>
        </is>
      </c>
      <c r="M1468" t="inlineStr">
        <is>
          <t>Finanzas</t>
        </is>
      </c>
      <c r="N1468" t="inlineStr">
        <is>
          <t>Mensual</t>
        </is>
      </c>
    </row>
    <row r="1469">
      <c r="A1469" t="inlineStr">
        <is>
          <t>2026-05</t>
        </is>
      </c>
      <c r="B1469" t="inlineStr">
        <is>
          <t>Consolidado</t>
        </is>
      </c>
      <c r="C1469" t="inlineStr">
        <is>
          <t>COCO Tecnologias</t>
        </is>
      </c>
      <c r="D1469" t="inlineStr">
        <is>
          <t>USD</t>
        </is>
      </c>
      <c r="E1469" t="inlineStr">
        <is>
          <t>Real</t>
        </is>
      </c>
      <c r="F1469" t="inlineStr">
        <is>
          <t>pyg_gasto_ventas</t>
        </is>
      </c>
      <c r="G1469" t="inlineStr">
        <is>
          <t>Consolidación USD</t>
        </is>
      </c>
      <c r="I1469" t="n">
        <v>50158.09</v>
      </c>
      <c r="J1469" t="inlineStr">
        <is>
          <t>USD</t>
        </is>
      </c>
      <c r="K1469" t="inlineStr">
        <is>
          <t>Recalculado: suma Colombia + EE.UU. + Peru + Costa Rica (Consolidacion USD).</t>
        </is>
      </c>
      <c r="L1469" t="inlineStr">
        <is>
          <t>Internacional</t>
        </is>
      </c>
      <c r="M1469" t="inlineStr">
        <is>
          <t>Finanzas</t>
        </is>
      </c>
      <c r="N1469" t="inlineStr">
        <is>
          <t>Mensual</t>
        </is>
      </c>
    </row>
    <row r="1470">
      <c r="A1470" t="inlineStr">
        <is>
          <t>2026-06</t>
        </is>
      </c>
      <c r="B1470" t="inlineStr">
        <is>
          <t>EE.UU.</t>
        </is>
      </c>
      <c r="C1470" t="inlineStr">
        <is>
          <t>Coco LLC</t>
        </is>
      </c>
      <c r="D1470" t="inlineStr">
        <is>
          <t>USD</t>
        </is>
      </c>
      <c r="E1470" t="inlineStr">
        <is>
          <t>Real</t>
        </is>
      </c>
      <c r="F1470" t="inlineStr">
        <is>
          <t>pyg_gasto_ventas</t>
        </is>
      </c>
      <c r="G1470" t="inlineStr">
        <is>
          <t>Consolidación USD</t>
        </is>
      </c>
      <c r="I1470" t="n">
        <v>2500</v>
      </c>
      <c r="J1470" t="inlineStr">
        <is>
          <t>USD</t>
        </is>
      </c>
      <c r="K1470" t="inlineStr">
        <is>
          <t>Homologado desde auxiliar contable (Junio 2026 USA.xlsx). Reemplaza fuente previa (modelo/sin dato).</t>
        </is>
      </c>
      <c r="L1470" t="inlineStr">
        <is>
          <t>Internacional</t>
        </is>
      </c>
      <c r="M1470" t="inlineStr">
        <is>
          <t>Finanzas</t>
        </is>
      </c>
      <c r="N1470" t="inlineStr">
        <is>
          <t>Mensual</t>
        </is>
      </c>
    </row>
    <row r="1471">
      <c r="A1471" t="inlineStr">
        <is>
          <t>2026-06</t>
        </is>
      </c>
      <c r="B1471" t="inlineStr">
        <is>
          <t>Perú</t>
        </is>
      </c>
      <c r="C1471" t="inlineStr">
        <is>
          <t>Coco Peru</t>
        </is>
      </c>
      <c r="D1471" t="inlineStr">
        <is>
          <t>USD</t>
        </is>
      </c>
      <c r="E1471" t="inlineStr">
        <is>
          <t>Real</t>
        </is>
      </c>
      <c r="F1471" t="inlineStr">
        <is>
          <t>pyg_gasto_ventas</t>
        </is>
      </c>
      <c r="G1471" t="inlineStr">
        <is>
          <t>Consolidación USD</t>
        </is>
      </c>
      <c r="I1471" t="n">
        <v>3294.66</v>
      </c>
      <c r="J1471" t="inlineStr">
        <is>
          <t>USD</t>
        </is>
      </c>
      <c r="K1471" t="inlineStr">
        <is>
          <t>Homologado desde auxiliar contable (Junio 2026 PERU.xlsx). Reemplaza fuente previa (modelo/sin dato).</t>
        </is>
      </c>
      <c r="L1471" t="inlineStr">
        <is>
          <t>Internacional</t>
        </is>
      </c>
      <c r="M1471" t="inlineStr">
        <is>
          <t>Finanzas</t>
        </is>
      </c>
      <c r="N1471" t="inlineStr">
        <is>
          <t>Mensual</t>
        </is>
      </c>
    </row>
    <row r="1472">
      <c r="A1472" t="inlineStr">
        <is>
          <t>2026-06</t>
        </is>
      </c>
      <c r="B1472" t="inlineStr">
        <is>
          <t>Costa Rica</t>
        </is>
      </c>
      <c r="C1472" t="inlineStr">
        <is>
          <t>Coco Costa Rica</t>
        </is>
      </c>
      <c r="D1472" t="inlineStr">
        <is>
          <t>USD</t>
        </is>
      </c>
      <c r="E1472" t="inlineStr">
        <is>
          <t>Real</t>
        </is>
      </c>
      <c r="F1472" t="inlineStr">
        <is>
          <t>pyg_gasto_ventas</t>
        </is>
      </c>
      <c r="G1472" t="inlineStr">
        <is>
          <t>Consolidación USD</t>
        </is>
      </c>
      <c r="I1472" t="n">
        <v>0</v>
      </c>
      <c r="J1472" t="inlineStr">
        <is>
          <t>USD</t>
        </is>
      </c>
      <c r="K1472" t="inlineStr">
        <is>
          <t>Homologado desde auxiliar contable (Junio 2026 CR.xlsx). Reemplaza fuente previa (modelo/sin dato).</t>
        </is>
      </c>
      <c r="L1472" t="inlineStr">
        <is>
          <t>Internacional</t>
        </is>
      </c>
      <c r="M1472" t="inlineStr">
        <is>
          <t>Finanzas</t>
        </is>
      </c>
      <c r="N1472" t="inlineStr">
        <is>
          <t>Mensual</t>
        </is>
      </c>
    </row>
    <row r="1473">
      <c r="A1473" t="inlineStr">
        <is>
          <t>2026-06</t>
        </is>
      </c>
      <c r="B1473" t="inlineStr">
        <is>
          <t>Colombia</t>
        </is>
      </c>
      <c r="C1473" t="inlineStr">
        <is>
          <t>Coco Colombia</t>
        </is>
      </c>
      <c r="D1473" t="inlineStr">
        <is>
          <t>USD</t>
        </is>
      </c>
      <c r="E1473" t="inlineStr">
        <is>
          <t>Real</t>
        </is>
      </c>
      <c r="F1473" t="inlineStr">
        <is>
          <t>pyg_gasto_ventas</t>
        </is>
      </c>
      <c r="G1473" t="inlineStr">
        <is>
          <t>Consolidación USD</t>
        </is>
      </c>
      <c r="I1473" t="n">
        <v>41880.81</v>
      </c>
      <c r="J1473" t="inlineStr">
        <is>
          <t>USD</t>
        </is>
      </c>
      <c r="K1473" t="inlineStr">
        <is>
          <t>Consolidación subsidiarias (USD). Colombia derivado del P&amp;G oficial / TRM del mes.</t>
        </is>
      </c>
      <c r="L1473" t="inlineStr">
        <is>
          <t>Internacional</t>
        </is>
      </c>
      <c r="M1473" t="inlineStr">
        <is>
          <t>Finanzas</t>
        </is>
      </c>
      <c r="N1473" t="inlineStr">
        <is>
          <t>Mensual</t>
        </is>
      </c>
    </row>
    <row r="1474">
      <c r="A1474" t="inlineStr">
        <is>
          <t>2026-06</t>
        </is>
      </c>
      <c r="B1474" t="inlineStr">
        <is>
          <t>Consolidado</t>
        </is>
      </c>
      <c r="C1474" t="inlineStr">
        <is>
          <t>COCO Tecnologias</t>
        </is>
      </c>
      <c r="D1474" t="inlineStr">
        <is>
          <t>USD</t>
        </is>
      </c>
      <c r="E1474" t="inlineStr">
        <is>
          <t>Real</t>
        </is>
      </c>
      <c r="F1474" t="inlineStr">
        <is>
          <t>pyg_gasto_ventas</t>
        </is>
      </c>
      <c r="G1474" t="inlineStr">
        <is>
          <t>Consolidación USD</t>
        </is>
      </c>
      <c r="I1474" t="n">
        <v>47675.47</v>
      </c>
      <c r="J1474" t="inlineStr">
        <is>
          <t>USD</t>
        </is>
      </c>
      <c r="K1474" t="inlineStr">
        <is>
          <t>Recalculado: suma Colombia + EE.UU. + Peru + Costa Rica (Consolidacion USD).</t>
        </is>
      </c>
      <c r="L1474" t="inlineStr">
        <is>
          <t>Internacional</t>
        </is>
      </c>
      <c r="M1474" t="inlineStr">
        <is>
          <t>Finanzas</t>
        </is>
      </c>
      <c r="N1474" t="inlineStr">
        <is>
          <t>Mensual</t>
        </is>
      </c>
    </row>
    <row r="1475">
      <c r="A1475" t="inlineStr">
        <is>
          <t>2026-04</t>
        </is>
      </c>
      <c r="B1475" t="inlineStr">
        <is>
          <t>EE.UU.</t>
        </is>
      </c>
      <c r="C1475" t="inlineStr">
        <is>
          <t>Coco LLC</t>
        </is>
      </c>
      <c r="D1475" t="inlineStr">
        <is>
          <t>USD</t>
        </is>
      </c>
      <c r="E1475" t="inlineStr">
        <is>
          <t>Real</t>
        </is>
      </c>
      <c r="F1475" t="inlineStr">
        <is>
          <t>pyg_gasto_proyectos</t>
        </is>
      </c>
      <c r="G1475" t="inlineStr">
        <is>
          <t>Consolidación USD</t>
        </is>
      </c>
      <c r="I1475" t="n">
        <v>0</v>
      </c>
      <c r="J1475" t="inlineStr">
        <is>
          <t>USD</t>
        </is>
      </c>
      <c r="K1475" t="inlineStr">
        <is>
          <t>Homologado desde auxiliar contable (Abril 2026 USA.xlsx). Reemplaza fuente previa (modelo/sin dato).</t>
        </is>
      </c>
      <c r="L1475" t="inlineStr">
        <is>
          <t>Internacional</t>
        </is>
      </c>
      <c r="M1475" t="inlineStr">
        <is>
          <t>Finanzas</t>
        </is>
      </c>
      <c r="N1475" t="inlineStr">
        <is>
          <t>Mensual</t>
        </is>
      </c>
    </row>
    <row r="1476">
      <c r="A1476" t="inlineStr">
        <is>
          <t>2026-04</t>
        </is>
      </c>
      <c r="B1476" t="inlineStr">
        <is>
          <t>Perú</t>
        </is>
      </c>
      <c r="C1476" t="inlineStr">
        <is>
          <t>Coco Peru</t>
        </is>
      </c>
      <c r="D1476" t="inlineStr">
        <is>
          <t>USD</t>
        </is>
      </c>
      <c r="E1476" t="inlineStr">
        <is>
          <t>Real</t>
        </is>
      </c>
      <c r="F1476" t="inlineStr">
        <is>
          <t>pyg_gasto_proyectos</t>
        </is>
      </c>
      <c r="G1476" t="inlineStr">
        <is>
          <t>Consolidación USD</t>
        </is>
      </c>
      <c r="I1476" t="n">
        <v>0</v>
      </c>
      <c r="J1476" t="inlineStr">
        <is>
          <t>USD</t>
        </is>
      </c>
      <c r="K1476" t="inlineStr">
        <is>
          <t>Homologado desde auxiliar contable (V4 Abril 2026 PERU.xlsx). Reemplaza fuente previa (modelo/sin dato).</t>
        </is>
      </c>
      <c r="L1476" t="inlineStr">
        <is>
          <t>Internacional</t>
        </is>
      </c>
      <c r="M1476" t="inlineStr">
        <is>
          <t>Finanzas</t>
        </is>
      </c>
      <c r="N1476" t="inlineStr">
        <is>
          <t>Mensual</t>
        </is>
      </c>
    </row>
    <row r="1477">
      <c r="A1477" t="inlineStr">
        <is>
          <t>2026-04</t>
        </is>
      </c>
      <c r="B1477" t="inlineStr">
        <is>
          <t>Costa Rica</t>
        </is>
      </c>
      <c r="C1477" t="inlineStr">
        <is>
          <t>Coco Costa Rica</t>
        </is>
      </c>
      <c r="D1477" t="inlineStr">
        <is>
          <t>USD</t>
        </is>
      </c>
      <c r="E1477" t="inlineStr">
        <is>
          <t>Real</t>
        </is>
      </c>
      <c r="F1477" t="inlineStr">
        <is>
          <t>pyg_gasto_proyectos</t>
        </is>
      </c>
      <c r="G1477" t="inlineStr">
        <is>
          <t>Consolidación USD</t>
        </is>
      </c>
      <c r="I1477" t="n">
        <v>0</v>
      </c>
      <c r="J1477" t="inlineStr">
        <is>
          <t>USD</t>
        </is>
      </c>
      <c r="K1477" t="inlineStr">
        <is>
          <t>Homologado desde auxiliar contable (Abril 2026 CR.xlsx). Reemplaza fuente previa (modelo/sin dato).</t>
        </is>
      </c>
      <c r="L1477" t="inlineStr">
        <is>
          <t>Internacional</t>
        </is>
      </c>
      <c r="M1477" t="inlineStr">
        <is>
          <t>Finanzas</t>
        </is>
      </c>
      <c r="N1477" t="inlineStr">
        <is>
          <t>Mensual</t>
        </is>
      </c>
    </row>
    <row r="1478">
      <c r="A1478" t="inlineStr">
        <is>
          <t>2026-04</t>
        </is>
      </c>
      <c r="B1478" t="inlineStr">
        <is>
          <t>Colombia</t>
        </is>
      </c>
      <c r="C1478" t="inlineStr">
        <is>
          <t>Coco Colombia</t>
        </is>
      </c>
      <c r="D1478" t="inlineStr">
        <is>
          <t>USD</t>
        </is>
      </c>
      <c r="E1478" t="inlineStr">
        <is>
          <t>Real</t>
        </is>
      </c>
      <c r="F1478" t="inlineStr">
        <is>
          <t>pyg_gasto_proyectos</t>
        </is>
      </c>
      <c r="G1478" t="inlineStr">
        <is>
          <t>Consolidación USD</t>
        </is>
      </c>
      <c r="I1478" t="n">
        <v>33831.07</v>
      </c>
      <c r="J1478" t="inlineStr">
        <is>
          <t>USD</t>
        </is>
      </c>
      <c r="K1478" t="inlineStr">
        <is>
          <t>Consolidación subsidiarias (USD). Colombia derivado del P&amp;G oficial / TRM del mes.</t>
        </is>
      </c>
      <c r="L1478" t="inlineStr">
        <is>
          <t>Internacional</t>
        </is>
      </c>
      <c r="M1478" t="inlineStr">
        <is>
          <t>Finanzas</t>
        </is>
      </c>
      <c r="N1478" t="inlineStr">
        <is>
          <t>Mensual</t>
        </is>
      </c>
    </row>
    <row r="1479">
      <c r="A1479" t="inlineStr">
        <is>
          <t>2026-04</t>
        </is>
      </c>
      <c r="B1479" t="inlineStr">
        <is>
          <t>Consolidado</t>
        </is>
      </c>
      <c r="C1479" t="inlineStr">
        <is>
          <t>COCO Tecnologias</t>
        </is>
      </c>
      <c r="D1479" t="inlineStr">
        <is>
          <t>USD</t>
        </is>
      </c>
      <c r="E1479" t="inlineStr">
        <is>
          <t>Real</t>
        </is>
      </c>
      <c r="F1479" t="inlineStr">
        <is>
          <t>pyg_gasto_proyectos</t>
        </is>
      </c>
      <c r="G1479" t="inlineStr">
        <is>
          <t>Consolidación USD</t>
        </is>
      </c>
      <c r="I1479" t="n">
        <v>33831.07</v>
      </c>
      <c r="J1479" t="inlineStr">
        <is>
          <t>USD</t>
        </is>
      </c>
      <c r="K1479" t="inlineStr">
        <is>
          <t>Recalculado: suma Colombia + EE.UU. + Peru + Costa Rica (Consolidacion USD).</t>
        </is>
      </c>
      <c r="L1479" t="inlineStr">
        <is>
          <t>Internacional</t>
        </is>
      </c>
      <c r="M1479" t="inlineStr">
        <is>
          <t>Finanzas</t>
        </is>
      </c>
      <c r="N1479" t="inlineStr">
        <is>
          <t>Mensual</t>
        </is>
      </c>
    </row>
    <row r="1480">
      <c r="A1480" t="inlineStr">
        <is>
          <t>2026-05</t>
        </is>
      </c>
      <c r="B1480" t="inlineStr">
        <is>
          <t>EE.UU.</t>
        </is>
      </c>
      <c r="C1480" t="inlineStr">
        <is>
          <t>Coco LLC</t>
        </is>
      </c>
      <c r="D1480" t="inlineStr">
        <is>
          <t>USD</t>
        </is>
      </c>
      <c r="E1480" t="inlineStr">
        <is>
          <t>Real</t>
        </is>
      </c>
      <c r="F1480" t="inlineStr">
        <is>
          <t>pyg_gasto_proyectos</t>
        </is>
      </c>
      <c r="G1480" t="inlineStr">
        <is>
          <t>Consolidación USD</t>
        </is>
      </c>
      <c r="I1480" t="n">
        <v>0</v>
      </c>
      <c r="J1480" t="inlineStr">
        <is>
          <t>USD</t>
        </is>
      </c>
      <c r="K1480" t="inlineStr">
        <is>
          <t>Homologado desde auxiliar contable (Mayo 2026 USA.xlsx). Reemplaza fuente previa (modelo/sin dato).</t>
        </is>
      </c>
      <c r="L1480" t="inlineStr">
        <is>
          <t>Internacional</t>
        </is>
      </c>
      <c r="M1480" t="inlineStr">
        <is>
          <t>Finanzas</t>
        </is>
      </c>
      <c r="N1480" t="inlineStr">
        <is>
          <t>Mensual</t>
        </is>
      </c>
    </row>
    <row r="1481">
      <c r="A1481" t="inlineStr">
        <is>
          <t>2026-05</t>
        </is>
      </c>
      <c r="B1481" t="inlineStr">
        <is>
          <t>Perú</t>
        </is>
      </c>
      <c r="C1481" t="inlineStr">
        <is>
          <t>Coco Peru</t>
        </is>
      </c>
      <c r="D1481" t="inlineStr">
        <is>
          <t>USD</t>
        </is>
      </c>
      <c r="E1481" t="inlineStr">
        <is>
          <t>Real</t>
        </is>
      </c>
      <c r="F1481" t="inlineStr">
        <is>
          <t>pyg_gasto_proyectos</t>
        </is>
      </c>
      <c r="G1481" t="inlineStr">
        <is>
          <t>Consolidación USD</t>
        </is>
      </c>
      <c r="I1481" t="n">
        <v>0</v>
      </c>
      <c r="J1481" t="inlineStr">
        <is>
          <t>USD</t>
        </is>
      </c>
      <c r="K1481" t="inlineStr">
        <is>
          <t>Homologado desde auxiliar contable (Mayo 2026 PERU.xlsx). Reemplaza fuente previa (modelo/sin dato).</t>
        </is>
      </c>
      <c r="L1481" t="inlineStr">
        <is>
          <t>Internacional</t>
        </is>
      </c>
      <c r="M1481" t="inlineStr">
        <is>
          <t>Finanzas</t>
        </is>
      </c>
      <c r="N1481" t="inlineStr">
        <is>
          <t>Mensual</t>
        </is>
      </c>
    </row>
    <row r="1482">
      <c r="A1482" t="inlineStr">
        <is>
          <t>2026-05</t>
        </is>
      </c>
      <c r="B1482" t="inlineStr">
        <is>
          <t>Costa Rica</t>
        </is>
      </c>
      <c r="C1482" t="inlineStr">
        <is>
          <t>Coco Costa Rica</t>
        </is>
      </c>
      <c r="D1482" t="inlineStr">
        <is>
          <t>USD</t>
        </is>
      </c>
      <c r="E1482" t="inlineStr">
        <is>
          <t>Real</t>
        </is>
      </c>
      <c r="F1482" t="inlineStr">
        <is>
          <t>pyg_gasto_proyectos</t>
        </is>
      </c>
      <c r="G1482" t="inlineStr">
        <is>
          <t>Consolidación USD</t>
        </is>
      </c>
      <c r="I1482" t="n">
        <v>0</v>
      </c>
      <c r="J1482" t="inlineStr">
        <is>
          <t>USD</t>
        </is>
      </c>
      <c r="K1482" t="inlineStr">
        <is>
          <t>Homologado desde auxiliar contable (Mayo 2026 CR.xlsx). Reemplaza fuente previa (modelo/sin dato).</t>
        </is>
      </c>
      <c r="L1482" t="inlineStr">
        <is>
          <t>Internacional</t>
        </is>
      </c>
      <c r="M1482" t="inlineStr">
        <is>
          <t>Finanzas</t>
        </is>
      </c>
      <c r="N1482" t="inlineStr">
        <is>
          <t>Mensual</t>
        </is>
      </c>
    </row>
    <row r="1483">
      <c r="A1483" t="inlineStr">
        <is>
          <t>2026-05</t>
        </is>
      </c>
      <c r="B1483" t="inlineStr">
        <is>
          <t>Colombia</t>
        </is>
      </c>
      <c r="C1483" t="inlineStr">
        <is>
          <t>Coco Colombia</t>
        </is>
      </c>
      <c r="D1483" t="inlineStr">
        <is>
          <t>USD</t>
        </is>
      </c>
      <c r="E1483" t="inlineStr">
        <is>
          <t>Real</t>
        </is>
      </c>
      <c r="F1483" t="inlineStr">
        <is>
          <t>pyg_gasto_proyectos</t>
        </is>
      </c>
      <c r="G1483" t="inlineStr">
        <is>
          <t>Consolidación USD</t>
        </is>
      </c>
      <c r="I1483" t="n">
        <v>32577.28</v>
      </c>
      <c r="J1483" t="inlineStr">
        <is>
          <t>USD</t>
        </is>
      </c>
      <c r="K1483" t="inlineStr">
        <is>
          <t>Consolidación subsidiarias (USD). Colombia derivado del P&amp;G oficial / TRM del mes.</t>
        </is>
      </c>
      <c r="L1483" t="inlineStr">
        <is>
          <t>Internacional</t>
        </is>
      </c>
      <c r="M1483" t="inlineStr">
        <is>
          <t>Finanzas</t>
        </is>
      </c>
      <c r="N1483" t="inlineStr">
        <is>
          <t>Mensual</t>
        </is>
      </c>
    </row>
    <row r="1484">
      <c r="A1484" t="inlineStr">
        <is>
          <t>2026-05</t>
        </is>
      </c>
      <c r="B1484" t="inlineStr">
        <is>
          <t>Consolidado</t>
        </is>
      </c>
      <c r="C1484" t="inlineStr">
        <is>
          <t>COCO Tecnologias</t>
        </is>
      </c>
      <c r="D1484" t="inlineStr">
        <is>
          <t>USD</t>
        </is>
      </c>
      <c r="E1484" t="inlineStr">
        <is>
          <t>Real</t>
        </is>
      </c>
      <c r="F1484" t="inlineStr">
        <is>
          <t>pyg_gasto_proyectos</t>
        </is>
      </c>
      <c r="G1484" t="inlineStr">
        <is>
          <t>Consolidación USD</t>
        </is>
      </c>
      <c r="I1484" t="n">
        <v>32577.28</v>
      </c>
      <c r="J1484" t="inlineStr">
        <is>
          <t>USD</t>
        </is>
      </c>
      <c r="K1484" t="inlineStr">
        <is>
          <t>Recalculado: suma Colombia + EE.UU. + Peru + Costa Rica (Consolidacion USD).</t>
        </is>
      </c>
      <c r="L1484" t="inlineStr">
        <is>
          <t>Internacional</t>
        </is>
      </c>
      <c r="M1484" t="inlineStr">
        <is>
          <t>Finanzas</t>
        </is>
      </c>
      <c r="N1484" t="inlineStr">
        <is>
          <t>Mensual</t>
        </is>
      </c>
    </row>
    <row r="1485">
      <c r="A1485" t="inlineStr">
        <is>
          <t>2026-06</t>
        </is>
      </c>
      <c r="B1485" t="inlineStr">
        <is>
          <t>EE.UU.</t>
        </is>
      </c>
      <c r="C1485" t="inlineStr">
        <is>
          <t>Coco LLC</t>
        </is>
      </c>
      <c r="D1485" t="inlineStr">
        <is>
          <t>USD</t>
        </is>
      </c>
      <c r="E1485" t="inlineStr">
        <is>
          <t>Real</t>
        </is>
      </c>
      <c r="F1485" t="inlineStr">
        <is>
          <t>pyg_gasto_proyectos</t>
        </is>
      </c>
      <c r="G1485" t="inlineStr">
        <is>
          <t>Consolidación USD</t>
        </is>
      </c>
      <c r="I1485" t="n">
        <v>0</v>
      </c>
      <c r="J1485" t="inlineStr">
        <is>
          <t>USD</t>
        </is>
      </c>
      <c r="K1485" t="inlineStr">
        <is>
          <t>Homologado desde auxiliar contable (Junio 2026 USA.xlsx). Reemplaza fuente previa (modelo/sin dato).</t>
        </is>
      </c>
      <c r="L1485" t="inlineStr">
        <is>
          <t>Internacional</t>
        </is>
      </c>
      <c r="M1485" t="inlineStr">
        <is>
          <t>Finanzas</t>
        </is>
      </c>
      <c r="N1485" t="inlineStr">
        <is>
          <t>Mensual</t>
        </is>
      </c>
    </row>
    <row r="1486">
      <c r="A1486" t="inlineStr">
        <is>
          <t>2026-06</t>
        </is>
      </c>
      <c r="B1486" t="inlineStr">
        <is>
          <t>Perú</t>
        </is>
      </c>
      <c r="C1486" t="inlineStr">
        <is>
          <t>Coco Peru</t>
        </is>
      </c>
      <c r="D1486" t="inlineStr">
        <is>
          <t>USD</t>
        </is>
      </c>
      <c r="E1486" t="inlineStr">
        <is>
          <t>Real</t>
        </is>
      </c>
      <c r="F1486" t="inlineStr">
        <is>
          <t>pyg_gasto_proyectos</t>
        </is>
      </c>
      <c r="G1486" t="inlineStr">
        <is>
          <t>Consolidación USD</t>
        </is>
      </c>
      <c r="I1486" t="n">
        <v>0</v>
      </c>
      <c r="J1486" t="inlineStr">
        <is>
          <t>USD</t>
        </is>
      </c>
      <c r="K1486" t="inlineStr">
        <is>
          <t>Homologado desde auxiliar contable (Junio 2026 PERU.xlsx). Reemplaza fuente previa (modelo/sin dato).</t>
        </is>
      </c>
      <c r="L1486" t="inlineStr">
        <is>
          <t>Internacional</t>
        </is>
      </c>
      <c r="M1486" t="inlineStr">
        <is>
          <t>Finanzas</t>
        </is>
      </c>
      <c r="N1486" t="inlineStr">
        <is>
          <t>Mensual</t>
        </is>
      </c>
    </row>
    <row r="1487">
      <c r="A1487" t="inlineStr">
        <is>
          <t>2026-06</t>
        </is>
      </c>
      <c r="B1487" t="inlineStr">
        <is>
          <t>Costa Rica</t>
        </is>
      </c>
      <c r="C1487" t="inlineStr">
        <is>
          <t>Coco Costa Rica</t>
        </is>
      </c>
      <c r="D1487" t="inlineStr">
        <is>
          <t>USD</t>
        </is>
      </c>
      <c r="E1487" t="inlineStr">
        <is>
          <t>Real</t>
        </is>
      </c>
      <c r="F1487" t="inlineStr">
        <is>
          <t>pyg_gasto_proyectos</t>
        </is>
      </c>
      <c r="G1487" t="inlineStr">
        <is>
          <t>Consolidación USD</t>
        </is>
      </c>
      <c r="I1487" t="n">
        <v>0</v>
      </c>
      <c r="J1487" t="inlineStr">
        <is>
          <t>USD</t>
        </is>
      </c>
      <c r="K1487" t="inlineStr">
        <is>
          <t>Homologado desde auxiliar contable (Junio 2026 CR.xlsx). Reemplaza fuente previa (modelo/sin dato).</t>
        </is>
      </c>
      <c r="L1487" t="inlineStr">
        <is>
          <t>Internacional</t>
        </is>
      </c>
      <c r="M1487" t="inlineStr">
        <is>
          <t>Finanzas</t>
        </is>
      </c>
      <c r="N1487" t="inlineStr">
        <is>
          <t>Mensual</t>
        </is>
      </c>
    </row>
    <row r="1488">
      <c r="A1488" t="inlineStr">
        <is>
          <t>2026-06</t>
        </is>
      </c>
      <c r="B1488" t="inlineStr">
        <is>
          <t>Colombia</t>
        </is>
      </c>
      <c r="C1488" t="inlineStr">
        <is>
          <t>Coco Colombia</t>
        </is>
      </c>
      <c r="D1488" t="inlineStr">
        <is>
          <t>USD</t>
        </is>
      </c>
      <c r="E1488" t="inlineStr">
        <is>
          <t>Real</t>
        </is>
      </c>
      <c r="F1488" t="inlineStr">
        <is>
          <t>pyg_gasto_proyectos</t>
        </is>
      </c>
      <c r="G1488" t="inlineStr">
        <is>
          <t>Consolidación USD</t>
        </is>
      </c>
      <c r="I1488" t="n">
        <v>31069.82</v>
      </c>
      <c r="J1488" t="inlineStr">
        <is>
          <t>USD</t>
        </is>
      </c>
      <c r="K1488" t="inlineStr">
        <is>
          <t>Consolidación subsidiarias (USD). Colombia derivado del P&amp;G oficial / TRM del mes.</t>
        </is>
      </c>
      <c r="L1488" t="inlineStr">
        <is>
          <t>Internacional</t>
        </is>
      </c>
      <c r="M1488" t="inlineStr">
        <is>
          <t>Finanzas</t>
        </is>
      </c>
      <c r="N1488" t="inlineStr">
        <is>
          <t>Mensual</t>
        </is>
      </c>
    </row>
    <row r="1489">
      <c r="A1489" t="inlineStr">
        <is>
          <t>2026-06</t>
        </is>
      </c>
      <c r="B1489" t="inlineStr">
        <is>
          <t>Consolidado</t>
        </is>
      </c>
      <c r="C1489" t="inlineStr">
        <is>
          <t>COCO Tecnologias</t>
        </is>
      </c>
      <c r="D1489" t="inlineStr">
        <is>
          <t>USD</t>
        </is>
      </c>
      <c r="E1489" t="inlineStr">
        <is>
          <t>Real</t>
        </is>
      </c>
      <c r="F1489" t="inlineStr">
        <is>
          <t>pyg_gasto_proyectos</t>
        </is>
      </c>
      <c r="G1489" t="inlineStr">
        <is>
          <t>Consolidación USD</t>
        </is>
      </c>
      <c r="I1489" t="n">
        <v>31069.82</v>
      </c>
      <c r="J1489" t="inlineStr">
        <is>
          <t>USD</t>
        </is>
      </c>
      <c r="K1489" t="inlineStr">
        <is>
          <t>Recalculado: suma Colombia + EE.UU. + Peru + Costa Rica (Consolidacion USD).</t>
        </is>
      </c>
      <c r="L1489" t="inlineStr">
        <is>
          <t>Internacional</t>
        </is>
      </c>
      <c r="M1489" t="inlineStr">
        <is>
          <t>Finanzas</t>
        </is>
      </c>
      <c r="N1489" t="inlineStr">
        <is>
          <t>Mensual</t>
        </is>
      </c>
    </row>
    <row r="1490">
      <c r="A1490" t="inlineStr">
        <is>
          <t>2026-04</t>
        </is>
      </c>
      <c r="B1490" t="inlineStr">
        <is>
          <t>EE.UU.</t>
        </is>
      </c>
      <c r="C1490" t="inlineStr">
        <is>
          <t>Coco LLC</t>
        </is>
      </c>
      <c r="D1490" t="inlineStr">
        <is>
          <t>USD</t>
        </is>
      </c>
      <c r="E1490" t="inlineStr">
        <is>
          <t>Real</t>
        </is>
      </c>
      <c r="F1490" t="inlineStr">
        <is>
          <t>pyg_gastos_financieros</t>
        </is>
      </c>
      <c r="G1490" t="inlineStr">
        <is>
          <t>Consolidación USD</t>
        </is>
      </c>
      <c r="I1490" t="n">
        <v>23.28</v>
      </c>
      <c r="J1490" t="inlineStr">
        <is>
          <t>USD</t>
        </is>
      </c>
      <c r="K1490" t="inlineStr">
        <is>
          <t>Homologado desde auxiliar contable (Abril 2026 USA.xlsx). Reemplaza fuente previa (modelo/sin dato).</t>
        </is>
      </c>
      <c r="L1490" t="inlineStr">
        <is>
          <t>Internacional</t>
        </is>
      </c>
      <c r="M1490" t="inlineStr">
        <is>
          <t>Finanzas</t>
        </is>
      </c>
      <c r="N1490" t="inlineStr">
        <is>
          <t>Mensual</t>
        </is>
      </c>
    </row>
    <row r="1491">
      <c r="A1491" t="inlineStr">
        <is>
          <t>2026-04</t>
        </is>
      </c>
      <c r="B1491" t="inlineStr">
        <is>
          <t>Perú</t>
        </is>
      </c>
      <c r="C1491" t="inlineStr">
        <is>
          <t>Coco Peru</t>
        </is>
      </c>
      <c r="D1491" t="inlineStr">
        <is>
          <t>USD</t>
        </is>
      </c>
      <c r="E1491" t="inlineStr">
        <is>
          <t>Real</t>
        </is>
      </c>
      <c r="F1491" t="inlineStr">
        <is>
          <t>pyg_gastos_financieros</t>
        </is>
      </c>
      <c r="G1491" t="inlineStr">
        <is>
          <t>Consolidación USD</t>
        </is>
      </c>
      <c r="I1491" t="n">
        <v>26.53</v>
      </c>
      <c r="J1491" t="inlineStr">
        <is>
          <t>USD</t>
        </is>
      </c>
      <c r="K1491" t="inlineStr">
        <is>
          <t>Homologado desde auxiliar contable (V4 Abril 2026 PERU.xlsx). Reemplaza fuente previa (modelo/sin dato).</t>
        </is>
      </c>
      <c r="L1491" t="inlineStr">
        <is>
          <t>Internacional</t>
        </is>
      </c>
      <c r="M1491" t="inlineStr">
        <is>
          <t>Finanzas</t>
        </is>
      </c>
      <c r="N1491" t="inlineStr">
        <is>
          <t>Mensual</t>
        </is>
      </c>
    </row>
    <row r="1492">
      <c r="A1492" t="inlineStr">
        <is>
          <t>2026-04</t>
        </is>
      </c>
      <c r="B1492" t="inlineStr">
        <is>
          <t>Costa Rica</t>
        </is>
      </c>
      <c r="C1492" t="inlineStr">
        <is>
          <t>Coco Costa Rica</t>
        </is>
      </c>
      <c r="D1492" t="inlineStr">
        <is>
          <t>USD</t>
        </is>
      </c>
      <c r="E1492" t="inlineStr">
        <is>
          <t>Real</t>
        </is>
      </c>
      <c r="F1492" t="inlineStr">
        <is>
          <t>pyg_gastos_financieros</t>
        </is>
      </c>
      <c r="G1492" t="inlineStr">
        <is>
          <t>Consolidación USD</t>
        </is>
      </c>
      <c r="I1492" t="n">
        <v>40</v>
      </c>
      <c r="J1492" t="inlineStr">
        <is>
          <t>USD</t>
        </is>
      </c>
      <c r="K1492" t="inlineStr">
        <is>
          <t>Homologado desde auxiliar contable (Abril 2026 CR.xlsx). Reemplaza fuente previa (modelo/sin dato).</t>
        </is>
      </c>
      <c r="L1492" t="inlineStr">
        <is>
          <t>Internacional</t>
        </is>
      </c>
      <c r="M1492" t="inlineStr">
        <is>
          <t>Finanzas</t>
        </is>
      </c>
      <c r="N1492" t="inlineStr">
        <is>
          <t>Mensual</t>
        </is>
      </c>
    </row>
    <row r="1493">
      <c r="A1493" t="inlineStr">
        <is>
          <t>2026-04</t>
        </is>
      </c>
      <c r="B1493" t="inlineStr">
        <is>
          <t>Colombia</t>
        </is>
      </c>
      <c r="C1493" t="inlineStr">
        <is>
          <t>Coco Colombia</t>
        </is>
      </c>
      <c r="D1493" t="inlineStr">
        <is>
          <t>USD</t>
        </is>
      </c>
      <c r="E1493" t="inlineStr">
        <is>
          <t>Real</t>
        </is>
      </c>
      <c r="F1493" t="inlineStr">
        <is>
          <t>pyg_gastos_financieros</t>
        </is>
      </c>
      <c r="G1493" t="inlineStr">
        <is>
          <t>Consolidación USD</t>
        </is>
      </c>
      <c r="I1493" t="n">
        <v>1392.83</v>
      </c>
      <c r="J1493" t="inlineStr">
        <is>
          <t>USD</t>
        </is>
      </c>
      <c r="K1493" t="inlineStr">
        <is>
          <t>Consolidación subsidiarias (USD). Colombia derivado del P&amp;G oficial / TRM del mes.</t>
        </is>
      </c>
      <c r="L1493" t="inlineStr">
        <is>
          <t>Internacional</t>
        </is>
      </c>
      <c r="M1493" t="inlineStr">
        <is>
          <t>Finanzas</t>
        </is>
      </c>
      <c r="N1493" t="inlineStr">
        <is>
          <t>Mensual</t>
        </is>
      </c>
    </row>
    <row r="1494">
      <c r="A1494" t="inlineStr">
        <is>
          <t>2026-04</t>
        </is>
      </c>
      <c r="B1494" t="inlineStr">
        <is>
          <t>Consolidado</t>
        </is>
      </c>
      <c r="C1494" t="inlineStr">
        <is>
          <t>COCO Tecnologias</t>
        </is>
      </c>
      <c r="D1494" t="inlineStr">
        <is>
          <t>USD</t>
        </is>
      </c>
      <c r="E1494" t="inlineStr">
        <is>
          <t>Real</t>
        </is>
      </c>
      <c r="F1494" t="inlineStr">
        <is>
          <t>pyg_gastos_financieros</t>
        </is>
      </c>
      <c r="G1494" t="inlineStr">
        <is>
          <t>Consolidación USD</t>
        </is>
      </c>
      <c r="I1494" t="n">
        <v>1482.64</v>
      </c>
      <c r="J1494" t="inlineStr">
        <is>
          <t>USD</t>
        </is>
      </c>
      <c r="K1494" t="inlineStr">
        <is>
          <t>Recalculado: suma Colombia + EE.UU. + Peru + Costa Rica (Consolidacion USD).</t>
        </is>
      </c>
      <c r="L1494" t="inlineStr">
        <is>
          <t>Internacional</t>
        </is>
      </c>
      <c r="M1494" t="inlineStr">
        <is>
          <t>Finanzas</t>
        </is>
      </c>
      <c r="N1494" t="inlineStr">
        <is>
          <t>Mensual</t>
        </is>
      </c>
    </row>
    <row r="1495">
      <c r="A1495" t="inlineStr">
        <is>
          <t>2026-05</t>
        </is>
      </c>
      <c r="B1495" t="inlineStr">
        <is>
          <t>EE.UU.</t>
        </is>
      </c>
      <c r="C1495" t="inlineStr">
        <is>
          <t>Coco LLC</t>
        </is>
      </c>
      <c r="D1495" t="inlineStr">
        <is>
          <t>USD</t>
        </is>
      </c>
      <c r="E1495" t="inlineStr">
        <is>
          <t>Real</t>
        </is>
      </c>
      <c r="F1495" t="inlineStr">
        <is>
          <t>pyg_gastos_financieros</t>
        </is>
      </c>
      <c r="G1495" t="inlineStr">
        <is>
          <t>Consolidación USD</t>
        </is>
      </c>
      <c r="I1495" t="n">
        <v>260.62</v>
      </c>
      <c r="J1495" t="inlineStr">
        <is>
          <t>USD</t>
        </is>
      </c>
      <c r="K1495" t="inlineStr">
        <is>
          <t>Homologado desde auxiliar contable (Mayo 2026 USA.xlsx). Reemplaza fuente previa (modelo/sin dato).</t>
        </is>
      </c>
      <c r="L1495" t="inlineStr">
        <is>
          <t>Internacional</t>
        </is>
      </c>
      <c r="M1495" t="inlineStr">
        <is>
          <t>Finanzas</t>
        </is>
      </c>
      <c r="N1495" t="inlineStr">
        <is>
          <t>Mensual</t>
        </is>
      </c>
    </row>
    <row r="1496">
      <c r="A1496" t="inlineStr">
        <is>
          <t>2026-05</t>
        </is>
      </c>
      <c r="B1496" t="inlineStr">
        <is>
          <t>Perú</t>
        </is>
      </c>
      <c r="C1496" t="inlineStr">
        <is>
          <t>Coco Peru</t>
        </is>
      </c>
      <c r="D1496" t="inlineStr">
        <is>
          <t>USD</t>
        </is>
      </c>
      <c r="E1496" t="inlineStr">
        <is>
          <t>Real</t>
        </is>
      </c>
      <c r="F1496" t="inlineStr">
        <is>
          <t>pyg_gastos_financieros</t>
        </is>
      </c>
      <c r="G1496" t="inlineStr">
        <is>
          <t>Consolidación USD</t>
        </is>
      </c>
      <c r="I1496" t="n">
        <v>140.67</v>
      </c>
      <c r="J1496" t="inlineStr">
        <is>
          <t>USD</t>
        </is>
      </c>
      <c r="K1496" t="inlineStr">
        <is>
          <t>Homologado desde auxiliar contable (Mayo 2026 PERU.xlsx). Reemplaza fuente previa (modelo/sin dato).</t>
        </is>
      </c>
      <c r="L1496" t="inlineStr">
        <is>
          <t>Internacional</t>
        </is>
      </c>
      <c r="M1496" t="inlineStr">
        <is>
          <t>Finanzas</t>
        </is>
      </c>
      <c r="N1496" t="inlineStr">
        <is>
          <t>Mensual</t>
        </is>
      </c>
    </row>
    <row r="1497">
      <c r="A1497" t="inlineStr">
        <is>
          <t>2026-05</t>
        </is>
      </c>
      <c r="B1497" t="inlineStr">
        <is>
          <t>Costa Rica</t>
        </is>
      </c>
      <c r="C1497" t="inlineStr">
        <is>
          <t>Coco Costa Rica</t>
        </is>
      </c>
      <c r="D1497" t="inlineStr">
        <is>
          <t>USD</t>
        </is>
      </c>
      <c r="E1497" t="inlineStr">
        <is>
          <t>Real</t>
        </is>
      </c>
      <c r="F1497" t="inlineStr">
        <is>
          <t>pyg_gastos_financieros</t>
        </is>
      </c>
      <c r="G1497" t="inlineStr">
        <is>
          <t>Consolidación USD</t>
        </is>
      </c>
      <c r="I1497" t="n">
        <v>36</v>
      </c>
      <c r="J1497" t="inlineStr">
        <is>
          <t>USD</t>
        </is>
      </c>
      <c r="K1497" t="inlineStr">
        <is>
          <t>Homologado desde auxiliar contable (Mayo 2026 CR.xlsx). Reemplaza fuente previa (modelo/sin dato).</t>
        </is>
      </c>
      <c r="L1497" t="inlineStr">
        <is>
          <t>Internacional</t>
        </is>
      </c>
      <c r="M1497" t="inlineStr">
        <is>
          <t>Finanzas</t>
        </is>
      </c>
      <c r="N1497" t="inlineStr">
        <is>
          <t>Mensual</t>
        </is>
      </c>
    </row>
    <row r="1498">
      <c r="A1498" t="inlineStr">
        <is>
          <t>2026-05</t>
        </is>
      </c>
      <c r="B1498" t="inlineStr">
        <is>
          <t>Colombia</t>
        </is>
      </c>
      <c r="C1498" t="inlineStr">
        <is>
          <t>Coco Colombia</t>
        </is>
      </c>
      <c r="D1498" t="inlineStr">
        <is>
          <t>USD</t>
        </is>
      </c>
      <c r="E1498" t="inlineStr">
        <is>
          <t>Real</t>
        </is>
      </c>
      <c r="F1498" t="inlineStr">
        <is>
          <t>pyg_gastos_financieros</t>
        </is>
      </c>
      <c r="G1498" t="inlineStr">
        <is>
          <t>Consolidación USD</t>
        </is>
      </c>
      <c r="I1498" t="n">
        <v>1615.73</v>
      </c>
      <c r="J1498" t="inlineStr">
        <is>
          <t>USD</t>
        </is>
      </c>
      <c r="K1498" t="inlineStr">
        <is>
          <t>Consolidación subsidiarias (USD). Colombia derivado del P&amp;G oficial / TRM del mes.</t>
        </is>
      </c>
      <c r="L1498" t="inlineStr">
        <is>
          <t>Internacional</t>
        </is>
      </c>
      <c r="M1498" t="inlineStr">
        <is>
          <t>Finanzas</t>
        </is>
      </c>
      <c r="N1498" t="inlineStr">
        <is>
          <t>Mensual</t>
        </is>
      </c>
    </row>
    <row r="1499">
      <c r="A1499" t="inlineStr">
        <is>
          <t>2026-05</t>
        </is>
      </c>
      <c r="B1499" t="inlineStr">
        <is>
          <t>Consolidado</t>
        </is>
      </c>
      <c r="C1499" t="inlineStr">
        <is>
          <t>COCO Tecnologias</t>
        </is>
      </c>
      <c r="D1499" t="inlineStr">
        <is>
          <t>USD</t>
        </is>
      </c>
      <c r="E1499" t="inlineStr">
        <is>
          <t>Real</t>
        </is>
      </c>
      <c r="F1499" t="inlineStr">
        <is>
          <t>pyg_gastos_financieros</t>
        </is>
      </c>
      <c r="G1499" t="inlineStr">
        <is>
          <t>Consolidación USD</t>
        </is>
      </c>
      <c r="I1499" t="n">
        <v>2053.02</v>
      </c>
      <c r="J1499" t="inlineStr">
        <is>
          <t>USD</t>
        </is>
      </c>
      <c r="K1499" t="inlineStr">
        <is>
          <t>Recalculado: suma Colombia + EE.UU. + Peru + Costa Rica (Consolidacion USD).</t>
        </is>
      </c>
      <c r="L1499" t="inlineStr">
        <is>
          <t>Internacional</t>
        </is>
      </c>
      <c r="M1499" t="inlineStr">
        <is>
          <t>Finanzas</t>
        </is>
      </c>
      <c r="N1499" t="inlineStr">
        <is>
          <t>Mensual</t>
        </is>
      </c>
    </row>
    <row r="1500">
      <c r="A1500" t="inlineStr">
        <is>
          <t>2026-06</t>
        </is>
      </c>
      <c r="B1500" t="inlineStr">
        <is>
          <t>EE.UU.</t>
        </is>
      </c>
      <c r="C1500" t="inlineStr">
        <is>
          <t>Coco LLC</t>
        </is>
      </c>
      <c r="D1500" t="inlineStr">
        <is>
          <t>USD</t>
        </is>
      </c>
      <c r="E1500" t="inlineStr">
        <is>
          <t>Real</t>
        </is>
      </c>
      <c r="F1500" t="inlineStr">
        <is>
          <t>pyg_gastos_financieros</t>
        </is>
      </c>
      <c r="G1500" t="inlineStr">
        <is>
          <t>Consolidación USD</t>
        </is>
      </c>
      <c r="I1500" t="n">
        <v>327.06</v>
      </c>
      <c r="J1500" t="inlineStr">
        <is>
          <t>USD</t>
        </is>
      </c>
      <c r="K1500" t="inlineStr">
        <is>
          <t>Homologado desde auxiliar contable (Junio 2026 USA.xlsx). Reemplaza fuente previa (modelo/sin dato).</t>
        </is>
      </c>
      <c r="L1500" t="inlineStr">
        <is>
          <t>Internacional</t>
        </is>
      </c>
      <c r="M1500" t="inlineStr">
        <is>
          <t>Finanzas</t>
        </is>
      </c>
      <c r="N1500" t="inlineStr">
        <is>
          <t>Mensual</t>
        </is>
      </c>
    </row>
    <row r="1501">
      <c r="A1501" t="inlineStr">
        <is>
          <t>2026-06</t>
        </is>
      </c>
      <c r="B1501" t="inlineStr">
        <is>
          <t>Perú</t>
        </is>
      </c>
      <c r="C1501" t="inlineStr">
        <is>
          <t>Coco Peru</t>
        </is>
      </c>
      <c r="D1501" t="inlineStr">
        <is>
          <t>USD</t>
        </is>
      </c>
      <c r="E1501" t="inlineStr">
        <is>
          <t>Real</t>
        </is>
      </c>
      <c r="F1501" t="inlineStr">
        <is>
          <t>pyg_gastos_financieros</t>
        </is>
      </c>
      <c r="G1501" t="inlineStr">
        <is>
          <t>Consolidación USD</t>
        </is>
      </c>
      <c r="I1501" t="n">
        <v>92.26000000000001</v>
      </c>
      <c r="J1501" t="inlineStr">
        <is>
          <t>USD</t>
        </is>
      </c>
      <c r="K1501" t="inlineStr">
        <is>
          <t>Homologado desde auxiliar contable (Junio 2026 PERU.xlsx). Reemplaza fuente previa (modelo/sin dato).</t>
        </is>
      </c>
      <c r="L1501" t="inlineStr">
        <is>
          <t>Internacional</t>
        </is>
      </c>
      <c r="M1501" t="inlineStr">
        <is>
          <t>Finanzas</t>
        </is>
      </c>
      <c r="N1501" t="inlineStr">
        <is>
          <t>Mensual</t>
        </is>
      </c>
    </row>
    <row r="1502">
      <c r="A1502" t="inlineStr">
        <is>
          <t>2026-06</t>
        </is>
      </c>
      <c r="B1502" t="inlineStr">
        <is>
          <t>Costa Rica</t>
        </is>
      </c>
      <c r="C1502" t="inlineStr">
        <is>
          <t>Coco Costa Rica</t>
        </is>
      </c>
      <c r="D1502" t="inlineStr">
        <is>
          <t>USD</t>
        </is>
      </c>
      <c r="E1502" t="inlineStr">
        <is>
          <t>Real</t>
        </is>
      </c>
      <c r="F1502" t="inlineStr">
        <is>
          <t>pyg_gastos_financieros</t>
        </is>
      </c>
      <c r="G1502" t="inlineStr">
        <is>
          <t>Consolidación USD</t>
        </is>
      </c>
      <c r="I1502" t="n">
        <v>50</v>
      </c>
      <c r="J1502" t="inlineStr">
        <is>
          <t>USD</t>
        </is>
      </c>
      <c r="K1502" t="inlineStr">
        <is>
          <t>Homologado desde auxiliar contable (Junio 2026 CR.xlsx). Reemplaza fuente previa (modelo/sin dato).</t>
        </is>
      </c>
      <c r="L1502" t="inlineStr">
        <is>
          <t>Internacional</t>
        </is>
      </c>
      <c r="M1502" t="inlineStr">
        <is>
          <t>Finanzas</t>
        </is>
      </c>
      <c r="N1502" t="inlineStr">
        <is>
          <t>Mensual</t>
        </is>
      </c>
    </row>
    <row r="1503">
      <c r="A1503" t="inlineStr">
        <is>
          <t>2026-06</t>
        </is>
      </c>
      <c r="B1503" t="inlineStr">
        <is>
          <t>Colombia</t>
        </is>
      </c>
      <c r="C1503" t="inlineStr">
        <is>
          <t>Coco Colombia</t>
        </is>
      </c>
      <c r="D1503" t="inlineStr">
        <is>
          <t>USD</t>
        </is>
      </c>
      <c r="E1503" t="inlineStr">
        <is>
          <t>Real</t>
        </is>
      </c>
      <c r="F1503" t="inlineStr">
        <is>
          <t>pyg_gastos_financieros</t>
        </is>
      </c>
      <c r="G1503" t="inlineStr">
        <is>
          <t>Consolidación USD</t>
        </is>
      </c>
      <c r="I1503" t="n">
        <v>1583.93</v>
      </c>
      <c r="J1503" t="inlineStr">
        <is>
          <t>USD</t>
        </is>
      </c>
      <c r="K1503" t="inlineStr">
        <is>
          <t>Consolidación subsidiarias (USD). Colombia derivado del P&amp;G oficial / TRM del mes.</t>
        </is>
      </c>
      <c r="L1503" t="inlineStr">
        <is>
          <t>Internacional</t>
        </is>
      </c>
      <c r="M1503" t="inlineStr">
        <is>
          <t>Finanzas</t>
        </is>
      </c>
      <c r="N1503" t="inlineStr">
        <is>
          <t>Mensual</t>
        </is>
      </c>
    </row>
    <row r="1504">
      <c r="A1504" t="inlineStr">
        <is>
          <t>2026-06</t>
        </is>
      </c>
      <c r="B1504" t="inlineStr">
        <is>
          <t>Consolidado</t>
        </is>
      </c>
      <c r="C1504" t="inlineStr">
        <is>
          <t>COCO Tecnologias</t>
        </is>
      </c>
      <c r="D1504" t="inlineStr">
        <is>
          <t>USD</t>
        </is>
      </c>
      <c r="E1504" t="inlineStr">
        <is>
          <t>Real</t>
        </is>
      </c>
      <c r="F1504" t="inlineStr">
        <is>
          <t>pyg_gastos_financieros</t>
        </is>
      </c>
      <c r="G1504" t="inlineStr">
        <is>
          <t>Consolidación USD</t>
        </is>
      </c>
      <c r="I1504" t="n">
        <v>2053.25</v>
      </c>
      <c r="J1504" t="inlineStr">
        <is>
          <t>USD</t>
        </is>
      </c>
      <c r="K1504" t="inlineStr">
        <is>
          <t>Recalculado: suma Colombia + EE.UU. + Peru + Costa Rica (Consolidacion USD).</t>
        </is>
      </c>
      <c r="L1504" t="inlineStr">
        <is>
          <t>Internacional</t>
        </is>
      </c>
      <c r="M1504" t="inlineStr">
        <is>
          <t>Finanzas</t>
        </is>
      </c>
      <c r="N1504" t="inlineStr">
        <is>
          <t>Mensual</t>
        </is>
      </c>
    </row>
    <row r="1505">
      <c r="A1505" t="inlineStr">
        <is>
          <t>2026-04</t>
        </is>
      </c>
      <c r="B1505" t="inlineStr">
        <is>
          <t>EE.UU.</t>
        </is>
      </c>
      <c r="C1505" t="inlineStr">
        <is>
          <t>Coco LLC</t>
        </is>
      </c>
      <c r="D1505" t="inlineStr">
        <is>
          <t>USD</t>
        </is>
      </c>
      <c r="E1505" t="inlineStr">
        <is>
          <t>Real</t>
        </is>
      </c>
      <c r="F1505" t="inlineStr">
        <is>
          <t>pyg_utilidad_neta</t>
        </is>
      </c>
      <c r="G1505" t="inlineStr">
        <is>
          <t>Consolidación USD</t>
        </is>
      </c>
      <c r="I1505" t="n">
        <v>-1097.11</v>
      </c>
      <c r="J1505" t="inlineStr">
        <is>
          <t>USD</t>
        </is>
      </c>
      <c r="K1505" t="inlineStr">
        <is>
          <t>Homologado desde auxiliar contable (Abril 2026 USA.xlsx). Reemplaza fuente previa (modelo/sin dato).</t>
        </is>
      </c>
      <c r="L1505" t="inlineStr">
        <is>
          <t>Internacional</t>
        </is>
      </c>
      <c r="M1505" t="inlineStr">
        <is>
          <t>Finanzas</t>
        </is>
      </c>
      <c r="N1505" t="inlineStr">
        <is>
          <t>Mensual</t>
        </is>
      </c>
    </row>
    <row r="1506">
      <c r="A1506" t="inlineStr">
        <is>
          <t>2026-04</t>
        </is>
      </c>
      <c r="B1506" t="inlineStr">
        <is>
          <t>Perú</t>
        </is>
      </c>
      <c r="C1506" t="inlineStr">
        <is>
          <t>Coco Peru</t>
        </is>
      </c>
      <c r="D1506" t="inlineStr">
        <is>
          <t>USD</t>
        </is>
      </c>
      <c r="E1506" t="inlineStr">
        <is>
          <t>Real</t>
        </is>
      </c>
      <c r="F1506" t="inlineStr">
        <is>
          <t>pyg_utilidad_neta</t>
        </is>
      </c>
      <c r="G1506" t="inlineStr">
        <is>
          <t>Consolidación USD</t>
        </is>
      </c>
      <c r="I1506" t="n">
        <v>81.54000000000001</v>
      </c>
      <c r="J1506" t="inlineStr">
        <is>
          <t>USD</t>
        </is>
      </c>
      <c r="K1506" t="inlineStr">
        <is>
          <t>Homologado desde auxiliar contable (V4 Abril 2026 PERU.xlsx). Reemplaza fuente previa (modelo/sin dato).</t>
        </is>
      </c>
      <c r="L1506" t="inlineStr">
        <is>
          <t>Internacional</t>
        </is>
      </c>
      <c r="M1506" t="inlineStr">
        <is>
          <t>Finanzas</t>
        </is>
      </c>
      <c r="N1506" t="inlineStr">
        <is>
          <t>Mensual</t>
        </is>
      </c>
    </row>
    <row r="1507">
      <c r="A1507" t="inlineStr">
        <is>
          <t>2026-04</t>
        </is>
      </c>
      <c r="B1507" t="inlineStr">
        <is>
          <t>Costa Rica</t>
        </is>
      </c>
      <c r="C1507" t="inlineStr">
        <is>
          <t>Coco Costa Rica</t>
        </is>
      </c>
      <c r="D1507" t="inlineStr">
        <is>
          <t>USD</t>
        </is>
      </c>
      <c r="E1507" t="inlineStr">
        <is>
          <t>Real</t>
        </is>
      </c>
      <c r="F1507" t="inlineStr">
        <is>
          <t>pyg_utilidad_neta</t>
        </is>
      </c>
      <c r="G1507" t="inlineStr">
        <is>
          <t>Consolidación USD</t>
        </is>
      </c>
      <c r="I1507" t="n">
        <v>-11319.07</v>
      </c>
      <c r="J1507" t="inlineStr">
        <is>
          <t>USD</t>
        </is>
      </c>
      <c r="K1507" t="inlineStr">
        <is>
          <t>Homologado desde auxiliar contable (Abril 2026 CR.xlsx). Reemplaza fuente previa (modelo/sin dato).</t>
        </is>
      </c>
      <c r="L1507" t="inlineStr">
        <is>
          <t>Internacional</t>
        </is>
      </c>
      <c r="M1507" t="inlineStr">
        <is>
          <t>Finanzas</t>
        </is>
      </c>
      <c r="N1507" t="inlineStr">
        <is>
          <t>Mensual</t>
        </is>
      </c>
    </row>
    <row r="1508">
      <c r="A1508" t="inlineStr">
        <is>
          <t>2026-04</t>
        </is>
      </c>
      <c r="B1508" t="inlineStr">
        <is>
          <t>Colombia</t>
        </is>
      </c>
      <c r="C1508" t="inlineStr">
        <is>
          <t>Coco Colombia</t>
        </is>
      </c>
      <c r="D1508" t="inlineStr">
        <is>
          <t>USD</t>
        </is>
      </c>
      <c r="E1508" t="inlineStr">
        <is>
          <t>Real</t>
        </is>
      </c>
      <c r="F1508" t="inlineStr">
        <is>
          <t>pyg_utilidad_neta</t>
        </is>
      </c>
      <c r="G1508" t="inlineStr">
        <is>
          <t>Consolidación USD</t>
        </is>
      </c>
      <c r="I1508" t="n">
        <v>195.22</v>
      </c>
      <c r="J1508" t="inlineStr">
        <is>
          <t>USD</t>
        </is>
      </c>
      <c r="K1508" t="inlineStr">
        <is>
          <t>Consolidación subsidiarias (USD). Colombia derivado del P&amp;G oficial / TRM del mes.</t>
        </is>
      </c>
      <c r="L1508" t="inlineStr">
        <is>
          <t>Internacional</t>
        </is>
      </c>
      <c r="M1508" t="inlineStr">
        <is>
          <t>Finanzas</t>
        </is>
      </c>
      <c r="N1508" t="inlineStr">
        <is>
          <t>Mensual</t>
        </is>
      </c>
    </row>
    <row r="1509">
      <c r="A1509" t="inlineStr">
        <is>
          <t>2026-04</t>
        </is>
      </c>
      <c r="B1509" t="inlineStr">
        <is>
          <t>Consolidado</t>
        </is>
      </c>
      <c r="C1509" t="inlineStr">
        <is>
          <t>COCO Tecnologias</t>
        </is>
      </c>
      <c r="D1509" t="inlineStr">
        <is>
          <t>USD</t>
        </is>
      </c>
      <c r="E1509" t="inlineStr">
        <is>
          <t>Real</t>
        </is>
      </c>
      <c r="F1509" t="inlineStr">
        <is>
          <t>pyg_utilidad_neta</t>
        </is>
      </c>
      <c r="G1509" t="inlineStr">
        <is>
          <t>Consolidación USD</t>
        </is>
      </c>
      <c r="I1509" t="n">
        <v>-12139.42</v>
      </c>
      <c r="J1509" t="inlineStr">
        <is>
          <t>USD</t>
        </is>
      </c>
      <c r="K1509" t="inlineStr">
        <is>
          <t>Recalculado: suma Colombia + EE.UU. + Peru + Costa Rica (Consolidacion USD).</t>
        </is>
      </c>
      <c r="L1509" t="inlineStr">
        <is>
          <t>Internacional</t>
        </is>
      </c>
      <c r="M1509" t="inlineStr">
        <is>
          <t>Finanzas</t>
        </is>
      </c>
      <c r="N1509" t="inlineStr">
        <is>
          <t>Mensual</t>
        </is>
      </c>
    </row>
    <row r="1510">
      <c r="A1510" t="inlineStr">
        <is>
          <t>2026-05</t>
        </is>
      </c>
      <c r="B1510" t="inlineStr">
        <is>
          <t>EE.UU.</t>
        </is>
      </c>
      <c r="C1510" t="inlineStr">
        <is>
          <t>Coco LLC</t>
        </is>
      </c>
      <c r="D1510" t="inlineStr">
        <is>
          <t>USD</t>
        </is>
      </c>
      <c r="E1510" t="inlineStr">
        <is>
          <t>Real</t>
        </is>
      </c>
      <c r="F1510" t="inlineStr">
        <is>
          <t>pyg_utilidad_neta</t>
        </is>
      </c>
      <c r="G1510" t="inlineStr">
        <is>
          <t>Consolidación USD</t>
        </is>
      </c>
      <c r="I1510" t="n">
        <v>-9739.629999999999</v>
      </c>
      <c r="J1510" t="inlineStr">
        <is>
          <t>USD</t>
        </is>
      </c>
      <c r="K1510" t="inlineStr">
        <is>
          <t>Homologado desde auxiliar contable (Mayo 2026 USA.xlsx). Reemplaza fuente previa (modelo/sin dato).</t>
        </is>
      </c>
      <c r="L1510" t="inlineStr">
        <is>
          <t>Internacional</t>
        </is>
      </c>
      <c r="M1510" t="inlineStr">
        <is>
          <t>Finanzas</t>
        </is>
      </c>
      <c r="N1510" t="inlineStr">
        <is>
          <t>Mensual</t>
        </is>
      </c>
    </row>
    <row r="1511">
      <c r="A1511" t="inlineStr">
        <is>
          <t>2026-05</t>
        </is>
      </c>
      <c r="B1511" t="inlineStr">
        <is>
          <t>Perú</t>
        </is>
      </c>
      <c r="C1511" t="inlineStr">
        <is>
          <t>Coco Peru</t>
        </is>
      </c>
      <c r="D1511" t="inlineStr">
        <is>
          <t>USD</t>
        </is>
      </c>
      <c r="E1511" t="inlineStr">
        <is>
          <t>Real</t>
        </is>
      </c>
      <c r="F1511" t="inlineStr">
        <is>
          <t>pyg_utilidad_neta</t>
        </is>
      </c>
      <c r="G1511" t="inlineStr">
        <is>
          <t>Consolidación USD</t>
        </is>
      </c>
      <c r="I1511" t="n">
        <v>-9964.66</v>
      </c>
      <c r="J1511" t="inlineStr">
        <is>
          <t>USD</t>
        </is>
      </c>
      <c r="K1511" t="inlineStr">
        <is>
          <t>Homologado desde auxiliar contable (Mayo 2026 PERU.xlsx). Reemplaza fuente previa (modelo/sin dato).</t>
        </is>
      </c>
      <c r="L1511" t="inlineStr">
        <is>
          <t>Internacional</t>
        </is>
      </c>
      <c r="M1511" t="inlineStr">
        <is>
          <t>Finanzas</t>
        </is>
      </c>
      <c r="N1511" t="inlineStr">
        <is>
          <t>Mensual</t>
        </is>
      </c>
    </row>
    <row r="1512">
      <c r="A1512" t="inlineStr">
        <is>
          <t>2026-05</t>
        </is>
      </c>
      <c r="B1512" t="inlineStr">
        <is>
          <t>Costa Rica</t>
        </is>
      </c>
      <c r="C1512" t="inlineStr">
        <is>
          <t>Coco Costa Rica</t>
        </is>
      </c>
      <c r="D1512" t="inlineStr">
        <is>
          <t>USD</t>
        </is>
      </c>
      <c r="E1512" t="inlineStr">
        <is>
          <t>Real</t>
        </is>
      </c>
      <c r="F1512" t="inlineStr">
        <is>
          <t>pyg_utilidad_neta</t>
        </is>
      </c>
      <c r="G1512" t="inlineStr">
        <is>
          <t>Consolidación USD</t>
        </is>
      </c>
      <c r="I1512" t="n">
        <v>-1393.8</v>
      </c>
      <c r="J1512" t="inlineStr">
        <is>
          <t>USD</t>
        </is>
      </c>
      <c r="K1512" t="inlineStr">
        <is>
          <t>Homologado desde auxiliar contable (Mayo 2026 CR.xlsx). Reemplaza fuente previa (modelo/sin dato).</t>
        </is>
      </c>
      <c r="L1512" t="inlineStr">
        <is>
          <t>Internacional</t>
        </is>
      </c>
      <c r="M1512" t="inlineStr">
        <is>
          <t>Finanzas</t>
        </is>
      </c>
      <c r="N1512" t="inlineStr">
        <is>
          <t>Mensual</t>
        </is>
      </c>
    </row>
    <row r="1513">
      <c r="A1513" t="inlineStr">
        <is>
          <t>2026-05</t>
        </is>
      </c>
      <c r="B1513" t="inlineStr">
        <is>
          <t>Colombia</t>
        </is>
      </c>
      <c r="C1513" t="inlineStr">
        <is>
          <t>Coco Colombia</t>
        </is>
      </c>
      <c r="D1513" t="inlineStr">
        <is>
          <t>USD</t>
        </is>
      </c>
      <c r="E1513" t="inlineStr">
        <is>
          <t>Real</t>
        </is>
      </c>
      <c r="F1513" t="inlineStr">
        <is>
          <t>pyg_utilidad_neta</t>
        </is>
      </c>
      <c r="G1513" t="inlineStr">
        <is>
          <t>Consolidación USD</t>
        </is>
      </c>
      <c r="I1513" t="n">
        <v>29179.96</v>
      </c>
      <c r="J1513" t="inlineStr">
        <is>
          <t>USD</t>
        </is>
      </c>
      <c r="K1513" t="inlineStr">
        <is>
          <t>Consolidación subsidiarias (USD). Colombia derivado del P&amp;G oficial / TRM del mes.</t>
        </is>
      </c>
      <c r="L1513" t="inlineStr">
        <is>
          <t>Internacional</t>
        </is>
      </c>
      <c r="M1513" t="inlineStr">
        <is>
          <t>Finanzas</t>
        </is>
      </c>
      <c r="N1513" t="inlineStr">
        <is>
          <t>Mensual</t>
        </is>
      </c>
    </row>
    <row r="1514">
      <c r="A1514" t="inlineStr">
        <is>
          <t>2026-05</t>
        </is>
      </c>
      <c r="B1514" t="inlineStr">
        <is>
          <t>Consolidado</t>
        </is>
      </c>
      <c r="C1514" t="inlineStr">
        <is>
          <t>COCO Tecnologias</t>
        </is>
      </c>
      <c r="D1514" t="inlineStr">
        <is>
          <t>USD</t>
        </is>
      </c>
      <c r="E1514" t="inlineStr">
        <is>
          <t>Real</t>
        </is>
      </c>
      <c r="F1514" t="inlineStr">
        <is>
          <t>pyg_utilidad_neta</t>
        </is>
      </c>
      <c r="G1514" t="inlineStr">
        <is>
          <t>Consolidación USD</t>
        </is>
      </c>
      <c r="I1514" t="n">
        <v>8081.87</v>
      </c>
      <c r="J1514" t="inlineStr">
        <is>
          <t>USD</t>
        </is>
      </c>
      <c r="K1514" t="inlineStr">
        <is>
          <t>Recalculado: suma Colombia + EE.UU. + Peru + Costa Rica (Consolidacion USD).</t>
        </is>
      </c>
      <c r="L1514" t="inlineStr">
        <is>
          <t>Internacional</t>
        </is>
      </c>
      <c r="M1514" t="inlineStr">
        <is>
          <t>Finanzas</t>
        </is>
      </c>
      <c r="N1514" t="inlineStr">
        <is>
          <t>Mensual</t>
        </is>
      </c>
    </row>
    <row r="1515">
      <c r="A1515" t="inlineStr">
        <is>
          <t>2026-06</t>
        </is>
      </c>
      <c r="B1515" t="inlineStr">
        <is>
          <t>EE.UU.</t>
        </is>
      </c>
      <c r="C1515" t="inlineStr">
        <is>
          <t>Coco LLC</t>
        </is>
      </c>
      <c r="D1515" t="inlineStr">
        <is>
          <t>USD</t>
        </is>
      </c>
      <c r="E1515" t="inlineStr">
        <is>
          <t>Real</t>
        </is>
      </c>
      <c r="F1515" t="inlineStr">
        <is>
          <t>pyg_utilidad_neta</t>
        </is>
      </c>
      <c r="G1515" t="inlineStr">
        <is>
          <t>Consolidación USD</t>
        </is>
      </c>
      <c r="I1515" t="n">
        <v>-13499.87</v>
      </c>
      <c r="J1515" t="inlineStr">
        <is>
          <t>USD</t>
        </is>
      </c>
      <c r="K1515" t="inlineStr">
        <is>
          <t>Homologado desde auxiliar contable (Junio 2026 USA.xlsx). Reemplaza fuente previa (modelo/sin dato).</t>
        </is>
      </c>
      <c r="L1515" t="inlineStr">
        <is>
          <t>Internacional</t>
        </is>
      </c>
      <c r="M1515" t="inlineStr">
        <is>
          <t>Finanzas</t>
        </is>
      </c>
      <c r="N1515" t="inlineStr">
        <is>
          <t>Mensual</t>
        </is>
      </c>
    </row>
    <row r="1516">
      <c r="A1516" t="inlineStr">
        <is>
          <t>2026-06</t>
        </is>
      </c>
      <c r="B1516" t="inlineStr">
        <is>
          <t>Perú</t>
        </is>
      </c>
      <c r="C1516" t="inlineStr">
        <is>
          <t>Coco Peru</t>
        </is>
      </c>
      <c r="D1516" t="inlineStr">
        <is>
          <t>USD</t>
        </is>
      </c>
      <c r="E1516" t="inlineStr">
        <is>
          <t>Real</t>
        </is>
      </c>
      <c r="F1516" t="inlineStr">
        <is>
          <t>pyg_utilidad_neta</t>
        </is>
      </c>
      <c r="G1516" t="inlineStr">
        <is>
          <t>Consolidación USD</t>
        </is>
      </c>
      <c r="I1516" t="n">
        <v>-1823.26</v>
      </c>
      <c r="J1516" t="inlineStr">
        <is>
          <t>USD</t>
        </is>
      </c>
      <c r="K1516" t="inlineStr">
        <is>
          <t>Homologado desde auxiliar contable (Junio 2026 PERU.xlsx). Reemplaza fuente previa (modelo/sin dato).</t>
        </is>
      </c>
      <c r="L1516" t="inlineStr">
        <is>
          <t>Internacional</t>
        </is>
      </c>
      <c r="M1516" t="inlineStr">
        <is>
          <t>Finanzas</t>
        </is>
      </c>
      <c r="N1516" t="inlineStr">
        <is>
          <t>Mensual</t>
        </is>
      </c>
    </row>
    <row r="1517">
      <c r="A1517" t="inlineStr">
        <is>
          <t>2026-06</t>
        </is>
      </c>
      <c r="B1517" t="inlineStr">
        <is>
          <t>Costa Rica</t>
        </is>
      </c>
      <c r="C1517" t="inlineStr">
        <is>
          <t>Coco Costa Rica</t>
        </is>
      </c>
      <c r="D1517" t="inlineStr">
        <is>
          <t>USD</t>
        </is>
      </c>
      <c r="E1517" t="inlineStr">
        <is>
          <t>Real</t>
        </is>
      </c>
      <c r="F1517" t="inlineStr">
        <is>
          <t>pyg_utilidad_neta</t>
        </is>
      </c>
      <c r="G1517" t="inlineStr">
        <is>
          <t>Consolidación USD</t>
        </is>
      </c>
      <c r="I1517" t="n">
        <v>-2671.99</v>
      </c>
      <c r="J1517" t="inlineStr">
        <is>
          <t>USD</t>
        </is>
      </c>
      <c r="K1517" t="inlineStr">
        <is>
          <t>Homologado desde auxiliar contable (Junio 2026 CR.xlsx). Reemplaza fuente previa (modelo/sin dato).</t>
        </is>
      </c>
      <c r="L1517" t="inlineStr">
        <is>
          <t>Internacional</t>
        </is>
      </c>
      <c r="M1517" t="inlineStr">
        <is>
          <t>Finanzas</t>
        </is>
      </c>
      <c r="N1517" t="inlineStr">
        <is>
          <t>Mensual</t>
        </is>
      </c>
    </row>
    <row r="1518">
      <c r="A1518" t="inlineStr">
        <is>
          <t>2026-06</t>
        </is>
      </c>
      <c r="B1518" t="inlineStr">
        <is>
          <t>Colombia</t>
        </is>
      </c>
      <c r="C1518" t="inlineStr">
        <is>
          <t>Coco Colombia</t>
        </is>
      </c>
      <c r="D1518" t="inlineStr">
        <is>
          <t>USD</t>
        </is>
      </c>
      <c r="E1518" t="inlineStr">
        <is>
          <t>Real</t>
        </is>
      </c>
      <c r="F1518" t="inlineStr">
        <is>
          <t>pyg_utilidad_neta</t>
        </is>
      </c>
      <c r="G1518" t="inlineStr">
        <is>
          <t>Consolidación USD</t>
        </is>
      </c>
      <c r="I1518" t="n">
        <v>9512.440000000001</v>
      </c>
      <c r="J1518" t="inlineStr">
        <is>
          <t>USD</t>
        </is>
      </c>
      <c r="K1518" t="inlineStr">
        <is>
          <t>Consolidación subsidiarias (USD). Colombia derivado del P&amp;G oficial / TRM del mes.</t>
        </is>
      </c>
      <c r="L1518" t="inlineStr">
        <is>
          <t>Internacional</t>
        </is>
      </c>
      <c r="M1518" t="inlineStr">
        <is>
          <t>Finanzas</t>
        </is>
      </c>
      <c r="N1518" t="inlineStr">
        <is>
          <t>Mensual</t>
        </is>
      </c>
    </row>
    <row r="1519">
      <c r="A1519" t="inlineStr">
        <is>
          <t>2026-06</t>
        </is>
      </c>
      <c r="B1519" t="inlineStr">
        <is>
          <t>Consolidado</t>
        </is>
      </c>
      <c r="C1519" t="inlineStr">
        <is>
          <t>COCO Tecnologias</t>
        </is>
      </c>
      <c r="D1519" t="inlineStr">
        <is>
          <t>USD</t>
        </is>
      </c>
      <c r="E1519" t="inlineStr">
        <is>
          <t>Real</t>
        </is>
      </c>
      <c r="F1519" t="inlineStr">
        <is>
          <t>pyg_utilidad_neta</t>
        </is>
      </c>
      <c r="G1519" t="inlineStr">
        <is>
          <t>Consolidación USD</t>
        </is>
      </c>
      <c r="I1519" t="n">
        <v>-8482.68</v>
      </c>
      <c r="J1519" t="inlineStr">
        <is>
          <t>USD</t>
        </is>
      </c>
      <c r="K1519" t="inlineStr">
        <is>
          <t>Recalculado: suma Colombia + EE.UU. + Peru + Costa Rica (Consolidacion USD).</t>
        </is>
      </c>
      <c r="L1519" t="inlineStr">
        <is>
          <t>Internacional</t>
        </is>
      </c>
      <c r="M1519" t="inlineStr">
        <is>
          <t>Finanzas</t>
        </is>
      </c>
      <c r="N1519" t="inlineStr">
        <is>
          <t>Mensual</t>
        </is>
      </c>
    </row>
    <row r="1520">
      <c r="A1520" t="inlineStr">
        <is>
          <t>2026-04</t>
        </is>
      </c>
      <c r="B1520" t="inlineStr">
        <is>
          <t>Perú</t>
        </is>
      </c>
      <c r="C1520" t="inlineStr">
        <is>
          <t>Coco Perú</t>
        </is>
      </c>
      <c r="D1520" t="inlineStr">
        <is>
          <t>USD</t>
        </is>
      </c>
      <c r="E1520" t="inlineStr">
        <is>
          <t>Real</t>
        </is>
      </c>
      <c r="F1520" t="inlineStr">
        <is>
          <t>proinnovate_ingresos</t>
        </is>
      </c>
      <c r="G1520" t="inlineStr">
        <is>
          <t>PROINNOVATE</t>
        </is>
      </c>
      <c r="I1520" t="n">
        <v>22965.15</v>
      </c>
      <c r="J1520" t="inlineStr">
        <is>
          <t>USD</t>
        </is>
      </c>
      <c r="K1520" t="inlineStr">
        <is>
          <t>Programa PROINNOVATE Perú (no incluido en consolidado P&amp;G)</t>
        </is>
      </c>
      <c r="L1520" t="inlineStr">
        <is>
          <t>Internacional</t>
        </is>
      </c>
      <c r="M1520" t="inlineStr">
        <is>
          <t>Finanzas</t>
        </is>
      </c>
      <c r="N1520" t="inlineStr">
        <is>
          <t>Mensual</t>
        </is>
      </c>
    </row>
    <row r="1521">
      <c r="A1521" t="inlineStr">
        <is>
          <t>2026-05</t>
        </is>
      </c>
      <c r="B1521" t="inlineStr">
        <is>
          <t>Perú</t>
        </is>
      </c>
      <c r="C1521" t="inlineStr">
        <is>
          <t>Coco Perú</t>
        </is>
      </c>
      <c r="D1521" t="inlineStr">
        <is>
          <t>USD</t>
        </is>
      </c>
      <c r="E1521" t="inlineStr">
        <is>
          <t>Real</t>
        </is>
      </c>
      <c r="F1521" t="inlineStr">
        <is>
          <t>proinnovate_ingresos</t>
        </is>
      </c>
      <c r="G1521" t="inlineStr">
        <is>
          <t>PROINNOVATE</t>
        </is>
      </c>
      <c r="I1521" t="n">
        <v>0</v>
      </c>
      <c r="J1521" t="inlineStr">
        <is>
          <t>USD</t>
        </is>
      </c>
      <c r="K1521" t="inlineStr">
        <is>
          <t>Programa PROINNOVATE Perú (no incluido en consolidado P&amp;G)</t>
        </is>
      </c>
      <c r="L1521" t="inlineStr">
        <is>
          <t>Internacional</t>
        </is>
      </c>
      <c r="M1521" t="inlineStr">
        <is>
          <t>Finanzas</t>
        </is>
      </c>
      <c r="N1521" t="inlineStr">
        <is>
          <t>Mensual</t>
        </is>
      </c>
    </row>
    <row r="1522">
      <c r="A1522" t="inlineStr">
        <is>
          <t>2026-06</t>
        </is>
      </c>
      <c r="B1522" t="inlineStr">
        <is>
          <t>Perú</t>
        </is>
      </c>
      <c r="C1522" t="inlineStr">
        <is>
          <t>Coco Perú</t>
        </is>
      </c>
      <c r="D1522" t="inlineStr">
        <is>
          <t>USD</t>
        </is>
      </c>
      <c r="E1522" t="inlineStr">
        <is>
          <t>Real</t>
        </is>
      </c>
      <c r="F1522" t="inlineStr">
        <is>
          <t>proinnovate_ingresos</t>
        </is>
      </c>
      <c r="G1522" t="inlineStr">
        <is>
          <t>PROINNOVATE</t>
        </is>
      </c>
      <c r="I1522" t="n">
        <v>1380.84</v>
      </c>
      <c r="J1522" t="inlineStr">
        <is>
          <t>USD</t>
        </is>
      </c>
      <c r="K1522" t="inlineStr">
        <is>
          <t>Programa PROINNOVATE Perú (no incluido en consolidado P&amp;G)</t>
        </is>
      </c>
      <c r="L1522" t="inlineStr">
        <is>
          <t>Internacional</t>
        </is>
      </c>
      <c r="M1522" t="inlineStr">
        <is>
          <t>Finanzas</t>
        </is>
      </c>
      <c r="N1522" t="inlineStr">
        <is>
          <t>Mensual</t>
        </is>
      </c>
    </row>
    <row r="1523">
      <c r="A1523" t="inlineStr">
        <is>
          <t>2026-04</t>
        </is>
      </c>
      <c r="B1523" t="inlineStr">
        <is>
          <t>Perú</t>
        </is>
      </c>
      <c r="C1523" t="inlineStr">
        <is>
          <t>Coco Perú</t>
        </is>
      </c>
      <c r="D1523" t="inlineStr">
        <is>
          <t>USD</t>
        </is>
      </c>
      <c r="E1523" t="inlineStr">
        <is>
          <t>Real</t>
        </is>
      </c>
      <c r="F1523" t="inlineStr">
        <is>
          <t>proinnovate_gastos</t>
        </is>
      </c>
      <c r="G1523" t="inlineStr">
        <is>
          <t>PROINNOVATE</t>
        </is>
      </c>
      <c r="I1523" t="n">
        <v>6982.98</v>
      </c>
      <c r="J1523" t="inlineStr">
        <is>
          <t>USD</t>
        </is>
      </c>
      <c r="K1523" t="inlineStr">
        <is>
          <t>Programa PROINNOVATE Perú (no incluido en consolidado P&amp;G)</t>
        </is>
      </c>
      <c r="L1523" t="inlineStr">
        <is>
          <t>Internacional</t>
        </is>
      </c>
      <c r="M1523" t="inlineStr">
        <is>
          <t>Finanzas</t>
        </is>
      </c>
      <c r="N1523" t="inlineStr">
        <is>
          <t>Mensual</t>
        </is>
      </c>
    </row>
    <row r="1524">
      <c r="A1524" t="inlineStr">
        <is>
          <t>2026-05</t>
        </is>
      </c>
      <c r="B1524" t="inlineStr">
        <is>
          <t>Perú</t>
        </is>
      </c>
      <c r="C1524" t="inlineStr">
        <is>
          <t>Coco Perú</t>
        </is>
      </c>
      <c r="D1524" t="inlineStr">
        <is>
          <t>USD</t>
        </is>
      </c>
      <c r="E1524" t="inlineStr">
        <is>
          <t>Real</t>
        </is>
      </c>
      <c r="F1524" t="inlineStr">
        <is>
          <t>proinnovate_gastos</t>
        </is>
      </c>
      <c r="G1524" t="inlineStr">
        <is>
          <t>PROINNOVATE</t>
        </is>
      </c>
      <c r="I1524" t="n">
        <v>6069.63</v>
      </c>
      <c r="J1524" t="inlineStr">
        <is>
          <t>USD</t>
        </is>
      </c>
      <c r="K1524" t="inlineStr">
        <is>
          <t>Programa PROINNOVATE Perú (no incluido en consolidado P&amp;G)</t>
        </is>
      </c>
      <c r="L1524" t="inlineStr">
        <is>
          <t>Internacional</t>
        </is>
      </c>
      <c r="M1524" t="inlineStr">
        <is>
          <t>Finanzas</t>
        </is>
      </c>
      <c r="N1524" t="inlineStr">
        <is>
          <t>Mensual</t>
        </is>
      </c>
    </row>
    <row r="1525">
      <c r="A1525" t="inlineStr">
        <is>
          <t>2026-06</t>
        </is>
      </c>
      <c r="B1525" t="inlineStr">
        <is>
          <t>Perú</t>
        </is>
      </c>
      <c r="C1525" t="inlineStr">
        <is>
          <t>Coco Perú</t>
        </is>
      </c>
      <c r="D1525" t="inlineStr">
        <is>
          <t>USD</t>
        </is>
      </c>
      <c r="E1525" t="inlineStr">
        <is>
          <t>Real</t>
        </is>
      </c>
      <c r="F1525" t="inlineStr">
        <is>
          <t>proinnovate_gastos</t>
        </is>
      </c>
      <c r="G1525" t="inlineStr">
        <is>
          <t>PROINNOVATE</t>
        </is>
      </c>
      <c r="I1525" t="n">
        <v>2166.36</v>
      </c>
      <c r="J1525" t="inlineStr">
        <is>
          <t>USD</t>
        </is>
      </c>
      <c r="K1525" t="inlineStr">
        <is>
          <t>Programa PROINNOVATE Perú (no incluido en consolidado P&amp;G)</t>
        </is>
      </c>
      <c r="L1525" t="inlineStr">
        <is>
          <t>Internacional</t>
        </is>
      </c>
      <c r="M1525" t="inlineStr">
        <is>
          <t>Finanzas</t>
        </is>
      </c>
      <c r="N1525" t="inlineStr">
        <is>
          <t>Mensual</t>
        </is>
      </c>
    </row>
    <row r="1526">
      <c r="A1526" t="inlineStr">
        <is>
          <t>2026-04</t>
        </is>
      </c>
      <c r="B1526" t="inlineStr">
        <is>
          <t>Perú</t>
        </is>
      </c>
      <c r="C1526" t="inlineStr">
        <is>
          <t>Coco Perú</t>
        </is>
      </c>
      <c r="D1526" t="inlineStr">
        <is>
          <t>USD</t>
        </is>
      </c>
      <c r="E1526" t="inlineStr">
        <is>
          <t>Real</t>
        </is>
      </c>
      <c r="F1526" t="inlineStr">
        <is>
          <t>proinnovate_resultado</t>
        </is>
      </c>
      <c r="G1526" t="inlineStr">
        <is>
          <t>PROINNOVATE</t>
        </is>
      </c>
      <c r="I1526" t="n">
        <v>15982.17</v>
      </c>
      <c r="J1526" t="inlineStr">
        <is>
          <t>USD</t>
        </is>
      </c>
      <c r="K1526" t="inlineStr">
        <is>
          <t>Programa PROINNOVATE Perú (no incluido en consolidado P&amp;G)</t>
        </is>
      </c>
      <c r="L1526" t="inlineStr">
        <is>
          <t>Internacional</t>
        </is>
      </c>
      <c r="M1526" t="inlineStr">
        <is>
          <t>Finanzas</t>
        </is>
      </c>
      <c r="N1526" t="inlineStr">
        <is>
          <t>Mensual</t>
        </is>
      </c>
    </row>
    <row r="1527">
      <c r="A1527" t="inlineStr">
        <is>
          <t>2026-05</t>
        </is>
      </c>
      <c r="B1527" t="inlineStr">
        <is>
          <t>Perú</t>
        </is>
      </c>
      <c r="C1527" t="inlineStr">
        <is>
          <t>Coco Perú</t>
        </is>
      </c>
      <c r="D1527" t="inlineStr">
        <is>
          <t>USD</t>
        </is>
      </c>
      <c r="E1527" t="inlineStr">
        <is>
          <t>Real</t>
        </is>
      </c>
      <c r="F1527" t="inlineStr">
        <is>
          <t>proinnovate_resultado</t>
        </is>
      </c>
      <c r="G1527" t="inlineStr">
        <is>
          <t>PROINNOVATE</t>
        </is>
      </c>
      <c r="I1527" t="n">
        <v>-6069.63</v>
      </c>
      <c r="J1527" t="inlineStr">
        <is>
          <t>USD</t>
        </is>
      </c>
      <c r="K1527" t="inlineStr">
        <is>
          <t>Programa PROINNOVATE Perú (no incluido en consolidado P&amp;G)</t>
        </is>
      </c>
      <c r="L1527" t="inlineStr">
        <is>
          <t>Internacional</t>
        </is>
      </c>
      <c r="M1527" t="inlineStr">
        <is>
          <t>Finanzas</t>
        </is>
      </c>
      <c r="N1527" t="inlineStr">
        <is>
          <t>Mensual</t>
        </is>
      </c>
    </row>
    <row r="1528">
      <c r="A1528" t="inlineStr">
        <is>
          <t>2026-06</t>
        </is>
      </c>
      <c r="B1528" t="inlineStr">
        <is>
          <t>Perú</t>
        </is>
      </c>
      <c r="C1528" t="inlineStr">
        <is>
          <t>Coco Perú</t>
        </is>
      </c>
      <c r="D1528" t="inlineStr">
        <is>
          <t>USD</t>
        </is>
      </c>
      <c r="E1528" t="inlineStr">
        <is>
          <t>Real</t>
        </is>
      </c>
      <c r="F1528" t="inlineStr">
        <is>
          <t>proinnovate_resultado</t>
        </is>
      </c>
      <c r="G1528" t="inlineStr">
        <is>
          <t>PROINNOVATE</t>
        </is>
      </c>
      <c r="I1528" t="n">
        <v>-785.52</v>
      </c>
      <c r="J1528" t="inlineStr">
        <is>
          <t>USD</t>
        </is>
      </c>
      <c r="K1528" t="inlineStr">
        <is>
          <t>Programa PROINNOVATE Perú (no incluido en consolidado P&amp;G)</t>
        </is>
      </c>
      <c r="L1528" t="inlineStr">
        <is>
          <t>Internacional</t>
        </is>
      </c>
      <c r="M1528" t="inlineStr">
        <is>
          <t>Finanzas</t>
        </is>
      </c>
      <c r="N1528" t="inlineStr">
        <is>
          <t>Mensual</t>
        </is>
      </c>
    </row>
    <row r="1529">
      <c r="A1529" t="inlineStr">
        <is>
          <t>2026-01</t>
        </is>
      </c>
      <c r="B1529" t="inlineStr">
        <is>
          <t>Colombia</t>
        </is>
      </c>
      <c r="C1529" t="inlineStr">
        <is>
          <t>Coco Colombia</t>
        </is>
      </c>
      <c r="D1529" t="inlineStr">
        <is>
          <t>COP</t>
        </is>
      </c>
      <c r="E1529" t="inlineStr">
        <is>
          <t>Presupuesto</t>
        </is>
      </c>
      <c r="F1529" t="inlineStr">
        <is>
          <t>ingresos_totales</t>
        </is>
      </c>
      <c r="I1529" t="n">
        <v>744928000</v>
      </c>
      <c r="J1529" t="inlineStr">
        <is>
          <t>COP</t>
        </is>
      </c>
      <c r="K1529" t="inlineStr">
        <is>
          <t>Presupuesto combinado 2026 · versión aplicada: Original 4.5M · TRM plan 4.000</t>
        </is>
      </c>
      <c r="L1529" t="inlineStr">
        <is>
          <t>Finanzas</t>
        </is>
      </c>
      <c r="M1529" t="inlineStr">
        <is>
          <t>Finanzas</t>
        </is>
      </c>
      <c r="N1529" t="inlineStr">
        <is>
          <t>Mensual</t>
        </is>
      </c>
    </row>
    <row r="1530">
      <c r="A1530" t="inlineStr">
        <is>
          <t>2026-01</t>
        </is>
      </c>
      <c r="B1530" t="inlineStr">
        <is>
          <t>Colombia</t>
        </is>
      </c>
      <c r="C1530" t="inlineStr">
        <is>
          <t>Coco Colombia</t>
        </is>
      </c>
      <c r="D1530" t="inlineStr">
        <is>
          <t>COP</t>
        </is>
      </c>
      <c r="E1530" t="inlineStr">
        <is>
          <t>Presupuesto</t>
        </is>
      </c>
      <c r="F1530" t="inlineStr">
        <is>
          <t>ingresos_totales</t>
        </is>
      </c>
      <c r="G1530" t="inlineStr">
        <is>
          <t>Original enero</t>
        </is>
      </c>
      <c r="I1530" t="n">
        <v>744928000</v>
      </c>
      <c r="J1530" t="inlineStr">
        <is>
          <t>COP</t>
        </is>
      </c>
      <c r="K1530" t="inlineStr">
        <is>
          <t>Presupuesto original aprobado en enero 2026 · TRM plan 4.000 · meta anual USD 4.5M</t>
        </is>
      </c>
      <c r="L1530" t="inlineStr">
        <is>
          <t>Finanzas</t>
        </is>
      </c>
      <c r="M1530" t="inlineStr">
        <is>
          <t>Finanzas</t>
        </is>
      </c>
      <c r="N1530" t="inlineStr">
        <is>
          <t>Mensual</t>
        </is>
      </c>
    </row>
    <row r="1531">
      <c r="A1531" t="inlineStr">
        <is>
          <t>2026-01</t>
        </is>
      </c>
      <c r="B1531" t="inlineStr">
        <is>
          <t>Colombia</t>
        </is>
      </c>
      <c r="C1531" t="inlineStr">
        <is>
          <t>Coco Colombia</t>
        </is>
      </c>
      <c r="D1531" t="inlineStr">
        <is>
          <t>COP</t>
        </is>
      </c>
      <c r="E1531" t="inlineStr">
        <is>
          <t>Presupuesto</t>
        </is>
      </c>
      <c r="F1531" t="inlineStr">
        <is>
          <t>ingresos_totales</t>
        </is>
      </c>
      <c r="G1531" t="inlineStr">
        <is>
          <t>Revisado mayo</t>
        </is>
      </c>
      <c r="I1531" t="n">
        <v>612247701</v>
      </c>
      <c r="J1531" t="inlineStr">
        <is>
          <t>COP</t>
        </is>
      </c>
      <c r="K1531" t="inlineStr">
        <is>
          <t>Presupuesto revisado en mayo 2026 · TRM plan 3.690 · meta anual USD 4.0M</t>
        </is>
      </c>
      <c r="L1531" t="inlineStr">
        <is>
          <t>Finanzas</t>
        </is>
      </c>
      <c r="M1531" t="inlineStr">
        <is>
          <t>Finanzas</t>
        </is>
      </c>
      <c r="N1531" t="inlineStr">
        <is>
          <t>Mensual</t>
        </is>
      </c>
    </row>
    <row r="1532">
      <c r="A1532" t="inlineStr">
        <is>
          <t>2026-02</t>
        </is>
      </c>
      <c r="B1532" t="inlineStr">
        <is>
          <t>Colombia</t>
        </is>
      </c>
      <c r="C1532" t="inlineStr">
        <is>
          <t>Coco Colombia</t>
        </is>
      </c>
      <c r="D1532" t="inlineStr">
        <is>
          <t>COP</t>
        </is>
      </c>
      <c r="E1532" t="inlineStr">
        <is>
          <t>Presupuesto</t>
        </is>
      </c>
      <c r="F1532" t="inlineStr">
        <is>
          <t>ingresos_totales</t>
        </is>
      </c>
      <c r="I1532" t="n">
        <v>1417284000</v>
      </c>
      <c r="J1532" t="inlineStr">
        <is>
          <t>COP</t>
        </is>
      </c>
      <c r="K1532" t="inlineStr">
        <is>
          <t>Presupuesto combinado 2026 · versión aplicada: Original 4.5M · TRM plan 4.000</t>
        </is>
      </c>
      <c r="L1532" t="inlineStr">
        <is>
          <t>Finanzas</t>
        </is>
      </c>
      <c r="M1532" t="inlineStr">
        <is>
          <t>Finanzas</t>
        </is>
      </c>
      <c r="N1532" t="inlineStr">
        <is>
          <t>Mensual</t>
        </is>
      </c>
    </row>
    <row r="1533">
      <c r="A1533" t="inlineStr">
        <is>
          <t>2026-02</t>
        </is>
      </c>
      <c r="B1533" t="inlineStr">
        <is>
          <t>Colombia</t>
        </is>
      </c>
      <c r="C1533" t="inlineStr">
        <is>
          <t>Coco Colombia</t>
        </is>
      </c>
      <c r="D1533" t="inlineStr">
        <is>
          <t>COP</t>
        </is>
      </c>
      <c r="E1533" t="inlineStr">
        <is>
          <t>Presupuesto</t>
        </is>
      </c>
      <c r="F1533" t="inlineStr">
        <is>
          <t>ingresos_totales</t>
        </is>
      </c>
      <c r="G1533" t="inlineStr">
        <is>
          <t>Original enero</t>
        </is>
      </c>
      <c r="I1533" t="n">
        <v>1417284000</v>
      </c>
      <c r="J1533" t="inlineStr">
        <is>
          <t>COP</t>
        </is>
      </c>
      <c r="K1533" t="inlineStr">
        <is>
          <t>Presupuesto original aprobado en enero 2026 · TRM plan 4.000 · meta anual USD 4.5M</t>
        </is>
      </c>
      <c r="L1533" t="inlineStr">
        <is>
          <t>Finanzas</t>
        </is>
      </c>
      <c r="M1533" t="inlineStr">
        <is>
          <t>Finanzas</t>
        </is>
      </c>
      <c r="N1533" t="inlineStr">
        <is>
          <t>Mensual</t>
        </is>
      </c>
    </row>
    <row r="1534">
      <c r="A1534" t="inlineStr">
        <is>
          <t>2026-02</t>
        </is>
      </c>
      <c r="B1534" t="inlineStr">
        <is>
          <t>Colombia</t>
        </is>
      </c>
      <c r="C1534" t="inlineStr">
        <is>
          <t>Coco Colombia</t>
        </is>
      </c>
      <c r="D1534" t="inlineStr">
        <is>
          <t>COP</t>
        </is>
      </c>
      <c r="E1534" t="inlineStr">
        <is>
          <t>Presupuesto</t>
        </is>
      </c>
      <c r="F1534" t="inlineStr">
        <is>
          <t>ingresos_totales</t>
        </is>
      </c>
      <c r="G1534" t="inlineStr">
        <is>
          <t>Revisado mayo</t>
        </is>
      </c>
      <c r="I1534" t="n">
        <v>744218137</v>
      </c>
      <c r="J1534" t="inlineStr">
        <is>
          <t>COP</t>
        </is>
      </c>
      <c r="K1534" t="inlineStr">
        <is>
          <t>Presupuesto revisado en mayo 2026 · TRM plan 3.690 · meta anual USD 4.0M</t>
        </is>
      </c>
      <c r="L1534" t="inlineStr">
        <is>
          <t>Finanzas</t>
        </is>
      </c>
      <c r="M1534" t="inlineStr">
        <is>
          <t>Finanzas</t>
        </is>
      </c>
      <c r="N1534" t="inlineStr">
        <is>
          <t>Mensual</t>
        </is>
      </c>
    </row>
    <row r="1535">
      <c r="A1535" t="inlineStr">
        <is>
          <t>2026-03</t>
        </is>
      </c>
      <c r="B1535" t="inlineStr">
        <is>
          <t>Colombia</t>
        </is>
      </c>
      <c r="C1535" t="inlineStr">
        <is>
          <t>Coco Colombia</t>
        </is>
      </c>
      <c r="D1535" t="inlineStr">
        <is>
          <t>COP</t>
        </is>
      </c>
      <c r="E1535" t="inlineStr">
        <is>
          <t>Presupuesto</t>
        </is>
      </c>
      <c r="F1535" t="inlineStr">
        <is>
          <t>ingresos_totales</t>
        </is>
      </c>
      <c r="I1535" t="n">
        <v>1584956000</v>
      </c>
      <c r="J1535" t="inlineStr">
        <is>
          <t>COP</t>
        </is>
      </c>
      <c r="K1535" t="inlineStr">
        <is>
          <t>Presupuesto combinado 2026 · versión aplicada: Original 4.5M · TRM plan 4.000</t>
        </is>
      </c>
      <c r="L1535" t="inlineStr">
        <is>
          <t>Finanzas</t>
        </is>
      </c>
      <c r="M1535" t="inlineStr">
        <is>
          <t>Finanzas</t>
        </is>
      </c>
      <c r="N1535" t="inlineStr">
        <is>
          <t>Mensual</t>
        </is>
      </c>
    </row>
    <row r="1536">
      <c r="A1536" t="inlineStr">
        <is>
          <t>2026-03</t>
        </is>
      </c>
      <c r="B1536" t="inlineStr">
        <is>
          <t>Colombia</t>
        </is>
      </c>
      <c r="C1536" t="inlineStr">
        <is>
          <t>Coco Colombia</t>
        </is>
      </c>
      <c r="D1536" t="inlineStr">
        <is>
          <t>COP</t>
        </is>
      </c>
      <c r="E1536" t="inlineStr">
        <is>
          <t>Presupuesto</t>
        </is>
      </c>
      <c r="F1536" t="inlineStr">
        <is>
          <t>ingresos_totales</t>
        </is>
      </c>
      <c r="G1536" t="inlineStr">
        <is>
          <t>Original enero</t>
        </is>
      </c>
      <c r="I1536" t="n">
        <v>1584956000</v>
      </c>
      <c r="J1536" t="inlineStr">
        <is>
          <t>COP</t>
        </is>
      </c>
      <c r="K1536" t="inlineStr">
        <is>
          <t>Presupuesto original aprobado en enero 2026 · TRM plan 4.000 · meta anual USD 4.5M</t>
        </is>
      </c>
      <c r="L1536" t="inlineStr">
        <is>
          <t>Finanzas</t>
        </is>
      </c>
      <c r="M1536" t="inlineStr">
        <is>
          <t>Finanzas</t>
        </is>
      </c>
      <c r="N1536" t="inlineStr">
        <is>
          <t>Mensual</t>
        </is>
      </c>
    </row>
    <row r="1537">
      <c r="A1537" t="inlineStr">
        <is>
          <t>2026-03</t>
        </is>
      </c>
      <c r="B1537" t="inlineStr">
        <is>
          <t>Colombia</t>
        </is>
      </c>
      <c r="C1537" t="inlineStr">
        <is>
          <t>Coco Colombia</t>
        </is>
      </c>
      <c r="D1537" t="inlineStr">
        <is>
          <t>COP</t>
        </is>
      </c>
      <c r="E1537" t="inlineStr">
        <is>
          <t>Presupuesto</t>
        </is>
      </c>
      <c r="F1537" t="inlineStr">
        <is>
          <t>ingresos_totales</t>
        </is>
      </c>
      <c r="G1537" t="inlineStr">
        <is>
          <t>Revisado mayo</t>
        </is>
      </c>
      <c r="I1537" t="n">
        <v>787041187</v>
      </c>
      <c r="J1537" t="inlineStr">
        <is>
          <t>COP</t>
        </is>
      </c>
      <c r="K1537" t="inlineStr">
        <is>
          <t>Presupuesto revisado en mayo 2026 · TRM plan 3.690 · meta anual USD 4.0M</t>
        </is>
      </c>
      <c r="L1537" t="inlineStr">
        <is>
          <t>Finanzas</t>
        </is>
      </c>
      <c r="M1537" t="inlineStr">
        <is>
          <t>Finanzas</t>
        </is>
      </c>
      <c r="N1537" t="inlineStr">
        <is>
          <t>Mensual</t>
        </is>
      </c>
    </row>
    <row r="1538">
      <c r="A1538" t="inlineStr">
        <is>
          <t>2026-04</t>
        </is>
      </c>
      <c r="B1538" t="inlineStr">
        <is>
          <t>Colombia</t>
        </is>
      </c>
      <c r="C1538" t="inlineStr">
        <is>
          <t>Coco Colombia</t>
        </is>
      </c>
      <c r="D1538" t="inlineStr">
        <is>
          <t>COP</t>
        </is>
      </c>
      <c r="E1538" t="inlineStr">
        <is>
          <t>Presupuesto</t>
        </is>
      </c>
      <c r="F1538" t="inlineStr">
        <is>
          <t>ingresos_totales</t>
        </is>
      </c>
      <c r="I1538" t="n">
        <v>1436764000</v>
      </c>
      <c r="J1538" t="inlineStr">
        <is>
          <t>COP</t>
        </is>
      </c>
      <c r="K1538" t="inlineStr">
        <is>
          <t>Presupuesto combinado 2026 · versión aplicada: Original 4.5M · TRM plan 4.000</t>
        </is>
      </c>
      <c r="L1538" t="inlineStr">
        <is>
          <t>Finanzas</t>
        </is>
      </c>
      <c r="M1538" t="inlineStr">
        <is>
          <t>Finanzas</t>
        </is>
      </c>
      <c r="N1538" t="inlineStr">
        <is>
          <t>Mensual</t>
        </is>
      </c>
    </row>
    <row r="1539">
      <c r="A1539" t="inlineStr">
        <is>
          <t>2026-04</t>
        </is>
      </c>
      <c r="B1539" t="inlineStr">
        <is>
          <t>Colombia</t>
        </is>
      </c>
      <c r="C1539" t="inlineStr">
        <is>
          <t>Coco Colombia</t>
        </is>
      </c>
      <c r="D1539" t="inlineStr">
        <is>
          <t>COP</t>
        </is>
      </c>
      <c r="E1539" t="inlineStr">
        <is>
          <t>Presupuesto</t>
        </is>
      </c>
      <c r="F1539" t="inlineStr">
        <is>
          <t>ingresos_totales</t>
        </is>
      </c>
      <c r="G1539" t="inlineStr">
        <is>
          <t>Original enero</t>
        </is>
      </c>
      <c r="I1539" t="n">
        <v>1436764000</v>
      </c>
      <c r="J1539" t="inlineStr">
        <is>
          <t>COP</t>
        </is>
      </c>
      <c r="K1539" t="inlineStr">
        <is>
          <t>Presupuesto original aprobado en enero 2026 · TRM plan 4.000 · meta anual USD 4.5M</t>
        </is>
      </c>
      <c r="L1539" t="inlineStr">
        <is>
          <t>Finanzas</t>
        </is>
      </c>
      <c r="M1539" t="inlineStr">
        <is>
          <t>Finanzas</t>
        </is>
      </c>
      <c r="N1539" t="inlineStr">
        <is>
          <t>Mensual</t>
        </is>
      </c>
    </row>
    <row r="1540">
      <c r="A1540" t="inlineStr">
        <is>
          <t>2026-04</t>
        </is>
      </c>
      <c r="B1540" t="inlineStr">
        <is>
          <t>Colombia</t>
        </is>
      </c>
      <c r="C1540" t="inlineStr">
        <is>
          <t>Coco Colombia</t>
        </is>
      </c>
      <c r="D1540" t="inlineStr">
        <is>
          <t>COP</t>
        </is>
      </c>
      <c r="E1540" t="inlineStr">
        <is>
          <t>Presupuesto</t>
        </is>
      </c>
      <c r="F1540" t="inlineStr">
        <is>
          <t>ingresos_totales</t>
        </is>
      </c>
      <c r="G1540" t="inlineStr">
        <is>
          <t>Revisado mayo</t>
        </is>
      </c>
      <c r="I1540" t="n">
        <v>750867662</v>
      </c>
      <c r="J1540" t="inlineStr">
        <is>
          <t>COP</t>
        </is>
      </c>
      <c r="K1540" t="inlineStr">
        <is>
          <t>Presupuesto revisado en mayo 2026 · TRM plan 3.690 · meta anual USD 4.0M</t>
        </is>
      </c>
      <c r="L1540" t="inlineStr">
        <is>
          <t>Finanzas</t>
        </is>
      </c>
      <c r="M1540" t="inlineStr">
        <is>
          <t>Finanzas</t>
        </is>
      </c>
      <c r="N1540" t="inlineStr">
        <is>
          <t>Mensual</t>
        </is>
      </c>
    </row>
    <row r="1541">
      <c r="A1541" t="inlineStr">
        <is>
          <t>2026-05</t>
        </is>
      </c>
      <c r="B1541" t="inlineStr">
        <is>
          <t>Colombia</t>
        </is>
      </c>
      <c r="C1541" t="inlineStr">
        <is>
          <t>Coco Colombia</t>
        </is>
      </c>
      <c r="D1541" t="inlineStr">
        <is>
          <t>COP</t>
        </is>
      </c>
      <c r="E1541" t="inlineStr">
        <is>
          <t>Presupuesto</t>
        </is>
      </c>
      <c r="F1541" t="inlineStr">
        <is>
          <t>ingresos_totales</t>
        </is>
      </c>
      <c r="I1541" t="n">
        <v>1328900000</v>
      </c>
      <c r="J1541" t="inlineStr">
        <is>
          <t>COP</t>
        </is>
      </c>
      <c r="K1541" t="inlineStr">
        <is>
          <t>Presupuesto combinado 2026 · versión aplicada: Revisado 4.0M · TRM plan 3.690</t>
        </is>
      </c>
      <c r="L1541" t="inlineStr">
        <is>
          <t>Finanzas</t>
        </is>
      </c>
      <c r="M1541" t="inlineStr">
        <is>
          <t>Finanzas</t>
        </is>
      </c>
      <c r="N1541" t="inlineStr">
        <is>
          <t>Mensual</t>
        </is>
      </c>
    </row>
    <row r="1542">
      <c r="A1542" t="inlineStr">
        <is>
          <t>2026-05</t>
        </is>
      </c>
      <c r="B1542" t="inlineStr">
        <is>
          <t>Colombia</t>
        </is>
      </c>
      <c r="C1542" t="inlineStr">
        <is>
          <t>Coco Colombia</t>
        </is>
      </c>
      <c r="D1542" t="inlineStr">
        <is>
          <t>COP</t>
        </is>
      </c>
      <c r="E1542" t="inlineStr">
        <is>
          <t>Presupuesto</t>
        </is>
      </c>
      <c r="F1542" t="inlineStr">
        <is>
          <t>ingresos_totales</t>
        </is>
      </c>
      <c r="G1542" t="inlineStr">
        <is>
          <t>Original enero</t>
        </is>
      </c>
      <c r="I1542" t="n">
        <v>1612320000</v>
      </c>
      <c r="J1542" t="inlineStr">
        <is>
          <t>COP</t>
        </is>
      </c>
      <c r="K1542" t="inlineStr">
        <is>
          <t>Presupuesto original aprobado en enero 2026 · TRM plan 4.000 · meta anual USD 4.5M</t>
        </is>
      </c>
      <c r="L1542" t="inlineStr">
        <is>
          <t>Finanzas</t>
        </is>
      </c>
      <c r="M1542" t="inlineStr">
        <is>
          <t>Finanzas</t>
        </is>
      </c>
      <c r="N1542" t="inlineStr">
        <is>
          <t>Mensual</t>
        </is>
      </c>
    </row>
    <row r="1543">
      <c r="A1543" t="inlineStr">
        <is>
          <t>2026-05</t>
        </is>
      </c>
      <c r="B1543" t="inlineStr">
        <is>
          <t>Colombia</t>
        </is>
      </c>
      <c r="C1543" t="inlineStr">
        <is>
          <t>Coco Colombia</t>
        </is>
      </c>
      <c r="D1543" t="inlineStr">
        <is>
          <t>COP</t>
        </is>
      </c>
      <c r="E1543" t="inlineStr">
        <is>
          <t>Presupuesto</t>
        </is>
      </c>
      <c r="F1543" t="inlineStr">
        <is>
          <t>ingresos_totales</t>
        </is>
      </c>
      <c r="G1543" t="inlineStr">
        <is>
          <t>Revisado mayo</t>
        </is>
      </c>
      <c r="I1543" t="n">
        <v>1328900000</v>
      </c>
      <c r="J1543" t="inlineStr">
        <is>
          <t>COP</t>
        </is>
      </c>
      <c r="K1543" t="inlineStr">
        <is>
          <t>Presupuesto revisado en mayo 2026 · TRM plan 3.690 · meta anual USD 4.0M</t>
        </is>
      </c>
      <c r="L1543" t="inlineStr">
        <is>
          <t>Finanzas</t>
        </is>
      </c>
      <c r="M1543" t="inlineStr">
        <is>
          <t>Finanzas</t>
        </is>
      </c>
      <c r="N1543" t="inlineStr">
        <is>
          <t>Mensual</t>
        </is>
      </c>
    </row>
    <row r="1544">
      <c r="A1544" t="inlineStr">
        <is>
          <t>2026-06</t>
        </is>
      </c>
      <c r="B1544" t="inlineStr">
        <is>
          <t>Colombia</t>
        </is>
      </c>
      <c r="C1544" t="inlineStr">
        <is>
          <t>Coco Colombia</t>
        </is>
      </c>
      <c r="D1544" t="inlineStr">
        <is>
          <t>COP</t>
        </is>
      </c>
      <c r="E1544" t="inlineStr">
        <is>
          <t>Presupuesto</t>
        </is>
      </c>
      <c r="F1544" t="inlineStr">
        <is>
          <t>ingresos_totales</t>
        </is>
      </c>
      <c r="I1544" t="n">
        <v>955991587</v>
      </c>
      <c r="J1544" t="inlineStr">
        <is>
          <t>COP</t>
        </is>
      </c>
      <c r="K1544" t="inlineStr">
        <is>
          <t>Presupuesto combinado 2026 · versión aplicada: Revisado 4.0M · TRM plan 3.690</t>
        </is>
      </c>
      <c r="L1544" t="inlineStr">
        <is>
          <t>Finanzas</t>
        </is>
      </c>
      <c r="M1544" t="inlineStr">
        <is>
          <t>Finanzas</t>
        </is>
      </c>
      <c r="N1544" t="inlineStr">
        <is>
          <t>Mensual</t>
        </is>
      </c>
    </row>
    <row r="1545">
      <c r="A1545" t="inlineStr">
        <is>
          <t>2026-06</t>
        </is>
      </c>
      <c r="B1545" t="inlineStr">
        <is>
          <t>Colombia</t>
        </is>
      </c>
      <c r="C1545" t="inlineStr">
        <is>
          <t>Coco Colombia</t>
        </is>
      </c>
      <c r="D1545" t="inlineStr">
        <is>
          <t>COP</t>
        </is>
      </c>
      <c r="E1545" t="inlineStr">
        <is>
          <t>Presupuesto</t>
        </is>
      </c>
      <c r="F1545" t="inlineStr">
        <is>
          <t>ingresos_totales</t>
        </is>
      </c>
      <c r="G1545" t="inlineStr">
        <is>
          <t>Original enero</t>
        </is>
      </c>
      <c r="I1545" t="n">
        <v>1502236000</v>
      </c>
      <c r="J1545" t="inlineStr">
        <is>
          <t>COP</t>
        </is>
      </c>
      <c r="K1545" t="inlineStr">
        <is>
          <t>Presupuesto original aprobado en enero 2026 · TRM plan 4.000 · meta anual USD 4.5M</t>
        </is>
      </c>
      <c r="L1545" t="inlineStr">
        <is>
          <t>Finanzas</t>
        </is>
      </c>
      <c r="M1545" t="inlineStr">
        <is>
          <t>Finanzas</t>
        </is>
      </c>
      <c r="N1545" t="inlineStr">
        <is>
          <t>Mensual</t>
        </is>
      </c>
    </row>
    <row r="1546">
      <c r="A1546" t="inlineStr">
        <is>
          <t>2026-06</t>
        </is>
      </c>
      <c r="B1546" t="inlineStr">
        <is>
          <t>Colombia</t>
        </is>
      </c>
      <c r="C1546" t="inlineStr">
        <is>
          <t>Coco Colombia</t>
        </is>
      </c>
      <c r="D1546" t="inlineStr">
        <is>
          <t>COP</t>
        </is>
      </c>
      <c r="E1546" t="inlineStr">
        <is>
          <t>Presupuesto</t>
        </is>
      </c>
      <c r="F1546" t="inlineStr">
        <is>
          <t>ingresos_totales</t>
        </is>
      </c>
      <c r="G1546" t="inlineStr">
        <is>
          <t>Revisado mayo</t>
        </is>
      </c>
      <c r="I1546" t="n">
        <v>955991587</v>
      </c>
      <c r="J1546" t="inlineStr">
        <is>
          <t>COP</t>
        </is>
      </c>
      <c r="K1546" t="inlineStr">
        <is>
          <t>Presupuesto revisado en mayo 2026 · TRM plan 3.690 · meta anual USD 4.0M</t>
        </is>
      </c>
      <c r="L1546" t="inlineStr">
        <is>
          <t>Finanzas</t>
        </is>
      </c>
      <c r="M1546" t="inlineStr">
        <is>
          <t>Finanzas</t>
        </is>
      </c>
      <c r="N1546" t="inlineStr">
        <is>
          <t>Mensual</t>
        </is>
      </c>
    </row>
    <row r="1547">
      <c r="A1547" t="inlineStr">
        <is>
          <t>2026-07</t>
        </is>
      </c>
      <c r="B1547" t="inlineStr">
        <is>
          <t>Colombia</t>
        </is>
      </c>
      <c r="C1547" t="inlineStr">
        <is>
          <t>Coco Colombia</t>
        </is>
      </c>
      <c r="D1547" t="inlineStr">
        <is>
          <t>COP</t>
        </is>
      </c>
      <c r="E1547" t="inlineStr">
        <is>
          <t>Presupuesto</t>
        </is>
      </c>
      <c r="F1547" t="inlineStr">
        <is>
          <t>ingresos_totales</t>
        </is>
      </c>
      <c r="I1547" t="n">
        <v>1047406944</v>
      </c>
      <c r="J1547" t="inlineStr">
        <is>
          <t>COP</t>
        </is>
      </c>
      <c r="K1547" t="inlineStr">
        <is>
          <t>Presupuesto combinado 2026 · versión aplicada: Revisado 4.0M · TRM plan 3.690</t>
        </is>
      </c>
      <c r="L1547" t="inlineStr">
        <is>
          <t>Finanzas</t>
        </is>
      </c>
      <c r="M1547" t="inlineStr">
        <is>
          <t>Finanzas</t>
        </is>
      </c>
      <c r="N1547" t="inlineStr">
        <is>
          <t>Mensual</t>
        </is>
      </c>
    </row>
    <row r="1548">
      <c r="A1548" t="inlineStr">
        <is>
          <t>2026-07</t>
        </is>
      </c>
      <c r="B1548" t="inlineStr">
        <is>
          <t>Colombia</t>
        </is>
      </c>
      <c r="C1548" t="inlineStr">
        <is>
          <t>Coco Colombia</t>
        </is>
      </c>
      <c r="D1548" t="inlineStr">
        <is>
          <t>COP</t>
        </is>
      </c>
      <c r="E1548" t="inlineStr">
        <is>
          <t>Presupuesto</t>
        </is>
      </c>
      <c r="F1548" t="inlineStr">
        <is>
          <t>ingresos_totales</t>
        </is>
      </c>
      <c r="G1548" t="inlineStr">
        <is>
          <t>Original enero</t>
        </is>
      </c>
      <c r="I1548" t="n">
        <v>1552340000</v>
      </c>
      <c r="J1548" t="inlineStr">
        <is>
          <t>COP</t>
        </is>
      </c>
      <c r="K1548" t="inlineStr">
        <is>
          <t>Presupuesto original aprobado en enero 2026 · TRM plan 4.000 · meta anual USD 4.5M</t>
        </is>
      </c>
      <c r="L1548" t="inlineStr">
        <is>
          <t>Finanzas</t>
        </is>
      </c>
      <c r="M1548" t="inlineStr">
        <is>
          <t>Finanzas</t>
        </is>
      </c>
      <c r="N1548" t="inlineStr">
        <is>
          <t>Mensual</t>
        </is>
      </c>
    </row>
    <row r="1549">
      <c r="A1549" t="inlineStr">
        <is>
          <t>2026-07</t>
        </is>
      </c>
      <c r="B1549" t="inlineStr">
        <is>
          <t>Colombia</t>
        </is>
      </c>
      <c r="C1549" t="inlineStr">
        <is>
          <t>Coco Colombia</t>
        </is>
      </c>
      <c r="D1549" t="inlineStr">
        <is>
          <t>COP</t>
        </is>
      </c>
      <c r="E1549" t="inlineStr">
        <is>
          <t>Presupuesto</t>
        </is>
      </c>
      <c r="F1549" t="inlineStr">
        <is>
          <t>ingresos_totales</t>
        </is>
      </c>
      <c r="G1549" t="inlineStr">
        <is>
          <t>Revisado mayo</t>
        </is>
      </c>
      <c r="I1549" t="n">
        <v>1047406944</v>
      </c>
      <c r="J1549" t="inlineStr">
        <is>
          <t>COP</t>
        </is>
      </c>
      <c r="K1549" t="inlineStr">
        <is>
          <t>Presupuesto revisado en mayo 2026 · TRM plan 3.690 · meta anual USD 4.0M</t>
        </is>
      </c>
      <c r="L1549" t="inlineStr">
        <is>
          <t>Finanzas</t>
        </is>
      </c>
      <c r="M1549" t="inlineStr">
        <is>
          <t>Finanzas</t>
        </is>
      </c>
      <c r="N1549" t="inlineStr">
        <is>
          <t>Mensual</t>
        </is>
      </c>
    </row>
    <row r="1550">
      <c r="A1550" t="inlineStr">
        <is>
          <t>2026-08</t>
        </is>
      </c>
      <c r="B1550" t="inlineStr">
        <is>
          <t>Colombia</t>
        </is>
      </c>
      <c r="C1550" t="inlineStr">
        <is>
          <t>Coco Colombia</t>
        </is>
      </c>
      <c r="D1550" t="inlineStr">
        <is>
          <t>COP</t>
        </is>
      </c>
      <c r="E1550" t="inlineStr">
        <is>
          <t>Presupuesto</t>
        </is>
      </c>
      <c r="F1550" t="inlineStr">
        <is>
          <t>ingresos_totales</t>
        </is>
      </c>
      <c r="I1550" t="n">
        <v>1573626071</v>
      </c>
      <c r="J1550" t="inlineStr">
        <is>
          <t>COP</t>
        </is>
      </c>
      <c r="K1550" t="inlineStr">
        <is>
          <t>Presupuesto combinado 2026 · versión aplicada: Revisado 4.0M · TRM plan 3.690</t>
        </is>
      </c>
      <c r="L1550" t="inlineStr">
        <is>
          <t>Finanzas</t>
        </is>
      </c>
      <c r="M1550" t="inlineStr">
        <is>
          <t>Finanzas</t>
        </is>
      </c>
      <c r="N1550" t="inlineStr">
        <is>
          <t>Mensual</t>
        </is>
      </c>
    </row>
    <row r="1551">
      <c r="A1551" t="inlineStr">
        <is>
          <t>2026-08</t>
        </is>
      </c>
      <c r="B1551" t="inlineStr">
        <is>
          <t>Colombia</t>
        </is>
      </c>
      <c r="C1551" t="inlineStr">
        <is>
          <t>Coco Colombia</t>
        </is>
      </c>
      <c r="D1551" t="inlineStr">
        <is>
          <t>COP</t>
        </is>
      </c>
      <c r="E1551" t="inlineStr">
        <is>
          <t>Presupuesto</t>
        </is>
      </c>
      <c r="F1551" t="inlineStr">
        <is>
          <t>ingresos_totales</t>
        </is>
      </c>
      <c r="G1551" t="inlineStr">
        <is>
          <t>Original enero</t>
        </is>
      </c>
      <c r="I1551" t="n">
        <v>1534356000</v>
      </c>
      <c r="J1551" t="inlineStr">
        <is>
          <t>COP</t>
        </is>
      </c>
      <c r="K1551" t="inlineStr">
        <is>
          <t>Presupuesto original aprobado en enero 2026 · TRM plan 4.000 · meta anual USD 4.5M</t>
        </is>
      </c>
      <c r="L1551" t="inlineStr">
        <is>
          <t>Finanzas</t>
        </is>
      </c>
      <c r="M1551" t="inlineStr">
        <is>
          <t>Finanzas</t>
        </is>
      </c>
      <c r="N1551" t="inlineStr">
        <is>
          <t>Mensual</t>
        </is>
      </c>
    </row>
    <row r="1552">
      <c r="A1552" t="inlineStr">
        <is>
          <t>2026-08</t>
        </is>
      </c>
      <c r="B1552" t="inlineStr">
        <is>
          <t>Colombia</t>
        </is>
      </c>
      <c r="C1552" t="inlineStr">
        <is>
          <t>Coco Colombia</t>
        </is>
      </c>
      <c r="D1552" t="inlineStr">
        <is>
          <t>COP</t>
        </is>
      </c>
      <c r="E1552" t="inlineStr">
        <is>
          <t>Presupuesto</t>
        </is>
      </c>
      <c r="F1552" t="inlineStr">
        <is>
          <t>ingresos_totales</t>
        </is>
      </c>
      <c r="G1552" t="inlineStr">
        <is>
          <t>Revisado mayo</t>
        </is>
      </c>
      <c r="I1552" t="n">
        <v>1573626071</v>
      </c>
      <c r="J1552" t="inlineStr">
        <is>
          <t>COP</t>
        </is>
      </c>
      <c r="K1552" t="inlineStr">
        <is>
          <t>Presupuesto revisado en mayo 2026 · TRM plan 3.690 · meta anual USD 4.0M</t>
        </is>
      </c>
      <c r="L1552" t="inlineStr">
        <is>
          <t>Finanzas</t>
        </is>
      </c>
      <c r="M1552" t="inlineStr">
        <is>
          <t>Finanzas</t>
        </is>
      </c>
      <c r="N1552" t="inlineStr">
        <is>
          <t>Mensual</t>
        </is>
      </c>
    </row>
    <row r="1553">
      <c r="A1553" t="inlineStr">
        <is>
          <t>2026-09</t>
        </is>
      </c>
      <c r="B1553" t="inlineStr">
        <is>
          <t>Colombia</t>
        </is>
      </c>
      <c r="C1553" t="inlineStr">
        <is>
          <t>Coco Colombia</t>
        </is>
      </c>
      <c r="D1553" t="inlineStr">
        <is>
          <t>COP</t>
        </is>
      </c>
      <c r="E1553" t="inlineStr">
        <is>
          <t>Presupuesto</t>
        </is>
      </c>
      <c r="F1553" t="inlineStr">
        <is>
          <t>ingresos_totales</t>
        </is>
      </c>
      <c r="I1553" t="n">
        <v>1665041429</v>
      </c>
      <c r="J1553" t="inlineStr">
        <is>
          <t>COP</t>
        </is>
      </c>
      <c r="K1553" t="inlineStr">
        <is>
          <t>Presupuesto combinado 2026 · versión aplicada: Revisado 4.0M · TRM plan 3.690</t>
        </is>
      </c>
      <c r="L1553" t="inlineStr">
        <is>
          <t>Finanzas</t>
        </is>
      </c>
      <c r="M1553" t="inlineStr">
        <is>
          <t>Finanzas</t>
        </is>
      </c>
      <c r="N1553" t="inlineStr">
        <is>
          <t>Mensual</t>
        </is>
      </c>
    </row>
    <row r="1554">
      <c r="A1554" t="inlineStr">
        <is>
          <t>2026-09</t>
        </is>
      </c>
      <c r="B1554" t="inlineStr">
        <is>
          <t>Colombia</t>
        </is>
      </c>
      <c r="C1554" t="inlineStr">
        <is>
          <t>Coco Colombia</t>
        </is>
      </c>
      <c r="D1554" t="inlineStr">
        <is>
          <t>COP</t>
        </is>
      </c>
      <c r="E1554" t="inlineStr">
        <is>
          <t>Presupuesto</t>
        </is>
      </c>
      <c r="F1554" t="inlineStr">
        <is>
          <t>ingresos_totales</t>
        </is>
      </c>
      <c r="G1554" t="inlineStr">
        <is>
          <t>Original enero</t>
        </is>
      </c>
      <c r="I1554" t="n">
        <v>1697052000</v>
      </c>
      <c r="J1554" t="inlineStr">
        <is>
          <t>COP</t>
        </is>
      </c>
      <c r="K1554" t="inlineStr">
        <is>
          <t>Presupuesto original aprobado en enero 2026 · TRM plan 4.000 · meta anual USD 4.5M</t>
        </is>
      </c>
      <c r="L1554" t="inlineStr">
        <is>
          <t>Finanzas</t>
        </is>
      </c>
      <c r="M1554" t="inlineStr">
        <is>
          <t>Finanzas</t>
        </is>
      </c>
      <c r="N1554" t="inlineStr">
        <is>
          <t>Mensual</t>
        </is>
      </c>
    </row>
    <row r="1555">
      <c r="A1555" t="inlineStr">
        <is>
          <t>2026-09</t>
        </is>
      </c>
      <c r="B1555" t="inlineStr">
        <is>
          <t>Colombia</t>
        </is>
      </c>
      <c r="C1555" t="inlineStr">
        <is>
          <t>Coco Colombia</t>
        </is>
      </c>
      <c r="D1555" t="inlineStr">
        <is>
          <t>COP</t>
        </is>
      </c>
      <c r="E1555" t="inlineStr">
        <is>
          <t>Presupuesto</t>
        </is>
      </c>
      <c r="F1555" t="inlineStr">
        <is>
          <t>ingresos_totales</t>
        </is>
      </c>
      <c r="G1555" t="inlineStr">
        <is>
          <t>Revisado mayo</t>
        </is>
      </c>
      <c r="I1555" t="n">
        <v>1665041429</v>
      </c>
      <c r="J1555" t="inlineStr">
        <is>
          <t>COP</t>
        </is>
      </c>
      <c r="K1555" t="inlineStr">
        <is>
          <t>Presupuesto revisado en mayo 2026 · TRM plan 3.690 · meta anual USD 4.0M</t>
        </is>
      </c>
      <c r="L1555" t="inlineStr">
        <is>
          <t>Finanzas</t>
        </is>
      </c>
      <c r="M1555" t="inlineStr">
        <is>
          <t>Finanzas</t>
        </is>
      </c>
      <c r="N1555" t="inlineStr">
        <is>
          <t>Mensual</t>
        </is>
      </c>
    </row>
    <row r="1556">
      <c r="A1556" t="inlineStr">
        <is>
          <t>2026-10</t>
        </is>
      </c>
      <c r="B1556" t="inlineStr">
        <is>
          <t>Colombia</t>
        </is>
      </c>
      <c r="C1556" t="inlineStr">
        <is>
          <t>Coco Colombia</t>
        </is>
      </c>
      <c r="D1556" t="inlineStr">
        <is>
          <t>COP</t>
        </is>
      </c>
      <c r="E1556" t="inlineStr">
        <is>
          <t>Presupuesto</t>
        </is>
      </c>
      <c r="F1556" t="inlineStr">
        <is>
          <t>ingresos_totales</t>
        </is>
      </c>
      <c r="I1556" t="n">
        <v>1756456786</v>
      </c>
      <c r="J1556" t="inlineStr">
        <is>
          <t>COP</t>
        </is>
      </c>
      <c r="K1556" t="inlineStr">
        <is>
          <t>Presupuesto combinado 2026 · versión aplicada: Revisado 4.0M · TRM plan 3.690</t>
        </is>
      </c>
      <c r="L1556" t="inlineStr">
        <is>
          <t>Finanzas</t>
        </is>
      </c>
      <c r="M1556" t="inlineStr">
        <is>
          <t>Finanzas</t>
        </is>
      </c>
      <c r="N1556" t="inlineStr">
        <is>
          <t>Mensual</t>
        </is>
      </c>
    </row>
    <row r="1557">
      <c r="A1557" t="inlineStr">
        <is>
          <t>2026-10</t>
        </is>
      </c>
      <c r="B1557" t="inlineStr">
        <is>
          <t>Colombia</t>
        </is>
      </c>
      <c r="C1557" t="inlineStr">
        <is>
          <t>Coco Colombia</t>
        </is>
      </c>
      <c r="D1557" t="inlineStr">
        <is>
          <t>COP</t>
        </is>
      </c>
      <c r="E1557" t="inlineStr">
        <is>
          <t>Presupuesto</t>
        </is>
      </c>
      <c r="F1557" t="inlineStr">
        <is>
          <t>ingresos_totales</t>
        </is>
      </c>
      <c r="G1557" t="inlineStr">
        <is>
          <t>Original enero</t>
        </is>
      </c>
      <c r="I1557" t="n">
        <v>1679816000</v>
      </c>
      <c r="J1557" t="inlineStr">
        <is>
          <t>COP</t>
        </is>
      </c>
      <c r="K1557" t="inlineStr">
        <is>
          <t>Presupuesto original aprobado en enero 2026 · TRM plan 4.000 · meta anual USD 4.5M</t>
        </is>
      </c>
      <c r="L1557" t="inlineStr">
        <is>
          <t>Finanzas</t>
        </is>
      </c>
      <c r="M1557" t="inlineStr">
        <is>
          <t>Finanzas</t>
        </is>
      </c>
      <c r="N1557" t="inlineStr">
        <is>
          <t>Mensual</t>
        </is>
      </c>
    </row>
    <row r="1558">
      <c r="A1558" t="inlineStr">
        <is>
          <t>2026-10</t>
        </is>
      </c>
      <c r="B1558" t="inlineStr">
        <is>
          <t>Colombia</t>
        </is>
      </c>
      <c r="C1558" t="inlineStr">
        <is>
          <t>Coco Colombia</t>
        </is>
      </c>
      <c r="D1558" t="inlineStr">
        <is>
          <t>COP</t>
        </is>
      </c>
      <c r="E1558" t="inlineStr">
        <is>
          <t>Presupuesto</t>
        </is>
      </c>
      <c r="F1558" t="inlineStr">
        <is>
          <t>ingresos_totales</t>
        </is>
      </c>
      <c r="G1558" t="inlineStr">
        <is>
          <t>Revisado mayo</t>
        </is>
      </c>
      <c r="I1558" t="n">
        <v>1756456786</v>
      </c>
      <c r="J1558" t="inlineStr">
        <is>
          <t>COP</t>
        </is>
      </c>
      <c r="K1558" t="inlineStr">
        <is>
          <t>Presupuesto revisado en mayo 2026 · TRM plan 3.690 · meta anual USD 4.0M</t>
        </is>
      </c>
      <c r="L1558" t="inlineStr">
        <is>
          <t>Finanzas</t>
        </is>
      </c>
      <c r="M1558" t="inlineStr">
        <is>
          <t>Finanzas</t>
        </is>
      </c>
      <c r="N1558" t="inlineStr">
        <is>
          <t>Mensual</t>
        </is>
      </c>
    </row>
    <row r="1559">
      <c r="A1559" t="inlineStr">
        <is>
          <t>2026-11</t>
        </is>
      </c>
      <c r="B1559" t="inlineStr">
        <is>
          <t>Colombia</t>
        </is>
      </c>
      <c r="C1559" t="inlineStr">
        <is>
          <t>Coco Colombia</t>
        </is>
      </c>
      <c r="D1559" t="inlineStr">
        <is>
          <t>COP</t>
        </is>
      </c>
      <c r="E1559" t="inlineStr">
        <is>
          <t>Presupuesto</t>
        </is>
      </c>
      <c r="F1559" t="inlineStr">
        <is>
          <t>ingresos_totales</t>
        </is>
      </c>
      <c r="I1559" t="n">
        <v>1847872143</v>
      </c>
      <c r="J1559" t="inlineStr">
        <is>
          <t>COP</t>
        </is>
      </c>
      <c r="K1559" t="inlineStr">
        <is>
          <t>Presupuesto combinado 2026 · versión aplicada: Revisado 4.0M · TRM plan 3.690</t>
        </is>
      </c>
      <c r="L1559" t="inlineStr">
        <is>
          <t>Finanzas</t>
        </is>
      </c>
      <c r="M1559" t="inlineStr">
        <is>
          <t>Finanzas</t>
        </is>
      </c>
      <c r="N1559" t="inlineStr">
        <is>
          <t>Mensual</t>
        </is>
      </c>
    </row>
    <row r="1560">
      <c r="A1560" t="inlineStr">
        <is>
          <t>2026-11</t>
        </is>
      </c>
      <c r="B1560" t="inlineStr">
        <is>
          <t>Colombia</t>
        </is>
      </c>
      <c r="C1560" t="inlineStr">
        <is>
          <t>Coco Colombia</t>
        </is>
      </c>
      <c r="D1560" t="inlineStr">
        <is>
          <t>COP</t>
        </is>
      </c>
      <c r="E1560" t="inlineStr">
        <is>
          <t>Presupuesto</t>
        </is>
      </c>
      <c r="F1560" t="inlineStr">
        <is>
          <t>ingresos_totales</t>
        </is>
      </c>
      <c r="G1560" t="inlineStr">
        <is>
          <t>Original enero</t>
        </is>
      </c>
      <c r="I1560" t="n">
        <v>1692868000</v>
      </c>
      <c r="J1560" t="inlineStr">
        <is>
          <t>COP</t>
        </is>
      </c>
      <c r="K1560" t="inlineStr">
        <is>
          <t>Presupuesto original aprobado en enero 2026 · TRM plan 4.000 · meta anual USD 4.5M</t>
        </is>
      </c>
      <c r="L1560" t="inlineStr">
        <is>
          <t>Finanzas</t>
        </is>
      </c>
      <c r="M1560" t="inlineStr">
        <is>
          <t>Finanzas</t>
        </is>
      </c>
      <c r="N1560" t="inlineStr">
        <is>
          <t>Mensual</t>
        </is>
      </c>
    </row>
    <row r="1561">
      <c r="A1561" t="inlineStr">
        <is>
          <t>2026-11</t>
        </is>
      </c>
      <c r="B1561" t="inlineStr">
        <is>
          <t>Colombia</t>
        </is>
      </c>
      <c r="C1561" t="inlineStr">
        <is>
          <t>Coco Colombia</t>
        </is>
      </c>
      <c r="D1561" t="inlineStr">
        <is>
          <t>COP</t>
        </is>
      </c>
      <c r="E1561" t="inlineStr">
        <is>
          <t>Presupuesto</t>
        </is>
      </c>
      <c r="F1561" t="inlineStr">
        <is>
          <t>ingresos_totales</t>
        </is>
      </c>
      <c r="G1561" t="inlineStr">
        <is>
          <t>Revisado mayo</t>
        </is>
      </c>
      <c r="I1561" t="n">
        <v>1847872143</v>
      </c>
      <c r="J1561" t="inlineStr">
        <is>
          <t>COP</t>
        </is>
      </c>
      <c r="K1561" t="inlineStr">
        <is>
          <t>Presupuesto revisado en mayo 2026 · TRM plan 3.690 · meta anual USD 4.0M</t>
        </is>
      </c>
      <c r="L1561" t="inlineStr">
        <is>
          <t>Finanzas</t>
        </is>
      </c>
      <c r="M1561" t="inlineStr">
        <is>
          <t>Finanzas</t>
        </is>
      </c>
      <c r="N1561" t="inlineStr">
        <is>
          <t>Mensual</t>
        </is>
      </c>
    </row>
    <row r="1562">
      <c r="A1562" t="inlineStr">
        <is>
          <t>2026-12</t>
        </is>
      </c>
      <c r="B1562" t="inlineStr">
        <is>
          <t>Colombia</t>
        </is>
      </c>
      <c r="C1562" t="inlineStr">
        <is>
          <t>Coco Colombia</t>
        </is>
      </c>
      <c r="D1562" t="inlineStr">
        <is>
          <t>COP</t>
        </is>
      </c>
      <c r="E1562" t="inlineStr">
        <is>
          <t>Presupuesto</t>
        </is>
      </c>
      <c r="F1562" t="inlineStr">
        <is>
          <t>ingresos_totales</t>
        </is>
      </c>
      <c r="I1562" t="n">
        <v>1939287500</v>
      </c>
      <c r="J1562" t="inlineStr">
        <is>
          <t>COP</t>
        </is>
      </c>
      <c r="K1562" t="inlineStr">
        <is>
          <t>Presupuesto combinado 2026 · versión aplicada: Revisado 4.0M · TRM plan 3.690</t>
        </is>
      </c>
      <c r="L1562" t="inlineStr">
        <is>
          <t>Finanzas</t>
        </is>
      </c>
      <c r="M1562" t="inlineStr">
        <is>
          <t>Finanzas</t>
        </is>
      </c>
      <c r="N1562" t="inlineStr">
        <is>
          <t>Mensual</t>
        </is>
      </c>
    </row>
    <row r="1563">
      <c r="A1563" t="inlineStr">
        <is>
          <t>2026-12</t>
        </is>
      </c>
      <c r="B1563" t="inlineStr">
        <is>
          <t>Colombia</t>
        </is>
      </c>
      <c r="C1563" t="inlineStr">
        <is>
          <t>Coco Colombia</t>
        </is>
      </c>
      <c r="D1563" t="inlineStr">
        <is>
          <t>COP</t>
        </is>
      </c>
      <c r="E1563" t="inlineStr">
        <is>
          <t>Presupuesto</t>
        </is>
      </c>
      <c r="F1563" t="inlineStr">
        <is>
          <t>ingresos_totales</t>
        </is>
      </c>
      <c r="G1563" t="inlineStr">
        <is>
          <t>Original enero</t>
        </is>
      </c>
      <c r="I1563" t="n">
        <v>1767984000</v>
      </c>
      <c r="J1563" t="inlineStr">
        <is>
          <t>COP</t>
        </is>
      </c>
      <c r="K1563" t="inlineStr">
        <is>
          <t>Presupuesto original aprobado en enero 2026 · TRM plan 4.000 · meta anual USD 4.5M</t>
        </is>
      </c>
      <c r="L1563" t="inlineStr">
        <is>
          <t>Finanzas</t>
        </is>
      </c>
      <c r="M1563" t="inlineStr">
        <is>
          <t>Finanzas</t>
        </is>
      </c>
      <c r="N1563" t="inlineStr">
        <is>
          <t>Mensual</t>
        </is>
      </c>
    </row>
    <row r="1564">
      <c r="A1564" t="inlineStr">
        <is>
          <t>2026-12</t>
        </is>
      </c>
      <c r="B1564" t="inlineStr">
        <is>
          <t>Colombia</t>
        </is>
      </c>
      <c r="C1564" t="inlineStr">
        <is>
          <t>Coco Colombia</t>
        </is>
      </c>
      <c r="D1564" t="inlineStr">
        <is>
          <t>COP</t>
        </is>
      </c>
      <c r="E1564" t="inlineStr">
        <is>
          <t>Presupuesto</t>
        </is>
      </c>
      <c r="F1564" t="inlineStr">
        <is>
          <t>ingresos_totales</t>
        </is>
      </c>
      <c r="G1564" t="inlineStr">
        <is>
          <t>Revisado mayo</t>
        </is>
      </c>
      <c r="I1564" t="n">
        <v>1939287500</v>
      </c>
      <c r="J1564" t="inlineStr">
        <is>
          <t>COP</t>
        </is>
      </c>
      <c r="K1564" t="inlineStr">
        <is>
          <t>Presupuesto revisado en mayo 2026 · TRM plan 3.690 · meta anual USD 4.0M</t>
        </is>
      </c>
      <c r="L1564" t="inlineStr">
        <is>
          <t>Finanzas</t>
        </is>
      </c>
      <c r="M1564" t="inlineStr">
        <is>
          <t>Finanzas</t>
        </is>
      </c>
      <c r="N1564" t="inlineStr">
        <is>
          <t>Mensual</t>
        </is>
      </c>
    </row>
    <row r="1565">
      <c r="A1565" t="inlineStr">
        <is>
          <t>2026-06</t>
        </is>
      </c>
      <c r="B1565" t="inlineStr">
        <is>
          <t>EE.UU.</t>
        </is>
      </c>
      <c r="C1565" t="inlineStr">
        <is>
          <t>Coco LLC</t>
        </is>
      </c>
      <c r="D1565" t="inlineStr">
        <is>
          <t>USD</t>
        </is>
      </c>
      <c r="E1565" t="inlineStr">
        <is>
          <t>Real</t>
        </is>
      </c>
      <c r="F1565" t="inlineStr">
        <is>
          <t>pyg_servicio_software</t>
        </is>
      </c>
      <c r="G1565" t="inlineStr">
        <is>
          <t>Acumulado H1 2026</t>
        </is>
      </c>
      <c r="I1565" t="n">
        <v>32997</v>
      </c>
      <c r="J1565" t="inlineStr">
        <is>
          <t>USD</t>
        </is>
      </c>
      <c r="K1565" t="inlineStr">
        <is>
          <t>P&amp;G Consolidado Oficial · Acumulado 1-ene al 30-jun-2026 (H1) · USD · sin balance general. Tasas promedio jun-2026: Perú 3.4050 PEN/USD · Colombia 3,505.2683 COP/USD.</t>
        </is>
      </c>
      <c r="L1565" t="inlineStr">
        <is>
          <t>Internacional</t>
        </is>
      </c>
      <c r="M1565" t="inlineStr">
        <is>
          <t>Finanzas</t>
        </is>
      </c>
      <c r="N1565" t="inlineStr">
        <is>
          <t>Semestral</t>
        </is>
      </c>
    </row>
    <row r="1566">
      <c r="A1566" t="inlineStr">
        <is>
          <t>2026-06</t>
        </is>
      </c>
      <c r="B1566" t="inlineStr">
        <is>
          <t>Perú</t>
        </is>
      </c>
      <c r="C1566" t="inlineStr">
        <is>
          <t>Coco Perú</t>
        </is>
      </c>
      <c r="D1566" t="inlineStr">
        <is>
          <t>USD</t>
        </is>
      </c>
      <c r="E1566" t="inlineStr">
        <is>
          <t>Real</t>
        </is>
      </c>
      <c r="F1566" t="inlineStr">
        <is>
          <t>pyg_servicio_software</t>
        </is>
      </c>
      <c r="G1566" t="inlineStr">
        <is>
          <t>Acumulado H1 2026</t>
        </is>
      </c>
      <c r="I1566" t="n">
        <v>4679</v>
      </c>
      <c r="J1566" t="inlineStr">
        <is>
          <t>USD</t>
        </is>
      </c>
      <c r="K1566" t="inlineStr">
        <is>
          <t>P&amp;G Consolidado Oficial · Acumulado 1-ene al 30-jun-2026 (H1) · USD · sin balance general. Tasas promedio jun-2026: Perú 3.4050 PEN/USD · Colombia 3,505.2683 COP/USD.</t>
        </is>
      </c>
      <c r="L1566" t="inlineStr">
        <is>
          <t>Internacional</t>
        </is>
      </c>
      <c r="M1566" t="inlineStr">
        <is>
          <t>Finanzas</t>
        </is>
      </c>
      <c r="N1566" t="inlineStr">
        <is>
          <t>Semestral</t>
        </is>
      </c>
    </row>
    <row r="1567">
      <c r="A1567" t="inlineStr">
        <is>
          <t>2026-06</t>
        </is>
      </c>
      <c r="B1567" t="inlineStr">
        <is>
          <t>Colombia</t>
        </is>
      </c>
      <c r="C1567" t="inlineStr">
        <is>
          <t>Coco Colombia</t>
        </is>
      </c>
      <c r="D1567" t="inlineStr">
        <is>
          <t>USD</t>
        </is>
      </c>
      <c r="E1567" t="inlineStr">
        <is>
          <t>Real</t>
        </is>
      </c>
      <c r="F1567" t="inlineStr">
        <is>
          <t>pyg_servicio_software</t>
        </is>
      </c>
      <c r="G1567" t="inlineStr">
        <is>
          <t>Acumulado H1 2026</t>
        </is>
      </c>
      <c r="I1567" t="n">
        <v>1398926</v>
      </c>
      <c r="J1567" t="inlineStr">
        <is>
          <t>USD</t>
        </is>
      </c>
      <c r="K1567" t="inlineStr">
        <is>
          <t>P&amp;G Consolidado Oficial · Acumulado 1-ene al 30-jun-2026 (H1) · USD · sin balance general. Tasas promedio jun-2026: Perú 3.4050 PEN/USD · Colombia 3,505.2683 COP/USD.</t>
        </is>
      </c>
      <c r="L1567" t="inlineStr">
        <is>
          <t>Internacional</t>
        </is>
      </c>
      <c r="M1567" t="inlineStr">
        <is>
          <t>Finanzas</t>
        </is>
      </c>
      <c r="N1567" t="inlineStr">
        <is>
          <t>Semestral</t>
        </is>
      </c>
    </row>
    <row r="1568">
      <c r="A1568" t="inlineStr">
        <is>
          <t>2026-06</t>
        </is>
      </c>
      <c r="B1568" t="inlineStr">
        <is>
          <t>Consolidado</t>
        </is>
      </c>
      <c r="C1568" t="inlineStr">
        <is>
          <t>Coco Consolidado</t>
        </is>
      </c>
      <c r="D1568" t="inlineStr">
        <is>
          <t>USD</t>
        </is>
      </c>
      <c r="E1568" t="inlineStr">
        <is>
          <t>Real</t>
        </is>
      </c>
      <c r="F1568" t="inlineStr">
        <is>
          <t>pyg_servicio_software</t>
        </is>
      </c>
      <c r="G1568" t="inlineStr">
        <is>
          <t>Acumulado H1 2026</t>
        </is>
      </c>
      <c r="I1568" t="n">
        <v>1436602</v>
      </c>
      <c r="J1568" t="inlineStr">
        <is>
          <t>USD</t>
        </is>
      </c>
      <c r="K1568" t="inlineStr">
        <is>
          <t>P&amp;G Consolidado Oficial · Acumulado 1-ene al 30-jun-2026 (H1) · USD · sin balance general. Tasas promedio jun-2026: Perú 3.4050 PEN/USD · Colombia 3,505.2683 COP/USD.</t>
        </is>
      </c>
      <c r="L1568" t="inlineStr">
        <is>
          <t>Internacional</t>
        </is>
      </c>
      <c r="M1568" t="inlineStr">
        <is>
          <t>Finanzas</t>
        </is>
      </c>
      <c r="N1568" t="inlineStr">
        <is>
          <t>Semestral</t>
        </is>
      </c>
    </row>
    <row r="1569">
      <c r="A1569" t="inlineStr">
        <is>
          <t>2026-06</t>
        </is>
      </c>
      <c r="B1569" t="inlineStr">
        <is>
          <t>Colombia</t>
        </is>
      </c>
      <c r="C1569" t="inlineStr">
        <is>
          <t>Coco Colombia</t>
        </is>
      </c>
      <c r="D1569" t="inlineStr">
        <is>
          <t>USD</t>
        </is>
      </c>
      <c r="E1569" t="inlineStr">
        <is>
          <t>Real</t>
        </is>
      </c>
      <c r="F1569" t="inlineStr">
        <is>
          <t>pyg_devoluciones</t>
        </is>
      </c>
      <c r="G1569" t="inlineStr">
        <is>
          <t>Acumulado H1 2026</t>
        </is>
      </c>
      <c r="I1569" t="n">
        <v>-123034</v>
      </c>
      <c r="J1569" t="inlineStr">
        <is>
          <t>USD</t>
        </is>
      </c>
      <c r="K1569" t="inlineStr">
        <is>
          <t>P&amp;G Consolidado Oficial · Acumulado 1-ene al 30-jun-2026 (H1) · USD · sin balance general. Tasas promedio jun-2026: Perú 3.4050 PEN/USD · Colombia 3,505.2683 COP/USD.</t>
        </is>
      </c>
      <c r="L1569" t="inlineStr">
        <is>
          <t>Internacional</t>
        </is>
      </c>
      <c r="M1569" t="inlineStr">
        <is>
          <t>Finanzas</t>
        </is>
      </c>
      <c r="N1569" t="inlineStr">
        <is>
          <t>Semestral</t>
        </is>
      </c>
    </row>
    <row r="1570">
      <c r="A1570" t="inlineStr">
        <is>
          <t>2026-06</t>
        </is>
      </c>
      <c r="B1570" t="inlineStr">
        <is>
          <t>Consolidado</t>
        </is>
      </c>
      <c r="C1570" t="inlineStr">
        <is>
          <t>Coco Consolidado</t>
        </is>
      </c>
      <c r="D1570" t="inlineStr">
        <is>
          <t>USD</t>
        </is>
      </c>
      <c r="E1570" t="inlineStr">
        <is>
          <t>Real</t>
        </is>
      </c>
      <c r="F1570" t="inlineStr">
        <is>
          <t>pyg_devoluciones</t>
        </is>
      </c>
      <c r="G1570" t="inlineStr">
        <is>
          <t>Acumulado H1 2026</t>
        </is>
      </c>
      <c r="I1570" t="n">
        <v>-123034</v>
      </c>
      <c r="J1570" t="inlineStr">
        <is>
          <t>USD</t>
        </is>
      </c>
      <c r="K1570" t="inlineStr">
        <is>
          <t>P&amp;G Consolidado Oficial · Acumulado 1-ene al 30-jun-2026 (H1) · USD · sin balance general. Tasas promedio jun-2026: Perú 3.4050 PEN/USD · Colombia 3,505.2683 COP/USD.</t>
        </is>
      </c>
      <c r="L1570" t="inlineStr">
        <is>
          <t>Internacional</t>
        </is>
      </c>
      <c r="M1570" t="inlineStr">
        <is>
          <t>Finanzas</t>
        </is>
      </c>
      <c r="N1570" t="inlineStr">
        <is>
          <t>Semestral</t>
        </is>
      </c>
    </row>
    <row r="1571">
      <c r="A1571" t="inlineStr">
        <is>
          <t>2026-06</t>
        </is>
      </c>
      <c r="B1571" t="inlineStr">
        <is>
          <t>EE.UU.</t>
        </is>
      </c>
      <c r="C1571" t="inlineStr">
        <is>
          <t>Coco LLC</t>
        </is>
      </c>
      <c r="D1571" t="inlineStr">
        <is>
          <t>USD</t>
        </is>
      </c>
      <c r="E1571" t="inlineStr">
        <is>
          <t>Real</t>
        </is>
      </c>
      <c r="F1571" t="inlineStr">
        <is>
          <t>pyg_ingresos_operacionales</t>
        </is>
      </c>
      <c r="G1571" t="inlineStr">
        <is>
          <t>Acumulado H1 2026</t>
        </is>
      </c>
      <c r="I1571" t="n">
        <v>32997</v>
      </c>
      <c r="J1571" t="inlineStr">
        <is>
          <t>USD</t>
        </is>
      </c>
      <c r="K1571" t="inlineStr">
        <is>
          <t>P&amp;G Consolidado Oficial · Acumulado 1-ene al 30-jun-2026 (H1) · USD · sin balance general. Tasas promedio jun-2026: Perú 3.4050 PEN/USD · Colombia 3,505.2683 COP/USD.</t>
        </is>
      </c>
      <c r="L1571" t="inlineStr">
        <is>
          <t>Internacional</t>
        </is>
      </c>
      <c r="M1571" t="inlineStr">
        <is>
          <t>Finanzas</t>
        </is>
      </c>
      <c r="N1571" t="inlineStr">
        <is>
          <t>Semestral</t>
        </is>
      </c>
    </row>
    <row r="1572">
      <c r="A1572" t="inlineStr">
        <is>
          <t>2026-06</t>
        </is>
      </c>
      <c r="B1572" t="inlineStr">
        <is>
          <t>Perú</t>
        </is>
      </c>
      <c r="C1572" t="inlineStr">
        <is>
          <t>Coco Perú</t>
        </is>
      </c>
      <c r="D1572" t="inlineStr">
        <is>
          <t>USD</t>
        </is>
      </c>
      <c r="E1572" t="inlineStr">
        <is>
          <t>Real</t>
        </is>
      </c>
      <c r="F1572" t="inlineStr">
        <is>
          <t>pyg_ingresos_operacionales</t>
        </is>
      </c>
      <c r="G1572" t="inlineStr">
        <is>
          <t>Acumulado H1 2026</t>
        </is>
      </c>
      <c r="I1572" t="n">
        <v>4679</v>
      </c>
      <c r="J1572" t="inlineStr">
        <is>
          <t>USD</t>
        </is>
      </c>
      <c r="K1572" t="inlineStr">
        <is>
          <t>P&amp;G Consolidado Oficial · Acumulado 1-ene al 30-jun-2026 (H1) · USD · sin balance general. Tasas promedio jun-2026: Perú 3.4050 PEN/USD · Colombia 3,505.2683 COP/USD.</t>
        </is>
      </c>
      <c r="L1572" t="inlineStr">
        <is>
          <t>Internacional</t>
        </is>
      </c>
      <c r="M1572" t="inlineStr">
        <is>
          <t>Finanzas</t>
        </is>
      </c>
      <c r="N1572" t="inlineStr">
        <is>
          <t>Semestral</t>
        </is>
      </c>
    </row>
    <row r="1573">
      <c r="A1573" t="inlineStr">
        <is>
          <t>2026-06</t>
        </is>
      </c>
      <c r="B1573" t="inlineStr">
        <is>
          <t>Colombia</t>
        </is>
      </c>
      <c r="C1573" t="inlineStr">
        <is>
          <t>Coco Colombia</t>
        </is>
      </c>
      <c r="D1573" t="inlineStr">
        <is>
          <t>USD</t>
        </is>
      </c>
      <c r="E1573" t="inlineStr">
        <is>
          <t>Real</t>
        </is>
      </c>
      <c r="F1573" t="inlineStr">
        <is>
          <t>pyg_ingresos_operacionales</t>
        </is>
      </c>
      <c r="G1573" t="inlineStr">
        <is>
          <t>Acumulado H1 2026</t>
        </is>
      </c>
      <c r="I1573" t="n">
        <v>1275892</v>
      </c>
      <c r="J1573" t="inlineStr">
        <is>
          <t>USD</t>
        </is>
      </c>
      <c r="K1573" t="inlineStr">
        <is>
          <t>P&amp;G Consolidado Oficial · Acumulado 1-ene al 30-jun-2026 (H1) · USD · sin balance general. Tasas promedio jun-2026: Perú 3.4050 PEN/USD · Colombia 3,505.2683 COP/USD.</t>
        </is>
      </c>
      <c r="L1573" t="inlineStr">
        <is>
          <t>Internacional</t>
        </is>
      </c>
      <c r="M1573" t="inlineStr">
        <is>
          <t>Finanzas</t>
        </is>
      </c>
      <c r="N1573" t="inlineStr">
        <is>
          <t>Semestral</t>
        </is>
      </c>
    </row>
    <row r="1574">
      <c r="A1574" t="inlineStr">
        <is>
          <t>2026-06</t>
        </is>
      </c>
      <c r="B1574" t="inlineStr">
        <is>
          <t>Consolidado</t>
        </is>
      </c>
      <c r="C1574" t="inlineStr">
        <is>
          <t>Coco Consolidado</t>
        </is>
      </c>
      <c r="D1574" t="inlineStr">
        <is>
          <t>USD</t>
        </is>
      </c>
      <c r="E1574" t="inlineStr">
        <is>
          <t>Real</t>
        </is>
      </c>
      <c r="F1574" t="inlineStr">
        <is>
          <t>pyg_ingresos_operacionales</t>
        </is>
      </c>
      <c r="G1574" t="inlineStr">
        <is>
          <t>Acumulado H1 2026</t>
        </is>
      </c>
      <c r="I1574" t="n">
        <v>1313567</v>
      </c>
      <c r="J1574" t="inlineStr">
        <is>
          <t>USD</t>
        </is>
      </c>
      <c r="K1574" t="inlineStr">
        <is>
          <t>P&amp;G Consolidado Oficial · Acumulado 1-ene al 30-jun-2026 (H1) · USD · sin balance general. Tasas promedio jun-2026: Perú 3.4050 PEN/USD · Colombia 3,505.2683 COP/USD.</t>
        </is>
      </c>
      <c r="L1574" t="inlineStr">
        <is>
          <t>Internacional</t>
        </is>
      </c>
      <c r="M1574" t="inlineStr">
        <is>
          <t>Finanzas</t>
        </is>
      </c>
      <c r="N1574" t="inlineStr">
        <is>
          <t>Semestral</t>
        </is>
      </c>
    </row>
    <row r="1575">
      <c r="A1575" t="inlineStr">
        <is>
          <t>2026-06</t>
        </is>
      </c>
      <c r="B1575" t="inlineStr">
        <is>
          <t>Colombia</t>
        </is>
      </c>
      <c r="C1575" t="inlineStr">
        <is>
          <t>Coco Colombia</t>
        </is>
      </c>
      <c r="D1575" t="inlineStr">
        <is>
          <t>USD</t>
        </is>
      </c>
      <c r="E1575" t="inlineStr">
        <is>
          <t>Real</t>
        </is>
      </c>
      <c r="F1575" t="inlineStr">
        <is>
          <t>pyg_costo_ventas</t>
        </is>
      </c>
      <c r="G1575" t="inlineStr">
        <is>
          <t>Acumulado H1 2026</t>
        </is>
      </c>
      <c r="I1575" t="n">
        <v>605005</v>
      </c>
      <c r="J1575" t="inlineStr">
        <is>
          <t>USD</t>
        </is>
      </c>
      <c r="K1575" t="inlineStr">
        <is>
          <t>P&amp;G Consolidado Oficial · Acumulado 1-ene al 30-jun-2026 (H1) · USD · sin balance general. Tasas promedio jun-2026: Perú 3.4050 PEN/USD · Colombia 3,505.2683 COP/USD.</t>
        </is>
      </c>
      <c r="L1575" t="inlineStr">
        <is>
          <t>Internacional</t>
        </is>
      </c>
      <c r="M1575" t="inlineStr">
        <is>
          <t>Finanzas</t>
        </is>
      </c>
      <c r="N1575" t="inlineStr">
        <is>
          <t>Semestral</t>
        </is>
      </c>
    </row>
    <row r="1576">
      <c r="A1576" t="inlineStr">
        <is>
          <t>2026-06</t>
        </is>
      </c>
      <c r="B1576" t="inlineStr">
        <is>
          <t>Consolidado</t>
        </is>
      </c>
      <c r="C1576" t="inlineStr">
        <is>
          <t>Coco Consolidado</t>
        </is>
      </c>
      <c r="D1576" t="inlineStr">
        <is>
          <t>USD</t>
        </is>
      </c>
      <c r="E1576" t="inlineStr">
        <is>
          <t>Real</t>
        </is>
      </c>
      <c r="F1576" t="inlineStr">
        <is>
          <t>pyg_costo_ventas</t>
        </is>
      </c>
      <c r="G1576" t="inlineStr">
        <is>
          <t>Acumulado H1 2026</t>
        </is>
      </c>
      <c r="I1576" t="n">
        <v>605005</v>
      </c>
      <c r="J1576" t="inlineStr">
        <is>
          <t>USD</t>
        </is>
      </c>
      <c r="K1576" t="inlineStr">
        <is>
          <t>P&amp;G Consolidado Oficial · Acumulado 1-ene al 30-jun-2026 (H1) · USD · sin balance general. Tasas promedio jun-2026: Perú 3.4050 PEN/USD · Colombia 3,505.2683 COP/USD.</t>
        </is>
      </c>
      <c r="L1576" t="inlineStr">
        <is>
          <t>Internacional</t>
        </is>
      </c>
      <c r="M1576" t="inlineStr">
        <is>
          <t>Finanzas</t>
        </is>
      </c>
      <c r="N1576" t="inlineStr">
        <is>
          <t>Semestral</t>
        </is>
      </c>
    </row>
    <row r="1577">
      <c r="A1577" t="inlineStr">
        <is>
          <t>2026-06</t>
        </is>
      </c>
      <c r="B1577" t="inlineStr">
        <is>
          <t>EE.UU.</t>
        </is>
      </c>
      <c r="C1577" t="inlineStr">
        <is>
          <t>Coco LLC</t>
        </is>
      </c>
      <c r="D1577" t="inlineStr">
        <is>
          <t>USD</t>
        </is>
      </c>
      <c r="E1577" t="inlineStr">
        <is>
          <t>Real</t>
        </is>
      </c>
      <c r="F1577" t="inlineStr">
        <is>
          <t>pyg_gasto_administracion</t>
        </is>
      </c>
      <c r="G1577" t="inlineStr">
        <is>
          <t>Acumulado H1 2026</t>
        </is>
      </c>
      <c r="I1577" t="n">
        <v>30736</v>
      </c>
      <c r="J1577" t="inlineStr">
        <is>
          <t>USD</t>
        </is>
      </c>
      <c r="K1577" t="inlineStr">
        <is>
          <t>P&amp;G Consolidado Oficial · Acumulado 1-ene al 30-jun-2026 (H1) · USD · sin balance general. Tasas promedio jun-2026: Perú 3.4050 PEN/USD · Colombia 3,505.2683 COP/USD.</t>
        </is>
      </c>
      <c r="L1577" t="inlineStr">
        <is>
          <t>Internacional</t>
        </is>
      </c>
      <c r="M1577" t="inlineStr">
        <is>
          <t>Finanzas</t>
        </is>
      </c>
      <c r="N1577" t="inlineStr">
        <is>
          <t>Semestral</t>
        </is>
      </c>
    </row>
    <row r="1578">
      <c r="A1578" t="inlineStr">
        <is>
          <t>2026-06</t>
        </is>
      </c>
      <c r="B1578" t="inlineStr">
        <is>
          <t>Perú</t>
        </is>
      </c>
      <c r="C1578" t="inlineStr">
        <is>
          <t>Coco Perú</t>
        </is>
      </c>
      <c r="D1578" t="inlineStr">
        <is>
          <t>USD</t>
        </is>
      </c>
      <c r="E1578" t="inlineStr">
        <is>
          <t>Real</t>
        </is>
      </c>
      <c r="F1578" t="inlineStr">
        <is>
          <t>pyg_gasto_administracion</t>
        </is>
      </c>
      <c r="G1578" t="inlineStr">
        <is>
          <t>Acumulado H1 2026</t>
        </is>
      </c>
      <c r="I1578" t="n">
        <v>1600</v>
      </c>
      <c r="J1578" t="inlineStr">
        <is>
          <t>USD</t>
        </is>
      </c>
      <c r="K1578" t="inlineStr">
        <is>
          <t>P&amp;G Consolidado Oficial · Acumulado 1-ene al 30-jun-2026 (H1) · USD · sin balance general. Tasas promedio jun-2026: Perú 3.4050 PEN/USD · Colombia 3,505.2683 COP/USD.</t>
        </is>
      </c>
      <c r="L1578" t="inlineStr">
        <is>
          <t>Internacional</t>
        </is>
      </c>
      <c r="M1578" t="inlineStr">
        <is>
          <t>Finanzas</t>
        </is>
      </c>
      <c r="N1578" t="inlineStr">
        <is>
          <t>Semestral</t>
        </is>
      </c>
    </row>
    <row r="1579">
      <c r="A1579" t="inlineStr">
        <is>
          <t>2026-06</t>
        </is>
      </c>
      <c r="B1579" t="inlineStr">
        <is>
          <t>Costa Rica</t>
        </is>
      </c>
      <c r="C1579" t="inlineStr">
        <is>
          <t>Coco Costa Rica</t>
        </is>
      </c>
      <c r="D1579" t="inlineStr">
        <is>
          <t>USD</t>
        </is>
      </c>
      <c r="E1579" t="inlineStr">
        <is>
          <t>Real</t>
        </is>
      </c>
      <c r="F1579" t="inlineStr">
        <is>
          <t>pyg_gasto_administracion</t>
        </is>
      </c>
      <c r="G1579" t="inlineStr">
        <is>
          <t>Acumulado H1 2026</t>
        </is>
      </c>
      <c r="I1579" t="n">
        <v>21792</v>
      </c>
      <c r="J1579" t="inlineStr">
        <is>
          <t>USD</t>
        </is>
      </c>
      <c r="K1579" t="inlineStr">
        <is>
          <t>P&amp;G Consolidado Oficial · Acumulado 1-ene al 30-jun-2026 (H1) · USD · sin balance general. Tasas promedio jun-2026: Perú 3.4050 PEN/USD · Colombia 3,505.2683 COP/USD.</t>
        </is>
      </c>
      <c r="L1579" t="inlineStr">
        <is>
          <t>Internacional</t>
        </is>
      </c>
      <c r="M1579" t="inlineStr">
        <is>
          <t>Finanzas</t>
        </is>
      </c>
      <c r="N1579" t="inlineStr">
        <is>
          <t>Semestral</t>
        </is>
      </c>
    </row>
    <row r="1580">
      <c r="A1580" t="inlineStr">
        <is>
          <t>2026-06</t>
        </is>
      </c>
      <c r="B1580" t="inlineStr">
        <is>
          <t>Colombia</t>
        </is>
      </c>
      <c r="C1580" t="inlineStr">
        <is>
          <t>Coco Colombia</t>
        </is>
      </c>
      <c r="D1580" t="inlineStr">
        <is>
          <t>USD</t>
        </is>
      </c>
      <c r="E1580" t="inlineStr">
        <is>
          <t>Real</t>
        </is>
      </c>
      <c r="F1580" t="inlineStr">
        <is>
          <t>pyg_gasto_administracion</t>
        </is>
      </c>
      <c r="G1580" t="inlineStr">
        <is>
          <t>Acumulado H1 2026</t>
        </is>
      </c>
      <c r="I1580" t="n">
        <v>196717</v>
      </c>
      <c r="J1580" t="inlineStr">
        <is>
          <t>USD</t>
        </is>
      </c>
      <c r="K1580" t="inlineStr">
        <is>
          <t>P&amp;G Consolidado Oficial · Acumulado 1-ene al 30-jun-2026 (H1) · USD · sin balance general. Tasas promedio jun-2026: Perú 3.4050 PEN/USD · Colombia 3,505.2683 COP/USD.</t>
        </is>
      </c>
      <c r="L1580" t="inlineStr">
        <is>
          <t>Internacional</t>
        </is>
      </c>
      <c r="M1580" t="inlineStr">
        <is>
          <t>Finanzas</t>
        </is>
      </c>
      <c r="N1580" t="inlineStr">
        <is>
          <t>Semestral</t>
        </is>
      </c>
    </row>
    <row r="1581">
      <c r="A1581" t="inlineStr">
        <is>
          <t>2026-06</t>
        </is>
      </c>
      <c r="B1581" t="inlineStr">
        <is>
          <t>Consolidado</t>
        </is>
      </c>
      <c r="C1581" t="inlineStr">
        <is>
          <t>Coco Consolidado</t>
        </is>
      </c>
      <c r="D1581" t="inlineStr">
        <is>
          <t>USD</t>
        </is>
      </c>
      <c r="E1581" t="inlineStr">
        <is>
          <t>Real</t>
        </is>
      </c>
      <c r="F1581" t="inlineStr">
        <is>
          <t>pyg_gasto_administracion</t>
        </is>
      </c>
      <c r="G1581" t="inlineStr">
        <is>
          <t>Acumulado H1 2026</t>
        </is>
      </c>
      <c r="I1581" t="n">
        <v>250845</v>
      </c>
      <c r="J1581" t="inlineStr">
        <is>
          <t>USD</t>
        </is>
      </c>
      <c r="K1581" t="inlineStr">
        <is>
          <t>P&amp;G Consolidado Oficial · Acumulado 1-ene al 30-jun-2026 (H1) · USD · sin balance general. Tasas promedio jun-2026: Perú 3.4050 PEN/USD · Colombia 3,505.2683 COP/USD.</t>
        </is>
      </c>
      <c r="L1581" t="inlineStr">
        <is>
          <t>Internacional</t>
        </is>
      </c>
      <c r="M1581" t="inlineStr">
        <is>
          <t>Finanzas</t>
        </is>
      </c>
      <c r="N1581" t="inlineStr">
        <is>
          <t>Semestral</t>
        </is>
      </c>
    </row>
    <row r="1582">
      <c r="A1582" t="inlineStr">
        <is>
          <t>2026-06</t>
        </is>
      </c>
      <c r="B1582" t="inlineStr">
        <is>
          <t>EE.UU.</t>
        </is>
      </c>
      <c r="C1582" t="inlineStr">
        <is>
          <t>Coco LLC</t>
        </is>
      </c>
      <c r="D1582" t="inlineStr">
        <is>
          <t>USD</t>
        </is>
      </c>
      <c r="E1582" t="inlineStr">
        <is>
          <t>Real</t>
        </is>
      </c>
      <c r="F1582" t="inlineStr">
        <is>
          <t>pyg_gasto_ventas</t>
        </is>
      </c>
      <c r="G1582" t="inlineStr">
        <is>
          <t>Acumulado H1 2026</t>
        </is>
      </c>
      <c r="I1582" t="n">
        <v>25246</v>
      </c>
      <c r="J1582" t="inlineStr">
        <is>
          <t>USD</t>
        </is>
      </c>
      <c r="K1582" t="inlineStr">
        <is>
          <t>Estado de Resultados Combinado por País · acumulado a junio 2026 (versión definitiva, incluye reclasificación de honorarios de Perú pagados por EE.UU.).</t>
        </is>
      </c>
      <c r="L1582" t="inlineStr">
        <is>
          <t>Internacional</t>
        </is>
      </c>
      <c r="M1582" t="inlineStr">
        <is>
          <t>Finanzas</t>
        </is>
      </c>
      <c r="N1582" t="inlineStr">
        <is>
          <t>Semestral</t>
        </is>
      </c>
    </row>
    <row r="1583">
      <c r="A1583" t="inlineStr">
        <is>
          <t>2026-06</t>
        </is>
      </c>
      <c r="B1583" t="inlineStr">
        <is>
          <t>Colombia</t>
        </is>
      </c>
      <c r="C1583" t="inlineStr">
        <is>
          <t>Coco Colombia</t>
        </is>
      </c>
      <c r="D1583" t="inlineStr">
        <is>
          <t>USD</t>
        </is>
      </c>
      <c r="E1583" t="inlineStr">
        <is>
          <t>Real</t>
        </is>
      </c>
      <c r="F1583" t="inlineStr">
        <is>
          <t>pyg_gasto_ventas</t>
        </is>
      </c>
      <c r="G1583" t="inlineStr">
        <is>
          <t>Acumulado H1 2026</t>
        </is>
      </c>
      <c r="I1583" t="n">
        <v>240203</v>
      </c>
      <c r="J1583" t="inlineStr">
        <is>
          <t>USD</t>
        </is>
      </c>
      <c r="K1583" t="inlineStr">
        <is>
          <t>P&amp;G Consolidado Oficial · Acumulado 1-ene al 30-jun-2026 (H1) · USD · sin balance general. Tasas promedio jun-2026: Perú 3.4050 PEN/USD · Colombia 3,505.2683 COP/USD.</t>
        </is>
      </c>
      <c r="L1583" t="inlineStr">
        <is>
          <t>Internacional</t>
        </is>
      </c>
      <c r="M1583" t="inlineStr">
        <is>
          <t>Finanzas</t>
        </is>
      </c>
      <c r="N1583" t="inlineStr">
        <is>
          <t>Semestral</t>
        </is>
      </c>
    </row>
    <row r="1584">
      <c r="A1584" t="inlineStr">
        <is>
          <t>2026-06</t>
        </is>
      </c>
      <c r="B1584" t="inlineStr">
        <is>
          <t>Consolidado</t>
        </is>
      </c>
      <c r="C1584" t="inlineStr">
        <is>
          <t>Coco Consolidado</t>
        </is>
      </c>
      <c r="D1584" t="inlineStr">
        <is>
          <t>USD</t>
        </is>
      </c>
      <c r="E1584" t="inlineStr">
        <is>
          <t>Real</t>
        </is>
      </c>
      <c r="F1584" t="inlineStr">
        <is>
          <t>pyg_gasto_ventas</t>
        </is>
      </c>
      <c r="G1584" t="inlineStr">
        <is>
          <t>Acumulado H1 2026</t>
        </is>
      </c>
      <c r="I1584" t="n">
        <v>265449</v>
      </c>
      <c r="J1584" t="inlineStr">
        <is>
          <t>USD</t>
        </is>
      </c>
      <c r="K1584" t="inlineStr">
        <is>
          <t>Estado de Resultados Combinado por País · acumulado a junio 2026 (versión definitiva, incluye reclasificación de honorarios de Perú pagados por EE.UU.).</t>
        </is>
      </c>
      <c r="L1584" t="inlineStr">
        <is>
          <t>Internacional</t>
        </is>
      </c>
      <c r="M1584" t="inlineStr">
        <is>
          <t>Finanzas</t>
        </is>
      </c>
      <c r="N1584" t="inlineStr">
        <is>
          <t>Semestral</t>
        </is>
      </c>
    </row>
    <row r="1585">
      <c r="A1585" t="inlineStr">
        <is>
          <t>2026-06</t>
        </is>
      </c>
      <c r="B1585" t="inlineStr">
        <is>
          <t>EE.UU.</t>
        </is>
      </c>
      <c r="C1585" t="inlineStr">
        <is>
          <t>Coco LLC</t>
        </is>
      </c>
      <c r="D1585" t="inlineStr">
        <is>
          <t>USD</t>
        </is>
      </c>
      <c r="E1585" t="inlineStr">
        <is>
          <t>Real</t>
        </is>
      </c>
      <c r="F1585" t="inlineStr">
        <is>
          <t>pyg_gasto_proyectos</t>
        </is>
      </c>
      <c r="G1585" t="inlineStr">
        <is>
          <t>Acumulado H1 2026</t>
        </is>
      </c>
      <c r="I1585" t="n">
        <v>11500</v>
      </c>
      <c r="J1585" t="inlineStr">
        <is>
          <t>USD</t>
        </is>
      </c>
      <c r="K1585" t="inlineStr">
        <is>
          <t>P&amp;G Consolidado Oficial · Acumulado 1-ene al 30-jun-2026 (H1) · USD · sin balance general. Tasas promedio jun-2026: Perú 3.4050 PEN/USD · Colombia 3,505.2683 COP/USD.</t>
        </is>
      </c>
      <c r="L1585" t="inlineStr">
        <is>
          <t>Internacional</t>
        </is>
      </c>
      <c r="M1585" t="inlineStr">
        <is>
          <t>Finanzas</t>
        </is>
      </c>
      <c r="N1585" t="inlineStr">
        <is>
          <t>Semestral</t>
        </is>
      </c>
    </row>
    <row r="1586">
      <c r="A1586" t="inlineStr">
        <is>
          <t>2026-06</t>
        </is>
      </c>
      <c r="B1586" t="inlineStr">
        <is>
          <t>Perú</t>
        </is>
      </c>
      <c r="C1586" t="inlineStr">
        <is>
          <t>Coco Perú</t>
        </is>
      </c>
      <c r="D1586" t="inlineStr">
        <is>
          <t>USD</t>
        </is>
      </c>
      <c r="E1586" t="inlineStr">
        <is>
          <t>Real</t>
        </is>
      </c>
      <c r="F1586" t="inlineStr">
        <is>
          <t>pyg_gasto_proyectos</t>
        </is>
      </c>
      <c r="G1586" t="inlineStr">
        <is>
          <t>Acumulado H1 2026</t>
        </is>
      </c>
      <c r="I1586" t="n">
        <v>16797</v>
      </c>
      <c r="J1586" t="inlineStr">
        <is>
          <t>USD</t>
        </is>
      </c>
      <c r="K1586" t="inlineStr">
        <is>
          <t>P&amp;G Consolidado Oficial · Acumulado 1-ene al 30-jun-2026 (H1) · USD · sin balance general. Tasas promedio jun-2026: Perú 3.4050 PEN/USD · Colombia 3,505.2683 COP/USD.</t>
        </is>
      </c>
      <c r="L1586" t="inlineStr">
        <is>
          <t>Internacional</t>
        </is>
      </c>
      <c r="M1586" t="inlineStr">
        <is>
          <t>Finanzas</t>
        </is>
      </c>
      <c r="N1586" t="inlineStr">
        <is>
          <t>Semestral</t>
        </is>
      </c>
    </row>
    <row r="1587">
      <c r="A1587" t="inlineStr">
        <is>
          <t>2026-06</t>
        </is>
      </c>
      <c r="B1587" t="inlineStr">
        <is>
          <t>Colombia</t>
        </is>
      </c>
      <c r="C1587" t="inlineStr">
        <is>
          <t>Coco Colombia</t>
        </is>
      </c>
      <c r="D1587" t="inlineStr">
        <is>
          <t>USD</t>
        </is>
      </c>
      <c r="E1587" t="inlineStr">
        <is>
          <t>Real</t>
        </is>
      </c>
      <c r="F1587" t="inlineStr">
        <is>
          <t>pyg_gasto_proyectos</t>
        </is>
      </c>
      <c r="G1587" t="inlineStr">
        <is>
          <t>Acumulado H1 2026</t>
        </is>
      </c>
      <c r="I1587" t="n">
        <v>163589</v>
      </c>
      <c r="J1587" t="inlineStr">
        <is>
          <t>USD</t>
        </is>
      </c>
      <c r="K1587" t="inlineStr">
        <is>
          <t>P&amp;G Consolidado Oficial · Acumulado 1-ene al 30-jun-2026 (H1) · USD · sin balance general. Tasas promedio jun-2026: Perú 3.4050 PEN/USD · Colombia 3,505.2683 COP/USD.</t>
        </is>
      </c>
      <c r="L1587" t="inlineStr">
        <is>
          <t>Internacional</t>
        </is>
      </c>
      <c r="M1587" t="inlineStr">
        <is>
          <t>Finanzas</t>
        </is>
      </c>
      <c r="N1587" t="inlineStr">
        <is>
          <t>Semestral</t>
        </is>
      </c>
    </row>
    <row r="1588">
      <c r="A1588" t="inlineStr">
        <is>
          <t>2026-06</t>
        </is>
      </c>
      <c r="B1588" t="inlineStr">
        <is>
          <t>Consolidado</t>
        </is>
      </c>
      <c r="C1588" t="inlineStr">
        <is>
          <t>Coco Consolidado</t>
        </is>
      </c>
      <c r="D1588" t="inlineStr">
        <is>
          <t>USD</t>
        </is>
      </c>
      <c r="E1588" t="inlineStr">
        <is>
          <t>Real</t>
        </is>
      </c>
      <c r="F1588" t="inlineStr">
        <is>
          <t>pyg_gasto_proyectos</t>
        </is>
      </c>
      <c r="G1588" t="inlineStr">
        <is>
          <t>Acumulado H1 2026</t>
        </is>
      </c>
      <c r="I1588" t="n">
        <v>191885</v>
      </c>
      <c r="J1588" t="inlineStr">
        <is>
          <t>USD</t>
        </is>
      </c>
      <c r="K1588" t="inlineStr">
        <is>
          <t>P&amp;G Consolidado Oficial · Acumulado 1-ene al 30-jun-2026 (H1) · USD · sin balance general. Tasas promedio jun-2026: Perú 3.4050 PEN/USD · Colombia 3,505.2683 COP/USD.</t>
        </is>
      </c>
      <c r="L1588" t="inlineStr">
        <is>
          <t>Internacional</t>
        </is>
      </c>
      <c r="M1588" t="inlineStr">
        <is>
          <t>Finanzas</t>
        </is>
      </c>
      <c r="N1588" t="inlineStr">
        <is>
          <t>Semestral</t>
        </is>
      </c>
    </row>
    <row r="1589">
      <c r="A1589" t="inlineStr">
        <is>
          <t>2026-06</t>
        </is>
      </c>
      <c r="B1589" t="inlineStr">
        <is>
          <t>Colombia</t>
        </is>
      </c>
      <c r="C1589" t="inlineStr">
        <is>
          <t>Coco Colombia</t>
        </is>
      </c>
      <c r="D1589" t="inlineStr">
        <is>
          <t>USD</t>
        </is>
      </c>
      <c r="E1589" t="inlineStr">
        <is>
          <t>Real</t>
        </is>
      </c>
      <c r="F1589" t="inlineStr">
        <is>
          <t>pyg_ingresos_no_operacionales</t>
        </is>
      </c>
      <c r="G1589" t="inlineStr">
        <is>
          <t>Acumulado H1 2026</t>
        </is>
      </c>
      <c r="I1589" t="n">
        <v>2876</v>
      </c>
      <c r="J1589" t="inlineStr">
        <is>
          <t>USD</t>
        </is>
      </c>
      <c r="K1589" t="inlineStr">
        <is>
          <t>P&amp;G Consolidado Oficial · Acumulado 1-ene al 30-jun-2026 (H1) · USD · sin balance general. Tasas promedio jun-2026: Perú 3.4050 PEN/USD · Colombia 3,505.2683 COP/USD.</t>
        </is>
      </c>
      <c r="L1589" t="inlineStr">
        <is>
          <t>Internacional</t>
        </is>
      </c>
      <c r="M1589" t="inlineStr">
        <is>
          <t>Finanzas</t>
        </is>
      </c>
      <c r="N1589" t="inlineStr">
        <is>
          <t>Semestral</t>
        </is>
      </c>
    </row>
    <row r="1590">
      <c r="A1590" t="inlineStr">
        <is>
          <t>2026-06</t>
        </is>
      </c>
      <c r="B1590" t="inlineStr">
        <is>
          <t>Consolidado</t>
        </is>
      </c>
      <c r="C1590" t="inlineStr">
        <is>
          <t>Coco Consolidado</t>
        </is>
      </c>
      <c r="D1590" t="inlineStr">
        <is>
          <t>USD</t>
        </is>
      </c>
      <c r="E1590" t="inlineStr">
        <is>
          <t>Real</t>
        </is>
      </c>
      <c r="F1590" t="inlineStr">
        <is>
          <t>pyg_ingresos_no_operacionales</t>
        </is>
      </c>
      <c r="G1590" t="inlineStr">
        <is>
          <t>Acumulado H1 2026</t>
        </is>
      </c>
      <c r="I1590" t="n">
        <v>2876</v>
      </c>
      <c r="J1590" t="inlineStr">
        <is>
          <t>USD</t>
        </is>
      </c>
      <c r="K1590" t="inlineStr">
        <is>
          <t>P&amp;G Consolidado Oficial · Acumulado 1-ene al 30-jun-2026 (H1) · USD · sin balance general. Tasas promedio jun-2026: Perú 3.4050 PEN/USD · Colombia 3,505.2683 COP/USD.</t>
        </is>
      </c>
      <c r="L1590" t="inlineStr">
        <is>
          <t>Internacional</t>
        </is>
      </c>
      <c r="M1590" t="inlineStr">
        <is>
          <t>Finanzas</t>
        </is>
      </c>
      <c r="N1590" t="inlineStr">
        <is>
          <t>Semestral</t>
        </is>
      </c>
    </row>
    <row r="1591">
      <c r="A1591" t="inlineStr">
        <is>
          <t>2026-06</t>
        </is>
      </c>
      <c r="B1591" t="inlineStr">
        <is>
          <t>EE.UU.</t>
        </is>
      </c>
      <c r="C1591" t="inlineStr">
        <is>
          <t>Coco LLC</t>
        </is>
      </c>
      <c r="D1591" t="inlineStr">
        <is>
          <t>USD</t>
        </is>
      </c>
      <c r="E1591" t="inlineStr">
        <is>
          <t>Real</t>
        </is>
      </c>
      <c r="F1591" t="inlineStr">
        <is>
          <t>pyg_gastos_financieros</t>
        </is>
      </c>
      <c r="G1591" t="inlineStr">
        <is>
          <t>Acumulado H1 2026</t>
        </is>
      </c>
      <c r="I1591" t="n">
        <v>15</v>
      </c>
      <c r="J1591" t="inlineStr">
        <is>
          <t>USD</t>
        </is>
      </c>
      <c r="K1591" t="inlineStr">
        <is>
          <t>P&amp;G Consolidado Oficial · Acumulado 1-ene al 30-jun-2026 (H1) · USD · sin balance general. Tasas promedio jun-2026: Perú 3.4050 PEN/USD · Colombia 3,505.2683 COP/USD.</t>
        </is>
      </c>
      <c r="L1591" t="inlineStr">
        <is>
          <t>Internacional</t>
        </is>
      </c>
      <c r="M1591" t="inlineStr">
        <is>
          <t>Finanzas</t>
        </is>
      </c>
      <c r="N1591" t="inlineStr">
        <is>
          <t>Semestral</t>
        </is>
      </c>
    </row>
    <row r="1592">
      <c r="A1592" t="inlineStr">
        <is>
          <t>2026-06</t>
        </is>
      </c>
      <c r="B1592" t="inlineStr">
        <is>
          <t>Perú</t>
        </is>
      </c>
      <c r="C1592" t="inlineStr">
        <is>
          <t>Coco Perú</t>
        </is>
      </c>
      <c r="D1592" t="inlineStr">
        <is>
          <t>USD</t>
        </is>
      </c>
      <c r="E1592" t="inlineStr">
        <is>
          <t>Real</t>
        </is>
      </c>
      <c r="F1592" t="inlineStr">
        <is>
          <t>pyg_gastos_financieros</t>
        </is>
      </c>
      <c r="G1592" t="inlineStr">
        <is>
          <t>Acumulado H1 2026</t>
        </is>
      </c>
      <c r="I1592" t="n">
        <v>265</v>
      </c>
      <c r="J1592" t="inlineStr">
        <is>
          <t>USD</t>
        </is>
      </c>
      <c r="K1592" t="inlineStr">
        <is>
          <t>P&amp;G Consolidado Oficial · Acumulado 1-ene al 30-jun-2026 (H1) · USD · sin balance general. Tasas promedio jun-2026: Perú 3.4050 PEN/USD · Colombia 3,505.2683 COP/USD.</t>
        </is>
      </c>
      <c r="L1592" t="inlineStr">
        <is>
          <t>Internacional</t>
        </is>
      </c>
      <c r="M1592" t="inlineStr">
        <is>
          <t>Finanzas</t>
        </is>
      </c>
      <c r="N1592" t="inlineStr">
        <is>
          <t>Semestral</t>
        </is>
      </c>
    </row>
    <row r="1593">
      <c r="A1593" t="inlineStr">
        <is>
          <t>2026-06</t>
        </is>
      </c>
      <c r="B1593" t="inlineStr">
        <is>
          <t>Costa Rica</t>
        </is>
      </c>
      <c r="C1593" t="inlineStr">
        <is>
          <t>Coco Costa Rica</t>
        </is>
      </c>
      <c r="D1593" t="inlineStr">
        <is>
          <t>USD</t>
        </is>
      </c>
      <c r="E1593" t="inlineStr">
        <is>
          <t>Real</t>
        </is>
      </c>
      <c r="F1593" t="inlineStr">
        <is>
          <t>pyg_gastos_financieros</t>
        </is>
      </c>
      <c r="G1593" t="inlineStr">
        <is>
          <t>Acumulado H1 2026</t>
        </is>
      </c>
      <c r="I1593" t="n">
        <v>206</v>
      </c>
      <c r="J1593" t="inlineStr">
        <is>
          <t>USD</t>
        </is>
      </c>
      <c r="K1593" t="inlineStr">
        <is>
          <t>P&amp;G Consolidado Oficial · Acumulado 1-ene al 30-jun-2026 (H1) · USD · sin balance general. Tasas promedio jun-2026: Perú 3.4050 PEN/USD · Colombia 3,505.2683 COP/USD.</t>
        </is>
      </c>
      <c r="L1593" t="inlineStr">
        <is>
          <t>Internacional</t>
        </is>
      </c>
      <c r="M1593" t="inlineStr">
        <is>
          <t>Finanzas</t>
        </is>
      </c>
      <c r="N1593" t="inlineStr">
        <is>
          <t>Semestral</t>
        </is>
      </c>
    </row>
    <row r="1594">
      <c r="A1594" t="inlineStr">
        <is>
          <t>2026-06</t>
        </is>
      </c>
      <c r="B1594" t="inlineStr">
        <is>
          <t>Colombia</t>
        </is>
      </c>
      <c r="C1594" t="inlineStr">
        <is>
          <t>Coco Colombia</t>
        </is>
      </c>
      <c r="D1594" t="inlineStr">
        <is>
          <t>USD</t>
        </is>
      </c>
      <c r="E1594" t="inlineStr">
        <is>
          <t>Real</t>
        </is>
      </c>
      <c r="F1594" t="inlineStr">
        <is>
          <t>pyg_gastos_financieros</t>
        </is>
      </c>
      <c r="G1594" t="inlineStr">
        <is>
          <t>Acumulado H1 2026</t>
        </is>
      </c>
      <c r="I1594" t="n">
        <v>9915</v>
      </c>
      <c r="J1594" t="inlineStr">
        <is>
          <t>USD</t>
        </is>
      </c>
      <c r="K1594" t="inlineStr">
        <is>
          <t>P&amp;G Consolidado Oficial · Acumulado 1-ene al 30-jun-2026 (H1) · USD · sin balance general. Tasas promedio jun-2026: Perú 3.4050 PEN/USD · Colombia 3,505.2683 COP/USD.</t>
        </is>
      </c>
      <c r="L1594" t="inlineStr">
        <is>
          <t>Internacional</t>
        </is>
      </c>
      <c r="M1594" t="inlineStr">
        <is>
          <t>Finanzas</t>
        </is>
      </c>
      <c r="N1594" t="inlineStr">
        <is>
          <t>Semestral</t>
        </is>
      </c>
    </row>
    <row r="1595">
      <c r="A1595" t="inlineStr">
        <is>
          <t>2026-06</t>
        </is>
      </c>
      <c r="B1595" t="inlineStr">
        <is>
          <t>Consolidado</t>
        </is>
      </c>
      <c r="C1595" t="inlineStr">
        <is>
          <t>Coco Consolidado</t>
        </is>
      </c>
      <c r="D1595" t="inlineStr">
        <is>
          <t>USD</t>
        </is>
      </c>
      <c r="E1595" t="inlineStr">
        <is>
          <t>Real</t>
        </is>
      </c>
      <c r="F1595" t="inlineStr">
        <is>
          <t>pyg_gastos_financieros</t>
        </is>
      </c>
      <c r="G1595" t="inlineStr">
        <is>
          <t>Acumulado H1 2026</t>
        </is>
      </c>
      <c r="I1595" t="n">
        <v>10401</v>
      </c>
      <c r="J1595" t="inlineStr">
        <is>
          <t>USD</t>
        </is>
      </c>
      <c r="K1595" t="inlineStr">
        <is>
          <t>P&amp;G Consolidado Oficial · Acumulado 1-ene al 30-jun-2026 (H1) · USD · sin balance general. Tasas promedio jun-2026: Perú 3.4050 PEN/USD · Colombia 3,505.2683 COP/USD.</t>
        </is>
      </c>
      <c r="L1595" t="inlineStr">
        <is>
          <t>Internacional</t>
        </is>
      </c>
      <c r="M1595" t="inlineStr">
        <is>
          <t>Finanzas</t>
        </is>
      </c>
      <c r="N1595" t="inlineStr">
        <is>
          <t>Semestral</t>
        </is>
      </c>
    </row>
    <row r="1596">
      <c r="A1596" t="inlineStr">
        <is>
          <t>2026-06</t>
        </is>
      </c>
      <c r="B1596" t="inlineStr">
        <is>
          <t>EE.UU.</t>
        </is>
      </c>
      <c r="C1596" t="inlineStr">
        <is>
          <t>Coco LLC</t>
        </is>
      </c>
      <c r="D1596" t="inlineStr">
        <is>
          <t>USD</t>
        </is>
      </c>
      <c r="E1596" t="inlineStr">
        <is>
          <t>Real</t>
        </is>
      </c>
      <c r="F1596" t="inlineStr">
        <is>
          <t>pyg_utilidad_neta</t>
        </is>
      </c>
      <c r="G1596" t="inlineStr">
        <is>
          <t>Acumulado H1 2026</t>
        </is>
      </c>
      <c r="I1596" t="n">
        <v>-45057</v>
      </c>
      <c r="J1596" t="inlineStr">
        <is>
          <t>USD</t>
        </is>
      </c>
      <c r="K1596" t="inlineStr">
        <is>
          <t>Estado de Resultados Combinado por País · acumulado a junio 2026 (versión definitiva, incluye reclasificación de honorarios de Perú pagados por EE.UU.).</t>
        </is>
      </c>
      <c r="L1596" t="inlineStr">
        <is>
          <t>Internacional</t>
        </is>
      </c>
      <c r="M1596" t="inlineStr">
        <is>
          <t>Finanzas</t>
        </is>
      </c>
      <c r="N1596" t="inlineStr">
        <is>
          <t>Semestral</t>
        </is>
      </c>
    </row>
    <row r="1597">
      <c r="A1597" t="inlineStr">
        <is>
          <t>2026-06</t>
        </is>
      </c>
      <c r="B1597" t="inlineStr">
        <is>
          <t>Perú</t>
        </is>
      </c>
      <c r="C1597" t="inlineStr">
        <is>
          <t>Coco Perú</t>
        </is>
      </c>
      <c r="D1597" t="inlineStr">
        <is>
          <t>USD</t>
        </is>
      </c>
      <c r="E1597" t="inlineStr">
        <is>
          <t>Real</t>
        </is>
      </c>
      <c r="F1597" t="inlineStr">
        <is>
          <t>pyg_utilidad_neta</t>
        </is>
      </c>
      <c r="G1597" t="inlineStr">
        <is>
          <t>Acumulado H1 2026</t>
        </is>
      </c>
      <c r="I1597" t="n">
        <v>-13983</v>
      </c>
      <c r="J1597" t="inlineStr">
        <is>
          <t>USD</t>
        </is>
      </c>
      <c r="K1597" t="inlineStr">
        <is>
          <t>P&amp;G Consolidado Oficial · Acumulado 1-ene al 30-jun-2026 (H1) · USD · sin balance general. Tasas promedio jun-2026: Perú 3.4050 PEN/USD · Colombia 3,505.2683 COP/USD.</t>
        </is>
      </c>
      <c r="L1597" t="inlineStr">
        <is>
          <t>Internacional</t>
        </is>
      </c>
      <c r="M1597" t="inlineStr">
        <is>
          <t>Finanzas</t>
        </is>
      </c>
      <c r="N1597" t="inlineStr">
        <is>
          <t>Semestral</t>
        </is>
      </c>
    </row>
    <row r="1598">
      <c r="A1598" t="inlineStr">
        <is>
          <t>2026-06</t>
        </is>
      </c>
      <c r="B1598" t="inlineStr">
        <is>
          <t>Costa Rica</t>
        </is>
      </c>
      <c r="C1598" t="inlineStr">
        <is>
          <t>Coco Costa Rica</t>
        </is>
      </c>
      <c r="D1598" t="inlineStr">
        <is>
          <t>USD</t>
        </is>
      </c>
      <c r="E1598" t="inlineStr">
        <is>
          <t>Real</t>
        </is>
      </c>
      <c r="F1598" t="inlineStr">
        <is>
          <t>pyg_utilidad_neta</t>
        </is>
      </c>
      <c r="G1598" t="inlineStr">
        <is>
          <t>Acumulado H1 2026</t>
        </is>
      </c>
      <c r="I1598" t="n">
        <v>-21998</v>
      </c>
      <c r="J1598" t="inlineStr">
        <is>
          <t>USD</t>
        </is>
      </c>
      <c r="K1598" t="inlineStr">
        <is>
          <t>P&amp;G Consolidado Oficial · Acumulado 1-ene al 30-jun-2026 (H1) · USD · sin balance general. Tasas promedio jun-2026: Perú 3.4050 PEN/USD · Colombia 3,505.2683 COP/USD.</t>
        </is>
      </c>
      <c r="L1598" t="inlineStr">
        <is>
          <t>Internacional</t>
        </is>
      </c>
      <c r="M1598" t="inlineStr">
        <is>
          <t>Finanzas</t>
        </is>
      </c>
      <c r="N1598" t="inlineStr">
        <is>
          <t>Semestral</t>
        </is>
      </c>
    </row>
    <row r="1599">
      <c r="A1599" t="inlineStr">
        <is>
          <t>2026-06</t>
        </is>
      </c>
      <c r="B1599" t="inlineStr">
        <is>
          <t>Colombia</t>
        </is>
      </c>
      <c r="C1599" t="inlineStr">
        <is>
          <t>Coco Colombia</t>
        </is>
      </c>
      <c r="D1599" t="inlineStr">
        <is>
          <t>USD</t>
        </is>
      </c>
      <c r="E1599" t="inlineStr">
        <is>
          <t>Real</t>
        </is>
      </c>
      <c r="F1599" t="inlineStr">
        <is>
          <t>pyg_utilidad_neta</t>
        </is>
      </c>
      <c r="G1599" t="inlineStr">
        <is>
          <t>Acumulado H1 2026</t>
        </is>
      </c>
      <c r="I1599" t="n">
        <v>63339</v>
      </c>
      <c r="J1599" t="inlineStr">
        <is>
          <t>USD</t>
        </is>
      </c>
      <c r="K1599" t="inlineStr">
        <is>
          <t>P&amp;G Consolidado Oficial · Acumulado 1-ene al 30-jun-2026 (H1) · USD · sin balance general. Tasas promedio jun-2026: Perú 3.4050 PEN/USD · Colombia 3,505.2683 COP/USD.</t>
        </is>
      </c>
      <c r="L1599" t="inlineStr">
        <is>
          <t>Internacional</t>
        </is>
      </c>
      <c r="M1599" t="inlineStr">
        <is>
          <t>Finanzas</t>
        </is>
      </c>
      <c r="N1599" t="inlineStr">
        <is>
          <t>Semestral</t>
        </is>
      </c>
    </row>
    <row r="1600">
      <c r="A1600" t="inlineStr">
        <is>
          <t>2026-06</t>
        </is>
      </c>
      <c r="B1600" t="inlineStr">
        <is>
          <t>Consolidado</t>
        </is>
      </c>
      <c r="C1600" t="inlineStr">
        <is>
          <t>Coco Consolidado</t>
        </is>
      </c>
      <c r="D1600" t="inlineStr">
        <is>
          <t>USD</t>
        </is>
      </c>
      <c r="E1600" t="inlineStr">
        <is>
          <t>Real</t>
        </is>
      </c>
      <c r="F1600" t="inlineStr">
        <is>
          <t>pyg_utilidad_neta</t>
        </is>
      </c>
      <c r="G1600" t="inlineStr">
        <is>
          <t>Acumulado H1 2026</t>
        </is>
      </c>
      <c r="I1600" t="n">
        <v>-17700</v>
      </c>
      <c r="J1600" t="inlineStr">
        <is>
          <t>USD</t>
        </is>
      </c>
      <c r="K1600" t="inlineStr">
        <is>
          <t>Estado de Resultados Combinado por País · acumulado a junio 2026 (versión definitiva, incluye reclasificación de honorarios de Perú pagados por EE.UU.).</t>
        </is>
      </c>
      <c r="L1600" t="inlineStr">
        <is>
          <t>Internacional</t>
        </is>
      </c>
      <c r="M1600" t="inlineStr">
        <is>
          <t>Finanzas</t>
        </is>
      </c>
      <c r="N1600" t="inlineStr">
        <is>
          <t>Semestral</t>
        </is>
      </c>
    </row>
    <row r="1601">
      <c r="A1601" t="inlineStr">
        <is>
          <t>2026-06</t>
        </is>
      </c>
      <c r="B1601" t="inlineStr">
        <is>
          <t>EE.UU.</t>
        </is>
      </c>
      <c r="C1601" t="inlineStr">
        <is>
          <t>Coco LLC</t>
        </is>
      </c>
      <c r="D1601" t="inlineStr">
        <is>
          <t>USD</t>
        </is>
      </c>
      <c r="E1601" t="inlineStr">
        <is>
          <t>Real</t>
        </is>
      </c>
      <c r="F1601" t="inlineStr">
        <is>
          <t>pyg_reclasif_honorarios_peru</t>
        </is>
      </c>
      <c r="G1601" t="inlineStr">
        <is>
          <t>Acumulado H1 2026</t>
        </is>
      </c>
      <c r="I1601" t="n">
        <v>10557</v>
      </c>
      <c r="J1601" t="inlineStr">
        <is>
          <t>USD</t>
        </is>
      </c>
      <c r="K1601" t="inlineStr">
        <is>
          <t>Estado de Resultados Combinado por País · acumulado a junio 2026 (versión definitiva, incluye reclasificación de honorarios de Perú pagados por EE.UU.).</t>
        </is>
      </c>
      <c r="L1601" t="inlineStr">
        <is>
          <t>Internacional</t>
        </is>
      </c>
      <c r="M1601" t="inlineStr">
        <is>
          <t>Finanzas</t>
        </is>
      </c>
      <c r="N1601" t="inlineStr">
        <is>
          <t>Semestral</t>
        </is>
      </c>
    </row>
    <row r="1602">
      <c r="A1602" t="inlineStr">
        <is>
          <t>2026-06</t>
        </is>
      </c>
      <c r="B1602" t="inlineStr">
        <is>
          <t>Consolidado</t>
        </is>
      </c>
      <c r="C1602" t="inlineStr">
        <is>
          <t>Coco Consolidado</t>
        </is>
      </c>
      <c r="D1602" t="inlineStr">
        <is>
          <t>USD</t>
        </is>
      </c>
      <c r="E1602" t="inlineStr">
        <is>
          <t>Real</t>
        </is>
      </c>
      <c r="F1602" t="inlineStr">
        <is>
          <t>pyg_reclasif_honorarios_peru</t>
        </is>
      </c>
      <c r="G1602" t="inlineStr">
        <is>
          <t>Acumulado H1 2026</t>
        </is>
      </c>
      <c r="I1602" t="n">
        <v>10557</v>
      </c>
      <c r="J1602" t="inlineStr">
        <is>
          <t>USD</t>
        </is>
      </c>
      <c r="K1602" t="inlineStr">
        <is>
          <t>Estado de Resultados Combinado por País · acumulado a junio 2026 (versión definitiva, incluye reclasificación de honorarios de Perú pagados por EE.UU.).</t>
        </is>
      </c>
      <c r="L1602" t="inlineStr">
        <is>
          <t>Internacional</t>
        </is>
      </c>
      <c r="M1602" t="inlineStr">
        <is>
          <t>Finanzas</t>
        </is>
      </c>
      <c r="N1602" t="inlineStr">
        <is>
          <t>Semestral</t>
        </is>
      </c>
    </row>
    <row r="1603">
      <c r="A1603" t="inlineStr">
        <is>
          <t>2026-07</t>
        </is>
      </c>
      <c r="B1603" t="inlineStr">
        <is>
          <t>Colombia</t>
        </is>
      </c>
      <c r="C1603" t="inlineStr">
        <is>
          <t>Coco Colombia</t>
        </is>
      </c>
      <c r="D1603" t="inlineStr">
        <is>
          <t>COP</t>
        </is>
      </c>
      <c r="E1603" t="inlineStr">
        <is>
          <t>Real</t>
        </is>
      </c>
      <c r="F1603" t="inlineStr">
        <is>
          <t>pyg_servicio_software</t>
        </is>
      </c>
      <c r="I1603" t="n">
        <v>711900651</v>
      </c>
      <c r="J1603" t="inlineStr">
        <is>
          <t>COP</t>
        </is>
      </c>
      <c r="K1603" t="inlineStr">
        <is>
          <t>EEFF julio 2026: julio mensual derivado de acumulado oficial COCO Colombia menos enero-junio COP local ya cargado. Fuente: EF Julio COCO 2026.pdf.</t>
        </is>
      </c>
      <c r="L1603" t="inlineStr">
        <is>
          <t>Finanzas</t>
        </is>
      </c>
      <c r="M1603" t="inlineStr">
        <is>
          <t>Finanzas</t>
        </is>
      </c>
      <c r="N1603" t="inlineStr">
        <is>
          <t>Mensual</t>
        </is>
      </c>
    </row>
    <row r="1604">
      <c r="A1604" t="inlineStr">
        <is>
          <t>2026-07</t>
        </is>
      </c>
      <c r="B1604" t="inlineStr">
        <is>
          <t>Colombia</t>
        </is>
      </c>
      <c r="C1604" t="inlineStr">
        <is>
          <t>Coco Colombia</t>
        </is>
      </c>
      <c r="D1604" t="inlineStr">
        <is>
          <t>USD</t>
        </is>
      </c>
      <c r="E1604" t="inlineStr">
        <is>
          <t>Real</t>
        </is>
      </c>
      <c r="F1604" t="inlineStr">
        <is>
          <t>pyg_servicio_software</t>
        </is>
      </c>
      <c r="G1604" t="inlineStr">
        <is>
          <t>Consolidación USD</t>
        </is>
      </c>
      <c r="I1604" t="n">
        <v>217776.55</v>
      </c>
      <c r="J1604" t="inlineStr">
        <is>
          <t>USD</t>
        </is>
      </c>
      <c r="K1604" t="inlineStr">
        <is>
          <t>Reconvertido con TRM oficial julio (3268.95, antes 3505.2683 autoderivada).</t>
        </is>
      </c>
      <c r="L1604" t="inlineStr">
        <is>
          <t>Internacional</t>
        </is>
      </c>
      <c r="M1604" t="inlineStr">
        <is>
          <t>Finanzas</t>
        </is>
      </c>
      <c r="N1604" t="inlineStr">
        <is>
          <t>Mensual</t>
        </is>
      </c>
    </row>
    <row r="1605">
      <c r="A1605" t="inlineStr">
        <is>
          <t>2026-07</t>
        </is>
      </c>
      <c r="B1605" t="inlineStr">
        <is>
          <t>Colombia</t>
        </is>
      </c>
      <c r="C1605" t="inlineStr">
        <is>
          <t>Coco Colombia</t>
        </is>
      </c>
      <c r="D1605" t="inlineStr">
        <is>
          <t>COP</t>
        </is>
      </c>
      <c r="E1605" t="inlineStr">
        <is>
          <t>Real</t>
        </is>
      </c>
      <c r="F1605" t="inlineStr">
        <is>
          <t>pyg_devoluciones</t>
        </is>
      </c>
      <c r="I1605" t="n">
        <v>-32010099</v>
      </c>
      <c r="J1605" t="inlineStr">
        <is>
          <t>COP</t>
        </is>
      </c>
      <c r="K1605" t="inlineStr">
        <is>
          <t>EEFF julio 2026: julio mensual derivado de acumulado oficial COCO Colombia menos enero-junio COP local ya cargado. Fuente: EF Julio COCO 2026.pdf.</t>
        </is>
      </c>
      <c r="L1605" t="inlineStr">
        <is>
          <t>Finanzas</t>
        </is>
      </c>
      <c r="M1605" t="inlineStr">
        <is>
          <t>Finanzas</t>
        </is>
      </c>
      <c r="N1605" t="inlineStr">
        <is>
          <t>Mensual</t>
        </is>
      </c>
    </row>
    <row r="1606">
      <c r="A1606" t="inlineStr">
        <is>
          <t>2026-07</t>
        </is>
      </c>
      <c r="B1606" t="inlineStr">
        <is>
          <t>Colombia</t>
        </is>
      </c>
      <c r="C1606" t="inlineStr">
        <is>
          <t>Coco Colombia</t>
        </is>
      </c>
      <c r="D1606" t="inlineStr">
        <is>
          <t>USD</t>
        </is>
      </c>
      <c r="E1606" t="inlineStr">
        <is>
          <t>Real</t>
        </is>
      </c>
      <c r="F1606" t="inlineStr">
        <is>
          <t>pyg_devoluciones</t>
        </is>
      </c>
      <c r="G1606" t="inlineStr">
        <is>
          <t>Consolidación USD</t>
        </is>
      </c>
      <c r="I1606" t="n">
        <v>-9792.17</v>
      </c>
      <c r="J1606" t="inlineStr">
        <is>
          <t>USD</t>
        </is>
      </c>
      <c r="K1606" t="inlineStr">
        <is>
          <t>Reconvertido con TRM oficial julio (3268.95, antes 3505.2683 autoderivada).</t>
        </is>
      </c>
      <c r="L1606" t="inlineStr">
        <is>
          <t>Internacional</t>
        </is>
      </c>
      <c r="M1606" t="inlineStr">
        <is>
          <t>Finanzas</t>
        </is>
      </c>
      <c r="N1606" t="inlineStr">
        <is>
          <t>Mensual</t>
        </is>
      </c>
    </row>
    <row r="1607">
      <c r="A1607" t="inlineStr">
        <is>
          <t>2026-07</t>
        </is>
      </c>
      <c r="B1607" t="inlineStr">
        <is>
          <t>Colombia</t>
        </is>
      </c>
      <c r="C1607" t="inlineStr">
        <is>
          <t>Coco Colombia</t>
        </is>
      </c>
      <c r="D1607" t="inlineStr">
        <is>
          <t>COP</t>
        </is>
      </c>
      <c r="E1607" t="inlineStr">
        <is>
          <t>Real</t>
        </is>
      </c>
      <c r="F1607" t="inlineStr">
        <is>
          <t>pyg_ingresos_operacionales</t>
        </is>
      </c>
      <c r="I1607" t="n">
        <v>679890552</v>
      </c>
      <c r="J1607" t="inlineStr">
        <is>
          <t>COP</t>
        </is>
      </c>
      <c r="K1607" t="inlineStr">
        <is>
          <t>EEFF julio 2026: julio mensual derivado de acumulado oficial COCO Colombia menos enero-junio COP local ya cargado. Fuente: EF Julio COCO 2026.pdf.</t>
        </is>
      </c>
      <c r="L1607" t="inlineStr">
        <is>
          <t>Finanzas</t>
        </is>
      </c>
      <c r="M1607" t="inlineStr">
        <is>
          <t>Finanzas</t>
        </is>
      </c>
      <c r="N1607" t="inlineStr">
        <is>
          <t>Mensual</t>
        </is>
      </c>
    </row>
    <row r="1608">
      <c r="A1608" t="inlineStr">
        <is>
          <t>2026-07</t>
        </is>
      </c>
      <c r="B1608" t="inlineStr">
        <is>
          <t>Colombia</t>
        </is>
      </c>
      <c r="C1608" t="inlineStr">
        <is>
          <t>Coco Colombia</t>
        </is>
      </c>
      <c r="D1608" t="inlineStr">
        <is>
          <t>USD</t>
        </is>
      </c>
      <c r="E1608" t="inlineStr">
        <is>
          <t>Real</t>
        </is>
      </c>
      <c r="F1608" t="inlineStr">
        <is>
          <t>pyg_ingresos_operacionales</t>
        </is>
      </c>
      <c r="G1608" t="inlineStr">
        <is>
          <t>Consolidación USD</t>
        </is>
      </c>
      <c r="I1608" t="n">
        <v>207984.38</v>
      </c>
      <c r="J1608" t="inlineStr">
        <is>
          <t>USD</t>
        </is>
      </c>
      <c r="K1608" t="inlineStr">
        <is>
          <t>Reconvertido con TRM oficial julio (3268.95, antes 3505.2683 autoderivada).</t>
        </is>
      </c>
      <c r="L1608" t="inlineStr">
        <is>
          <t>Internacional</t>
        </is>
      </c>
      <c r="M1608" t="inlineStr">
        <is>
          <t>Finanzas</t>
        </is>
      </c>
      <c r="N1608" t="inlineStr">
        <is>
          <t>Mensual</t>
        </is>
      </c>
    </row>
    <row r="1609">
      <c r="A1609" t="inlineStr">
        <is>
          <t>2026-07</t>
        </is>
      </c>
      <c r="B1609" t="inlineStr">
        <is>
          <t>Colombia</t>
        </is>
      </c>
      <c r="C1609" t="inlineStr">
        <is>
          <t>Coco Colombia</t>
        </is>
      </c>
      <c r="D1609" t="inlineStr">
        <is>
          <t>COP</t>
        </is>
      </c>
      <c r="E1609" t="inlineStr">
        <is>
          <t>Real</t>
        </is>
      </c>
      <c r="F1609" t="inlineStr">
        <is>
          <t>pyg_costo_ventas</t>
        </is>
      </c>
      <c r="I1609" t="n">
        <v>321917837</v>
      </c>
      <c r="J1609" t="inlineStr">
        <is>
          <t>COP</t>
        </is>
      </c>
      <c r="K1609" t="inlineStr">
        <is>
          <t>EEFF julio 2026: julio mensual derivado de acumulado oficial COCO Colombia menos enero-junio COP local ya cargado. Fuente: EF Julio COCO 2026.pdf.</t>
        </is>
      </c>
      <c r="L1609" t="inlineStr">
        <is>
          <t>Finanzas</t>
        </is>
      </c>
      <c r="M1609" t="inlineStr">
        <is>
          <t>Finanzas</t>
        </is>
      </c>
      <c r="N1609" t="inlineStr">
        <is>
          <t>Mensual</t>
        </is>
      </c>
    </row>
    <row r="1610">
      <c r="A1610" t="inlineStr">
        <is>
          <t>2026-07</t>
        </is>
      </c>
      <c r="B1610" t="inlineStr">
        <is>
          <t>Colombia</t>
        </is>
      </c>
      <c r="C1610" t="inlineStr">
        <is>
          <t>Coco Colombia</t>
        </is>
      </c>
      <c r="D1610" t="inlineStr">
        <is>
          <t>USD</t>
        </is>
      </c>
      <c r="E1610" t="inlineStr">
        <is>
          <t>Real</t>
        </is>
      </c>
      <c r="F1610" t="inlineStr">
        <is>
          <t>pyg_costo_ventas</t>
        </is>
      </c>
      <c r="G1610" t="inlineStr">
        <is>
          <t>Consolidación USD</t>
        </is>
      </c>
      <c r="I1610" t="n">
        <v>98477.44</v>
      </c>
      <c r="J1610" t="inlineStr">
        <is>
          <t>USD</t>
        </is>
      </c>
      <c r="K1610" t="inlineStr">
        <is>
          <t>Reconvertido con TRM oficial julio (3268.95, antes 3505.2683 autoderivada).</t>
        </is>
      </c>
      <c r="L1610" t="inlineStr">
        <is>
          <t>Internacional</t>
        </is>
      </c>
      <c r="M1610" t="inlineStr">
        <is>
          <t>Finanzas</t>
        </is>
      </c>
      <c r="N1610" t="inlineStr">
        <is>
          <t>Mensual</t>
        </is>
      </c>
    </row>
    <row r="1611">
      <c r="A1611" t="inlineStr">
        <is>
          <t>2026-07</t>
        </is>
      </c>
      <c r="B1611" t="inlineStr">
        <is>
          <t>Colombia</t>
        </is>
      </c>
      <c r="C1611" t="inlineStr">
        <is>
          <t>Coco Colombia</t>
        </is>
      </c>
      <c r="D1611" t="inlineStr">
        <is>
          <t>COP</t>
        </is>
      </c>
      <c r="E1611" t="inlineStr">
        <is>
          <t>Real</t>
        </is>
      </c>
      <c r="F1611" t="inlineStr">
        <is>
          <t>pyg_utilidad_bruta</t>
        </is>
      </c>
      <c r="I1611" t="n">
        <v>357972713</v>
      </c>
      <c r="J1611" t="inlineStr">
        <is>
          <t>COP</t>
        </is>
      </c>
      <c r="K1611" t="inlineStr">
        <is>
          <t>EEFF julio 2026: julio mensual derivado de acumulado oficial COCO Colombia menos enero-junio COP local ya cargado. Fuente: EF Julio COCO 2026.pdf.</t>
        </is>
      </c>
      <c r="L1611" t="inlineStr">
        <is>
          <t>Finanzas</t>
        </is>
      </c>
      <c r="M1611" t="inlineStr">
        <is>
          <t>Finanzas</t>
        </is>
      </c>
      <c r="N1611" t="inlineStr">
        <is>
          <t>Mensual</t>
        </is>
      </c>
    </row>
    <row r="1612">
      <c r="A1612" t="inlineStr">
        <is>
          <t>2026-07</t>
        </is>
      </c>
      <c r="B1612" t="inlineStr">
        <is>
          <t>Colombia</t>
        </is>
      </c>
      <c r="C1612" t="inlineStr">
        <is>
          <t>Coco Colombia</t>
        </is>
      </c>
      <c r="D1612" t="inlineStr">
        <is>
          <t>USD</t>
        </is>
      </c>
      <c r="E1612" t="inlineStr">
        <is>
          <t>Real</t>
        </is>
      </c>
      <c r="F1612" t="inlineStr">
        <is>
          <t>pyg_utilidad_bruta</t>
        </is>
      </c>
      <c r="G1612" t="inlineStr">
        <is>
          <t>Consolidación USD</t>
        </is>
      </c>
      <c r="I1612" t="n">
        <v>109506.94</v>
      </c>
      <c r="J1612" t="inlineStr">
        <is>
          <t>USD</t>
        </is>
      </c>
      <c r="K1612" t="inlineStr">
        <is>
          <t>Reconvertido con TRM oficial julio (3268.95, antes 3505.2683 autoderivada).</t>
        </is>
      </c>
      <c r="L1612" t="inlineStr">
        <is>
          <t>Internacional</t>
        </is>
      </c>
      <c r="M1612" t="inlineStr">
        <is>
          <t>Finanzas</t>
        </is>
      </c>
      <c r="N1612" t="inlineStr">
        <is>
          <t>Mensual</t>
        </is>
      </c>
    </row>
    <row r="1613">
      <c r="A1613" t="inlineStr">
        <is>
          <t>2026-07</t>
        </is>
      </c>
      <c r="B1613" t="inlineStr">
        <is>
          <t>Colombia</t>
        </is>
      </c>
      <c r="C1613" t="inlineStr">
        <is>
          <t>Coco Colombia</t>
        </is>
      </c>
      <c r="D1613" t="inlineStr">
        <is>
          <t>COP</t>
        </is>
      </c>
      <c r="E1613" t="inlineStr">
        <is>
          <t>Real</t>
        </is>
      </c>
      <c r="F1613" t="inlineStr">
        <is>
          <t>pyg_gasto_administracion</t>
        </is>
      </c>
      <c r="I1613" t="n">
        <v>107932742</v>
      </c>
      <c r="J1613" t="inlineStr">
        <is>
          <t>COP</t>
        </is>
      </c>
      <c r="K1613" t="inlineStr">
        <is>
          <t>EEFF julio 2026: julio mensual derivado de acumulado oficial COCO Colombia menos enero-junio COP local ya cargado. Fuente: EF Julio COCO 2026.pdf.</t>
        </is>
      </c>
      <c r="L1613" t="inlineStr">
        <is>
          <t>Finanzas</t>
        </is>
      </c>
      <c r="M1613" t="inlineStr">
        <is>
          <t>Finanzas</t>
        </is>
      </c>
      <c r="N1613" t="inlineStr">
        <is>
          <t>Mensual</t>
        </is>
      </c>
    </row>
    <row r="1614">
      <c r="A1614" t="inlineStr">
        <is>
          <t>2026-07</t>
        </is>
      </c>
      <c r="B1614" t="inlineStr">
        <is>
          <t>Colombia</t>
        </is>
      </c>
      <c r="C1614" t="inlineStr">
        <is>
          <t>Coco Colombia</t>
        </is>
      </c>
      <c r="D1614" t="inlineStr">
        <is>
          <t>USD</t>
        </is>
      </c>
      <c r="E1614" t="inlineStr">
        <is>
          <t>Real</t>
        </is>
      </c>
      <c r="F1614" t="inlineStr">
        <is>
          <t>pyg_gasto_administracion</t>
        </is>
      </c>
      <c r="G1614" t="inlineStr">
        <is>
          <t>Consolidación USD</t>
        </is>
      </c>
      <c r="I1614" t="n">
        <v>33017.56</v>
      </c>
      <c r="J1614" t="inlineStr">
        <is>
          <t>USD</t>
        </is>
      </c>
      <c r="K1614" t="inlineStr">
        <is>
          <t>Reconvertido con TRM oficial julio (3268.95, antes 3505.2683 autoderivada).</t>
        </is>
      </c>
      <c r="L1614" t="inlineStr">
        <is>
          <t>Internacional</t>
        </is>
      </c>
      <c r="M1614" t="inlineStr">
        <is>
          <t>Finanzas</t>
        </is>
      </c>
      <c r="N1614" t="inlineStr">
        <is>
          <t>Mensual</t>
        </is>
      </c>
    </row>
    <row r="1615">
      <c r="A1615" t="inlineStr">
        <is>
          <t>2026-07</t>
        </is>
      </c>
      <c r="B1615" t="inlineStr">
        <is>
          <t>Colombia</t>
        </is>
      </c>
      <c r="C1615" t="inlineStr">
        <is>
          <t>Coco Colombia</t>
        </is>
      </c>
      <c r="D1615" t="inlineStr">
        <is>
          <t>COP</t>
        </is>
      </c>
      <c r="E1615" t="inlineStr">
        <is>
          <t>Real</t>
        </is>
      </c>
      <c r="F1615" t="inlineStr">
        <is>
          <t>pyg_gasto_proyectos</t>
        </is>
      </c>
      <c r="I1615" t="n">
        <v>102936374</v>
      </c>
      <c r="J1615" t="inlineStr">
        <is>
          <t>COP</t>
        </is>
      </c>
      <c r="K1615" t="inlineStr">
        <is>
          <t>EEFF julio 2026: julio mensual derivado de acumulado oficial COCO Colombia menos enero-junio COP local ya cargado. Fuente: EF Julio COCO 2026.pdf.</t>
        </is>
      </c>
      <c r="L1615" t="inlineStr">
        <is>
          <t>Finanzas</t>
        </is>
      </c>
      <c r="M1615" t="inlineStr">
        <is>
          <t>Finanzas</t>
        </is>
      </c>
      <c r="N1615" t="inlineStr">
        <is>
          <t>Mensual</t>
        </is>
      </c>
    </row>
    <row r="1616">
      <c r="A1616" t="inlineStr">
        <is>
          <t>2026-07</t>
        </is>
      </c>
      <c r="B1616" t="inlineStr">
        <is>
          <t>Colombia</t>
        </is>
      </c>
      <c r="C1616" t="inlineStr">
        <is>
          <t>Coco Colombia</t>
        </is>
      </c>
      <c r="D1616" t="inlineStr">
        <is>
          <t>USD</t>
        </is>
      </c>
      <c r="E1616" t="inlineStr">
        <is>
          <t>Real</t>
        </is>
      </c>
      <c r="F1616" t="inlineStr">
        <is>
          <t>pyg_gasto_proyectos</t>
        </is>
      </c>
      <c r="G1616" t="inlineStr">
        <is>
          <t>Consolidación USD</t>
        </is>
      </c>
      <c r="I1616" t="n">
        <v>31489.12</v>
      </c>
      <c r="J1616" t="inlineStr">
        <is>
          <t>USD</t>
        </is>
      </c>
      <c r="K1616" t="inlineStr">
        <is>
          <t>Reconvertido con TRM oficial julio (3268.95, antes 3505.2683 autoderivada).</t>
        </is>
      </c>
      <c r="L1616" t="inlineStr">
        <is>
          <t>Internacional</t>
        </is>
      </c>
      <c r="M1616" t="inlineStr">
        <is>
          <t>Finanzas</t>
        </is>
      </c>
      <c r="N1616" t="inlineStr">
        <is>
          <t>Mensual</t>
        </is>
      </c>
    </row>
    <row r="1617">
      <c r="A1617" t="inlineStr">
        <is>
          <t>2026-07</t>
        </is>
      </c>
      <c r="B1617" t="inlineStr">
        <is>
          <t>Colombia</t>
        </is>
      </c>
      <c r="C1617" t="inlineStr">
        <is>
          <t>Coco Colombia</t>
        </is>
      </c>
      <c r="D1617" t="inlineStr">
        <is>
          <t>COP</t>
        </is>
      </c>
      <c r="E1617" t="inlineStr">
        <is>
          <t>Real</t>
        </is>
      </c>
      <c r="F1617" t="inlineStr">
        <is>
          <t>pyg_gasto_ventas</t>
        </is>
      </c>
      <c r="I1617" t="n">
        <v>117761236</v>
      </c>
      <c r="J1617" t="inlineStr">
        <is>
          <t>COP</t>
        </is>
      </c>
      <c r="K1617" t="inlineStr">
        <is>
          <t>EEFF julio 2026: julio mensual derivado de acumulado oficial COCO Colombia menos enero-junio COP local ya cargado. Fuente: EF Julio COCO 2026.pdf.</t>
        </is>
      </c>
      <c r="L1617" t="inlineStr">
        <is>
          <t>Finanzas</t>
        </is>
      </c>
      <c r="M1617" t="inlineStr">
        <is>
          <t>Finanzas</t>
        </is>
      </c>
      <c r="N1617" t="inlineStr">
        <is>
          <t>Mensual</t>
        </is>
      </c>
    </row>
    <row r="1618">
      <c r="A1618" t="inlineStr">
        <is>
          <t>2026-07</t>
        </is>
      </c>
      <c r="B1618" t="inlineStr">
        <is>
          <t>Colombia</t>
        </is>
      </c>
      <c r="C1618" t="inlineStr">
        <is>
          <t>Coco Colombia</t>
        </is>
      </c>
      <c r="D1618" t="inlineStr">
        <is>
          <t>USD</t>
        </is>
      </c>
      <c r="E1618" t="inlineStr">
        <is>
          <t>Real</t>
        </is>
      </c>
      <c r="F1618" t="inlineStr">
        <is>
          <t>pyg_gasto_ventas</t>
        </is>
      </c>
      <c r="G1618" t="inlineStr">
        <is>
          <t>Consolidación USD</t>
        </is>
      </c>
      <c r="I1618" t="n">
        <v>36024.18</v>
      </c>
      <c r="J1618" t="inlineStr">
        <is>
          <t>USD</t>
        </is>
      </c>
      <c r="K1618" t="inlineStr">
        <is>
          <t>Reconvertido con TRM oficial julio (3268.95, antes 3505.2683 autoderivada).</t>
        </is>
      </c>
      <c r="L1618" t="inlineStr">
        <is>
          <t>Internacional</t>
        </is>
      </c>
      <c r="M1618" t="inlineStr">
        <is>
          <t>Finanzas</t>
        </is>
      </c>
      <c r="N1618" t="inlineStr">
        <is>
          <t>Mensual</t>
        </is>
      </c>
    </row>
    <row r="1619">
      <c r="A1619" t="inlineStr">
        <is>
          <t>2026-07</t>
        </is>
      </c>
      <c r="B1619" t="inlineStr">
        <is>
          <t>Colombia</t>
        </is>
      </c>
      <c r="C1619" t="inlineStr">
        <is>
          <t>Coco Colombia</t>
        </is>
      </c>
      <c r="D1619" t="inlineStr">
        <is>
          <t>COP</t>
        </is>
      </c>
      <c r="E1619" t="inlineStr">
        <is>
          <t>Real</t>
        </is>
      </c>
      <c r="F1619" t="inlineStr">
        <is>
          <t>pyg_utilidad_operativa</t>
        </is>
      </c>
      <c r="I1619" t="n">
        <v>29342360</v>
      </c>
      <c r="J1619" t="inlineStr">
        <is>
          <t>COP</t>
        </is>
      </c>
      <c r="K1619" t="inlineStr">
        <is>
          <t>EEFF julio 2026: julio mensual derivado de acumulado oficial COCO Colombia menos enero-junio COP local ya cargado. Fuente: EF Julio COCO 2026.pdf.</t>
        </is>
      </c>
      <c r="L1619" t="inlineStr">
        <is>
          <t>Finanzas</t>
        </is>
      </c>
      <c r="M1619" t="inlineStr">
        <is>
          <t>Finanzas</t>
        </is>
      </c>
      <c r="N1619" t="inlineStr">
        <is>
          <t>Mensual</t>
        </is>
      </c>
    </row>
    <row r="1620">
      <c r="A1620" t="inlineStr">
        <is>
          <t>2026-07</t>
        </is>
      </c>
      <c r="B1620" t="inlineStr">
        <is>
          <t>Colombia</t>
        </is>
      </c>
      <c r="C1620" t="inlineStr">
        <is>
          <t>Coco Colombia</t>
        </is>
      </c>
      <c r="D1620" t="inlineStr">
        <is>
          <t>USD</t>
        </is>
      </c>
      <c r="E1620" t="inlineStr">
        <is>
          <t>Real</t>
        </is>
      </c>
      <c r="F1620" t="inlineStr">
        <is>
          <t>pyg_utilidad_operativa</t>
        </is>
      </c>
      <c r="G1620" t="inlineStr">
        <is>
          <t>Consolidación USD</t>
        </is>
      </c>
      <c r="I1620" t="n">
        <v>8976.08</v>
      </c>
      <c r="J1620" t="inlineStr">
        <is>
          <t>USD</t>
        </is>
      </c>
      <c r="K1620" t="inlineStr">
        <is>
          <t>Reconvertido con TRM oficial julio (3268.95, antes 3505.2683 autoderivada).</t>
        </is>
      </c>
      <c r="L1620" t="inlineStr">
        <is>
          <t>Internacional</t>
        </is>
      </c>
      <c r="M1620" t="inlineStr">
        <is>
          <t>Finanzas</t>
        </is>
      </c>
      <c r="N1620" t="inlineStr">
        <is>
          <t>Mensual</t>
        </is>
      </c>
    </row>
    <row r="1621">
      <c r="A1621" t="inlineStr">
        <is>
          <t>2026-07</t>
        </is>
      </c>
      <c r="B1621" t="inlineStr">
        <is>
          <t>Colombia</t>
        </is>
      </c>
      <c r="C1621" t="inlineStr">
        <is>
          <t>Coco Colombia</t>
        </is>
      </c>
      <c r="D1621" t="inlineStr">
        <is>
          <t>COP</t>
        </is>
      </c>
      <c r="E1621" t="inlineStr">
        <is>
          <t>Real</t>
        </is>
      </c>
      <c r="F1621" t="inlineStr">
        <is>
          <t>pyg_ingresos_no_operacionales</t>
        </is>
      </c>
      <c r="I1621" t="n">
        <v>718311</v>
      </c>
      <c r="J1621" t="inlineStr">
        <is>
          <t>COP</t>
        </is>
      </c>
      <c r="K1621" t="inlineStr">
        <is>
          <t>EEFF julio 2026: julio mensual derivado de acumulado oficial COCO Colombia menos enero-junio COP local ya cargado. Fuente: EF Julio COCO 2026.pdf.</t>
        </is>
      </c>
      <c r="L1621" t="inlineStr">
        <is>
          <t>Finanzas</t>
        </is>
      </c>
      <c r="M1621" t="inlineStr">
        <is>
          <t>Finanzas</t>
        </is>
      </c>
      <c r="N1621" t="inlineStr">
        <is>
          <t>Mensual</t>
        </is>
      </c>
    </row>
    <row r="1622">
      <c r="A1622" t="inlineStr">
        <is>
          <t>2026-07</t>
        </is>
      </c>
      <c r="B1622" t="inlineStr">
        <is>
          <t>Colombia</t>
        </is>
      </c>
      <c r="C1622" t="inlineStr">
        <is>
          <t>Coco Colombia</t>
        </is>
      </c>
      <c r="D1622" t="inlineStr">
        <is>
          <t>USD</t>
        </is>
      </c>
      <c r="E1622" t="inlineStr">
        <is>
          <t>Real</t>
        </is>
      </c>
      <c r="F1622" t="inlineStr">
        <is>
          <t>pyg_ingresos_no_operacionales</t>
        </is>
      </c>
      <c r="G1622" t="inlineStr">
        <is>
          <t>Consolidación USD</t>
        </is>
      </c>
      <c r="I1622" t="n">
        <v>219.74</v>
      </c>
      <c r="J1622" t="inlineStr">
        <is>
          <t>USD</t>
        </is>
      </c>
      <c r="K1622" t="inlineStr">
        <is>
          <t>Reconvertido con TRM oficial julio (3268.95, antes 3505.2683 autoderivada).</t>
        </is>
      </c>
      <c r="L1622" t="inlineStr">
        <is>
          <t>Internacional</t>
        </is>
      </c>
      <c r="M1622" t="inlineStr">
        <is>
          <t>Finanzas</t>
        </is>
      </c>
      <c r="N1622" t="inlineStr">
        <is>
          <t>Mensual</t>
        </is>
      </c>
    </row>
    <row r="1623">
      <c r="A1623" t="inlineStr">
        <is>
          <t>2026-07</t>
        </is>
      </c>
      <c r="B1623" t="inlineStr">
        <is>
          <t>Colombia</t>
        </is>
      </c>
      <c r="C1623" t="inlineStr">
        <is>
          <t>Coco Colombia</t>
        </is>
      </c>
      <c r="D1623" t="inlineStr">
        <is>
          <t>COP</t>
        </is>
      </c>
      <c r="E1623" t="inlineStr">
        <is>
          <t>Real</t>
        </is>
      </c>
      <c r="F1623" t="inlineStr">
        <is>
          <t>pyg_gastos_financieros</t>
        </is>
      </c>
      <c r="I1623" t="n">
        <v>5353621</v>
      </c>
      <c r="J1623" t="inlineStr">
        <is>
          <t>COP</t>
        </is>
      </c>
      <c r="K1623" t="inlineStr">
        <is>
          <t>EEFF julio 2026: julio mensual derivado de acumulado oficial COCO Colombia menos enero-junio COP local ya cargado. Fuente: EF Julio COCO 2026.pdf.</t>
        </is>
      </c>
      <c r="L1623" t="inlineStr">
        <is>
          <t>Finanzas</t>
        </is>
      </c>
      <c r="M1623" t="inlineStr">
        <is>
          <t>Finanzas</t>
        </is>
      </c>
      <c r="N1623" t="inlineStr">
        <is>
          <t>Mensual</t>
        </is>
      </c>
    </row>
    <row r="1624">
      <c r="A1624" t="inlineStr">
        <is>
          <t>2026-07</t>
        </is>
      </c>
      <c r="B1624" t="inlineStr">
        <is>
          <t>Colombia</t>
        </is>
      </c>
      <c r="C1624" t="inlineStr">
        <is>
          <t>Coco Colombia</t>
        </is>
      </c>
      <c r="D1624" t="inlineStr">
        <is>
          <t>USD</t>
        </is>
      </c>
      <c r="E1624" t="inlineStr">
        <is>
          <t>Real</t>
        </is>
      </c>
      <c r="F1624" t="inlineStr">
        <is>
          <t>pyg_gastos_financieros</t>
        </is>
      </c>
      <c r="G1624" t="inlineStr">
        <is>
          <t>Consolidación USD</t>
        </is>
      </c>
      <c r="I1624" t="n">
        <v>1637.72</v>
      </c>
      <c r="J1624" t="inlineStr">
        <is>
          <t>USD</t>
        </is>
      </c>
      <c r="K1624" t="inlineStr">
        <is>
          <t>Reconvertido con TRM oficial julio (3268.95, antes 3505.2683 autoderivada).</t>
        </is>
      </c>
      <c r="L1624" t="inlineStr">
        <is>
          <t>Internacional</t>
        </is>
      </c>
      <c r="M1624" t="inlineStr">
        <is>
          <t>Finanzas</t>
        </is>
      </c>
      <c r="N1624" t="inlineStr">
        <is>
          <t>Mensual</t>
        </is>
      </c>
    </row>
    <row r="1625">
      <c r="A1625" t="inlineStr">
        <is>
          <t>2026-07</t>
        </is>
      </c>
      <c r="B1625" t="inlineStr">
        <is>
          <t>Colombia</t>
        </is>
      </c>
      <c r="C1625" t="inlineStr">
        <is>
          <t>Coco Colombia</t>
        </is>
      </c>
      <c r="D1625" t="inlineStr">
        <is>
          <t>COP</t>
        </is>
      </c>
      <c r="E1625" t="inlineStr">
        <is>
          <t>Real</t>
        </is>
      </c>
      <c r="F1625" t="inlineStr">
        <is>
          <t>pyg_utilidad_neta</t>
        </is>
      </c>
      <c r="I1625" t="n">
        <v>24707051</v>
      </c>
      <c r="J1625" t="inlineStr">
        <is>
          <t>COP</t>
        </is>
      </c>
      <c r="K1625" t="inlineStr">
        <is>
          <t>EEFF julio 2026: julio mensual derivado de acumulado oficial COCO Colombia menos enero-junio COP local ya cargado. Fuente: EF Julio COCO 2026.pdf.</t>
        </is>
      </c>
      <c r="L1625" t="inlineStr">
        <is>
          <t>Finanzas</t>
        </is>
      </c>
      <c r="M1625" t="inlineStr">
        <is>
          <t>Finanzas</t>
        </is>
      </c>
      <c r="N1625" t="inlineStr">
        <is>
          <t>Mensual</t>
        </is>
      </c>
    </row>
    <row r="1626">
      <c r="A1626" t="inlineStr">
        <is>
          <t>2026-07</t>
        </is>
      </c>
      <c r="B1626" t="inlineStr">
        <is>
          <t>Colombia</t>
        </is>
      </c>
      <c r="C1626" t="inlineStr">
        <is>
          <t>Coco Colombia</t>
        </is>
      </c>
      <c r="D1626" t="inlineStr">
        <is>
          <t>USD</t>
        </is>
      </c>
      <c r="E1626" t="inlineStr">
        <is>
          <t>Real</t>
        </is>
      </c>
      <c r="F1626" t="inlineStr">
        <is>
          <t>pyg_utilidad_neta</t>
        </is>
      </c>
      <c r="G1626" t="inlineStr">
        <is>
          <t>Consolidación USD</t>
        </is>
      </c>
      <c r="I1626" t="n">
        <v>7558.1</v>
      </c>
      <c r="J1626" t="inlineStr">
        <is>
          <t>USD</t>
        </is>
      </c>
      <c r="K1626" t="inlineStr">
        <is>
          <t>Reconvertido con TRM oficial julio (3268.95, antes 3505.2683 autoderivada).</t>
        </is>
      </c>
      <c r="L1626" t="inlineStr">
        <is>
          <t>Internacional</t>
        </is>
      </c>
      <c r="M1626" t="inlineStr">
        <is>
          <t>Finanzas</t>
        </is>
      </c>
      <c r="N1626" t="inlineStr">
        <is>
          <t>Mensual</t>
        </is>
      </c>
    </row>
    <row r="1627">
      <c r="A1627" t="inlineStr">
        <is>
          <t>2026-07</t>
        </is>
      </c>
      <c r="B1627" t="inlineStr">
        <is>
          <t>EE.UU.</t>
        </is>
      </c>
      <c r="C1627" t="inlineStr">
        <is>
          <t>Coco LLC</t>
        </is>
      </c>
      <c r="D1627" t="inlineStr">
        <is>
          <t>USD</t>
        </is>
      </c>
      <c r="E1627" t="inlineStr">
        <is>
          <t>Real</t>
        </is>
      </c>
      <c r="F1627" t="inlineStr">
        <is>
          <t>pyg_servicio_software</t>
        </is>
      </c>
      <c r="G1627" t="inlineStr">
        <is>
          <t>Moneda origen</t>
        </is>
      </c>
      <c r="I1627" t="n">
        <v>6013.45</v>
      </c>
      <c r="J1627" t="inlineStr">
        <is>
          <t>USD</t>
        </is>
      </c>
      <c r="K1627" t="inlineStr">
        <is>
          <t>Consolidado estructurado julio 2026: julio mensual derivado por diferencia entre acumulado julio y acumulado junio.</t>
        </is>
      </c>
      <c r="L1627" t="inlineStr">
        <is>
          <t>Internacional</t>
        </is>
      </c>
      <c r="M1627" t="inlineStr">
        <is>
          <t>Finanzas</t>
        </is>
      </c>
      <c r="N1627" t="inlineStr">
        <is>
          <t>Mensual</t>
        </is>
      </c>
    </row>
    <row r="1628">
      <c r="A1628" t="inlineStr">
        <is>
          <t>2026-07</t>
        </is>
      </c>
      <c r="B1628" t="inlineStr">
        <is>
          <t>EE.UU.</t>
        </is>
      </c>
      <c r="C1628" t="inlineStr">
        <is>
          <t>Coco LLC</t>
        </is>
      </c>
      <c r="D1628" t="inlineStr">
        <is>
          <t>USD</t>
        </is>
      </c>
      <c r="E1628" t="inlineStr">
        <is>
          <t>Real</t>
        </is>
      </c>
      <c r="F1628" t="inlineStr">
        <is>
          <t>pyg_servicio_software</t>
        </is>
      </c>
      <c r="G1628" t="inlineStr">
        <is>
          <t>Consolidación USD</t>
        </is>
      </c>
      <c r="I1628" t="n">
        <v>6013.45</v>
      </c>
      <c r="J1628" t="inlineStr">
        <is>
          <t>USD</t>
        </is>
      </c>
      <c r="K1628" t="inlineStr">
        <is>
          <t>Consolidado estructurado julio 2026: julio mensual derivado por diferencia entre acumulado julio y acumulado junio.</t>
        </is>
      </c>
      <c r="L1628" t="inlineStr">
        <is>
          <t>Internacional</t>
        </is>
      </c>
      <c r="M1628" t="inlineStr">
        <is>
          <t>Finanzas</t>
        </is>
      </c>
      <c r="N1628" t="inlineStr">
        <is>
          <t>Mensual</t>
        </is>
      </c>
    </row>
    <row r="1629">
      <c r="A1629" t="inlineStr">
        <is>
          <t>2026-07</t>
        </is>
      </c>
      <c r="B1629" t="inlineStr">
        <is>
          <t>EE.UU.</t>
        </is>
      </c>
      <c r="C1629" t="inlineStr">
        <is>
          <t>Coco LLC</t>
        </is>
      </c>
      <c r="D1629" t="inlineStr">
        <is>
          <t>USD</t>
        </is>
      </c>
      <c r="E1629" t="inlineStr">
        <is>
          <t>Real</t>
        </is>
      </c>
      <c r="F1629" t="inlineStr">
        <is>
          <t>pyg_devoluciones</t>
        </is>
      </c>
      <c r="G1629" t="inlineStr">
        <is>
          <t>Moneda origen</t>
        </is>
      </c>
      <c r="I1629" t="n">
        <v>0</v>
      </c>
      <c r="J1629" t="inlineStr">
        <is>
          <t>USD</t>
        </is>
      </c>
      <c r="K1629" t="inlineStr">
        <is>
          <t>Consolidado estructurado julio 2026: julio mensual derivado por diferencia entre acumulado julio y acumulado junio.</t>
        </is>
      </c>
      <c r="L1629" t="inlineStr">
        <is>
          <t>Internacional</t>
        </is>
      </c>
      <c r="M1629" t="inlineStr">
        <is>
          <t>Finanzas</t>
        </is>
      </c>
      <c r="N1629" t="inlineStr">
        <is>
          <t>Mensual</t>
        </is>
      </c>
    </row>
    <row r="1630">
      <c r="A1630" t="inlineStr">
        <is>
          <t>2026-07</t>
        </is>
      </c>
      <c r="B1630" t="inlineStr">
        <is>
          <t>EE.UU.</t>
        </is>
      </c>
      <c r="C1630" t="inlineStr">
        <is>
          <t>Coco LLC</t>
        </is>
      </c>
      <c r="D1630" t="inlineStr">
        <is>
          <t>USD</t>
        </is>
      </c>
      <c r="E1630" t="inlineStr">
        <is>
          <t>Real</t>
        </is>
      </c>
      <c r="F1630" t="inlineStr">
        <is>
          <t>pyg_devoluciones</t>
        </is>
      </c>
      <c r="G1630" t="inlineStr">
        <is>
          <t>Consolidación USD</t>
        </is>
      </c>
      <c r="I1630" t="n">
        <v>0</v>
      </c>
      <c r="J1630" t="inlineStr">
        <is>
          <t>USD</t>
        </is>
      </c>
      <c r="K1630" t="inlineStr">
        <is>
          <t>Consolidado estructurado julio 2026: julio mensual derivado por diferencia entre acumulado julio y acumulado junio.</t>
        </is>
      </c>
      <c r="L1630" t="inlineStr">
        <is>
          <t>Internacional</t>
        </is>
      </c>
      <c r="M1630" t="inlineStr">
        <is>
          <t>Finanzas</t>
        </is>
      </c>
      <c r="N1630" t="inlineStr">
        <is>
          <t>Mensual</t>
        </is>
      </c>
    </row>
    <row r="1631">
      <c r="A1631" t="inlineStr">
        <is>
          <t>2026-07</t>
        </is>
      </c>
      <c r="B1631" t="inlineStr">
        <is>
          <t>EE.UU.</t>
        </is>
      </c>
      <c r="C1631" t="inlineStr">
        <is>
          <t>Coco LLC</t>
        </is>
      </c>
      <c r="D1631" t="inlineStr">
        <is>
          <t>USD</t>
        </is>
      </c>
      <c r="E1631" t="inlineStr">
        <is>
          <t>Real</t>
        </is>
      </c>
      <c r="F1631" t="inlineStr">
        <is>
          <t>pyg_ingresos_operacionales</t>
        </is>
      </c>
      <c r="G1631" t="inlineStr">
        <is>
          <t>Moneda origen</t>
        </is>
      </c>
      <c r="I1631" t="n">
        <v>6013.45</v>
      </c>
      <c r="J1631" t="inlineStr">
        <is>
          <t>USD</t>
        </is>
      </c>
      <c r="K1631" t="inlineStr">
        <is>
          <t>Consolidado estructurado julio 2026: julio mensual derivado por diferencia entre acumulado julio y acumulado junio.</t>
        </is>
      </c>
      <c r="L1631" t="inlineStr">
        <is>
          <t>Internacional</t>
        </is>
      </c>
      <c r="M1631" t="inlineStr">
        <is>
          <t>Finanzas</t>
        </is>
      </c>
      <c r="N1631" t="inlineStr">
        <is>
          <t>Mensual</t>
        </is>
      </c>
    </row>
    <row r="1632">
      <c r="A1632" t="inlineStr">
        <is>
          <t>2026-07</t>
        </is>
      </c>
      <c r="B1632" t="inlineStr">
        <is>
          <t>EE.UU.</t>
        </is>
      </c>
      <c r="C1632" t="inlineStr">
        <is>
          <t>Coco LLC</t>
        </is>
      </c>
      <c r="D1632" t="inlineStr">
        <is>
          <t>USD</t>
        </is>
      </c>
      <c r="E1632" t="inlineStr">
        <is>
          <t>Real</t>
        </is>
      </c>
      <c r="F1632" t="inlineStr">
        <is>
          <t>pyg_ingresos_operacionales</t>
        </is>
      </c>
      <c r="G1632" t="inlineStr">
        <is>
          <t>Consolidación USD</t>
        </is>
      </c>
      <c r="I1632" t="n">
        <v>6013.45</v>
      </c>
      <c r="J1632" t="inlineStr">
        <is>
          <t>USD</t>
        </is>
      </c>
      <c r="K1632" t="inlineStr">
        <is>
          <t>Homologado desde auxiliar contable (Julio 2026 USA.xlsx). Reemplaza fuente previa (modelo/sin dato).</t>
        </is>
      </c>
      <c r="L1632" t="inlineStr">
        <is>
          <t>Internacional</t>
        </is>
      </c>
      <c r="M1632" t="inlineStr">
        <is>
          <t>Finanzas</t>
        </is>
      </c>
      <c r="N1632" t="inlineStr">
        <is>
          <t>Mensual</t>
        </is>
      </c>
    </row>
    <row r="1633">
      <c r="A1633" t="inlineStr">
        <is>
          <t>2026-07</t>
        </is>
      </c>
      <c r="B1633" t="inlineStr">
        <is>
          <t>EE.UU.</t>
        </is>
      </c>
      <c r="C1633" t="inlineStr">
        <is>
          <t>Coco LLC</t>
        </is>
      </c>
      <c r="D1633" t="inlineStr">
        <is>
          <t>USD</t>
        </is>
      </c>
      <c r="E1633" t="inlineStr">
        <is>
          <t>Real</t>
        </is>
      </c>
      <c r="F1633" t="inlineStr">
        <is>
          <t>pyg_ingresos_no_operacionales</t>
        </is>
      </c>
      <c r="G1633" t="inlineStr">
        <is>
          <t>Moneda origen</t>
        </is>
      </c>
      <c r="I1633" t="n">
        <v>10.76</v>
      </c>
      <c r="J1633" t="inlineStr">
        <is>
          <t>USD</t>
        </is>
      </c>
      <c r="K1633" t="inlineStr">
        <is>
          <t>Consolidado estructurado julio 2026: julio mensual derivado por diferencia entre acumulado julio y acumulado junio.</t>
        </is>
      </c>
      <c r="L1633" t="inlineStr">
        <is>
          <t>Internacional</t>
        </is>
      </c>
      <c r="M1633" t="inlineStr">
        <is>
          <t>Finanzas</t>
        </is>
      </c>
      <c r="N1633" t="inlineStr">
        <is>
          <t>Mensual</t>
        </is>
      </c>
    </row>
    <row r="1634">
      <c r="A1634" t="inlineStr">
        <is>
          <t>2026-07</t>
        </is>
      </c>
      <c r="B1634" t="inlineStr">
        <is>
          <t>EE.UU.</t>
        </is>
      </c>
      <c r="C1634" t="inlineStr">
        <is>
          <t>Coco LLC</t>
        </is>
      </c>
      <c r="D1634" t="inlineStr">
        <is>
          <t>USD</t>
        </is>
      </c>
      <c r="E1634" t="inlineStr">
        <is>
          <t>Real</t>
        </is>
      </c>
      <c r="F1634" t="inlineStr">
        <is>
          <t>pyg_ingresos_no_operacionales</t>
        </is>
      </c>
      <c r="G1634" t="inlineStr">
        <is>
          <t>Consolidación USD</t>
        </is>
      </c>
      <c r="I1634" t="n">
        <v>10.76</v>
      </c>
      <c r="J1634" t="inlineStr">
        <is>
          <t>USD</t>
        </is>
      </c>
      <c r="K1634" t="inlineStr">
        <is>
          <t>Homologado desde auxiliar contable (Julio 2026 USA.xlsx). Reemplaza fuente previa (modelo/sin dato).</t>
        </is>
      </c>
      <c r="L1634" t="inlineStr">
        <is>
          <t>Internacional</t>
        </is>
      </c>
      <c r="M1634" t="inlineStr">
        <is>
          <t>Finanzas</t>
        </is>
      </c>
      <c r="N1634" t="inlineStr">
        <is>
          <t>Mensual</t>
        </is>
      </c>
    </row>
    <row r="1635">
      <c r="A1635" t="inlineStr">
        <is>
          <t>2026-07</t>
        </is>
      </c>
      <c r="B1635" t="inlineStr">
        <is>
          <t>EE.UU.</t>
        </is>
      </c>
      <c r="C1635" t="inlineStr">
        <is>
          <t>Coco LLC</t>
        </is>
      </c>
      <c r="D1635" t="inlineStr">
        <is>
          <t>USD</t>
        </is>
      </c>
      <c r="E1635" t="inlineStr">
        <is>
          <t>Real</t>
        </is>
      </c>
      <c r="F1635" t="inlineStr">
        <is>
          <t>pyg_costo_ventas</t>
        </is>
      </c>
      <c r="G1635" t="inlineStr">
        <is>
          <t>Moneda origen</t>
        </is>
      </c>
      <c r="I1635" t="n">
        <v>0</v>
      </c>
      <c r="J1635" t="inlineStr">
        <is>
          <t>USD</t>
        </is>
      </c>
      <c r="K1635" t="inlineStr">
        <is>
          <t>Consolidado estructurado julio 2026: julio mensual derivado por diferencia entre acumulado julio y acumulado junio.</t>
        </is>
      </c>
      <c r="L1635" t="inlineStr">
        <is>
          <t>Internacional</t>
        </is>
      </c>
      <c r="M1635" t="inlineStr">
        <is>
          <t>Finanzas</t>
        </is>
      </c>
      <c r="N1635" t="inlineStr">
        <is>
          <t>Mensual</t>
        </is>
      </c>
    </row>
    <row r="1636">
      <c r="A1636" t="inlineStr">
        <is>
          <t>2026-07</t>
        </is>
      </c>
      <c r="B1636" t="inlineStr">
        <is>
          <t>EE.UU.</t>
        </is>
      </c>
      <c r="C1636" t="inlineStr">
        <is>
          <t>Coco LLC</t>
        </is>
      </c>
      <c r="D1636" t="inlineStr">
        <is>
          <t>USD</t>
        </is>
      </c>
      <c r="E1636" t="inlineStr">
        <is>
          <t>Real</t>
        </is>
      </c>
      <c r="F1636" t="inlineStr">
        <is>
          <t>pyg_costo_ventas</t>
        </is>
      </c>
      <c r="G1636" t="inlineStr">
        <is>
          <t>Consolidación USD</t>
        </is>
      </c>
      <c r="I1636" t="n">
        <v>0</v>
      </c>
      <c r="J1636" t="inlineStr">
        <is>
          <t>USD</t>
        </is>
      </c>
      <c r="K1636" t="inlineStr">
        <is>
          <t>Homologado desde auxiliar contable (Julio 2026 USA.xlsx). Reemplaza fuente previa (modelo/sin dato).</t>
        </is>
      </c>
      <c r="L1636" t="inlineStr">
        <is>
          <t>Internacional</t>
        </is>
      </c>
      <c r="M1636" t="inlineStr">
        <is>
          <t>Finanzas</t>
        </is>
      </c>
      <c r="N1636" t="inlineStr">
        <is>
          <t>Mensual</t>
        </is>
      </c>
    </row>
    <row r="1637">
      <c r="A1637" t="inlineStr">
        <is>
          <t>2026-07</t>
        </is>
      </c>
      <c r="B1637" t="inlineStr">
        <is>
          <t>EE.UU.</t>
        </is>
      </c>
      <c r="C1637" t="inlineStr">
        <is>
          <t>Coco LLC</t>
        </is>
      </c>
      <c r="D1637" t="inlineStr">
        <is>
          <t>USD</t>
        </is>
      </c>
      <c r="E1637" t="inlineStr">
        <is>
          <t>Real</t>
        </is>
      </c>
      <c r="F1637" t="inlineStr">
        <is>
          <t>pyg_gasto_administracion</t>
        </is>
      </c>
      <c r="G1637" t="inlineStr">
        <is>
          <t>Moneda origen</t>
        </is>
      </c>
      <c r="I1637" t="n">
        <v>12001.75</v>
      </c>
      <c r="J1637" t="inlineStr">
        <is>
          <t>USD</t>
        </is>
      </c>
      <c r="K1637" t="inlineStr">
        <is>
          <t>Consolidado estructurado julio 2026: julio mensual derivado por diferencia entre acumulado julio y acumulado junio.</t>
        </is>
      </c>
      <c r="L1637" t="inlineStr">
        <is>
          <t>Internacional</t>
        </is>
      </c>
      <c r="M1637" t="inlineStr">
        <is>
          <t>Finanzas</t>
        </is>
      </c>
      <c r="N1637" t="inlineStr">
        <is>
          <t>Mensual</t>
        </is>
      </c>
    </row>
    <row r="1638">
      <c r="A1638" t="inlineStr">
        <is>
          <t>2026-07</t>
        </is>
      </c>
      <c r="B1638" t="inlineStr">
        <is>
          <t>EE.UU.</t>
        </is>
      </c>
      <c r="C1638" t="inlineStr">
        <is>
          <t>Coco LLC</t>
        </is>
      </c>
      <c r="D1638" t="inlineStr">
        <is>
          <t>USD</t>
        </is>
      </c>
      <c r="E1638" t="inlineStr">
        <is>
          <t>Real</t>
        </is>
      </c>
      <c r="F1638" t="inlineStr">
        <is>
          <t>pyg_gasto_administracion</t>
        </is>
      </c>
      <c r="G1638" t="inlineStr">
        <is>
          <t>Consolidación USD</t>
        </is>
      </c>
      <c r="I1638" t="n">
        <v>4001.75</v>
      </c>
      <c r="J1638" t="inlineStr">
        <is>
          <t>USD</t>
        </is>
      </c>
      <c r="K1638" t="inlineStr">
        <is>
          <t>Homologado desde auxiliar contable (Julio 2026 USA.xlsx). Reemplaza fuente previa (modelo/sin dato).</t>
        </is>
      </c>
      <c r="L1638" t="inlineStr">
        <is>
          <t>Internacional</t>
        </is>
      </c>
      <c r="M1638" t="inlineStr">
        <is>
          <t>Finanzas</t>
        </is>
      </c>
      <c r="N1638" t="inlineStr">
        <is>
          <t>Mensual</t>
        </is>
      </c>
    </row>
    <row r="1639">
      <c r="A1639" t="inlineStr">
        <is>
          <t>2026-07</t>
        </is>
      </c>
      <c r="B1639" t="inlineStr">
        <is>
          <t>EE.UU.</t>
        </is>
      </c>
      <c r="C1639" t="inlineStr">
        <is>
          <t>Coco LLC</t>
        </is>
      </c>
      <c r="D1639" t="inlineStr">
        <is>
          <t>USD</t>
        </is>
      </c>
      <c r="E1639" t="inlineStr">
        <is>
          <t>Real</t>
        </is>
      </c>
      <c r="F1639" t="inlineStr">
        <is>
          <t>pyg_gasto_ventas</t>
        </is>
      </c>
      <c r="G1639" t="inlineStr">
        <is>
          <t>Moneda origen</t>
        </is>
      </c>
      <c r="I1639" t="n">
        <v>0</v>
      </c>
      <c r="J1639" t="inlineStr">
        <is>
          <t>USD</t>
        </is>
      </c>
      <c r="K1639" t="inlineStr">
        <is>
          <t>Consolidado estructurado julio 2026: julio mensual derivado por diferencia entre acumulado julio y acumulado junio.</t>
        </is>
      </c>
      <c r="L1639" t="inlineStr">
        <is>
          <t>Internacional</t>
        </is>
      </c>
      <c r="M1639" t="inlineStr">
        <is>
          <t>Finanzas</t>
        </is>
      </c>
      <c r="N1639" t="inlineStr">
        <is>
          <t>Mensual</t>
        </is>
      </c>
    </row>
    <row r="1640">
      <c r="A1640" t="inlineStr">
        <is>
          <t>2026-07</t>
        </is>
      </c>
      <c r="B1640" t="inlineStr">
        <is>
          <t>EE.UU.</t>
        </is>
      </c>
      <c r="C1640" t="inlineStr">
        <is>
          <t>Coco LLC</t>
        </is>
      </c>
      <c r="D1640" t="inlineStr">
        <is>
          <t>USD</t>
        </is>
      </c>
      <c r="E1640" t="inlineStr">
        <is>
          <t>Real</t>
        </is>
      </c>
      <c r="F1640" t="inlineStr">
        <is>
          <t>pyg_gasto_ventas</t>
        </is>
      </c>
      <c r="G1640" t="inlineStr">
        <is>
          <t>Consolidación USD</t>
        </is>
      </c>
      <c r="I1640" t="n">
        <v>8000</v>
      </c>
      <c r="J1640" t="inlineStr">
        <is>
          <t>USD</t>
        </is>
      </c>
      <c r="K1640" t="inlineStr">
        <is>
          <t>Homologado desde auxiliar contable (Julio 2026 USA.xlsx). Reemplaza fuente previa (modelo/sin dato).</t>
        </is>
      </c>
      <c r="L1640" t="inlineStr">
        <is>
          <t>Internacional</t>
        </is>
      </c>
      <c r="M1640" t="inlineStr">
        <is>
          <t>Finanzas</t>
        </is>
      </c>
      <c r="N1640" t="inlineStr">
        <is>
          <t>Mensual</t>
        </is>
      </c>
    </row>
    <row r="1641">
      <c r="A1641" t="inlineStr">
        <is>
          <t>2026-07</t>
        </is>
      </c>
      <c r="B1641" t="inlineStr">
        <is>
          <t>EE.UU.</t>
        </is>
      </c>
      <c r="C1641" t="inlineStr">
        <is>
          <t>Coco LLC</t>
        </is>
      </c>
      <c r="D1641" t="inlineStr">
        <is>
          <t>USD</t>
        </is>
      </c>
      <c r="E1641" t="inlineStr">
        <is>
          <t>Real</t>
        </is>
      </c>
      <c r="F1641" t="inlineStr">
        <is>
          <t>pyg_gasto_proyectos</t>
        </is>
      </c>
      <c r="G1641" t="inlineStr">
        <is>
          <t>Moneda origen</t>
        </is>
      </c>
      <c r="I1641" t="n">
        <v>0</v>
      </c>
      <c r="J1641" t="inlineStr">
        <is>
          <t>USD</t>
        </is>
      </c>
      <c r="K1641" t="inlineStr">
        <is>
          <t>Consolidado estructurado julio 2026: julio mensual derivado por diferencia entre acumulado julio y acumulado junio.</t>
        </is>
      </c>
      <c r="L1641" t="inlineStr">
        <is>
          <t>Internacional</t>
        </is>
      </c>
      <c r="M1641" t="inlineStr">
        <is>
          <t>Finanzas</t>
        </is>
      </c>
      <c r="N1641" t="inlineStr">
        <is>
          <t>Mensual</t>
        </is>
      </c>
    </row>
    <row r="1642">
      <c r="A1642" t="inlineStr">
        <is>
          <t>2026-07</t>
        </is>
      </c>
      <c r="B1642" t="inlineStr">
        <is>
          <t>EE.UU.</t>
        </is>
      </c>
      <c r="C1642" t="inlineStr">
        <is>
          <t>Coco LLC</t>
        </is>
      </c>
      <c r="D1642" t="inlineStr">
        <is>
          <t>USD</t>
        </is>
      </c>
      <c r="E1642" t="inlineStr">
        <is>
          <t>Real</t>
        </is>
      </c>
      <c r="F1642" t="inlineStr">
        <is>
          <t>pyg_gasto_proyectos</t>
        </is>
      </c>
      <c r="G1642" t="inlineStr">
        <is>
          <t>Consolidación USD</t>
        </is>
      </c>
      <c r="I1642" t="n">
        <v>0</v>
      </c>
      <c r="J1642" t="inlineStr">
        <is>
          <t>USD</t>
        </is>
      </c>
      <c r="K1642" t="inlineStr">
        <is>
          <t>Homologado desde auxiliar contable (Julio 2026 USA.xlsx). Reemplaza fuente previa (modelo/sin dato).</t>
        </is>
      </c>
      <c r="L1642" t="inlineStr">
        <is>
          <t>Internacional</t>
        </is>
      </c>
      <c r="M1642" t="inlineStr">
        <is>
          <t>Finanzas</t>
        </is>
      </c>
      <c r="N1642" t="inlineStr">
        <is>
          <t>Mensual</t>
        </is>
      </c>
    </row>
    <row r="1643">
      <c r="A1643" t="inlineStr">
        <is>
          <t>2026-07</t>
        </is>
      </c>
      <c r="B1643" t="inlineStr">
        <is>
          <t>EE.UU.</t>
        </is>
      </c>
      <c r="C1643" t="inlineStr">
        <is>
          <t>Coco LLC</t>
        </is>
      </c>
      <c r="D1643" t="inlineStr">
        <is>
          <t>USD</t>
        </is>
      </c>
      <c r="E1643" t="inlineStr">
        <is>
          <t>Real</t>
        </is>
      </c>
      <c r="F1643" t="inlineStr">
        <is>
          <t>pyg_gastos_financieros</t>
        </is>
      </c>
      <c r="G1643" t="inlineStr">
        <is>
          <t>Moneda origen</t>
        </is>
      </c>
      <c r="I1643" t="n">
        <v>134.28</v>
      </c>
      <c r="J1643" t="inlineStr">
        <is>
          <t>USD</t>
        </is>
      </c>
      <c r="K1643" t="inlineStr">
        <is>
          <t>Consolidado estructurado julio 2026: julio mensual derivado por diferencia entre acumulado julio y acumulado junio.</t>
        </is>
      </c>
      <c r="L1643" t="inlineStr">
        <is>
          <t>Internacional</t>
        </is>
      </c>
      <c r="M1643" t="inlineStr">
        <is>
          <t>Finanzas</t>
        </is>
      </c>
      <c r="N1643" t="inlineStr">
        <is>
          <t>Mensual</t>
        </is>
      </c>
    </row>
    <row r="1644">
      <c r="A1644" t="inlineStr">
        <is>
          <t>2026-07</t>
        </is>
      </c>
      <c r="B1644" t="inlineStr">
        <is>
          <t>EE.UU.</t>
        </is>
      </c>
      <c r="C1644" t="inlineStr">
        <is>
          <t>Coco LLC</t>
        </is>
      </c>
      <c r="D1644" t="inlineStr">
        <is>
          <t>USD</t>
        </is>
      </c>
      <c r="E1644" t="inlineStr">
        <is>
          <t>Real</t>
        </is>
      </c>
      <c r="F1644" t="inlineStr">
        <is>
          <t>pyg_gastos_financieros</t>
        </is>
      </c>
      <c r="G1644" t="inlineStr">
        <is>
          <t>Consolidación USD</t>
        </is>
      </c>
      <c r="I1644" t="n">
        <v>134.28</v>
      </c>
      <c r="J1644" t="inlineStr">
        <is>
          <t>USD</t>
        </is>
      </c>
      <c r="K1644" t="inlineStr">
        <is>
          <t>Homologado desde auxiliar contable (Julio 2026 USA.xlsx). Reemplaza fuente previa (modelo/sin dato).</t>
        </is>
      </c>
      <c r="L1644" t="inlineStr">
        <is>
          <t>Internacional</t>
        </is>
      </c>
      <c r="M1644" t="inlineStr">
        <is>
          <t>Finanzas</t>
        </is>
      </c>
      <c r="N1644" t="inlineStr">
        <is>
          <t>Mensual</t>
        </is>
      </c>
    </row>
    <row r="1645">
      <c r="A1645" t="inlineStr">
        <is>
          <t>2026-07</t>
        </is>
      </c>
      <c r="B1645" t="inlineStr">
        <is>
          <t>EE.UU.</t>
        </is>
      </c>
      <c r="C1645" t="inlineStr">
        <is>
          <t>Coco LLC</t>
        </is>
      </c>
      <c r="D1645" t="inlineStr">
        <is>
          <t>USD</t>
        </is>
      </c>
      <c r="E1645" t="inlineStr">
        <is>
          <t>Real</t>
        </is>
      </c>
      <c r="F1645" t="inlineStr">
        <is>
          <t>pyg_utilidad_bruta</t>
        </is>
      </c>
      <c r="G1645" t="inlineStr">
        <is>
          <t>Moneda origen</t>
        </is>
      </c>
      <c r="I1645" t="n">
        <v>6013.45</v>
      </c>
      <c r="J1645" t="inlineStr">
        <is>
          <t>USD</t>
        </is>
      </c>
      <c r="K1645" t="inlineStr">
        <is>
          <t>Consolidado estructurado julio 2026: julio mensual derivado por diferencia entre acumulado julio y acumulado junio.</t>
        </is>
      </c>
      <c r="L1645" t="inlineStr">
        <is>
          <t>Internacional</t>
        </is>
      </c>
      <c r="M1645" t="inlineStr">
        <is>
          <t>Finanzas</t>
        </is>
      </c>
      <c r="N1645" t="inlineStr">
        <is>
          <t>Mensual</t>
        </is>
      </c>
    </row>
    <row r="1646">
      <c r="A1646" t="inlineStr">
        <is>
          <t>2026-07</t>
        </is>
      </c>
      <c r="B1646" t="inlineStr">
        <is>
          <t>EE.UU.</t>
        </is>
      </c>
      <c r="C1646" t="inlineStr">
        <is>
          <t>Coco LLC</t>
        </is>
      </c>
      <c r="D1646" t="inlineStr">
        <is>
          <t>USD</t>
        </is>
      </c>
      <c r="E1646" t="inlineStr">
        <is>
          <t>Real</t>
        </is>
      </c>
      <c r="F1646" t="inlineStr">
        <is>
          <t>pyg_utilidad_bruta</t>
        </is>
      </c>
      <c r="G1646" t="inlineStr">
        <is>
          <t>Consolidación USD</t>
        </is>
      </c>
      <c r="I1646" t="n">
        <v>6013.45</v>
      </c>
      <c r="J1646" t="inlineStr">
        <is>
          <t>USD</t>
        </is>
      </c>
      <c r="K1646" t="inlineStr">
        <is>
          <t>Consolidado estructurado julio 2026: julio mensual derivado por diferencia entre acumulado julio y acumulado junio.</t>
        </is>
      </c>
      <c r="L1646" t="inlineStr">
        <is>
          <t>Internacional</t>
        </is>
      </c>
      <c r="M1646" t="inlineStr">
        <is>
          <t>Finanzas</t>
        </is>
      </c>
      <c r="N1646" t="inlineStr">
        <is>
          <t>Mensual</t>
        </is>
      </c>
    </row>
    <row r="1647">
      <c r="A1647" t="inlineStr">
        <is>
          <t>2026-07</t>
        </is>
      </c>
      <c r="B1647" t="inlineStr">
        <is>
          <t>EE.UU.</t>
        </is>
      </c>
      <c r="C1647" t="inlineStr">
        <is>
          <t>Coco LLC</t>
        </is>
      </c>
      <c r="D1647" t="inlineStr">
        <is>
          <t>USD</t>
        </is>
      </c>
      <c r="E1647" t="inlineStr">
        <is>
          <t>Real</t>
        </is>
      </c>
      <c r="F1647" t="inlineStr">
        <is>
          <t>pyg_utilidad_operativa</t>
        </is>
      </c>
      <c r="G1647" t="inlineStr">
        <is>
          <t>Moneda origen</t>
        </is>
      </c>
      <c r="I1647" t="n">
        <v>-5988.3</v>
      </c>
      <c r="J1647" t="inlineStr">
        <is>
          <t>USD</t>
        </is>
      </c>
      <c r="K1647" t="inlineStr">
        <is>
          <t>Consolidado estructurado julio 2026: julio mensual derivado por diferencia entre acumulado julio y acumulado junio.</t>
        </is>
      </c>
      <c r="L1647" t="inlineStr">
        <is>
          <t>Internacional</t>
        </is>
      </c>
      <c r="M1647" t="inlineStr">
        <is>
          <t>Finanzas</t>
        </is>
      </c>
      <c r="N1647" t="inlineStr">
        <is>
          <t>Mensual</t>
        </is>
      </c>
    </row>
    <row r="1648">
      <c r="A1648" t="inlineStr">
        <is>
          <t>2026-07</t>
        </is>
      </c>
      <c r="B1648" t="inlineStr">
        <is>
          <t>EE.UU.</t>
        </is>
      </c>
      <c r="C1648" t="inlineStr">
        <is>
          <t>Coco LLC</t>
        </is>
      </c>
      <c r="D1648" t="inlineStr">
        <is>
          <t>USD</t>
        </is>
      </c>
      <c r="E1648" t="inlineStr">
        <is>
          <t>Real</t>
        </is>
      </c>
      <c r="F1648" t="inlineStr">
        <is>
          <t>pyg_utilidad_operativa</t>
        </is>
      </c>
      <c r="G1648" t="inlineStr">
        <is>
          <t>Consolidación USD</t>
        </is>
      </c>
      <c r="I1648" t="n">
        <v>-5988.3</v>
      </c>
      <c r="J1648" t="inlineStr">
        <is>
          <t>USD</t>
        </is>
      </c>
      <c r="K1648" t="inlineStr">
        <is>
          <t>Consolidado estructurado julio 2026: julio mensual derivado por diferencia entre acumulado julio y acumulado junio.</t>
        </is>
      </c>
      <c r="L1648" t="inlineStr">
        <is>
          <t>Internacional</t>
        </is>
      </c>
      <c r="M1648" t="inlineStr">
        <is>
          <t>Finanzas</t>
        </is>
      </c>
      <c r="N1648" t="inlineStr">
        <is>
          <t>Mensual</t>
        </is>
      </c>
    </row>
    <row r="1649">
      <c r="A1649" t="inlineStr">
        <is>
          <t>2026-07</t>
        </is>
      </c>
      <c r="B1649" t="inlineStr">
        <is>
          <t>EE.UU.</t>
        </is>
      </c>
      <c r="C1649" t="inlineStr">
        <is>
          <t>Coco LLC</t>
        </is>
      </c>
      <c r="D1649" t="inlineStr">
        <is>
          <t>USD</t>
        </is>
      </c>
      <c r="E1649" t="inlineStr">
        <is>
          <t>Real</t>
        </is>
      </c>
      <c r="F1649" t="inlineStr">
        <is>
          <t>pyg_utilidad_neta</t>
        </is>
      </c>
      <c r="G1649" t="inlineStr">
        <is>
          <t>Moneda origen</t>
        </is>
      </c>
      <c r="I1649" t="n">
        <v>-6111.82</v>
      </c>
      <c r="J1649" t="inlineStr">
        <is>
          <t>USD</t>
        </is>
      </c>
      <c r="K1649" t="inlineStr">
        <is>
          <t>Consolidado estructurado julio 2026: julio mensual derivado por diferencia entre acumulado julio y acumulado junio.</t>
        </is>
      </c>
      <c r="L1649" t="inlineStr">
        <is>
          <t>Internacional</t>
        </is>
      </c>
      <c r="M1649" t="inlineStr">
        <is>
          <t>Finanzas</t>
        </is>
      </c>
      <c r="N1649" t="inlineStr">
        <is>
          <t>Mensual</t>
        </is>
      </c>
    </row>
    <row r="1650">
      <c r="A1650" t="inlineStr">
        <is>
          <t>2026-07</t>
        </is>
      </c>
      <c r="B1650" t="inlineStr">
        <is>
          <t>EE.UU.</t>
        </is>
      </c>
      <c r="C1650" t="inlineStr">
        <is>
          <t>Coco LLC</t>
        </is>
      </c>
      <c r="D1650" t="inlineStr">
        <is>
          <t>USD</t>
        </is>
      </c>
      <c r="E1650" t="inlineStr">
        <is>
          <t>Real</t>
        </is>
      </c>
      <c r="F1650" t="inlineStr">
        <is>
          <t>pyg_utilidad_neta</t>
        </is>
      </c>
      <c r="G1650" t="inlineStr">
        <is>
          <t>Consolidación USD</t>
        </is>
      </c>
      <c r="I1650" t="n">
        <v>-6111.82</v>
      </c>
      <c r="J1650" t="inlineStr">
        <is>
          <t>USD</t>
        </is>
      </c>
      <c r="K1650" t="inlineStr">
        <is>
          <t>Homologado desde auxiliar contable (Julio 2026 USA.xlsx). Reemplaza fuente previa (modelo/sin dato).</t>
        </is>
      </c>
      <c r="L1650" t="inlineStr">
        <is>
          <t>Internacional</t>
        </is>
      </c>
      <c r="M1650" t="inlineStr">
        <is>
          <t>Finanzas</t>
        </is>
      </c>
      <c r="N1650" t="inlineStr">
        <is>
          <t>Mensual</t>
        </is>
      </c>
    </row>
    <row r="1651">
      <c r="A1651" t="inlineStr">
        <is>
          <t>2026-07</t>
        </is>
      </c>
      <c r="B1651" t="inlineStr">
        <is>
          <t>Perú</t>
        </is>
      </c>
      <c r="C1651" t="inlineStr">
        <is>
          <t>Coco Perú</t>
        </is>
      </c>
      <c r="D1651" t="inlineStr">
        <is>
          <t>PEN</t>
        </is>
      </c>
      <c r="E1651" t="inlineStr">
        <is>
          <t>Real</t>
        </is>
      </c>
      <c r="F1651" t="inlineStr">
        <is>
          <t>pyg_servicio_software</t>
        </is>
      </c>
      <c r="G1651" t="inlineStr">
        <is>
          <t>Moneda origen PEN - operación ordinaria</t>
        </is>
      </c>
      <c r="I1651" t="n">
        <v>6202.25</v>
      </c>
      <c r="J1651" t="inlineStr">
        <is>
          <t>PEN</t>
        </is>
      </c>
      <c r="K1651" t="inlineStr">
        <is>
          <t>Perú julio 2026: movimientos ordinarios de Mov_Mensuales; PEN/USD 3.405 y USD/PEN 0.293686 provisionales. Otros ingresos acumulados del proyecto especial excluidos.</t>
        </is>
      </c>
      <c r="L1651" t="inlineStr">
        <is>
          <t>Internacional</t>
        </is>
      </c>
      <c r="M1651" t="inlineStr">
        <is>
          <t>Finanzas</t>
        </is>
      </c>
      <c r="N1651" t="inlineStr">
        <is>
          <t>Mensual</t>
        </is>
      </c>
    </row>
    <row r="1652">
      <c r="A1652" t="inlineStr">
        <is>
          <t>2026-07</t>
        </is>
      </c>
      <c r="B1652" t="inlineStr">
        <is>
          <t>Perú</t>
        </is>
      </c>
      <c r="C1652" t="inlineStr">
        <is>
          <t>Coco Perú</t>
        </is>
      </c>
      <c r="D1652" t="inlineStr">
        <is>
          <t>USD</t>
        </is>
      </c>
      <c r="E1652" t="inlineStr">
        <is>
          <t>Real</t>
        </is>
      </c>
      <c r="F1652" t="inlineStr">
        <is>
          <t>pyg_servicio_software</t>
        </is>
      </c>
      <c r="G1652" t="inlineStr">
        <is>
          <t>Consolidación USD</t>
        </is>
      </c>
      <c r="I1652" t="n">
        <v>2797.46</v>
      </c>
      <c r="J1652" t="inlineStr">
        <is>
          <t>USD</t>
        </is>
      </c>
      <c r="K1652" t="inlineStr">
        <is>
          <t>Julio 2026 corregido desde EF Peru.zip (27-ago-2026): el archivo anterior era un reexporte de junio. Convertido a 3,400 PEN/USD (BCRP promedio mensual).</t>
        </is>
      </c>
      <c r="L1652" t="inlineStr">
        <is>
          <t>Internacional</t>
        </is>
      </c>
      <c r="M1652" t="inlineStr">
        <is>
          <t>Finanzas</t>
        </is>
      </c>
      <c r="N1652" t="inlineStr">
        <is>
          <t>Mensual</t>
        </is>
      </c>
    </row>
    <row r="1653">
      <c r="A1653" t="inlineStr">
        <is>
          <t>2026-07</t>
        </is>
      </c>
      <c r="B1653" t="inlineStr">
        <is>
          <t>Perú</t>
        </is>
      </c>
      <c r="C1653" t="inlineStr">
        <is>
          <t>Coco Perú</t>
        </is>
      </c>
      <c r="D1653" t="inlineStr">
        <is>
          <t>PEN</t>
        </is>
      </c>
      <c r="E1653" t="inlineStr">
        <is>
          <t>Real</t>
        </is>
      </c>
      <c r="F1653" t="inlineStr">
        <is>
          <t>pyg_devoluciones</t>
        </is>
      </c>
      <c r="G1653" t="inlineStr">
        <is>
          <t>Moneda origen PEN - operación ordinaria</t>
        </is>
      </c>
      <c r="I1653" t="n">
        <v>0</v>
      </c>
      <c r="J1653" t="inlineStr">
        <is>
          <t>PEN</t>
        </is>
      </c>
      <c r="K1653" t="inlineStr">
        <is>
          <t>Perú julio 2026: movimientos ordinarios de Mov_Mensuales; PEN/USD 3.405 y USD/PEN 0.293686 provisionales. Otros ingresos acumulados del proyecto especial excluidos.</t>
        </is>
      </c>
      <c r="L1653" t="inlineStr">
        <is>
          <t>Internacional</t>
        </is>
      </c>
      <c r="M1653" t="inlineStr">
        <is>
          <t>Finanzas</t>
        </is>
      </c>
      <c r="N1653" t="inlineStr">
        <is>
          <t>Mensual</t>
        </is>
      </c>
    </row>
    <row r="1654">
      <c r="A1654" t="inlineStr">
        <is>
          <t>2026-07</t>
        </is>
      </c>
      <c r="B1654" t="inlineStr">
        <is>
          <t>Perú</t>
        </is>
      </c>
      <c r="C1654" t="inlineStr">
        <is>
          <t>Coco Perú</t>
        </is>
      </c>
      <c r="D1654" t="inlineStr">
        <is>
          <t>USD</t>
        </is>
      </c>
      <c r="E1654" t="inlineStr">
        <is>
          <t>Real</t>
        </is>
      </c>
      <c r="F1654" t="inlineStr">
        <is>
          <t>pyg_devoluciones</t>
        </is>
      </c>
      <c r="G1654" t="inlineStr">
        <is>
          <t>Consolidación USD</t>
        </is>
      </c>
      <c r="I1654" t="n">
        <v>0</v>
      </c>
      <c r="J1654" t="inlineStr">
        <is>
          <t>USD</t>
        </is>
      </c>
      <c r="K1654" t="inlineStr">
        <is>
          <t>Julio 2026 corregido desde EF Peru.zip (27-ago-2026): el archivo anterior era un reexporte de junio. Convertido a 3,400 PEN/USD (BCRP promedio mensual).</t>
        </is>
      </c>
      <c r="L1654" t="inlineStr">
        <is>
          <t>Internacional</t>
        </is>
      </c>
      <c r="M1654" t="inlineStr">
        <is>
          <t>Finanzas</t>
        </is>
      </c>
      <c r="N1654" t="inlineStr">
        <is>
          <t>Mensual</t>
        </is>
      </c>
    </row>
    <row r="1655">
      <c r="A1655" t="inlineStr">
        <is>
          <t>2026-07</t>
        </is>
      </c>
      <c r="B1655" t="inlineStr">
        <is>
          <t>Perú</t>
        </is>
      </c>
      <c r="C1655" t="inlineStr">
        <is>
          <t>Coco Perú</t>
        </is>
      </c>
      <c r="D1655" t="inlineStr">
        <is>
          <t>PEN</t>
        </is>
      </c>
      <c r="E1655" t="inlineStr">
        <is>
          <t>Real</t>
        </is>
      </c>
      <c r="F1655" t="inlineStr">
        <is>
          <t>pyg_ingresos_operacionales</t>
        </is>
      </c>
      <c r="G1655" t="inlineStr">
        <is>
          <t>Moneda origen PEN - operación ordinaria</t>
        </is>
      </c>
      <c r="I1655" t="n">
        <v>6202.25</v>
      </c>
      <c r="J1655" t="inlineStr">
        <is>
          <t>PEN</t>
        </is>
      </c>
      <c r="K1655" t="inlineStr">
        <is>
          <t>Perú julio 2026: movimientos ordinarios de Mov_Mensuales; PEN/USD 3.405 y USD/PEN 0.293686 provisionales. Otros ingresos acumulados del proyecto especial excluidos.</t>
        </is>
      </c>
      <c r="L1655" t="inlineStr">
        <is>
          <t>Internacional</t>
        </is>
      </c>
      <c r="M1655" t="inlineStr">
        <is>
          <t>Finanzas</t>
        </is>
      </c>
      <c r="N1655" t="inlineStr">
        <is>
          <t>Mensual</t>
        </is>
      </c>
    </row>
    <row r="1656">
      <c r="A1656" t="inlineStr">
        <is>
          <t>2026-07</t>
        </is>
      </c>
      <c r="B1656" t="inlineStr">
        <is>
          <t>Perú</t>
        </is>
      </c>
      <c r="C1656" t="inlineStr">
        <is>
          <t>Coco Peru</t>
        </is>
      </c>
      <c r="D1656" t="inlineStr">
        <is>
          <t>USD</t>
        </is>
      </c>
      <c r="E1656" t="inlineStr">
        <is>
          <t>Real</t>
        </is>
      </c>
      <c r="F1656" t="inlineStr">
        <is>
          <t>pyg_ingresos_operacionales</t>
        </is>
      </c>
      <c r="G1656" t="inlineStr">
        <is>
          <t>Consolidación USD</t>
        </is>
      </c>
      <c r="I1656" t="n">
        <v>2797.46</v>
      </c>
      <c r="J1656" t="inlineStr">
        <is>
          <t>USD</t>
        </is>
      </c>
      <c r="K1656" t="inlineStr">
        <is>
          <t>Julio 2026 corregido desde EF Peru.zip (27-ago-2026): el archivo anterior era un reexporte de junio. Convertido a 3,400 PEN/USD (BCRP promedio mensual).</t>
        </is>
      </c>
      <c r="L1656" t="inlineStr">
        <is>
          <t>Internacional</t>
        </is>
      </c>
      <c r="M1656" t="inlineStr">
        <is>
          <t>Finanzas</t>
        </is>
      </c>
      <c r="N1656" t="inlineStr">
        <is>
          <t>Mensual</t>
        </is>
      </c>
    </row>
    <row r="1657">
      <c r="A1657" t="inlineStr">
        <is>
          <t>2026-07</t>
        </is>
      </c>
      <c r="B1657" t="inlineStr">
        <is>
          <t>Perú</t>
        </is>
      </c>
      <c r="C1657" t="inlineStr">
        <is>
          <t>Coco Perú</t>
        </is>
      </c>
      <c r="D1657" t="inlineStr">
        <is>
          <t>PEN</t>
        </is>
      </c>
      <c r="E1657" t="inlineStr">
        <is>
          <t>Real</t>
        </is>
      </c>
      <c r="F1657" t="inlineStr">
        <is>
          <t>pyg_ingresos_no_operacionales</t>
        </is>
      </c>
      <c r="G1657" t="inlineStr">
        <is>
          <t>Moneda origen PEN - operación ordinaria</t>
        </is>
      </c>
      <c r="I1657" t="n">
        <v>0</v>
      </c>
      <c r="J1657" t="inlineStr">
        <is>
          <t>PEN</t>
        </is>
      </c>
      <c r="K1657" t="inlineStr">
        <is>
          <t>Perú julio 2026: movimientos ordinarios de Mov_Mensuales; PEN/USD 3.405 y USD/PEN 0.293686 provisionales. Otros ingresos acumulados del proyecto especial excluidos.</t>
        </is>
      </c>
      <c r="L1657" t="inlineStr">
        <is>
          <t>Internacional</t>
        </is>
      </c>
      <c r="M1657" t="inlineStr">
        <is>
          <t>Finanzas</t>
        </is>
      </c>
      <c r="N1657" t="inlineStr">
        <is>
          <t>Mensual</t>
        </is>
      </c>
    </row>
    <row r="1658">
      <c r="A1658" t="inlineStr">
        <is>
          <t>2026-07</t>
        </is>
      </c>
      <c r="B1658" t="inlineStr">
        <is>
          <t>Perú</t>
        </is>
      </c>
      <c r="C1658" t="inlineStr">
        <is>
          <t>Coco Peru</t>
        </is>
      </c>
      <c r="D1658" t="inlineStr">
        <is>
          <t>USD</t>
        </is>
      </c>
      <c r="E1658" t="inlineStr">
        <is>
          <t>Real</t>
        </is>
      </c>
      <c r="F1658" t="inlineStr">
        <is>
          <t>pyg_ingresos_no_operacionales</t>
        </is>
      </c>
      <c r="G1658" t="inlineStr">
        <is>
          <t>Consolidación USD</t>
        </is>
      </c>
      <c r="I1658" t="n">
        <v>0</v>
      </c>
      <c r="J1658" t="inlineStr">
        <is>
          <t>USD</t>
        </is>
      </c>
      <c r="K1658" t="inlineStr">
        <is>
          <t>Julio 2026 corregido desde EF Peru.zip (27-ago-2026): el archivo anterior era un reexporte de junio. Convertido a 3,400 PEN/USD (BCRP promedio mensual).</t>
        </is>
      </c>
      <c r="L1658" t="inlineStr">
        <is>
          <t>Internacional</t>
        </is>
      </c>
      <c r="M1658" t="inlineStr">
        <is>
          <t>Finanzas</t>
        </is>
      </c>
      <c r="N1658" t="inlineStr">
        <is>
          <t>Mensual</t>
        </is>
      </c>
    </row>
    <row r="1659">
      <c r="A1659" t="inlineStr">
        <is>
          <t>2026-07</t>
        </is>
      </c>
      <c r="B1659" t="inlineStr">
        <is>
          <t>Perú</t>
        </is>
      </c>
      <c r="C1659" t="inlineStr">
        <is>
          <t>Coco Perú</t>
        </is>
      </c>
      <c r="D1659" t="inlineStr">
        <is>
          <t>PEN</t>
        </is>
      </c>
      <c r="E1659" t="inlineStr">
        <is>
          <t>Real</t>
        </is>
      </c>
      <c r="F1659" t="inlineStr">
        <is>
          <t>pyg_costo_ventas</t>
        </is>
      </c>
      <c r="G1659" t="inlineStr">
        <is>
          <t>Moneda origen PEN - operación ordinaria</t>
        </is>
      </c>
      <c r="I1659" t="n">
        <v>0</v>
      </c>
      <c r="J1659" t="inlineStr">
        <is>
          <t>PEN</t>
        </is>
      </c>
      <c r="K1659" t="inlineStr">
        <is>
          <t>Perú julio 2026: movimientos ordinarios de Mov_Mensuales; PEN/USD 3.405 y USD/PEN 0.293686 provisionales. Otros ingresos acumulados del proyecto especial excluidos.</t>
        </is>
      </c>
      <c r="L1659" t="inlineStr">
        <is>
          <t>Internacional</t>
        </is>
      </c>
      <c r="M1659" t="inlineStr">
        <is>
          <t>Finanzas</t>
        </is>
      </c>
      <c r="N1659" t="inlineStr">
        <is>
          <t>Mensual</t>
        </is>
      </c>
    </row>
    <row r="1660">
      <c r="A1660" t="inlineStr">
        <is>
          <t>2026-07</t>
        </is>
      </c>
      <c r="B1660" t="inlineStr">
        <is>
          <t>Perú</t>
        </is>
      </c>
      <c r="C1660" t="inlineStr">
        <is>
          <t>Coco Peru</t>
        </is>
      </c>
      <c r="D1660" t="inlineStr">
        <is>
          <t>USD</t>
        </is>
      </c>
      <c r="E1660" t="inlineStr">
        <is>
          <t>Real</t>
        </is>
      </c>
      <c r="F1660" t="inlineStr">
        <is>
          <t>pyg_costo_ventas</t>
        </is>
      </c>
      <c r="G1660" t="inlineStr">
        <is>
          <t>Consolidación USD</t>
        </is>
      </c>
      <c r="I1660" t="n">
        <v>0</v>
      </c>
      <c r="J1660" t="inlineStr">
        <is>
          <t>USD</t>
        </is>
      </c>
      <c r="K1660" t="inlineStr">
        <is>
          <t>Julio 2026 corregido desde EF Peru.zip (27-ago-2026): el archivo anterior era un reexporte de junio. Convertido a 3,400 PEN/USD (BCRP promedio mensual).</t>
        </is>
      </c>
      <c r="L1660" t="inlineStr">
        <is>
          <t>Internacional</t>
        </is>
      </c>
      <c r="M1660" t="inlineStr">
        <is>
          <t>Finanzas</t>
        </is>
      </c>
      <c r="N1660" t="inlineStr">
        <is>
          <t>Mensual</t>
        </is>
      </c>
    </row>
    <row r="1661">
      <c r="A1661" t="inlineStr">
        <is>
          <t>2026-07</t>
        </is>
      </c>
      <c r="B1661" t="inlineStr">
        <is>
          <t>Perú</t>
        </is>
      </c>
      <c r="C1661" t="inlineStr">
        <is>
          <t>Coco Perú</t>
        </is>
      </c>
      <c r="D1661" t="inlineStr">
        <is>
          <t>PEN</t>
        </is>
      </c>
      <c r="E1661" t="inlineStr">
        <is>
          <t>Real</t>
        </is>
      </c>
      <c r="F1661" t="inlineStr">
        <is>
          <t>pyg_gasto_administracion</t>
        </is>
      </c>
      <c r="G1661" t="inlineStr">
        <is>
          <t>Moneda origen PEN - operación ordinaria</t>
        </is>
      </c>
      <c r="I1661" t="n">
        <v>878</v>
      </c>
      <c r="J1661" t="inlineStr">
        <is>
          <t>PEN</t>
        </is>
      </c>
      <c r="K1661" t="inlineStr">
        <is>
          <t>Perú julio 2026: movimientos ordinarios de Mov_Mensuales; PEN/USD 3.405 y USD/PEN 0.293686 provisionales. Otros ingresos acumulados del proyecto especial excluidos.</t>
        </is>
      </c>
      <c r="L1661" t="inlineStr">
        <is>
          <t>Internacional</t>
        </is>
      </c>
      <c r="M1661" t="inlineStr">
        <is>
          <t>Finanzas</t>
        </is>
      </c>
      <c r="N1661" t="inlineStr">
        <is>
          <t>Mensual</t>
        </is>
      </c>
    </row>
    <row r="1662">
      <c r="A1662" t="inlineStr">
        <is>
          <t>2026-07</t>
        </is>
      </c>
      <c r="B1662" t="inlineStr">
        <is>
          <t>Perú</t>
        </is>
      </c>
      <c r="C1662" t="inlineStr">
        <is>
          <t>Coco Peru</t>
        </is>
      </c>
      <c r="D1662" t="inlineStr">
        <is>
          <t>USD</t>
        </is>
      </c>
      <c r="E1662" t="inlineStr">
        <is>
          <t>Real</t>
        </is>
      </c>
      <c r="F1662" t="inlineStr">
        <is>
          <t>pyg_gasto_administracion</t>
        </is>
      </c>
      <c r="G1662" t="inlineStr">
        <is>
          <t>Consolidación USD</t>
        </is>
      </c>
      <c r="I1662" t="n">
        <v>253.65</v>
      </c>
      <c r="J1662" t="inlineStr">
        <is>
          <t>USD</t>
        </is>
      </c>
      <c r="K1662" t="inlineStr">
        <is>
          <t>Julio 2026 corregido desde EF Peru.zip (27-ago-2026): el archivo anterior era un reexporte de junio. Convertido a 3,400 PEN/USD (BCRP promedio mensual).</t>
        </is>
      </c>
      <c r="L1662" t="inlineStr">
        <is>
          <t>Internacional</t>
        </is>
      </c>
      <c r="M1662" t="inlineStr">
        <is>
          <t>Finanzas</t>
        </is>
      </c>
      <c r="N1662" t="inlineStr">
        <is>
          <t>Mensual</t>
        </is>
      </c>
    </row>
    <row r="1663">
      <c r="A1663" t="inlineStr">
        <is>
          <t>2026-07</t>
        </is>
      </c>
      <c r="B1663" t="inlineStr">
        <is>
          <t>Perú</t>
        </is>
      </c>
      <c r="C1663" t="inlineStr">
        <is>
          <t>Coco Perú</t>
        </is>
      </c>
      <c r="D1663" t="inlineStr">
        <is>
          <t>PEN</t>
        </is>
      </c>
      <c r="E1663" t="inlineStr">
        <is>
          <t>Real</t>
        </is>
      </c>
      <c r="F1663" t="inlineStr">
        <is>
          <t>pyg_gasto_ventas</t>
        </is>
      </c>
      <c r="G1663" t="inlineStr">
        <is>
          <t>Moneda origen PEN - operación ordinaria</t>
        </is>
      </c>
      <c r="I1663" t="n">
        <v>11218.31</v>
      </c>
      <c r="J1663" t="inlineStr">
        <is>
          <t>PEN</t>
        </is>
      </c>
      <c r="K1663" t="inlineStr">
        <is>
          <t>Perú julio 2026: movimientos ordinarios de Mov_Mensuales; PEN/USD 3.405 y USD/PEN 0.293686 provisionales. Otros ingresos acumulados del proyecto especial excluidos.</t>
        </is>
      </c>
      <c r="L1663" t="inlineStr">
        <is>
          <t>Internacional</t>
        </is>
      </c>
      <c r="M1663" t="inlineStr">
        <is>
          <t>Finanzas</t>
        </is>
      </c>
      <c r="N1663" t="inlineStr">
        <is>
          <t>Mensual</t>
        </is>
      </c>
    </row>
    <row r="1664">
      <c r="A1664" t="inlineStr">
        <is>
          <t>2026-07</t>
        </is>
      </c>
      <c r="B1664" t="inlineStr">
        <is>
          <t>Perú</t>
        </is>
      </c>
      <c r="C1664" t="inlineStr">
        <is>
          <t>Coco Peru</t>
        </is>
      </c>
      <c r="D1664" t="inlineStr">
        <is>
          <t>USD</t>
        </is>
      </c>
      <c r="E1664" t="inlineStr">
        <is>
          <t>Real</t>
        </is>
      </c>
      <c r="F1664" t="inlineStr">
        <is>
          <t>pyg_gasto_ventas</t>
        </is>
      </c>
      <c r="G1664" t="inlineStr">
        <is>
          <t>Consolidación USD</t>
        </is>
      </c>
      <c r="I1664" t="n">
        <v>3426.94</v>
      </c>
      <c r="J1664" t="inlineStr">
        <is>
          <t>USD</t>
        </is>
      </c>
      <c r="K1664" t="inlineStr">
        <is>
          <t>Julio 2026 corregido desde EF Peru.zip (27-ago-2026): el archivo anterior era un reexporte de junio. Convertido a 3,400 PEN/USD (BCRP promedio mensual).</t>
        </is>
      </c>
      <c r="L1664" t="inlineStr">
        <is>
          <t>Internacional</t>
        </is>
      </c>
      <c r="M1664" t="inlineStr">
        <is>
          <t>Finanzas</t>
        </is>
      </c>
      <c r="N1664" t="inlineStr">
        <is>
          <t>Mensual</t>
        </is>
      </c>
    </row>
    <row r="1665">
      <c r="A1665" t="inlineStr">
        <is>
          <t>2026-07</t>
        </is>
      </c>
      <c r="B1665" t="inlineStr">
        <is>
          <t>Perú</t>
        </is>
      </c>
      <c r="C1665" t="inlineStr">
        <is>
          <t>Coco Perú</t>
        </is>
      </c>
      <c r="D1665" t="inlineStr">
        <is>
          <t>PEN</t>
        </is>
      </c>
      <c r="E1665" t="inlineStr">
        <is>
          <t>Real</t>
        </is>
      </c>
      <c r="F1665" t="inlineStr">
        <is>
          <t>pyg_gasto_proyectos</t>
        </is>
      </c>
      <c r="G1665" t="inlineStr">
        <is>
          <t>Moneda origen PEN - operación ordinaria</t>
        </is>
      </c>
      <c r="I1665" t="n">
        <v>0</v>
      </c>
      <c r="J1665" t="inlineStr">
        <is>
          <t>PEN</t>
        </is>
      </c>
      <c r="K1665" t="inlineStr">
        <is>
          <t>Perú julio 2026: movimientos ordinarios de Mov_Mensuales; PEN/USD 3.405 y USD/PEN 0.293686 provisionales. Otros ingresos acumulados del proyecto especial excluidos.</t>
        </is>
      </c>
      <c r="L1665" t="inlineStr">
        <is>
          <t>Internacional</t>
        </is>
      </c>
      <c r="M1665" t="inlineStr">
        <is>
          <t>Finanzas</t>
        </is>
      </c>
      <c r="N1665" t="inlineStr">
        <is>
          <t>Mensual</t>
        </is>
      </c>
    </row>
    <row r="1666">
      <c r="A1666" t="inlineStr">
        <is>
          <t>2026-07</t>
        </is>
      </c>
      <c r="B1666" t="inlineStr">
        <is>
          <t>Perú</t>
        </is>
      </c>
      <c r="C1666" t="inlineStr">
        <is>
          <t>Coco Peru</t>
        </is>
      </c>
      <c r="D1666" t="inlineStr">
        <is>
          <t>USD</t>
        </is>
      </c>
      <c r="E1666" t="inlineStr">
        <is>
          <t>Real</t>
        </is>
      </c>
      <c r="F1666" t="inlineStr">
        <is>
          <t>pyg_gasto_proyectos</t>
        </is>
      </c>
      <c r="G1666" t="inlineStr">
        <is>
          <t>Consolidación USD</t>
        </is>
      </c>
      <c r="I1666" t="n">
        <v>0</v>
      </c>
      <c r="J1666" t="inlineStr">
        <is>
          <t>USD</t>
        </is>
      </c>
      <c r="K1666" t="inlineStr">
        <is>
          <t>Julio 2026 corregido desde EF Peru.zip (27-ago-2026): el archivo anterior era un reexporte de junio. Convertido a 3,400 PEN/USD (BCRP promedio mensual).</t>
        </is>
      </c>
      <c r="L1666" t="inlineStr">
        <is>
          <t>Internacional</t>
        </is>
      </c>
      <c r="M1666" t="inlineStr">
        <is>
          <t>Finanzas</t>
        </is>
      </c>
      <c r="N1666" t="inlineStr">
        <is>
          <t>Mensual</t>
        </is>
      </c>
    </row>
    <row r="1667">
      <c r="A1667" t="inlineStr">
        <is>
          <t>2026-07</t>
        </is>
      </c>
      <c r="B1667" t="inlineStr">
        <is>
          <t>Perú</t>
        </is>
      </c>
      <c r="C1667" t="inlineStr">
        <is>
          <t>Coco Perú</t>
        </is>
      </c>
      <c r="D1667" t="inlineStr">
        <is>
          <t>PEN</t>
        </is>
      </c>
      <c r="E1667" t="inlineStr">
        <is>
          <t>Real</t>
        </is>
      </c>
      <c r="F1667" t="inlineStr">
        <is>
          <t>pyg_gastos_financieros</t>
        </is>
      </c>
      <c r="G1667" t="inlineStr">
        <is>
          <t>Moneda origen PEN - operación ordinaria</t>
        </is>
      </c>
      <c r="I1667" t="n">
        <v>314.15</v>
      </c>
      <c r="J1667" t="inlineStr">
        <is>
          <t>PEN</t>
        </is>
      </c>
      <c r="K1667" t="inlineStr">
        <is>
          <t>Perú julio 2026: movimientos ordinarios de Mov_Mensuales; PEN/USD 3.405 y USD/PEN 0.293686 provisionales. Otros ingresos acumulados del proyecto especial excluidos.</t>
        </is>
      </c>
      <c r="L1667" t="inlineStr">
        <is>
          <t>Internacional</t>
        </is>
      </c>
      <c r="M1667" t="inlineStr">
        <is>
          <t>Finanzas</t>
        </is>
      </c>
      <c r="N1667" t="inlineStr">
        <is>
          <t>Mensual</t>
        </is>
      </c>
    </row>
    <row r="1668">
      <c r="A1668" t="inlineStr">
        <is>
          <t>2026-07</t>
        </is>
      </c>
      <c r="B1668" t="inlineStr">
        <is>
          <t>Perú</t>
        </is>
      </c>
      <c r="C1668" t="inlineStr">
        <is>
          <t>Coco Peru</t>
        </is>
      </c>
      <c r="D1668" t="inlineStr">
        <is>
          <t>USD</t>
        </is>
      </c>
      <c r="E1668" t="inlineStr">
        <is>
          <t>Real</t>
        </is>
      </c>
      <c r="F1668" t="inlineStr">
        <is>
          <t>pyg_gastos_financieros</t>
        </is>
      </c>
      <c r="G1668" t="inlineStr">
        <is>
          <t>Consolidación USD</t>
        </is>
      </c>
      <c r="I1668" t="n">
        <v>27.29</v>
      </c>
      <c r="J1668" t="inlineStr">
        <is>
          <t>USD</t>
        </is>
      </c>
      <c r="K1668" t="inlineStr">
        <is>
          <t>Julio 2026 corregido desde EF Peru.zip (27-ago-2026): el archivo anterior era un reexporte de junio. Convertido a 3,400 PEN/USD (BCRP promedio mensual).</t>
        </is>
      </c>
      <c r="L1668" t="inlineStr">
        <is>
          <t>Internacional</t>
        </is>
      </c>
      <c r="M1668" t="inlineStr">
        <is>
          <t>Finanzas</t>
        </is>
      </c>
      <c r="N1668" t="inlineStr">
        <is>
          <t>Mensual</t>
        </is>
      </c>
    </row>
    <row r="1669">
      <c r="A1669" t="inlineStr">
        <is>
          <t>2026-07</t>
        </is>
      </c>
      <c r="B1669" t="inlineStr">
        <is>
          <t>Perú</t>
        </is>
      </c>
      <c r="C1669" t="inlineStr">
        <is>
          <t>Coco Perú</t>
        </is>
      </c>
      <c r="D1669" t="inlineStr">
        <is>
          <t>PEN</t>
        </is>
      </c>
      <c r="E1669" t="inlineStr">
        <is>
          <t>Real</t>
        </is>
      </c>
      <c r="F1669" t="inlineStr">
        <is>
          <t>pyg_utilidad_bruta</t>
        </is>
      </c>
      <c r="G1669" t="inlineStr">
        <is>
          <t>Moneda origen PEN - operación ordinaria</t>
        </is>
      </c>
      <c r="I1669" t="n">
        <v>6202.25</v>
      </c>
      <c r="J1669" t="inlineStr">
        <is>
          <t>PEN</t>
        </is>
      </c>
      <c r="K1669" t="inlineStr">
        <is>
          <t>Perú julio 2026: movimientos ordinarios de Mov_Mensuales; PEN/USD 3.405 y USD/PEN 0.293686 provisionales. Otros ingresos acumulados del proyecto especial excluidos.</t>
        </is>
      </c>
      <c r="L1669" t="inlineStr">
        <is>
          <t>Internacional</t>
        </is>
      </c>
      <c r="M1669" t="inlineStr">
        <is>
          <t>Finanzas</t>
        </is>
      </c>
      <c r="N1669" t="inlineStr">
        <is>
          <t>Mensual</t>
        </is>
      </c>
    </row>
    <row r="1670">
      <c r="A1670" t="inlineStr">
        <is>
          <t>2026-07</t>
        </is>
      </c>
      <c r="B1670" t="inlineStr">
        <is>
          <t>Perú</t>
        </is>
      </c>
      <c r="C1670" t="inlineStr">
        <is>
          <t>Coco Perú</t>
        </is>
      </c>
      <c r="D1670" t="inlineStr">
        <is>
          <t>USD</t>
        </is>
      </c>
      <c r="E1670" t="inlineStr">
        <is>
          <t>Real</t>
        </is>
      </c>
      <c r="F1670" t="inlineStr">
        <is>
          <t>pyg_utilidad_bruta</t>
        </is>
      </c>
      <c r="G1670" t="inlineStr">
        <is>
          <t>Consolidación USD</t>
        </is>
      </c>
      <c r="I1670" t="n">
        <v>2797.46</v>
      </c>
      <c r="J1670" t="inlineStr">
        <is>
          <t>USD</t>
        </is>
      </c>
      <c r="K1670" t="inlineStr">
        <is>
          <t>Julio 2026 corregido desde EF Peru.zip (27-ago-2026): el archivo anterior era un reexporte de junio. Convertido a 3,400 PEN/USD (BCRP promedio mensual).</t>
        </is>
      </c>
      <c r="L1670" t="inlineStr">
        <is>
          <t>Internacional</t>
        </is>
      </c>
      <c r="M1670" t="inlineStr">
        <is>
          <t>Finanzas</t>
        </is>
      </c>
      <c r="N1670" t="inlineStr">
        <is>
          <t>Mensual</t>
        </is>
      </c>
    </row>
    <row r="1671">
      <c r="A1671" t="inlineStr">
        <is>
          <t>2026-07</t>
        </is>
      </c>
      <c r="B1671" t="inlineStr">
        <is>
          <t>Perú</t>
        </is>
      </c>
      <c r="C1671" t="inlineStr">
        <is>
          <t>Coco Perú</t>
        </is>
      </c>
      <c r="D1671" t="inlineStr">
        <is>
          <t>PEN</t>
        </is>
      </c>
      <c r="E1671" t="inlineStr">
        <is>
          <t>Real</t>
        </is>
      </c>
      <c r="F1671" t="inlineStr">
        <is>
          <t>pyg_utilidad_operativa</t>
        </is>
      </c>
      <c r="G1671" t="inlineStr">
        <is>
          <t>Moneda origen PEN - operación ordinaria</t>
        </is>
      </c>
      <c r="I1671" t="n">
        <v>-5894.06</v>
      </c>
      <c r="J1671" t="inlineStr">
        <is>
          <t>PEN</t>
        </is>
      </c>
      <c r="K1671" t="inlineStr">
        <is>
          <t>Perú julio 2026: movimientos ordinarios de Mov_Mensuales; PEN/USD 3.405 y USD/PEN 0.293686 provisionales. Otros ingresos acumulados del proyecto especial excluidos.</t>
        </is>
      </c>
      <c r="L1671" t="inlineStr">
        <is>
          <t>Internacional</t>
        </is>
      </c>
      <c r="M1671" t="inlineStr">
        <is>
          <t>Finanzas</t>
        </is>
      </c>
      <c r="N1671" t="inlineStr">
        <is>
          <t>Mensual</t>
        </is>
      </c>
    </row>
    <row r="1672">
      <c r="A1672" t="inlineStr">
        <is>
          <t>2026-07</t>
        </is>
      </c>
      <c r="B1672" t="inlineStr">
        <is>
          <t>Perú</t>
        </is>
      </c>
      <c r="C1672" t="inlineStr">
        <is>
          <t>Coco Perú</t>
        </is>
      </c>
      <c r="D1672" t="inlineStr">
        <is>
          <t>USD</t>
        </is>
      </c>
      <c r="E1672" t="inlineStr">
        <is>
          <t>Real</t>
        </is>
      </c>
      <c r="F1672" t="inlineStr">
        <is>
          <t>pyg_utilidad_operativa</t>
        </is>
      </c>
      <c r="G1672" t="inlineStr">
        <is>
          <t>Consolidación USD</t>
        </is>
      </c>
      <c r="I1672" t="n">
        <v>-883.13</v>
      </c>
      <c r="J1672" t="inlineStr">
        <is>
          <t>USD</t>
        </is>
      </c>
      <c r="K1672" t="inlineStr">
        <is>
          <t>Julio 2026 corregido desde EF Peru.zip (27-ago-2026): el archivo anterior era un reexporte de junio. Convertido a 3,400 PEN/USD (BCRP promedio mensual).</t>
        </is>
      </c>
      <c r="L1672" t="inlineStr">
        <is>
          <t>Internacional</t>
        </is>
      </c>
      <c r="M1672" t="inlineStr">
        <is>
          <t>Finanzas</t>
        </is>
      </c>
      <c r="N1672" t="inlineStr">
        <is>
          <t>Mensual</t>
        </is>
      </c>
    </row>
    <row r="1673">
      <c r="A1673" t="inlineStr">
        <is>
          <t>2026-07</t>
        </is>
      </c>
      <c r="B1673" t="inlineStr">
        <is>
          <t>Perú</t>
        </is>
      </c>
      <c r="C1673" t="inlineStr">
        <is>
          <t>Coco Perú</t>
        </is>
      </c>
      <c r="D1673" t="inlineStr">
        <is>
          <t>PEN</t>
        </is>
      </c>
      <c r="E1673" t="inlineStr">
        <is>
          <t>Real</t>
        </is>
      </c>
      <c r="F1673" t="inlineStr">
        <is>
          <t>pyg_utilidad_neta</t>
        </is>
      </c>
      <c r="G1673" t="inlineStr">
        <is>
          <t>Moneda origen PEN - operación ordinaria</t>
        </is>
      </c>
      <c r="I1673" t="n">
        <v>-6208.21</v>
      </c>
      <c r="J1673" t="inlineStr">
        <is>
          <t>PEN</t>
        </is>
      </c>
      <c r="K1673" t="inlineStr">
        <is>
          <t>Perú julio 2026: movimientos ordinarios de Mov_Mensuales; PEN/USD 3.405 y USD/PEN 0.293686 provisionales. Otros ingresos acumulados del proyecto especial excluidos.</t>
        </is>
      </c>
      <c r="L1673" t="inlineStr">
        <is>
          <t>Internacional</t>
        </is>
      </c>
      <c r="M1673" t="inlineStr">
        <is>
          <t>Finanzas</t>
        </is>
      </c>
      <c r="N1673" t="inlineStr">
        <is>
          <t>Mensual</t>
        </is>
      </c>
    </row>
    <row r="1674">
      <c r="A1674" t="inlineStr">
        <is>
          <t>2026-07</t>
        </is>
      </c>
      <c r="B1674" t="inlineStr">
        <is>
          <t>Perú</t>
        </is>
      </c>
      <c r="C1674" t="inlineStr">
        <is>
          <t>Coco Peru</t>
        </is>
      </c>
      <c r="D1674" t="inlineStr">
        <is>
          <t>USD</t>
        </is>
      </c>
      <c r="E1674" t="inlineStr">
        <is>
          <t>Real</t>
        </is>
      </c>
      <c r="F1674" t="inlineStr">
        <is>
          <t>pyg_utilidad_neta</t>
        </is>
      </c>
      <c r="G1674" t="inlineStr">
        <is>
          <t>Consolidación USD</t>
        </is>
      </c>
      <c r="I1674" t="n">
        <v>-910.42</v>
      </c>
      <c r="J1674" t="inlineStr">
        <is>
          <t>USD</t>
        </is>
      </c>
      <c r="K1674" t="inlineStr">
        <is>
          <t>Julio 2026 corregido desde EF Peru.zip (27-ago-2026): el archivo anterior era un reexporte de junio. Convertido a 3,400 PEN/USD (BCRP promedio mensual).</t>
        </is>
      </c>
      <c r="L1674" t="inlineStr">
        <is>
          <t>Internacional</t>
        </is>
      </c>
      <c r="M1674" t="inlineStr">
        <is>
          <t>Finanzas</t>
        </is>
      </c>
      <c r="N1674" t="inlineStr">
        <is>
          <t>Mensual</t>
        </is>
      </c>
    </row>
    <row r="1675">
      <c r="A1675" t="inlineStr">
        <is>
          <t>2026-07</t>
        </is>
      </c>
      <c r="B1675" t="inlineStr">
        <is>
          <t>Consolidado</t>
        </is>
      </c>
      <c r="C1675" t="inlineStr">
        <is>
          <t>Consolidado COCO</t>
        </is>
      </c>
      <c r="D1675" t="inlineStr">
        <is>
          <t>USD</t>
        </is>
      </c>
      <c r="E1675" t="inlineStr">
        <is>
          <t>Real</t>
        </is>
      </c>
      <c r="F1675" t="inlineStr">
        <is>
          <t>pyg_servicio_software</t>
        </is>
      </c>
      <c r="G1675" t="inlineStr">
        <is>
          <t>Consolidación USD</t>
        </is>
      </c>
      <c r="I1675" t="n">
        <v>360691.46</v>
      </c>
      <c r="J1675" t="inlineStr">
        <is>
          <t>USD</t>
        </is>
      </c>
      <c r="K1675" t="inlineStr">
        <is>
          <t>Recalculado como suma de los cuatro paises tras corregir un pais del mes. Sin eliminaciones intercompania (no hay registradas).</t>
        </is>
      </c>
      <c r="L1675" t="inlineStr">
        <is>
          <t>Internacional</t>
        </is>
      </c>
      <c r="M1675" t="inlineStr">
        <is>
          <t>Finanzas</t>
        </is>
      </c>
      <c r="N1675" t="inlineStr">
        <is>
          <t>Mensual</t>
        </is>
      </c>
    </row>
    <row r="1676">
      <c r="A1676" t="inlineStr">
        <is>
          <t>2026-07</t>
        </is>
      </c>
      <c r="B1676" t="inlineStr">
        <is>
          <t>Consolidado</t>
        </is>
      </c>
      <c r="C1676" t="inlineStr">
        <is>
          <t>Consolidado COCO</t>
        </is>
      </c>
      <c r="D1676" t="inlineStr">
        <is>
          <t>USD</t>
        </is>
      </c>
      <c r="E1676" t="inlineStr">
        <is>
          <t>Real</t>
        </is>
      </c>
      <c r="F1676" t="inlineStr">
        <is>
          <t>pyg_devoluciones</t>
        </is>
      </c>
      <c r="G1676" t="inlineStr">
        <is>
          <t>Consolidación USD</t>
        </is>
      </c>
      <c r="I1676" t="n">
        <v>-9792.17</v>
      </c>
      <c r="J1676" t="inlineStr">
        <is>
          <t>USD</t>
        </is>
      </c>
      <c r="K1676" t="inlineStr">
        <is>
          <t>Recalculado: suma Colombia (TRM 3268.95) + EE.UU. + Peru + Costa Rica.</t>
        </is>
      </c>
      <c r="L1676" t="inlineStr">
        <is>
          <t>Internacional</t>
        </is>
      </c>
      <c r="M1676" t="inlineStr">
        <is>
          <t>Finanzas</t>
        </is>
      </c>
      <c r="N1676" t="inlineStr">
        <is>
          <t>Mensual</t>
        </is>
      </c>
    </row>
    <row r="1677">
      <c r="A1677" t="inlineStr">
        <is>
          <t>2026-07</t>
        </is>
      </c>
      <c r="B1677" t="inlineStr">
        <is>
          <t>Consolidado</t>
        </is>
      </c>
      <c r="C1677" t="inlineStr">
        <is>
          <t>COCO Tecnologias</t>
        </is>
      </c>
      <c r="D1677" t="inlineStr">
        <is>
          <t>USD</t>
        </is>
      </c>
      <c r="E1677" t="inlineStr">
        <is>
          <t>Real</t>
        </is>
      </c>
      <c r="F1677" t="inlineStr">
        <is>
          <t>pyg_ingresos_operacionales</t>
        </is>
      </c>
      <c r="G1677" t="inlineStr">
        <is>
          <t>Consolidación USD</t>
        </is>
      </c>
      <c r="I1677" t="n">
        <v>350899.29</v>
      </c>
      <c r="J1677" t="inlineStr">
        <is>
          <t>USD</t>
        </is>
      </c>
      <c r="K1677" t="inlineStr">
        <is>
          <t>Recalculado como suma de los cuatro paises tras corregir un pais del mes. Sin eliminaciones intercompania (no hay registradas).</t>
        </is>
      </c>
      <c r="L1677" t="inlineStr">
        <is>
          <t>Internacional</t>
        </is>
      </c>
      <c r="M1677" t="inlineStr">
        <is>
          <t>Finanzas</t>
        </is>
      </c>
      <c r="N1677" t="inlineStr">
        <is>
          <t>Mensual</t>
        </is>
      </c>
    </row>
    <row r="1678">
      <c r="A1678" t="inlineStr">
        <is>
          <t>2026-07</t>
        </is>
      </c>
      <c r="B1678" t="inlineStr">
        <is>
          <t>Consolidado</t>
        </is>
      </c>
      <c r="C1678" t="inlineStr">
        <is>
          <t>COCO Tecnologias</t>
        </is>
      </c>
      <c r="D1678" t="inlineStr">
        <is>
          <t>USD</t>
        </is>
      </c>
      <c r="E1678" t="inlineStr">
        <is>
          <t>Real</t>
        </is>
      </c>
      <c r="F1678" t="inlineStr">
        <is>
          <t>pyg_costo_ventas</t>
        </is>
      </c>
      <c r="G1678" t="inlineStr">
        <is>
          <t>Consolidación USD</t>
        </is>
      </c>
      <c r="I1678" t="n">
        <v>98477.44</v>
      </c>
      <c r="J1678" t="inlineStr">
        <is>
          <t>USD</t>
        </is>
      </c>
      <c r="K1678" t="inlineStr">
        <is>
          <t>Recalculado: suma Colombia (TRM 3268.95) + EE.UU. + Peru + Costa Rica.</t>
        </is>
      </c>
      <c r="L1678" t="inlineStr">
        <is>
          <t>Internacional</t>
        </is>
      </c>
      <c r="M1678" t="inlineStr">
        <is>
          <t>Finanzas</t>
        </is>
      </c>
      <c r="N1678" t="inlineStr">
        <is>
          <t>Mensual</t>
        </is>
      </c>
    </row>
    <row r="1679">
      <c r="A1679" t="inlineStr">
        <is>
          <t>2026-07</t>
        </is>
      </c>
      <c r="B1679" t="inlineStr">
        <is>
          <t>Consolidado</t>
        </is>
      </c>
      <c r="C1679" t="inlineStr">
        <is>
          <t>Consolidado COCO</t>
        </is>
      </c>
      <c r="D1679" t="inlineStr">
        <is>
          <t>USD</t>
        </is>
      </c>
      <c r="E1679" t="inlineStr">
        <is>
          <t>Real</t>
        </is>
      </c>
      <c r="F1679" t="inlineStr">
        <is>
          <t>pyg_utilidad_bruta</t>
        </is>
      </c>
      <c r="G1679" t="inlineStr">
        <is>
          <t>Consolidación USD</t>
        </is>
      </c>
      <c r="I1679" t="n">
        <v>252421.85</v>
      </c>
      <c r="J1679" t="inlineStr">
        <is>
          <t>USD</t>
        </is>
      </c>
      <c r="K1679" t="inlineStr">
        <is>
          <t>Recalculado como suma de los cuatro paises tras corregir un pais del mes. Sin eliminaciones intercompania (no hay registradas).</t>
        </is>
      </c>
      <c r="L1679" t="inlineStr">
        <is>
          <t>Internacional</t>
        </is>
      </c>
      <c r="M1679" t="inlineStr">
        <is>
          <t>Finanzas</t>
        </is>
      </c>
      <c r="N1679" t="inlineStr">
        <is>
          <t>Mensual</t>
        </is>
      </c>
    </row>
    <row r="1680">
      <c r="A1680" t="inlineStr">
        <is>
          <t>2026-07</t>
        </is>
      </c>
      <c r="B1680" t="inlineStr">
        <is>
          <t>Consolidado</t>
        </is>
      </c>
      <c r="C1680" t="inlineStr">
        <is>
          <t>COCO Tecnologias</t>
        </is>
      </c>
      <c r="D1680" t="inlineStr">
        <is>
          <t>USD</t>
        </is>
      </c>
      <c r="E1680" t="inlineStr">
        <is>
          <t>Real</t>
        </is>
      </c>
      <c r="F1680" t="inlineStr">
        <is>
          <t>pyg_gasto_administracion</t>
        </is>
      </c>
      <c r="G1680" t="inlineStr">
        <is>
          <t>Consolidación USD</t>
        </is>
      </c>
      <c r="I1680" t="n">
        <v>40319.9</v>
      </c>
      <c r="J1680" t="inlineStr">
        <is>
          <t>USD</t>
        </is>
      </c>
      <c r="K1680" t="inlineStr">
        <is>
          <t>Recalculado como suma de los cuatro paises tras corregir un pais del mes. Sin eliminaciones intercompania (no hay registradas).</t>
        </is>
      </c>
      <c r="L1680" t="inlineStr">
        <is>
          <t>Internacional</t>
        </is>
      </c>
      <c r="M1680" t="inlineStr">
        <is>
          <t>Finanzas</t>
        </is>
      </c>
      <c r="N1680" t="inlineStr">
        <is>
          <t>Mensual</t>
        </is>
      </c>
    </row>
    <row r="1681">
      <c r="A1681" t="inlineStr">
        <is>
          <t>2026-07</t>
        </is>
      </c>
      <c r="B1681" t="inlineStr">
        <is>
          <t>Consolidado</t>
        </is>
      </c>
      <c r="C1681" t="inlineStr">
        <is>
          <t>COCO Tecnologias</t>
        </is>
      </c>
      <c r="D1681" t="inlineStr">
        <is>
          <t>USD</t>
        </is>
      </c>
      <c r="E1681" t="inlineStr">
        <is>
          <t>Real</t>
        </is>
      </c>
      <c r="F1681" t="inlineStr">
        <is>
          <t>pyg_gasto_proyectos</t>
        </is>
      </c>
      <c r="G1681" t="inlineStr">
        <is>
          <t>Consolidación USD</t>
        </is>
      </c>
      <c r="I1681" t="n">
        <v>31489.12</v>
      </c>
      <c r="J1681" t="inlineStr">
        <is>
          <t>USD</t>
        </is>
      </c>
      <c r="K1681" t="inlineStr">
        <is>
          <t>Recalculado: suma Colombia (TRM 3268.95) + EE.UU. + Peru + Costa Rica.</t>
        </is>
      </c>
      <c r="L1681" t="inlineStr">
        <is>
          <t>Internacional</t>
        </is>
      </c>
      <c r="M1681" t="inlineStr">
        <is>
          <t>Finanzas</t>
        </is>
      </c>
      <c r="N1681" t="inlineStr">
        <is>
          <t>Mensual</t>
        </is>
      </c>
    </row>
    <row r="1682">
      <c r="A1682" t="inlineStr">
        <is>
          <t>2026-07</t>
        </is>
      </c>
      <c r="B1682" t="inlineStr">
        <is>
          <t>Consolidado</t>
        </is>
      </c>
      <c r="C1682" t="inlineStr">
        <is>
          <t>COCO Tecnologias</t>
        </is>
      </c>
      <c r="D1682" t="inlineStr">
        <is>
          <t>USD</t>
        </is>
      </c>
      <c r="E1682" t="inlineStr">
        <is>
          <t>Real</t>
        </is>
      </c>
      <c r="F1682" t="inlineStr">
        <is>
          <t>pyg_gasto_ventas</t>
        </is>
      </c>
      <c r="G1682" t="inlineStr">
        <is>
          <t>Consolidación USD</t>
        </is>
      </c>
      <c r="I1682" t="n">
        <v>47451.12</v>
      </c>
      <c r="J1682" t="inlineStr">
        <is>
          <t>USD</t>
        </is>
      </c>
      <c r="K1682" t="inlineStr">
        <is>
          <t>Recalculado como suma de los cuatro paises tras corregir un pais del mes. Sin eliminaciones intercompania (no hay registradas).</t>
        </is>
      </c>
      <c r="L1682" t="inlineStr">
        <is>
          <t>Internacional</t>
        </is>
      </c>
      <c r="M1682" t="inlineStr">
        <is>
          <t>Finanzas</t>
        </is>
      </c>
      <c r="N1682" t="inlineStr">
        <is>
          <t>Mensual</t>
        </is>
      </c>
    </row>
    <row r="1683">
      <c r="A1683" t="inlineStr">
        <is>
          <t>2026-07</t>
        </is>
      </c>
      <c r="B1683" t="inlineStr">
        <is>
          <t>Consolidado</t>
        </is>
      </c>
      <c r="C1683" t="inlineStr">
        <is>
          <t>Consolidado COCO</t>
        </is>
      </c>
      <c r="D1683" t="inlineStr">
        <is>
          <t>USD</t>
        </is>
      </c>
      <c r="E1683" t="inlineStr">
        <is>
          <t>Real</t>
        </is>
      </c>
      <c r="F1683" t="inlineStr">
        <is>
          <t>pyg_utilidad_operativa</t>
        </is>
      </c>
      <c r="G1683" t="inlineStr">
        <is>
          <t>Consolidación USD</t>
        </is>
      </c>
      <c r="I1683" t="n">
        <v>133161.71</v>
      </c>
      <c r="J1683" t="inlineStr">
        <is>
          <t>USD</t>
        </is>
      </c>
      <c r="K1683" t="inlineStr">
        <is>
          <t>Recalculado como suma de los cuatro paises tras corregir un pais del mes. Sin eliminaciones intercompania (no hay registradas).</t>
        </is>
      </c>
      <c r="L1683" t="inlineStr">
        <is>
          <t>Internacional</t>
        </is>
      </c>
      <c r="M1683" t="inlineStr">
        <is>
          <t>Finanzas</t>
        </is>
      </c>
      <c r="N1683" t="inlineStr">
        <is>
          <t>Mensual</t>
        </is>
      </c>
    </row>
    <row r="1684">
      <c r="A1684" t="inlineStr">
        <is>
          <t>2026-07</t>
        </is>
      </c>
      <c r="B1684" t="inlineStr">
        <is>
          <t>Consolidado</t>
        </is>
      </c>
      <c r="C1684" t="inlineStr">
        <is>
          <t>COCO Tecnologias</t>
        </is>
      </c>
      <c r="D1684" t="inlineStr">
        <is>
          <t>USD</t>
        </is>
      </c>
      <c r="E1684" t="inlineStr">
        <is>
          <t>Real</t>
        </is>
      </c>
      <c r="F1684" t="inlineStr">
        <is>
          <t>pyg_ingresos_no_operacionales</t>
        </is>
      </c>
      <c r="G1684" t="inlineStr">
        <is>
          <t>Consolidación USD</t>
        </is>
      </c>
      <c r="I1684" t="n">
        <v>230.5</v>
      </c>
      <c r="J1684" t="inlineStr">
        <is>
          <t>USD</t>
        </is>
      </c>
      <c r="K1684" t="inlineStr">
        <is>
          <t>Recalculado: suma Colombia (TRM 3268.95) + EE.UU. + Peru + Costa Rica.</t>
        </is>
      </c>
      <c r="L1684" t="inlineStr">
        <is>
          <t>Internacional</t>
        </is>
      </c>
      <c r="M1684" t="inlineStr">
        <is>
          <t>Finanzas</t>
        </is>
      </c>
      <c r="N1684" t="inlineStr">
        <is>
          <t>Mensual</t>
        </is>
      </c>
    </row>
    <row r="1685">
      <c r="A1685" t="inlineStr">
        <is>
          <t>2026-07</t>
        </is>
      </c>
      <c r="B1685" t="inlineStr">
        <is>
          <t>Consolidado</t>
        </is>
      </c>
      <c r="C1685" t="inlineStr">
        <is>
          <t>COCO Tecnologias</t>
        </is>
      </c>
      <c r="D1685" t="inlineStr">
        <is>
          <t>USD</t>
        </is>
      </c>
      <c r="E1685" t="inlineStr">
        <is>
          <t>Real</t>
        </is>
      </c>
      <c r="F1685" t="inlineStr">
        <is>
          <t>pyg_gastos_financieros</t>
        </is>
      </c>
      <c r="G1685" t="inlineStr">
        <is>
          <t>Consolidación USD</t>
        </is>
      </c>
      <c r="I1685" t="n">
        <v>1829.29</v>
      </c>
      <c r="J1685" t="inlineStr">
        <is>
          <t>USD</t>
        </is>
      </c>
      <c r="K1685" t="inlineStr">
        <is>
          <t>Recalculado como suma de los cuatro paises tras corregir un pais del mes. Sin eliminaciones intercompania (no hay registradas).</t>
        </is>
      </c>
      <c r="L1685" t="inlineStr">
        <is>
          <t>Internacional</t>
        </is>
      </c>
      <c r="M1685" t="inlineStr">
        <is>
          <t>Finanzas</t>
        </is>
      </c>
      <c r="N1685" t="inlineStr">
        <is>
          <t>Mensual</t>
        </is>
      </c>
    </row>
    <row r="1686">
      <c r="A1686" t="inlineStr">
        <is>
          <t>2026-07</t>
        </is>
      </c>
      <c r="B1686" t="inlineStr">
        <is>
          <t>Consolidado</t>
        </is>
      </c>
      <c r="C1686" t="inlineStr">
        <is>
          <t>COCO Tecnologias</t>
        </is>
      </c>
      <c r="D1686" t="inlineStr">
        <is>
          <t>USD</t>
        </is>
      </c>
      <c r="E1686" t="inlineStr">
        <is>
          <t>Real</t>
        </is>
      </c>
      <c r="F1686" t="inlineStr">
        <is>
          <t>pyg_utilidad_neta</t>
        </is>
      </c>
      <c r="G1686" t="inlineStr">
        <is>
          <t>Consolidación USD</t>
        </is>
      </c>
      <c r="I1686" t="n">
        <v>131562.92</v>
      </c>
      <c r="J1686" t="inlineStr">
        <is>
          <t>USD</t>
        </is>
      </c>
      <c r="K1686" t="inlineStr">
        <is>
          <t>Recalculado como suma de los cuatro paises tras corregir un pais del mes. Sin eliminaciones intercompania (no hay registradas).</t>
        </is>
      </c>
      <c r="L1686" t="inlineStr">
        <is>
          <t>Internacional</t>
        </is>
      </c>
      <c r="M1686" t="inlineStr">
        <is>
          <t>Finanzas</t>
        </is>
      </c>
      <c r="N1686" t="inlineStr">
        <is>
          <t>Mensual</t>
        </is>
      </c>
    </row>
    <row r="1687">
      <c r="A1687" t="inlineStr">
        <is>
          <t>2026-07</t>
        </is>
      </c>
      <c r="B1687" t="inlineStr">
        <is>
          <t>Costa Rica</t>
        </is>
      </c>
      <c r="C1687" t="inlineStr">
        <is>
          <t>Coco Costa Rica</t>
        </is>
      </c>
      <c r="D1687" t="inlineStr">
        <is>
          <t>USD</t>
        </is>
      </c>
      <c r="E1687" t="inlineStr">
        <is>
          <t>Real</t>
        </is>
      </c>
      <c r="F1687" t="inlineStr">
        <is>
          <t>pyg_servicio_software</t>
        </is>
      </c>
      <c r="G1687" t="inlineStr">
        <is>
          <t>Consolidación USD</t>
        </is>
      </c>
      <c r="I1687" t="n">
        <v>134104</v>
      </c>
      <c r="J1687" t="inlineStr">
        <is>
          <t>USD</t>
        </is>
      </c>
      <c r="K1687" t="inlineStr">
        <is>
          <t>Julio 2026 CR.xlsx ? movimiento mensual del auxiliar: ingresos por cr?ditos y gastos por d?bitos; moneda fuente USD.</t>
        </is>
      </c>
      <c r="L1687" t="inlineStr">
        <is>
          <t>Internacional</t>
        </is>
      </c>
      <c r="M1687" t="inlineStr">
        <is>
          <t>Finanzas</t>
        </is>
      </c>
      <c r="N1687" t="inlineStr">
        <is>
          <t>Mensual</t>
        </is>
      </c>
    </row>
    <row r="1688">
      <c r="A1688" t="inlineStr">
        <is>
          <t>2026-07</t>
        </is>
      </c>
      <c r="B1688" t="inlineStr">
        <is>
          <t>Costa Rica</t>
        </is>
      </c>
      <c r="C1688" t="inlineStr">
        <is>
          <t>Coco Costa Rica</t>
        </is>
      </c>
      <c r="D1688" t="inlineStr">
        <is>
          <t>USD</t>
        </is>
      </c>
      <c r="E1688" t="inlineStr">
        <is>
          <t>Real</t>
        </is>
      </c>
      <c r="F1688" t="inlineStr">
        <is>
          <t>pyg_devoluciones</t>
        </is>
      </c>
      <c r="G1688" t="inlineStr">
        <is>
          <t>Consolidación USD</t>
        </is>
      </c>
      <c r="I1688" t="n">
        <v>0</v>
      </c>
      <c r="J1688" t="inlineStr">
        <is>
          <t>USD</t>
        </is>
      </c>
      <c r="K1688" t="inlineStr">
        <is>
          <t>Julio 2026 CR.xlsx ? movimiento mensual del auxiliar: ingresos por cr?ditos y gastos por d?bitos; moneda fuente USD.</t>
        </is>
      </c>
      <c r="L1688" t="inlineStr">
        <is>
          <t>Internacional</t>
        </is>
      </c>
      <c r="M1688" t="inlineStr">
        <is>
          <t>Finanzas</t>
        </is>
      </c>
      <c r="N1688" t="inlineStr">
        <is>
          <t>Mensual</t>
        </is>
      </c>
    </row>
    <row r="1689">
      <c r="A1689" t="inlineStr">
        <is>
          <t>2026-07</t>
        </is>
      </c>
      <c r="B1689" t="inlineStr">
        <is>
          <t>Costa Rica</t>
        </is>
      </c>
      <c r="C1689" t="inlineStr">
        <is>
          <t>Coco Costa Rica</t>
        </is>
      </c>
      <c r="D1689" t="inlineStr">
        <is>
          <t>USD</t>
        </is>
      </c>
      <c r="E1689" t="inlineStr">
        <is>
          <t>Real</t>
        </is>
      </c>
      <c r="F1689" t="inlineStr">
        <is>
          <t>pyg_ingresos_operacionales</t>
        </is>
      </c>
      <c r="G1689" t="inlineStr">
        <is>
          <t>Consolidación USD</t>
        </is>
      </c>
      <c r="I1689" t="n">
        <v>134104</v>
      </c>
      <c r="J1689" t="inlineStr">
        <is>
          <t>USD</t>
        </is>
      </c>
      <c r="K1689" t="inlineStr">
        <is>
          <t>Homologado desde auxiliar contable (NUEVO Julio 2026 CR.xlsx). Reemplaza fuente previa (modelo/sin dato).</t>
        </is>
      </c>
      <c r="L1689" t="inlineStr">
        <is>
          <t>Internacional</t>
        </is>
      </c>
      <c r="M1689" t="inlineStr">
        <is>
          <t>Finanzas</t>
        </is>
      </c>
      <c r="N1689" t="inlineStr">
        <is>
          <t>Mensual</t>
        </is>
      </c>
    </row>
    <row r="1690">
      <c r="A1690" t="inlineStr">
        <is>
          <t>2026-07</t>
        </is>
      </c>
      <c r="B1690" t="inlineStr">
        <is>
          <t>Costa Rica</t>
        </is>
      </c>
      <c r="C1690" t="inlineStr">
        <is>
          <t>Coco Costa Rica</t>
        </is>
      </c>
      <c r="D1690" t="inlineStr">
        <is>
          <t>USD</t>
        </is>
      </c>
      <c r="E1690" t="inlineStr">
        <is>
          <t>Real</t>
        </is>
      </c>
      <c r="F1690" t="inlineStr">
        <is>
          <t>pyg_ingresos_no_operacionales</t>
        </is>
      </c>
      <c r="G1690" t="inlineStr">
        <is>
          <t>Consolidación USD</t>
        </is>
      </c>
      <c r="I1690" t="n">
        <v>0</v>
      </c>
      <c r="J1690" t="inlineStr">
        <is>
          <t>USD</t>
        </is>
      </c>
      <c r="K1690" t="inlineStr">
        <is>
          <t>Homologado desde auxiliar contable (NUEVO Julio 2026 CR.xlsx). Reemplaza fuente previa (modelo/sin dato).</t>
        </is>
      </c>
      <c r="L1690" t="inlineStr">
        <is>
          <t>Internacional</t>
        </is>
      </c>
      <c r="M1690" t="inlineStr">
        <is>
          <t>Finanzas</t>
        </is>
      </c>
      <c r="N1690" t="inlineStr">
        <is>
          <t>Mensual</t>
        </is>
      </c>
    </row>
    <row r="1691">
      <c r="A1691" t="inlineStr">
        <is>
          <t>2026-07</t>
        </is>
      </c>
      <c r="B1691" t="inlineStr">
        <is>
          <t>Costa Rica</t>
        </is>
      </c>
      <c r="C1691" t="inlineStr">
        <is>
          <t>Coco Costa Rica</t>
        </is>
      </c>
      <c r="D1691" t="inlineStr">
        <is>
          <t>USD</t>
        </is>
      </c>
      <c r="E1691" t="inlineStr">
        <is>
          <t>Real</t>
        </is>
      </c>
      <c r="F1691" t="inlineStr">
        <is>
          <t>pyg_costo_ventas</t>
        </is>
      </c>
      <c r="G1691" t="inlineStr">
        <is>
          <t>Consolidación USD</t>
        </is>
      </c>
      <c r="I1691" t="n">
        <v>0</v>
      </c>
      <c r="J1691" t="inlineStr">
        <is>
          <t>USD</t>
        </is>
      </c>
      <c r="K1691" t="inlineStr">
        <is>
          <t>Homologado desde auxiliar contable (NUEVO Julio 2026 CR.xlsx). Reemplaza fuente previa (modelo/sin dato).</t>
        </is>
      </c>
      <c r="L1691" t="inlineStr">
        <is>
          <t>Internacional</t>
        </is>
      </c>
      <c r="M1691" t="inlineStr">
        <is>
          <t>Finanzas</t>
        </is>
      </c>
      <c r="N1691" t="inlineStr">
        <is>
          <t>Mensual</t>
        </is>
      </c>
    </row>
    <row r="1692">
      <c r="A1692" t="inlineStr">
        <is>
          <t>2026-07</t>
        </is>
      </c>
      <c r="B1692" t="inlineStr">
        <is>
          <t>Costa Rica</t>
        </is>
      </c>
      <c r="C1692" t="inlineStr">
        <is>
          <t>Coco Costa Rica</t>
        </is>
      </c>
      <c r="D1692" t="inlineStr">
        <is>
          <t>USD</t>
        </is>
      </c>
      <c r="E1692" t="inlineStr">
        <is>
          <t>Real</t>
        </is>
      </c>
      <c r="F1692" t="inlineStr">
        <is>
          <t>pyg_utilidad_bruta</t>
        </is>
      </c>
      <c r="G1692" t="inlineStr">
        <is>
          <t>Consolidación USD</t>
        </is>
      </c>
      <c r="I1692" t="n">
        <v>134104</v>
      </c>
      <c r="J1692" t="inlineStr">
        <is>
          <t>USD</t>
        </is>
      </c>
      <c r="K1692" t="inlineStr">
        <is>
          <t>Julio 2026 CR.xlsx ? movimiento mensual del auxiliar: ingresos por cr?ditos y gastos por d?bitos; moneda fuente USD.</t>
        </is>
      </c>
      <c r="L1692" t="inlineStr">
        <is>
          <t>Internacional</t>
        </is>
      </c>
      <c r="M1692" t="inlineStr">
        <is>
          <t>Finanzas</t>
        </is>
      </c>
      <c r="N1692" t="inlineStr">
        <is>
          <t>Mensual</t>
        </is>
      </c>
    </row>
    <row r="1693">
      <c r="A1693" t="inlineStr">
        <is>
          <t>2026-07</t>
        </is>
      </c>
      <c r="B1693" t="inlineStr">
        <is>
          <t>Costa Rica</t>
        </is>
      </c>
      <c r="C1693" t="inlineStr">
        <is>
          <t>Coco Costa Rica</t>
        </is>
      </c>
      <c r="D1693" t="inlineStr">
        <is>
          <t>USD</t>
        </is>
      </c>
      <c r="E1693" t="inlineStr">
        <is>
          <t>Real</t>
        </is>
      </c>
      <c r="F1693" t="inlineStr">
        <is>
          <t>pyg_gasto_administracion</t>
        </is>
      </c>
      <c r="G1693" t="inlineStr">
        <is>
          <t>Consolidación USD</t>
        </is>
      </c>
      <c r="I1693" t="n">
        <v>3046.94</v>
      </c>
      <c r="J1693" t="inlineStr">
        <is>
          <t>USD</t>
        </is>
      </c>
      <c r="K1693" t="inlineStr">
        <is>
          <t>Homologado desde auxiliar contable (NUEVO Julio 2026 CR.xlsx). Reemplaza fuente previa (modelo/sin dato).</t>
        </is>
      </c>
      <c r="L1693" t="inlineStr">
        <is>
          <t>Internacional</t>
        </is>
      </c>
      <c r="M1693" t="inlineStr">
        <is>
          <t>Finanzas</t>
        </is>
      </c>
      <c r="N1693" t="inlineStr">
        <is>
          <t>Mensual</t>
        </is>
      </c>
    </row>
    <row r="1694">
      <c r="A1694" t="inlineStr">
        <is>
          <t>2026-07</t>
        </is>
      </c>
      <c r="B1694" t="inlineStr">
        <is>
          <t>Costa Rica</t>
        </is>
      </c>
      <c r="C1694" t="inlineStr">
        <is>
          <t>Coco Costa Rica</t>
        </is>
      </c>
      <c r="D1694" t="inlineStr">
        <is>
          <t>USD</t>
        </is>
      </c>
      <c r="E1694" t="inlineStr">
        <is>
          <t>Real</t>
        </is>
      </c>
      <c r="F1694" t="inlineStr">
        <is>
          <t>pyg_gasto_ventas</t>
        </is>
      </c>
      <c r="G1694" t="inlineStr">
        <is>
          <t>Consolidación USD</t>
        </is>
      </c>
      <c r="I1694" t="n">
        <v>0</v>
      </c>
      <c r="J1694" t="inlineStr">
        <is>
          <t>USD</t>
        </is>
      </c>
      <c r="K1694" t="inlineStr">
        <is>
          <t>Homologado desde auxiliar contable (NUEVO Julio 2026 CR.xlsx). Reemplaza fuente previa (modelo/sin dato).</t>
        </is>
      </c>
      <c r="L1694" t="inlineStr">
        <is>
          <t>Internacional</t>
        </is>
      </c>
      <c r="M1694" t="inlineStr">
        <is>
          <t>Finanzas</t>
        </is>
      </c>
      <c r="N1694" t="inlineStr">
        <is>
          <t>Mensual</t>
        </is>
      </c>
    </row>
    <row r="1695">
      <c r="A1695" t="inlineStr">
        <is>
          <t>2026-07</t>
        </is>
      </c>
      <c r="B1695" t="inlineStr">
        <is>
          <t>Costa Rica</t>
        </is>
      </c>
      <c r="C1695" t="inlineStr">
        <is>
          <t>Coco Costa Rica</t>
        </is>
      </c>
      <c r="D1695" t="inlineStr">
        <is>
          <t>USD</t>
        </is>
      </c>
      <c r="E1695" t="inlineStr">
        <is>
          <t>Real</t>
        </is>
      </c>
      <c r="F1695" t="inlineStr">
        <is>
          <t>pyg_gasto_proyectos</t>
        </is>
      </c>
      <c r="G1695" t="inlineStr">
        <is>
          <t>Consolidación USD</t>
        </is>
      </c>
      <c r="I1695" t="n">
        <v>0</v>
      </c>
      <c r="J1695" t="inlineStr">
        <is>
          <t>USD</t>
        </is>
      </c>
      <c r="K1695" t="inlineStr">
        <is>
          <t>Homologado desde auxiliar contable (NUEVO Julio 2026 CR.xlsx). Reemplaza fuente previa (modelo/sin dato).</t>
        </is>
      </c>
      <c r="L1695" t="inlineStr">
        <is>
          <t>Internacional</t>
        </is>
      </c>
      <c r="M1695" t="inlineStr">
        <is>
          <t>Finanzas</t>
        </is>
      </c>
      <c r="N1695" t="inlineStr">
        <is>
          <t>Mensual</t>
        </is>
      </c>
    </row>
    <row r="1696">
      <c r="A1696" t="inlineStr">
        <is>
          <t>2026-07</t>
        </is>
      </c>
      <c r="B1696" t="inlineStr">
        <is>
          <t>Costa Rica</t>
        </is>
      </c>
      <c r="C1696" t="inlineStr">
        <is>
          <t>Coco Costa Rica</t>
        </is>
      </c>
      <c r="D1696" t="inlineStr">
        <is>
          <t>USD</t>
        </is>
      </c>
      <c r="E1696" t="inlineStr">
        <is>
          <t>Real</t>
        </is>
      </c>
      <c r="F1696" t="inlineStr">
        <is>
          <t>pyg_gastos_financieros</t>
        </is>
      </c>
      <c r="G1696" t="inlineStr">
        <is>
          <t>Consolidación USD</t>
        </is>
      </c>
      <c r="I1696" t="n">
        <v>30</v>
      </c>
      <c r="J1696" t="inlineStr">
        <is>
          <t>USD</t>
        </is>
      </c>
      <c r="K1696" t="inlineStr">
        <is>
          <t>Homologado desde auxiliar contable (NUEVO Julio 2026 CR.xlsx). Reemplaza fuente previa (modelo/sin dato).</t>
        </is>
      </c>
      <c r="L1696" t="inlineStr">
        <is>
          <t>Internacional</t>
        </is>
      </c>
      <c r="M1696" t="inlineStr">
        <is>
          <t>Finanzas</t>
        </is>
      </c>
      <c r="N1696" t="inlineStr">
        <is>
          <t>Mensual</t>
        </is>
      </c>
    </row>
    <row r="1697">
      <c r="A1697" t="inlineStr">
        <is>
          <t>2026-07</t>
        </is>
      </c>
      <c r="B1697" t="inlineStr">
        <is>
          <t>Costa Rica</t>
        </is>
      </c>
      <c r="C1697" t="inlineStr">
        <is>
          <t>Coco Costa Rica</t>
        </is>
      </c>
      <c r="D1697" t="inlineStr">
        <is>
          <t>USD</t>
        </is>
      </c>
      <c r="E1697" t="inlineStr">
        <is>
          <t>Real</t>
        </is>
      </c>
      <c r="F1697" t="inlineStr">
        <is>
          <t>pyg_utilidad_operativa</t>
        </is>
      </c>
      <c r="G1697" t="inlineStr">
        <is>
          <t>Consolidación USD</t>
        </is>
      </c>
      <c r="I1697" t="n">
        <v>131057.06</v>
      </c>
      <c r="J1697" t="inlineStr">
        <is>
          <t>USD</t>
        </is>
      </c>
      <c r="K1697" t="inlineStr">
        <is>
          <t>Julio 2026 CR.xlsx ? movimiento mensual del auxiliar: ingresos por cr?ditos y gastos por d?bitos; moneda fuente USD.</t>
        </is>
      </c>
      <c r="L1697" t="inlineStr">
        <is>
          <t>Internacional</t>
        </is>
      </c>
      <c r="M1697" t="inlineStr">
        <is>
          <t>Finanzas</t>
        </is>
      </c>
      <c r="N1697" t="inlineStr">
        <is>
          <t>Mensual</t>
        </is>
      </c>
    </row>
    <row r="1698">
      <c r="A1698" t="inlineStr">
        <is>
          <t>2026-07</t>
        </is>
      </c>
      <c r="B1698" t="inlineStr">
        <is>
          <t>Costa Rica</t>
        </is>
      </c>
      <c r="C1698" t="inlineStr">
        <is>
          <t>Coco Costa Rica</t>
        </is>
      </c>
      <c r="D1698" t="inlineStr">
        <is>
          <t>USD</t>
        </is>
      </c>
      <c r="E1698" t="inlineStr">
        <is>
          <t>Real</t>
        </is>
      </c>
      <c r="F1698" t="inlineStr">
        <is>
          <t>pyg_utilidad_neta</t>
        </is>
      </c>
      <c r="G1698" t="inlineStr">
        <is>
          <t>Consolidación USD</t>
        </is>
      </c>
      <c r="I1698" t="n">
        <v>131027.06</v>
      </c>
      <c r="J1698" t="inlineStr">
        <is>
          <t>USD</t>
        </is>
      </c>
      <c r="K1698" t="inlineStr">
        <is>
          <t>Homologado desde auxiliar contable (NUEVO Julio 2026 CR.xlsx). Reemplaza fuente previa (modelo/sin dato).</t>
        </is>
      </c>
      <c r="L1698" t="inlineStr">
        <is>
          <t>Internacional</t>
        </is>
      </c>
      <c r="M1698" t="inlineStr">
        <is>
          <t>Finanzas</t>
        </is>
      </c>
      <c r="N1698" t="inlineStr">
        <is>
          <t>Mensual</t>
        </is>
      </c>
    </row>
    <row r="1699">
      <c r="A1699" t="inlineStr">
        <is>
          <t>2026-01</t>
        </is>
      </c>
      <c r="B1699" t="inlineStr">
        <is>
          <t>EE.UU.</t>
        </is>
      </c>
      <c r="C1699" t="inlineStr">
        <is>
          <t>Coco LLC</t>
        </is>
      </c>
      <c r="D1699" t="inlineStr">
        <is>
          <t>USD</t>
        </is>
      </c>
      <c r="E1699" t="inlineStr">
        <is>
          <t>Real</t>
        </is>
      </c>
      <c r="F1699" t="inlineStr">
        <is>
          <t>pyg_ingresos_operacionales</t>
        </is>
      </c>
      <c r="G1699" t="inlineStr">
        <is>
          <t>Consolidación USD</t>
        </is>
      </c>
      <c r="I1699" t="n">
        <v>3498.8</v>
      </c>
      <c r="J1699" t="inlineStr">
        <is>
          <t>USD</t>
        </is>
      </c>
      <c r="K1699" t="inlineStr">
        <is>
          <t>Homologado desde auxiliar contable (Enero 2026 USA.xlsx). Reemplaza fuente previa (modelo/sin dato).</t>
        </is>
      </c>
      <c r="L1699" t="inlineStr">
        <is>
          <t>Internacional</t>
        </is>
      </c>
      <c r="M1699" t="inlineStr">
        <is>
          <t>Finanzas</t>
        </is>
      </c>
      <c r="N1699" t="inlineStr">
        <is>
          <t>Mensual</t>
        </is>
      </c>
    </row>
    <row r="1700">
      <c r="A1700" t="inlineStr">
        <is>
          <t>2026-01</t>
        </is>
      </c>
      <c r="B1700" t="inlineStr">
        <is>
          <t>EE.UU.</t>
        </is>
      </c>
      <c r="C1700" t="inlineStr">
        <is>
          <t>Coco LLC</t>
        </is>
      </c>
      <c r="D1700" t="inlineStr">
        <is>
          <t>USD</t>
        </is>
      </c>
      <c r="E1700" t="inlineStr">
        <is>
          <t>Real</t>
        </is>
      </c>
      <c r="F1700" t="inlineStr">
        <is>
          <t>pyg_ingresos_no_operacionales</t>
        </is>
      </c>
      <c r="G1700" t="inlineStr">
        <is>
          <t>Consolidación USD</t>
        </is>
      </c>
      <c r="I1700" t="n">
        <v>124.57</v>
      </c>
      <c r="J1700" t="inlineStr">
        <is>
          <t>USD</t>
        </is>
      </c>
      <c r="K1700" t="inlineStr">
        <is>
          <t>Homologado desde auxiliar contable (Enero 2026 USA.xlsx). Reemplaza fuente previa (modelo/sin dato).</t>
        </is>
      </c>
      <c r="L1700" t="inlineStr">
        <is>
          <t>Internacional</t>
        </is>
      </c>
      <c r="M1700" t="inlineStr">
        <is>
          <t>Finanzas</t>
        </is>
      </c>
      <c r="N1700" t="inlineStr">
        <is>
          <t>Mensual</t>
        </is>
      </c>
    </row>
    <row r="1701">
      <c r="A1701" t="inlineStr">
        <is>
          <t>2026-01</t>
        </is>
      </c>
      <c r="B1701" t="inlineStr">
        <is>
          <t>EE.UU.</t>
        </is>
      </c>
      <c r="C1701" t="inlineStr">
        <is>
          <t>Coco LLC</t>
        </is>
      </c>
      <c r="D1701" t="inlineStr">
        <is>
          <t>USD</t>
        </is>
      </c>
      <c r="E1701" t="inlineStr">
        <is>
          <t>Real</t>
        </is>
      </c>
      <c r="F1701" t="inlineStr">
        <is>
          <t>pyg_costo_ventas</t>
        </is>
      </c>
      <c r="G1701" t="inlineStr">
        <is>
          <t>Consolidación USD</t>
        </is>
      </c>
      <c r="I1701" t="n">
        <v>0</v>
      </c>
      <c r="J1701" t="inlineStr">
        <is>
          <t>USD</t>
        </is>
      </c>
      <c r="K1701" t="inlineStr">
        <is>
          <t>Homologado desde auxiliar contable (Enero 2026 USA.xlsx). Reemplaza fuente previa (modelo/sin dato).</t>
        </is>
      </c>
      <c r="L1701" t="inlineStr">
        <is>
          <t>Internacional</t>
        </is>
      </c>
      <c r="M1701" t="inlineStr">
        <is>
          <t>Finanzas</t>
        </is>
      </c>
      <c r="N1701" t="inlineStr">
        <is>
          <t>Mensual</t>
        </is>
      </c>
    </row>
    <row r="1702">
      <c r="A1702" t="inlineStr">
        <is>
          <t>2026-01</t>
        </is>
      </c>
      <c r="B1702" t="inlineStr">
        <is>
          <t>EE.UU.</t>
        </is>
      </c>
      <c r="C1702" t="inlineStr">
        <is>
          <t>Coco LLC</t>
        </is>
      </c>
      <c r="D1702" t="inlineStr">
        <is>
          <t>USD</t>
        </is>
      </c>
      <c r="E1702" t="inlineStr">
        <is>
          <t>Real</t>
        </is>
      </c>
      <c r="F1702" t="inlineStr">
        <is>
          <t>pyg_gasto_administracion</t>
        </is>
      </c>
      <c r="G1702" t="inlineStr">
        <is>
          <t>Consolidación USD</t>
        </is>
      </c>
      <c r="I1702" t="n">
        <v>4338.27</v>
      </c>
      <c r="J1702" t="inlineStr">
        <is>
          <t>USD</t>
        </is>
      </c>
      <c r="K1702" t="inlineStr">
        <is>
          <t>Homologado desde auxiliar contable (Enero 2026 USA.xlsx). Reemplaza fuente previa (modelo/sin dato).</t>
        </is>
      </c>
      <c r="L1702" t="inlineStr">
        <is>
          <t>Internacional</t>
        </is>
      </c>
      <c r="M1702" t="inlineStr">
        <is>
          <t>Finanzas</t>
        </is>
      </c>
      <c r="N1702" t="inlineStr">
        <is>
          <t>Mensual</t>
        </is>
      </c>
    </row>
    <row r="1703">
      <c r="A1703" t="inlineStr">
        <is>
          <t>2026-01</t>
        </is>
      </c>
      <c r="B1703" t="inlineStr">
        <is>
          <t>EE.UU.</t>
        </is>
      </c>
      <c r="C1703" t="inlineStr">
        <is>
          <t>Coco LLC</t>
        </is>
      </c>
      <c r="D1703" t="inlineStr">
        <is>
          <t>USD</t>
        </is>
      </c>
      <c r="E1703" t="inlineStr">
        <is>
          <t>Real</t>
        </is>
      </c>
      <c r="F1703" t="inlineStr">
        <is>
          <t>pyg_gasto_ventas</t>
        </is>
      </c>
      <c r="G1703" t="inlineStr">
        <is>
          <t>Consolidación USD</t>
        </is>
      </c>
      <c r="I1703" t="n">
        <v>2148</v>
      </c>
      <c r="J1703" t="inlineStr">
        <is>
          <t>USD</t>
        </is>
      </c>
      <c r="K1703" t="inlineStr">
        <is>
          <t>Homologado desde auxiliar contable (Enero 2026 USA.xlsx). Reemplaza fuente previa (modelo/sin dato).</t>
        </is>
      </c>
      <c r="L1703" t="inlineStr">
        <is>
          <t>Internacional</t>
        </is>
      </c>
      <c r="M1703" t="inlineStr">
        <is>
          <t>Finanzas</t>
        </is>
      </c>
      <c r="N1703" t="inlineStr">
        <is>
          <t>Mensual</t>
        </is>
      </c>
    </row>
    <row r="1704">
      <c r="A1704" t="inlineStr">
        <is>
          <t>2026-01</t>
        </is>
      </c>
      <c r="B1704" t="inlineStr">
        <is>
          <t>EE.UU.</t>
        </is>
      </c>
      <c r="C1704" t="inlineStr">
        <is>
          <t>Coco LLC</t>
        </is>
      </c>
      <c r="D1704" t="inlineStr">
        <is>
          <t>USD</t>
        </is>
      </c>
      <c r="E1704" t="inlineStr">
        <is>
          <t>Real</t>
        </is>
      </c>
      <c r="F1704" t="inlineStr">
        <is>
          <t>pyg_gasto_proyectos</t>
        </is>
      </c>
      <c r="G1704" t="inlineStr">
        <is>
          <t>Consolidación USD</t>
        </is>
      </c>
      <c r="I1704" t="n">
        <v>0</v>
      </c>
      <c r="J1704" t="inlineStr">
        <is>
          <t>USD</t>
        </is>
      </c>
      <c r="K1704" t="inlineStr">
        <is>
          <t>Homologado desde auxiliar contable (Enero 2026 USA.xlsx). Reemplaza fuente previa (modelo/sin dato).</t>
        </is>
      </c>
      <c r="L1704" t="inlineStr">
        <is>
          <t>Internacional</t>
        </is>
      </c>
      <c r="M1704" t="inlineStr">
        <is>
          <t>Finanzas</t>
        </is>
      </c>
      <c r="N1704" t="inlineStr">
        <is>
          <t>Mensual</t>
        </is>
      </c>
    </row>
    <row r="1705">
      <c r="A1705" t="inlineStr">
        <is>
          <t>2026-01</t>
        </is>
      </c>
      <c r="B1705" t="inlineStr">
        <is>
          <t>EE.UU.</t>
        </is>
      </c>
      <c r="C1705" t="inlineStr">
        <is>
          <t>Coco LLC</t>
        </is>
      </c>
      <c r="D1705" t="inlineStr">
        <is>
          <t>USD</t>
        </is>
      </c>
      <c r="E1705" t="inlineStr">
        <is>
          <t>Real</t>
        </is>
      </c>
      <c r="F1705" t="inlineStr">
        <is>
          <t>pyg_gastos_financieros</t>
        </is>
      </c>
      <c r="G1705" t="inlineStr">
        <is>
          <t>Consolidación USD</t>
        </is>
      </c>
      <c r="I1705" t="n">
        <v>75.90000000000001</v>
      </c>
      <c r="J1705" t="inlineStr">
        <is>
          <t>USD</t>
        </is>
      </c>
      <c r="K1705" t="inlineStr">
        <is>
          <t>Homologado desde auxiliar contable (Enero 2026 USA.xlsx). Reemplaza fuente previa (modelo/sin dato).</t>
        </is>
      </c>
      <c r="L1705" t="inlineStr">
        <is>
          <t>Internacional</t>
        </is>
      </c>
      <c r="M1705" t="inlineStr">
        <is>
          <t>Finanzas</t>
        </is>
      </c>
      <c r="N1705" t="inlineStr">
        <is>
          <t>Mensual</t>
        </is>
      </c>
    </row>
    <row r="1706">
      <c r="A1706" t="inlineStr">
        <is>
          <t>2026-01</t>
        </is>
      </c>
      <c r="B1706" t="inlineStr">
        <is>
          <t>EE.UU.</t>
        </is>
      </c>
      <c r="C1706" t="inlineStr">
        <is>
          <t>Coco LLC</t>
        </is>
      </c>
      <c r="D1706" t="inlineStr">
        <is>
          <t>USD</t>
        </is>
      </c>
      <c r="E1706" t="inlineStr">
        <is>
          <t>Real</t>
        </is>
      </c>
      <c r="F1706" t="inlineStr">
        <is>
          <t>pyg_utilidad_neta</t>
        </is>
      </c>
      <c r="G1706" t="inlineStr">
        <is>
          <t>Consolidación USD</t>
        </is>
      </c>
      <c r="I1706" t="n">
        <v>-2938.8</v>
      </c>
      <c r="J1706" t="inlineStr">
        <is>
          <t>USD</t>
        </is>
      </c>
      <c r="K1706" t="inlineStr">
        <is>
          <t>Homologado desde auxiliar contable (Enero 2026 USA.xlsx). Reemplaza fuente previa (modelo/sin dato).</t>
        </is>
      </c>
      <c r="L1706" t="inlineStr">
        <is>
          <t>Internacional</t>
        </is>
      </c>
      <c r="M1706" t="inlineStr">
        <is>
          <t>Finanzas</t>
        </is>
      </c>
      <c r="N1706" t="inlineStr">
        <is>
          <t>Mensual</t>
        </is>
      </c>
    </row>
    <row r="1707">
      <c r="A1707" t="inlineStr">
        <is>
          <t>2026-02</t>
        </is>
      </c>
      <c r="B1707" t="inlineStr">
        <is>
          <t>EE.UU.</t>
        </is>
      </c>
      <c r="C1707" t="inlineStr">
        <is>
          <t>Coco LLC</t>
        </is>
      </c>
      <c r="D1707" t="inlineStr">
        <is>
          <t>USD</t>
        </is>
      </c>
      <c r="E1707" t="inlineStr">
        <is>
          <t>Real</t>
        </is>
      </c>
      <c r="F1707" t="inlineStr">
        <is>
          <t>pyg_ingresos_operacionales</t>
        </is>
      </c>
      <c r="G1707" t="inlineStr">
        <is>
          <t>Consolidación USD</t>
        </is>
      </c>
      <c r="I1707" t="n">
        <v>4051.45</v>
      </c>
      <c r="J1707" t="inlineStr">
        <is>
          <t>USD</t>
        </is>
      </c>
      <c r="K1707" t="inlineStr">
        <is>
          <t>Homologado desde auxiliar contable (Febrero 2026 USA.xlsx). Reemplaza fuente previa (modelo/sin dato).</t>
        </is>
      </c>
      <c r="L1707" t="inlineStr">
        <is>
          <t>Internacional</t>
        </is>
      </c>
      <c r="M1707" t="inlineStr">
        <is>
          <t>Finanzas</t>
        </is>
      </c>
      <c r="N1707" t="inlineStr">
        <is>
          <t>Mensual</t>
        </is>
      </c>
    </row>
    <row r="1708">
      <c r="A1708" t="inlineStr">
        <is>
          <t>2026-02</t>
        </is>
      </c>
      <c r="B1708" t="inlineStr">
        <is>
          <t>EE.UU.</t>
        </is>
      </c>
      <c r="C1708" t="inlineStr">
        <is>
          <t>Coco LLC</t>
        </is>
      </c>
      <c r="D1708" t="inlineStr">
        <is>
          <t>USD</t>
        </is>
      </c>
      <c r="E1708" t="inlineStr">
        <is>
          <t>Real</t>
        </is>
      </c>
      <c r="F1708" t="inlineStr">
        <is>
          <t>pyg_ingresos_no_operacionales</t>
        </is>
      </c>
      <c r="G1708" t="inlineStr">
        <is>
          <t>Consolidación USD</t>
        </is>
      </c>
      <c r="I1708" t="n">
        <v>13.41</v>
      </c>
      <c r="J1708" t="inlineStr">
        <is>
          <t>USD</t>
        </is>
      </c>
      <c r="K1708" t="inlineStr">
        <is>
          <t>Homologado desde auxiliar contable (Febrero 2026 USA.xlsx). Reemplaza fuente previa (modelo/sin dato).</t>
        </is>
      </c>
      <c r="L1708" t="inlineStr">
        <is>
          <t>Internacional</t>
        </is>
      </c>
      <c r="M1708" t="inlineStr">
        <is>
          <t>Finanzas</t>
        </is>
      </c>
      <c r="N1708" t="inlineStr">
        <is>
          <t>Mensual</t>
        </is>
      </c>
    </row>
    <row r="1709">
      <c r="A1709" t="inlineStr">
        <is>
          <t>2026-02</t>
        </is>
      </c>
      <c r="B1709" t="inlineStr">
        <is>
          <t>EE.UU.</t>
        </is>
      </c>
      <c r="C1709" t="inlineStr">
        <is>
          <t>Coco LLC</t>
        </is>
      </c>
      <c r="D1709" t="inlineStr">
        <is>
          <t>USD</t>
        </is>
      </c>
      <c r="E1709" t="inlineStr">
        <is>
          <t>Real</t>
        </is>
      </c>
      <c r="F1709" t="inlineStr">
        <is>
          <t>pyg_costo_ventas</t>
        </is>
      </c>
      <c r="G1709" t="inlineStr">
        <is>
          <t>Consolidación USD</t>
        </is>
      </c>
      <c r="I1709" t="n">
        <v>0</v>
      </c>
      <c r="J1709" t="inlineStr">
        <is>
          <t>USD</t>
        </is>
      </c>
      <c r="K1709" t="inlineStr">
        <is>
          <t>Homologado desde auxiliar contable (Febrero 2026 USA.xlsx). Reemplaza fuente previa (modelo/sin dato).</t>
        </is>
      </c>
      <c r="L1709" t="inlineStr">
        <is>
          <t>Internacional</t>
        </is>
      </c>
      <c r="M1709" t="inlineStr">
        <is>
          <t>Finanzas</t>
        </is>
      </c>
      <c r="N1709" t="inlineStr">
        <is>
          <t>Mensual</t>
        </is>
      </c>
    </row>
    <row r="1710">
      <c r="A1710" t="inlineStr">
        <is>
          <t>2026-02</t>
        </is>
      </c>
      <c r="B1710" t="inlineStr">
        <is>
          <t>EE.UU.</t>
        </is>
      </c>
      <c r="C1710" t="inlineStr">
        <is>
          <t>Coco LLC</t>
        </is>
      </c>
      <c r="D1710" t="inlineStr">
        <is>
          <t>USD</t>
        </is>
      </c>
      <c r="E1710" t="inlineStr">
        <is>
          <t>Real</t>
        </is>
      </c>
      <c r="F1710" t="inlineStr">
        <is>
          <t>pyg_gasto_administracion</t>
        </is>
      </c>
      <c r="G1710" t="inlineStr">
        <is>
          <t>Consolidación USD</t>
        </is>
      </c>
      <c r="I1710" t="n">
        <v>16009.46</v>
      </c>
      <c r="J1710" t="inlineStr">
        <is>
          <t>USD</t>
        </is>
      </c>
      <c r="K1710" t="inlineStr">
        <is>
          <t>Homologado desde auxiliar contable (Febrero 2026 USA.xlsx). Reemplaza fuente previa (modelo/sin dato).</t>
        </is>
      </c>
      <c r="L1710" t="inlineStr">
        <is>
          <t>Internacional</t>
        </is>
      </c>
      <c r="M1710" t="inlineStr">
        <is>
          <t>Finanzas</t>
        </is>
      </c>
      <c r="N1710" t="inlineStr">
        <is>
          <t>Mensual</t>
        </is>
      </c>
    </row>
    <row r="1711">
      <c r="A1711" t="inlineStr">
        <is>
          <t>2026-02</t>
        </is>
      </c>
      <c r="B1711" t="inlineStr">
        <is>
          <t>EE.UU.</t>
        </is>
      </c>
      <c r="C1711" t="inlineStr">
        <is>
          <t>Coco LLC</t>
        </is>
      </c>
      <c r="D1711" t="inlineStr">
        <is>
          <t>USD</t>
        </is>
      </c>
      <c r="E1711" t="inlineStr">
        <is>
          <t>Real</t>
        </is>
      </c>
      <c r="F1711" t="inlineStr">
        <is>
          <t>pyg_gasto_ventas</t>
        </is>
      </c>
      <c r="G1711" t="inlineStr">
        <is>
          <t>Consolidación USD</t>
        </is>
      </c>
      <c r="I1711" t="n">
        <v>0</v>
      </c>
      <c r="J1711" t="inlineStr">
        <is>
          <t>USD</t>
        </is>
      </c>
      <c r="K1711" t="inlineStr">
        <is>
          <t>Homologado desde auxiliar contable (Febrero 2026 USA.xlsx). Reemplaza fuente previa (modelo/sin dato).</t>
        </is>
      </c>
      <c r="L1711" t="inlineStr">
        <is>
          <t>Internacional</t>
        </is>
      </c>
      <c r="M1711" t="inlineStr">
        <is>
          <t>Finanzas</t>
        </is>
      </c>
      <c r="N1711" t="inlineStr">
        <is>
          <t>Mensual</t>
        </is>
      </c>
    </row>
    <row r="1712">
      <c r="A1712" t="inlineStr">
        <is>
          <t>2026-02</t>
        </is>
      </c>
      <c r="B1712" t="inlineStr">
        <is>
          <t>EE.UU.</t>
        </is>
      </c>
      <c r="C1712" t="inlineStr">
        <is>
          <t>Coco LLC</t>
        </is>
      </c>
      <c r="D1712" t="inlineStr">
        <is>
          <t>USD</t>
        </is>
      </c>
      <c r="E1712" t="inlineStr">
        <is>
          <t>Real</t>
        </is>
      </c>
      <c r="F1712" t="inlineStr">
        <is>
          <t>pyg_gasto_proyectos</t>
        </is>
      </c>
      <c r="G1712" t="inlineStr">
        <is>
          <t>Consolidación USD</t>
        </is>
      </c>
      <c r="I1712" t="n">
        <v>0</v>
      </c>
      <c r="J1712" t="inlineStr">
        <is>
          <t>USD</t>
        </is>
      </c>
      <c r="K1712" t="inlineStr">
        <is>
          <t>Homologado desde auxiliar contable (Febrero 2026 USA.xlsx). Reemplaza fuente previa (modelo/sin dato).</t>
        </is>
      </c>
      <c r="L1712" t="inlineStr">
        <is>
          <t>Internacional</t>
        </is>
      </c>
      <c r="M1712" t="inlineStr">
        <is>
          <t>Finanzas</t>
        </is>
      </c>
      <c r="N1712" t="inlineStr">
        <is>
          <t>Mensual</t>
        </is>
      </c>
    </row>
    <row r="1713">
      <c r="A1713" t="inlineStr">
        <is>
          <t>2026-02</t>
        </is>
      </c>
      <c r="B1713" t="inlineStr">
        <is>
          <t>EE.UU.</t>
        </is>
      </c>
      <c r="C1713" t="inlineStr">
        <is>
          <t>Coco LLC</t>
        </is>
      </c>
      <c r="D1713" t="inlineStr">
        <is>
          <t>USD</t>
        </is>
      </c>
      <c r="E1713" t="inlineStr">
        <is>
          <t>Real</t>
        </is>
      </c>
      <c r="F1713" t="inlineStr">
        <is>
          <t>pyg_gastos_financieros</t>
        </is>
      </c>
      <c r="G1713" t="inlineStr">
        <is>
          <t>Consolidación USD</t>
        </is>
      </c>
      <c r="I1713" t="n">
        <v>83.06999999999999</v>
      </c>
      <c r="J1713" t="inlineStr">
        <is>
          <t>USD</t>
        </is>
      </c>
      <c r="K1713" t="inlineStr">
        <is>
          <t>Homologado desde auxiliar contable (Febrero 2026 USA.xlsx). Reemplaza fuente previa (modelo/sin dato).</t>
        </is>
      </c>
      <c r="L1713" t="inlineStr">
        <is>
          <t>Internacional</t>
        </is>
      </c>
      <c r="M1713" t="inlineStr">
        <is>
          <t>Finanzas</t>
        </is>
      </c>
      <c r="N1713" t="inlineStr">
        <is>
          <t>Mensual</t>
        </is>
      </c>
    </row>
    <row r="1714">
      <c r="A1714" t="inlineStr">
        <is>
          <t>2026-02</t>
        </is>
      </c>
      <c r="B1714" t="inlineStr">
        <is>
          <t>EE.UU.</t>
        </is>
      </c>
      <c r="C1714" t="inlineStr">
        <is>
          <t>Coco LLC</t>
        </is>
      </c>
      <c r="D1714" t="inlineStr">
        <is>
          <t>USD</t>
        </is>
      </c>
      <c r="E1714" t="inlineStr">
        <is>
          <t>Real</t>
        </is>
      </c>
      <c r="F1714" t="inlineStr">
        <is>
          <t>pyg_utilidad_neta</t>
        </is>
      </c>
      <c r="G1714" t="inlineStr">
        <is>
          <t>Consolidación USD</t>
        </is>
      </c>
      <c r="I1714" t="n">
        <v>-12027.67</v>
      </c>
      <c r="J1714" t="inlineStr">
        <is>
          <t>USD</t>
        </is>
      </c>
      <c r="K1714" t="inlineStr">
        <is>
          <t>Homologado desde auxiliar contable (Febrero 2026 USA.xlsx). Reemplaza fuente previa (modelo/sin dato).</t>
        </is>
      </c>
      <c r="L1714" t="inlineStr">
        <is>
          <t>Internacional</t>
        </is>
      </c>
      <c r="M1714" t="inlineStr">
        <is>
          <t>Finanzas</t>
        </is>
      </c>
      <c r="N1714" t="inlineStr">
        <is>
          <t>Mensual</t>
        </is>
      </c>
    </row>
    <row r="1715">
      <c r="A1715" t="inlineStr">
        <is>
          <t>2026-03</t>
        </is>
      </c>
      <c r="B1715" t="inlineStr">
        <is>
          <t>EE.UU.</t>
        </is>
      </c>
      <c r="C1715" t="inlineStr">
        <is>
          <t>Coco LLC</t>
        </is>
      </c>
      <c r="D1715" t="inlineStr">
        <is>
          <t>USD</t>
        </is>
      </c>
      <c r="E1715" t="inlineStr">
        <is>
          <t>Real</t>
        </is>
      </c>
      <c r="F1715" t="inlineStr">
        <is>
          <t>pyg_ingresos_operacionales</t>
        </is>
      </c>
      <c r="G1715" t="inlineStr">
        <is>
          <t>Consolidación USD</t>
        </is>
      </c>
      <c r="I1715" t="n">
        <v>4073.45</v>
      </c>
      <c r="J1715" t="inlineStr">
        <is>
          <t>USD</t>
        </is>
      </c>
      <c r="K1715" t="inlineStr">
        <is>
          <t>Homologado desde auxiliar contable (Marzo 2026 USA.xlsx). Reemplaza fuente previa (modelo/sin dato).</t>
        </is>
      </c>
      <c r="L1715" t="inlineStr">
        <is>
          <t>Internacional</t>
        </is>
      </c>
      <c r="M1715" t="inlineStr">
        <is>
          <t>Finanzas</t>
        </is>
      </c>
      <c r="N1715" t="inlineStr">
        <is>
          <t>Mensual</t>
        </is>
      </c>
    </row>
    <row r="1716">
      <c r="A1716" t="inlineStr">
        <is>
          <t>2026-03</t>
        </is>
      </c>
      <c r="B1716" t="inlineStr">
        <is>
          <t>EE.UU.</t>
        </is>
      </c>
      <c r="C1716" t="inlineStr">
        <is>
          <t>Coco LLC</t>
        </is>
      </c>
      <c r="D1716" t="inlineStr">
        <is>
          <t>USD</t>
        </is>
      </c>
      <c r="E1716" t="inlineStr">
        <is>
          <t>Real</t>
        </is>
      </c>
      <c r="F1716" t="inlineStr">
        <is>
          <t>pyg_ingresos_no_operacionales</t>
        </is>
      </c>
      <c r="G1716" t="inlineStr">
        <is>
          <t>Consolidación USD</t>
        </is>
      </c>
      <c r="I1716" t="n">
        <v>22.96</v>
      </c>
      <c r="J1716" t="inlineStr">
        <is>
          <t>USD</t>
        </is>
      </c>
      <c r="K1716" t="inlineStr">
        <is>
          <t>Homologado desde auxiliar contable (Marzo 2026 USA.xlsx). Reemplaza fuente previa (modelo/sin dato).</t>
        </is>
      </c>
      <c r="L1716" t="inlineStr">
        <is>
          <t>Internacional</t>
        </is>
      </c>
      <c r="M1716" t="inlineStr">
        <is>
          <t>Finanzas</t>
        </is>
      </c>
      <c r="N1716" t="inlineStr">
        <is>
          <t>Mensual</t>
        </is>
      </c>
    </row>
    <row r="1717">
      <c r="A1717" t="inlineStr">
        <is>
          <t>2026-03</t>
        </is>
      </c>
      <c r="B1717" t="inlineStr">
        <is>
          <t>EE.UU.</t>
        </is>
      </c>
      <c r="C1717" t="inlineStr">
        <is>
          <t>Coco LLC</t>
        </is>
      </c>
      <c r="D1717" t="inlineStr">
        <is>
          <t>USD</t>
        </is>
      </c>
      <c r="E1717" t="inlineStr">
        <is>
          <t>Real</t>
        </is>
      </c>
      <c r="F1717" t="inlineStr">
        <is>
          <t>pyg_costo_ventas</t>
        </is>
      </c>
      <c r="G1717" t="inlineStr">
        <is>
          <t>Consolidación USD</t>
        </is>
      </c>
      <c r="I1717" t="n">
        <v>0</v>
      </c>
      <c r="J1717" t="inlineStr">
        <is>
          <t>USD</t>
        </is>
      </c>
      <c r="K1717" t="inlineStr">
        <is>
          <t>Homologado desde auxiliar contable (Marzo 2026 USA.xlsx). Reemplaza fuente previa (modelo/sin dato).</t>
        </is>
      </c>
      <c r="L1717" t="inlineStr">
        <is>
          <t>Internacional</t>
        </is>
      </c>
      <c r="M1717" t="inlineStr">
        <is>
          <t>Finanzas</t>
        </is>
      </c>
      <c r="N1717" t="inlineStr">
        <is>
          <t>Mensual</t>
        </is>
      </c>
    </row>
    <row r="1718">
      <c r="A1718" t="inlineStr">
        <is>
          <t>2026-03</t>
        </is>
      </c>
      <c r="B1718" t="inlineStr">
        <is>
          <t>EE.UU.</t>
        </is>
      </c>
      <c r="C1718" t="inlineStr">
        <is>
          <t>Coco LLC</t>
        </is>
      </c>
      <c r="D1718" t="inlineStr">
        <is>
          <t>USD</t>
        </is>
      </c>
      <c r="E1718" t="inlineStr">
        <is>
          <t>Real</t>
        </is>
      </c>
      <c r="F1718" t="inlineStr">
        <is>
          <t>pyg_gasto_administracion</t>
        </is>
      </c>
      <c r="G1718" t="inlineStr">
        <is>
          <t>Consolidación USD</t>
        </is>
      </c>
      <c r="I1718" t="n">
        <v>4263.65</v>
      </c>
      <c r="J1718" t="inlineStr">
        <is>
          <t>USD</t>
        </is>
      </c>
      <c r="K1718" t="inlineStr">
        <is>
          <t>Homologado desde auxiliar contable (Marzo 2026 USA.xlsx). Reemplaza fuente previa (modelo/sin dato).</t>
        </is>
      </c>
      <c r="L1718" t="inlineStr">
        <is>
          <t>Internacional</t>
        </is>
      </c>
      <c r="M1718" t="inlineStr">
        <is>
          <t>Finanzas</t>
        </is>
      </c>
      <c r="N1718" t="inlineStr">
        <is>
          <t>Mensual</t>
        </is>
      </c>
    </row>
    <row r="1719">
      <c r="A1719" t="inlineStr">
        <is>
          <t>2026-03</t>
        </is>
      </c>
      <c r="B1719" t="inlineStr">
        <is>
          <t>EE.UU.</t>
        </is>
      </c>
      <c r="C1719" t="inlineStr">
        <is>
          <t>Coco LLC</t>
        </is>
      </c>
      <c r="D1719" t="inlineStr">
        <is>
          <t>USD</t>
        </is>
      </c>
      <c r="E1719" t="inlineStr">
        <is>
          <t>Real</t>
        </is>
      </c>
      <c r="F1719" t="inlineStr">
        <is>
          <t>pyg_gasto_ventas</t>
        </is>
      </c>
      <c r="G1719" t="inlineStr">
        <is>
          <t>Consolidación USD</t>
        </is>
      </c>
      <c r="I1719" t="n">
        <v>2957.46</v>
      </c>
      <c r="J1719" t="inlineStr">
        <is>
          <t>USD</t>
        </is>
      </c>
      <c r="K1719" t="inlineStr">
        <is>
          <t>Homologado desde auxiliar contable (Marzo 2026 USA.xlsx). Reemplaza fuente previa (modelo/sin dato).</t>
        </is>
      </c>
      <c r="L1719" t="inlineStr">
        <is>
          <t>Internacional</t>
        </is>
      </c>
      <c r="M1719" t="inlineStr">
        <is>
          <t>Finanzas</t>
        </is>
      </c>
      <c r="N1719" t="inlineStr">
        <is>
          <t>Mensual</t>
        </is>
      </c>
    </row>
    <row r="1720">
      <c r="A1720" t="inlineStr">
        <is>
          <t>2026-03</t>
        </is>
      </c>
      <c r="B1720" t="inlineStr">
        <is>
          <t>EE.UU.</t>
        </is>
      </c>
      <c r="C1720" t="inlineStr">
        <is>
          <t>Coco LLC</t>
        </is>
      </c>
      <c r="D1720" t="inlineStr">
        <is>
          <t>USD</t>
        </is>
      </c>
      <c r="E1720" t="inlineStr">
        <is>
          <t>Real</t>
        </is>
      </c>
      <c r="F1720" t="inlineStr">
        <is>
          <t>pyg_gasto_proyectos</t>
        </is>
      </c>
      <c r="G1720" t="inlineStr">
        <is>
          <t>Consolidación USD</t>
        </is>
      </c>
      <c r="I1720" t="n">
        <v>0</v>
      </c>
      <c r="J1720" t="inlineStr">
        <is>
          <t>USD</t>
        </is>
      </c>
      <c r="K1720" t="inlineStr">
        <is>
          <t>Homologado desde auxiliar contable (Marzo 2026 USA.xlsx). Reemplaza fuente previa (modelo/sin dato).</t>
        </is>
      </c>
      <c r="L1720" t="inlineStr">
        <is>
          <t>Internacional</t>
        </is>
      </c>
      <c r="M1720" t="inlineStr">
        <is>
          <t>Finanzas</t>
        </is>
      </c>
      <c r="N1720" t="inlineStr">
        <is>
          <t>Mensual</t>
        </is>
      </c>
    </row>
    <row r="1721">
      <c r="A1721" t="inlineStr">
        <is>
          <t>2026-03</t>
        </is>
      </c>
      <c r="B1721" t="inlineStr">
        <is>
          <t>EE.UU.</t>
        </is>
      </c>
      <c r="C1721" t="inlineStr">
        <is>
          <t>Coco LLC</t>
        </is>
      </c>
      <c r="D1721" t="inlineStr">
        <is>
          <t>USD</t>
        </is>
      </c>
      <c r="E1721" t="inlineStr">
        <is>
          <t>Real</t>
        </is>
      </c>
      <c r="F1721" t="inlineStr">
        <is>
          <t>pyg_gastos_financieros</t>
        </is>
      </c>
      <c r="G1721" t="inlineStr">
        <is>
          <t>Consolidación USD</t>
        </is>
      </c>
      <c r="I1721" t="n">
        <v>8.33</v>
      </c>
      <c r="J1721" t="inlineStr">
        <is>
          <t>USD</t>
        </is>
      </c>
      <c r="K1721" t="inlineStr">
        <is>
          <t>Homologado desde auxiliar contable (Marzo 2026 USA.xlsx). Reemplaza fuente previa (modelo/sin dato).</t>
        </is>
      </c>
      <c r="L1721" t="inlineStr">
        <is>
          <t>Internacional</t>
        </is>
      </c>
      <c r="M1721" t="inlineStr">
        <is>
          <t>Finanzas</t>
        </is>
      </c>
      <c r="N1721" t="inlineStr">
        <is>
          <t>Mensual</t>
        </is>
      </c>
    </row>
    <row r="1722">
      <c r="A1722" t="inlineStr">
        <is>
          <t>2026-03</t>
        </is>
      </c>
      <c r="B1722" t="inlineStr">
        <is>
          <t>EE.UU.</t>
        </is>
      </c>
      <c r="C1722" t="inlineStr">
        <is>
          <t>Coco LLC</t>
        </is>
      </c>
      <c r="D1722" t="inlineStr">
        <is>
          <t>USD</t>
        </is>
      </c>
      <c r="E1722" t="inlineStr">
        <is>
          <t>Real</t>
        </is>
      </c>
      <c r="F1722" t="inlineStr">
        <is>
          <t>pyg_utilidad_neta</t>
        </is>
      </c>
      <c r="G1722" t="inlineStr">
        <is>
          <t>Consolidación USD</t>
        </is>
      </c>
      <c r="I1722" t="n">
        <v>-3133.03</v>
      </c>
      <c r="J1722" t="inlineStr">
        <is>
          <t>USD</t>
        </is>
      </c>
      <c r="K1722" t="inlineStr">
        <is>
          <t>Homologado desde auxiliar contable (Marzo 2026 USA.xlsx). Reemplaza fuente previa (modelo/sin dato).</t>
        </is>
      </c>
      <c r="L1722" t="inlineStr">
        <is>
          <t>Internacional</t>
        </is>
      </c>
      <c r="M1722" t="inlineStr">
        <is>
          <t>Finanzas</t>
        </is>
      </c>
      <c r="N1722" t="inlineStr">
        <is>
          <t>Mensual</t>
        </is>
      </c>
    </row>
    <row r="1723">
      <c r="A1723" t="inlineStr">
        <is>
          <t>2026-01</t>
        </is>
      </c>
      <c r="B1723" t="inlineStr">
        <is>
          <t>Costa Rica</t>
        </is>
      </c>
      <c r="C1723" t="inlineStr">
        <is>
          <t>Coco Costa Rica</t>
        </is>
      </c>
      <c r="D1723" t="inlineStr">
        <is>
          <t>USD</t>
        </is>
      </c>
      <c r="E1723" t="inlineStr">
        <is>
          <t>Real</t>
        </is>
      </c>
      <c r="F1723" t="inlineStr">
        <is>
          <t>pyg_ingresos_operacionales</t>
        </is>
      </c>
      <c r="G1723" t="inlineStr">
        <is>
          <t>Consolidación USD</t>
        </is>
      </c>
      <c r="I1723" t="n">
        <v>0</v>
      </c>
      <c r="J1723" t="inlineStr">
        <is>
          <t>USD</t>
        </is>
      </c>
      <c r="K1723" t="inlineStr">
        <is>
          <t>Homologado desde auxiliar contable (Enero 2026 CR.xlsx). Reemplaza fuente previa (modelo/sin dato).</t>
        </is>
      </c>
      <c r="L1723" t="inlineStr">
        <is>
          <t>Internacional</t>
        </is>
      </c>
      <c r="M1723" t="inlineStr">
        <is>
          <t>Finanzas</t>
        </is>
      </c>
      <c r="N1723" t="inlineStr">
        <is>
          <t>Mensual</t>
        </is>
      </c>
    </row>
    <row r="1724">
      <c r="A1724" t="inlineStr">
        <is>
          <t>2026-01</t>
        </is>
      </c>
      <c r="B1724" t="inlineStr">
        <is>
          <t>Costa Rica</t>
        </is>
      </c>
      <c r="C1724" t="inlineStr">
        <is>
          <t>Coco Costa Rica</t>
        </is>
      </c>
      <c r="D1724" t="inlineStr">
        <is>
          <t>USD</t>
        </is>
      </c>
      <c r="E1724" t="inlineStr">
        <is>
          <t>Real</t>
        </is>
      </c>
      <c r="F1724" t="inlineStr">
        <is>
          <t>pyg_ingresos_no_operacionales</t>
        </is>
      </c>
      <c r="G1724" t="inlineStr">
        <is>
          <t>Consolidación USD</t>
        </is>
      </c>
      <c r="I1724" t="n">
        <v>0</v>
      </c>
      <c r="J1724" t="inlineStr">
        <is>
          <t>USD</t>
        </is>
      </c>
      <c r="K1724" t="inlineStr">
        <is>
          <t>Homologado desde auxiliar contable (Enero 2026 CR.xlsx). Reemplaza fuente previa (modelo/sin dato).</t>
        </is>
      </c>
      <c r="L1724" t="inlineStr">
        <is>
          <t>Internacional</t>
        </is>
      </c>
      <c r="M1724" t="inlineStr">
        <is>
          <t>Finanzas</t>
        </is>
      </c>
      <c r="N1724" t="inlineStr">
        <is>
          <t>Mensual</t>
        </is>
      </c>
    </row>
    <row r="1725">
      <c r="A1725" t="inlineStr">
        <is>
          <t>2026-01</t>
        </is>
      </c>
      <c r="B1725" t="inlineStr">
        <is>
          <t>Costa Rica</t>
        </is>
      </c>
      <c r="C1725" t="inlineStr">
        <is>
          <t>Coco Costa Rica</t>
        </is>
      </c>
      <c r="D1725" t="inlineStr">
        <is>
          <t>USD</t>
        </is>
      </c>
      <c r="E1725" t="inlineStr">
        <is>
          <t>Real</t>
        </is>
      </c>
      <c r="F1725" t="inlineStr">
        <is>
          <t>pyg_costo_ventas</t>
        </is>
      </c>
      <c r="G1725" t="inlineStr">
        <is>
          <t>Consolidación USD</t>
        </is>
      </c>
      <c r="I1725" t="n">
        <v>0</v>
      </c>
      <c r="J1725" t="inlineStr">
        <is>
          <t>USD</t>
        </is>
      </c>
      <c r="K1725" t="inlineStr">
        <is>
          <t>Homologado desde auxiliar contable (Enero 2026 CR.xlsx). Reemplaza fuente previa (modelo/sin dato).</t>
        </is>
      </c>
      <c r="L1725" t="inlineStr">
        <is>
          <t>Internacional</t>
        </is>
      </c>
      <c r="M1725" t="inlineStr">
        <is>
          <t>Finanzas</t>
        </is>
      </c>
      <c r="N1725" t="inlineStr">
        <is>
          <t>Mensual</t>
        </is>
      </c>
    </row>
    <row r="1726">
      <c r="A1726" t="inlineStr">
        <is>
          <t>2026-01</t>
        </is>
      </c>
      <c r="B1726" t="inlineStr">
        <is>
          <t>Costa Rica</t>
        </is>
      </c>
      <c r="C1726" t="inlineStr">
        <is>
          <t>Coco Costa Rica</t>
        </is>
      </c>
      <c r="D1726" t="inlineStr">
        <is>
          <t>USD</t>
        </is>
      </c>
      <c r="E1726" t="inlineStr">
        <is>
          <t>Real</t>
        </is>
      </c>
      <c r="F1726" t="inlineStr">
        <is>
          <t>pyg_gasto_administracion</t>
        </is>
      </c>
      <c r="G1726" t="inlineStr">
        <is>
          <t>Consolidación USD</t>
        </is>
      </c>
      <c r="I1726" t="n">
        <v>2162.73</v>
      </c>
      <c r="J1726" t="inlineStr">
        <is>
          <t>USD</t>
        </is>
      </c>
      <c r="K1726" t="inlineStr">
        <is>
          <t>Homologado desde auxiliar contable (Enero 2026 CR.xlsx). Reemplaza fuente previa (modelo/sin dato).</t>
        </is>
      </c>
      <c r="L1726" t="inlineStr">
        <is>
          <t>Internacional</t>
        </is>
      </c>
      <c r="M1726" t="inlineStr">
        <is>
          <t>Finanzas</t>
        </is>
      </c>
      <c r="N1726" t="inlineStr">
        <is>
          <t>Mensual</t>
        </is>
      </c>
    </row>
    <row r="1727">
      <c r="A1727" t="inlineStr">
        <is>
          <t>2026-01</t>
        </is>
      </c>
      <c r="B1727" t="inlineStr">
        <is>
          <t>Costa Rica</t>
        </is>
      </c>
      <c r="C1727" t="inlineStr">
        <is>
          <t>Coco Costa Rica</t>
        </is>
      </c>
      <c r="D1727" t="inlineStr">
        <is>
          <t>USD</t>
        </is>
      </c>
      <c r="E1727" t="inlineStr">
        <is>
          <t>Real</t>
        </is>
      </c>
      <c r="F1727" t="inlineStr">
        <is>
          <t>pyg_gasto_ventas</t>
        </is>
      </c>
      <c r="G1727" t="inlineStr">
        <is>
          <t>Consolidación USD</t>
        </is>
      </c>
      <c r="I1727" t="n">
        <v>0</v>
      </c>
      <c r="J1727" t="inlineStr">
        <is>
          <t>USD</t>
        </is>
      </c>
      <c r="K1727" t="inlineStr">
        <is>
          <t>Homologado desde auxiliar contable (Enero 2026 CR.xlsx). Reemplaza fuente previa (modelo/sin dato).</t>
        </is>
      </c>
      <c r="L1727" t="inlineStr">
        <is>
          <t>Internacional</t>
        </is>
      </c>
      <c r="M1727" t="inlineStr">
        <is>
          <t>Finanzas</t>
        </is>
      </c>
      <c r="N1727" t="inlineStr">
        <is>
          <t>Mensual</t>
        </is>
      </c>
    </row>
    <row r="1728">
      <c r="A1728" t="inlineStr">
        <is>
          <t>2026-01</t>
        </is>
      </c>
      <c r="B1728" t="inlineStr">
        <is>
          <t>Costa Rica</t>
        </is>
      </c>
      <c r="C1728" t="inlineStr">
        <is>
          <t>Coco Costa Rica</t>
        </is>
      </c>
      <c r="D1728" t="inlineStr">
        <is>
          <t>USD</t>
        </is>
      </c>
      <c r="E1728" t="inlineStr">
        <is>
          <t>Real</t>
        </is>
      </c>
      <c r="F1728" t="inlineStr">
        <is>
          <t>pyg_gasto_proyectos</t>
        </is>
      </c>
      <c r="G1728" t="inlineStr">
        <is>
          <t>Consolidación USD</t>
        </is>
      </c>
      <c r="I1728" t="n">
        <v>0</v>
      </c>
      <c r="J1728" t="inlineStr">
        <is>
          <t>USD</t>
        </is>
      </c>
      <c r="K1728" t="inlineStr">
        <is>
          <t>Homologado desde auxiliar contable (Enero 2026 CR.xlsx). Reemplaza fuente previa (modelo/sin dato).</t>
        </is>
      </c>
      <c r="L1728" t="inlineStr">
        <is>
          <t>Internacional</t>
        </is>
      </c>
      <c r="M1728" t="inlineStr">
        <is>
          <t>Finanzas</t>
        </is>
      </c>
      <c r="N1728" t="inlineStr">
        <is>
          <t>Mensual</t>
        </is>
      </c>
    </row>
    <row r="1729">
      <c r="A1729" t="inlineStr">
        <is>
          <t>2026-01</t>
        </is>
      </c>
      <c r="B1729" t="inlineStr">
        <is>
          <t>Costa Rica</t>
        </is>
      </c>
      <c r="C1729" t="inlineStr">
        <is>
          <t>Coco Costa Rica</t>
        </is>
      </c>
      <c r="D1729" t="inlineStr">
        <is>
          <t>USD</t>
        </is>
      </c>
      <c r="E1729" t="inlineStr">
        <is>
          <t>Real</t>
        </is>
      </c>
      <c r="F1729" t="inlineStr">
        <is>
          <t>pyg_gastos_financieros</t>
        </is>
      </c>
      <c r="G1729" t="inlineStr">
        <is>
          <t>Consolidación USD</t>
        </is>
      </c>
      <c r="I1729" t="n">
        <v>20</v>
      </c>
      <c r="J1729" t="inlineStr">
        <is>
          <t>USD</t>
        </is>
      </c>
      <c r="K1729" t="inlineStr">
        <is>
          <t>Homologado desde auxiliar contable (Enero 2026 CR.xlsx). Reemplaza fuente previa (modelo/sin dato).</t>
        </is>
      </c>
      <c r="L1729" t="inlineStr">
        <is>
          <t>Internacional</t>
        </is>
      </c>
      <c r="M1729" t="inlineStr">
        <is>
          <t>Finanzas</t>
        </is>
      </c>
      <c r="N1729" t="inlineStr">
        <is>
          <t>Mensual</t>
        </is>
      </c>
    </row>
    <row r="1730">
      <c r="A1730" t="inlineStr">
        <is>
          <t>2026-01</t>
        </is>
      </c>
      <c r="B1730" t="inlineStr">
        <is>
          <t>Costa Rica</t>
        </is>
      </c>
      <c r="C1730" t="inlineStr">
        <is>
          <t>Coco Costa Rica</t>
        </is>
      </c>
      <c r="D1730" t="inlineStr">
        <is>
          <t>USD</t>
        </is>
      </c>
      <c r="E1730" t="inlineStr">
        <is>
          <t>Real</t>
        </is>
      </c>
      <c r="F1730" t="inlineStr">
        <is>
          <t>pyg_utilidad_neta</t>
        </is>
      </c>
      <c r="G1730" t="inlineStr">
        <is>
          <t>Consolidación USD</t>
        </is>
      </c>
      <c r="I1730" t="n">
        <v>-2182.73</v>
      </c>
      <c r="J1730" t="inlineStr">
        <is>
          <t>USD</t>
        </is>
      </c>
      <c r="K1730" t="inlineStr">
        <is>
          <t>Homologado desde auxiliar contable (Enero 2026 CR.xlsx). Reemplaza fuente previa (modelo/sin dato).</t>
        </is>
      </c>
      <c r="L1730" t="inlineStr">
        <is>
          <t>Internacional</t>
        </is>
      </c>
      <c r="M1730" t="inlineStr">
        <is>
          <t>Finanzas</t>
        </is>
      </c>
      <c r="N1730" t="inlineStr">
        <is>
          <t>Mensual</t>
        </is>
      </c>
    </row>
    <row r="1731">
      <c r="A1731" t="inlineStr">
        <is>
          <t>2026-02</t>
        </is>
      </c>
      <c r="B1731" t="inlineStr">
        <is>
          <t>Costa Rica</t>
        </is>
      </c>
      <c r="C1731" t="inlineStr">
        <is>
          <t>Coco Costa Rica</t>
        </is>
      </c>
      <c r="D1731" t="inlineStr">
        <is>
          <t>USD</t>
        </is>
      </c>
      <c r="E1731" t="inlineStr">
        <is>
          <t>Real</t>
        </is>
      </c>
      <c r="F1731" t="inlineStr">
        <is>
          <t>pyg_ingresos_operacionales</t>
        </is>
      </c>
      <c r="G1731" t="inlineStr">
        <is>
          <t>Consolidación USD</t>
        </is>
      </c>
      <c r="I1731" t="n">
        <v>0</v>
      </c>
      <c r="J1731" t="inlineStr">
        <is>
          <t>USD</t>
        </is>
      </c>
      <c r="K1731" t="inlineStr">
        <is>
          <t>Homologado desde auxiliar contable (V5 Febrero 2026 CR.xlsx). Reemplaza fuente previa (modelo/sin dato).</t>
        </is>
      </c>
      <c r="L1731" t="inlineStr">
        <is>
          <t>Internacional</t>
        </is>
      </c>
      <c r="M1731" t="inlineStr">
        <is>
          <t>Finanzas</t>
        </is>
      </c>
      <c r="N1731" t="inlineStr">
        <is>
          <t>Mensual</t>
        </is>
      </c>
    </row>
    <row r="1732">
      <c r="A1732" t="inlineStr">
        <is>
          <t>2026-02</t>
        </is>
      </c>
      <c r="B1732" t="inlineStr">
        <is>
          <t>Costa Rica</t>
        </is>
      </c>
      <c r="C1732" t="inlineStr">
        <is>
          <t>Coco Costa Rica</t>
        </is>
      </c>
      <c r="D1732" t="inlineStr">
        <is>
          <t>USD</t>
        </is>
      </c>
      <c r="E1732" t="inlineStr">
        <is>
          <t>Real</t>
        </is>
      </c>
      <c r="F1732" t="inlineStr">
        <is>
          <t>pyg_ingresos_no_operacionales</t>
        </is>
      </c>
      <c r="G1732" t="inlineStr">
        <is>
          <t>Consolidación USD</t>
        </is>
      </c>
      <c r="I1732" t="n">
        <v>0</v>
      </c>
      <c r="J1732" t="inlineStr">
        <is>
          <t>USD</t>
        </is>
      </c>
      <c r="K1732" t="inlineStr">
        <is>
          <t>Homologado desde auxiliar contable (V5 Febrero 2026 CR.xlsx). Reemplaza fuente previa (modelo/sin dato).</t>
        </is>
      </c>
      <c r="L1732" t="inlineStr">
        <is>
          <t>Internacional</t>
        </is>
      </c>
      <c r="M1732" t="inlineStr">
        <is>
          <t>Finanzas</t>
        </is>
      </c>
      <c r="N1732" t="inlineStr">
        <is>
          <t>Mensual</t>
        </is>
      </c>
    </row>
    <row r="1733">
      <c r="A1733" t="inlineStr">
        <is>
          <t>2026-02</t>
        </is>
      </c>
      <c r="B1733" t="inlineStr">
        <is>
          <t>Costa Rica</t>
        </is>
      </c>
      <c r="C1733" t="inlineStr">
        <is>
          <t>Coco Costa Rica</t>
        </is>
      </c>
      <c r="D1733" t="inlineStr">
        <is>
          <t>USD</t>
        </is>
      </c>
      <c r="E1733" t="inlineStr">
        <is>
          <t>Real</t>
        </is>
      </c>
      <c r="F1733" t="inlineStr">
        <is>
          <t>pyg_costo_ventas</t>
        </is>
      </c>
      <c r="G1733" t="inlineStr">
        <is>
          <t>Consolidación USD</t>
        </is>
      </c>
      <c r="I1733" t="n">
        <v>0</v>
      </c>
      <c r="J1733" t="inlineStr">
        <is>
          <t>USD</t>
        </is>
      </c>
      <c r="K1733" t="inlineStr">
        <is>
          <t>Homologado desde auxiliar contable (V5 Febrero 2026 CR.xlsx). Reemplaza fuente previa (modelo/sin dato).</t>
        </is>
      </c>
      <c r="L1733" t="inlineStr">
        <is>
          <t>Internacional</t>
        </is>
      </c>
      <c r="M1733" t="inlineStr">
        <is>
          <t>Finanzas</t>
        </is>
      </c>
      <c r="N1733" t="inlineStr">
        <is>
          <t>Mensual</t>
        </is>
      </c>
    </row>
    <row r="1734">
      <c r="A1734" t="inlineStr">
        <is>
          <t>2026-02</t>
        </is>
      </c>
      <c r="B1734" t="inlineStr">
        <is>
          <t>Costa Rica</t>
        </is>
      </c>
      <c r="C1734" t="inlineStr">
        <is>
          <t>Coco Costa Rica</t>
        </is>
      </c>
      <c r="D1734" t="inlineStr">
        <is>
          <t>USD</t>
        </is>
      </c>
      <c r="E1734" t="inlineStr">
        <is>
          <t>Real</t>
        </is>
      </c>
      <c r="F1734" t="inlineStr">
        <is>
          <t>pyg_gasto_administracion</t>
        </is>
      </c>
      <c r="G1734" t="inlineStr">
        <is>
          <t>Consolidación USD</t>
        </is>
      </c>
      <c r="I1734" t="n">
        <v>2134.96</v>
      </c>
      <c r="J1734" t="inlineStr">
        <is>
          <t>USD</t>
        </is>
      </c>
      <c r="K1734" t="inlineStr">
        <is>
          <t>Homologado desde auxiliar contable (V5 Febrero 2026 CR.xlsx). Reemplaza fuente previa (modelo/sin dato).</t>
        </is>
      </c>
      <c r="L1734" t="inlineStr">
        <is>
          <t>Internacional</t>
        </is>
      </c>
      <c r="M1734" t="inlineStr">
        <is>
          <t>Finanzas</t>
        </is>
      </c>
      <c r="N1734" t="inlineStr">
        <is>
          <t>Mensual</t>
        </is>
      </c>
    </row>
    <row r="1735">
      <c r="A1735" t="inlineStr">
        <is>
          <t>2026-02</t>
        </is>
      </c>
      <c r="B1735" t="inlineStr">
        <is>
          <t>Costa Rica</t>
        </is>
      </c>
      <c r="C1735" t="inlineStr">
        <is>
          <t>Coco Costa Rica</t>
        </is>
      </c>
      <c r="D1735" t="inlineStr">
        <is>
          <t>USD</t>
        </is>
      </c>
      <c r="E1735" t="inlineStr">
        <is>
          <t>Real</t>
        </is>
      </c>
      <c r="F1735" t="inlineStr">
        <is>
          <t>pyg_gasto_ventas</t>
        </is>
      </c>
      <c r="G1735" t="inlineStr">
        <is>
          <t>Consolidación USD</t>
        </is>
      </c>
      <c r="I1735" t="n">
        <v>0</v>
      </c>
      <c r="J1735" t="inlineStr">
        <is>
          <t>USD</t>
        </is>
      </c>
      <c r="K1735" t="inlineStr">
        <is>
          <t>Homologado desde auxiliar contable (V5 Febrero 2026 CR.xlsx). Reemplaza fuente previa (modelo/sin dato).</t>
        </is>
      </c>
      <c r="L1735" t="inlineStr">
        <is>
          <t>Internacional</t>
        </is>
      </c>
      <c r="M1735" t="inlineStr">
        <is>
          <t>Finanzas</t>
        </is>
      </c>
      <c r="N1735" t="inlineStr">
        <is>
          <t>Mensual</t>
        </is>
      </c>
    </row>
    <row r="1736">
      <c r="A1736" t="inlineStr">
        <is>
          <t>2026-02</t>
        </is>
      </c>
      <c r="B1736" t="inlineStr">
        <is>
          <t>Costa Rica</t>
        </is>
      </c>
      <c r="C1736" t="inlineStr">
        <is>
          <t>Coco Costa Rica</t>
        </is>
      </c>
      <c r="D1736" t="inlineStr">
        <is>
          <t>USD</t>
        </is>
      </c>
      <c r="E1736" t="inlineStr">
        <is>
          <t>Real</t>
        </is>
      </c>
      <c r="F1736" t="inlineStr">
        <is>
          <t>pyg_gasto_proyectos</t>
        </is>
      </c>
      <c r="G1736" t="inlineStr">
        <is>
          <t>Consolidación USD</t>
        </is>
      </c>
      <c r="I1736" t="n">
        <v>0</v>
      </c>
      <c r="J1736" t="inlineStr">
        <is>
          <t>USD</t>
        </is>
      </c>
      <c r="K1736" t="inlineStr">
        <is>
          <t>Homologado desde auxiliar contable (V5 Febrero 2026 CR.xlsx). Reemplaza fuente previa (modelo/sin dato).</t>
        </is>
      </c>
      <c r="L1736" t="inlineStr">
        <is>
          <t>Internacional</t>
        </is>
      </c>
      <c r="M1736" t="inlineStr">
        <is>
          <t>Finanzas</t>
        </is>
      </c>
      <c r="N1736" t="inlineStr">
        <is>
          <t>Mensual</t>
        </is>
      </c>
    </row>
    <row r="1737">
      <c r="A1737" t="inlineStr">
        <is>
          <t>2026-02</t>
        </is>
      </c>
      <c r="B1737" t="inlineStr">
        <is>
          <t>Costa Rica</t>
        </is>
      </c>
      <c r="C1737" t="inlineStr">
        <is>
          <t>Coco Costa Rica</t>
        </is>
      </c>
      <c r="D1737" t="inlineStr">
        <is>
          <t>USD</t>
        </is>
      </c>
      <c r="E1737" t="inlineStr">
        <is>
          <t>Real</t>
        </is>
      </c>
      <c r="F1737" t="inlineStr">
        <is>
          <t>pyg_gastos_financieros</t>
        </is>
      </c>
      <c r="G1737" t="inlineStr">
        <is>
          <t>Consolidación USD</t>
        </is>
      </c>
      <c r="I1737" t="n">
        <v>30</v>
      </c>
      <c r="J1737" t="inlineStr">
        <is>
          <t>USD</t>
        </is>
      </c>
      <c r="K1737" t="inlineStr">
        <is>
          <t>Homologado desde auxiliar contable (V5 Febrero 2026 CR.xlsx). Reemplaza fuente previa (modelo/sin dato).</t>
        </is>
      </c>
      <c r="L1737" t="inlineStr">
        <is>
          <t>Internacional</t>
        </is>
      </c>
      <c r="M1737" t="inlineStr">
        <is>
          <t>Finanzas</t>
        </is>
      </c>
      <c r="N1737" t="inlineStr">
        <is>
          <t>Mensual</t>
        </is>
      </c>
    </row>
    <row r="1738">
      <c r="A1738" t="inlineStr">
        <is>
          <t>2026-02</t>
        </is>
      </c>
      <c r="B1738" t="inlineStr">
        <is>
          <t>Costa Rica</t>
        </is>
      </c>
      <c r="C1738" t="inlineStr">
        <is>
          <t>Coco Costa Rica</t>
        </is>
      </c>
      <c r="D1738" t="inlineStr">
        <is>
          <t>USD</t>
        </is>
      </c>
      <c r="E1738" t="inlineStr">
        <is>
          <t>Real</t>
        </is>
      </c>
      <c r="F1738" t="inlineStr">
        <is>
          <t>pyg_utilidad_neta</t>
        </is>
      </c>
      <c r="G1738" t="inlineStr">
        <is>
          <t>Consolidación USD</t>
        </is>
      </c>
      <c r="I1738" t="n">
        <v>-2164.96</v>
      </c>
      <c r="J1738" t="inlineStr">
        <is>
          <t>USD</t>
        </is>
      </c>
      <c r="K1738" t="inlineStr">
        <is>
          <t>Homologado desde auxiliar contable (V5 Febrero 2026 CR.xlsx). Reemplaza fuente previa (modelo/sin dato).</t>
        </is>
      </c>
      <c r="L1738" t="inlineStr">
        <is>
          <t>Internacional</t>
        </is>
      </c>
      <c r="M1738" t="inlineStr">
        <is>
          <t>Finanzas</t>
        </is>
      </c>
      <c r="N1738" t="inlineStr">
        <is>
          <t>Mensual</t>
        </is>
      </c>
    </row>
    <row r="1739">
      <c r="A1739" t="inlineStr">
        <is>
          <t>2026-03</t>
        </is>
      </c>
      <c r="B1739" t="inlineStr">
        <is>
          <t>Costa Rica</t>
        </is>
      </c>
      <c r="C1739" t="inlineStr">
        <is>
          <t>Coco Costa Rica</t>
        </is>
      </c>
      <c r="D1739" t="inlineStr">
        <is>
          <t>USD</t>
        </is>
      </c>
      <c r="E1739" t="inlineStr">
        <is>
          <t>Real</t>
        </is>
      </c>
      <c r="F1739" t="inlineStr">
        <is>
          <t>pyg_ingresos_operacionales</t>
        </is>
      </c>
      <c r="G1739" t="inlineStr">
        <is>
          <t>Consolidación USD</t>
        </is>
      </c>
      <c r="I1739" t="n">
        <v>0</v>
      </c>
      <c r="J1739" t="inlineStr">
        <is>
          <t>USD</t>
        </is>
      </c>
      <c r="K1739" t="inlineStr">
        <is>
          <t>Homologado desde auxiliar contable (V5 Marzo 2026 CR.xlsx). Reemplaza fuente previa (modelo/sin dato).</t>
        </is>
      </c>
      <c r="L1739" t="inlineStr">
        <is>
          <t>Internacional</t>
        </is>
      </c>
      <c r="M1739" t="inlineStr">
        <is>
          <t>Finanzas</t>
        </is>
      </c>
      <c r="N1739" t="inlineStr">
        <is>
          <t>Mensual</t>
        </is>
      </c>
    </row>
    <row r="1740">
      <c r="A1740" t="inlineStr">
        <is>
          <t>2026-03</t>
        </is>
      </c>
      <c r="B1740" t="inlineStr">
        <is>
          <t>Costa Rica</t>
        </is>
      </c>
      <c r="C1740" t="inlineStr">
        <is>
          <t>Coco Costa Rica</t>
        </is>
      </c>
      <c r="D1740" t="inlineStr">
        <is>
          <t>USD</t>
        </is>
      </c>
      <c r="E1740" t="inlineStr">
        <is>
          <t>Real</t>
        </is>
      </c>
      <c r="F1740" t="inlineStr">
        <is>
          <t>pyg_ingresos_no_operacionales</t>
        </is>
      </c>
      <c r="G1740" t="inlineStr">
        <is>
          <t>Consolidación USD</t>
        </is>
      </c>
      <c r="I1740" t="n">
        <v>0</v>
      </c>
      <c r="J1740" t="inlineStr">
        <is>
          <t>USD</t>
        </is>
      </c>
      <c r="K1740" t="inlineStr">
        <is>
          <t>Homologado desde auxiliar contable (V5 Marzo 2026 CR.xlsx). Reemplaza fuente previa (modelo/sin dato).</t>
        </is>
      </c>
      <c r="L1740" t="inlineStr">
        <is>
          <t>Internacional</t>
        </is>
      </c>
      <c r="M1740" t="inlineStr">
        <is>
          <t>Finanzas</t>
        </is>
      </c>
      <c r="N1740" t="inlineStr">
        <is>
          <t>Mensual</t>
        </is>
      </c>
    </row>
    <row r="1741">
      <c r="A1741" t="inlineStr">
        <is>
          <t>2026-03</t>
        </is>
      </c>
      <c r="B1741" t="inlineStr">
        <is>
          <t>Costa Rica</t>
        </is>
      </c>
      <c r="C1741" t="inlineStr">
        <is>
          <t>Coco Costa Rica</t>
        </is>
      </c>
      <c r="D1741" t="inlineStr">
        <is>
          <t>USD</t>
        </is>
      </c>
      <c r="E1741" t="inlineStr">
        <is>
          <t>Real</t>
        </is>
      </c>
      <c r="F1741" t="inlineStr">
        <is>
          <t>pyg_costo_ventas</t>
        </is>
      </c>
      <c r="G1741" t="inlineStr">
        <is>
          <t>Consolidación USD</t>
        </is>
      </c>
      <c r="I1741" t="n">
        <v>0</v>
      </c>
      <c r="J1741" t="inlineStr">
        <is>
          <t>USD</t>
        </is>
      </c>
      <c r="K1741" t="inlineStr">
        <is>
          <t>Homologado desde auxiliar contable (V5 Marzo 2026 CR.xlsx). Reemplaza fuente previa (modelo/sin dato).</t>
        </is>
      </c>
      <c r="L1741" t="inlineStr">
        <is>
          <t>Internacional</t>
        </is>
      </c>
      <c r="M1741" t="inlineStr">
        <is>
          <t>Finanzas</t>
        </is>
      </c>
      <c r="N1741" t="inlineStr">
        <is>
          <t>Mensual</t>
        </is>
      </c>
    </row>
    <row r="1742">
      <c r="A1742" t="inlineStr">
        <is>
          <t>2026-03</t>
        </is>
      </c>
      <c r="B1742" t="inlineStr">
        <is>
          <t>Costa Rica</t>
        </is>
      </c>
      <c r="C1742" t="inlineStr">
        <is>
          <t>Coco Costa Rica</t>
        </is>
      </c>
      <c r="D1742" t="inlineStr">
        <is>
          <t>USD</t>
        </is>
      </c>
      <c r="E1742" t="inlineStr">
        <is>
          <t>Real</t>
        </is>
      </c>
      <c r="F1742" t="inlineStr">
        <is>
          <t>pyg_gasto_administracion</t>
        </is>
      </c>
      <c r="G1742" t="inlineStr">
        <is>
          <t>Consolidación USD</t>
        </is>
      </c>
      <c r="I1742" t="n">
        <v>2235.83</v>
      </c>
      <c r="J1742" t="inlineStr">
        <is>
          <t>USD</t>
        </is>
      </c>
      <c r="K1742" t="inlineStr">
        <is>
          <t>Homologado desde auxiliar contable (V5 Marzo 2026 CR.xlsx). Reemplaza fuente previa (modelo/sin dato).</t>
        </is>
      </c>
      <c r="L1742" t="inlineStr">
        <is>
          <t>Internacional</t>
        </is>
      </c>
      <c r="M1742" t="inlineStr">
        <is>
          <t>Finanzas</t>
        </is>
      </c>
      <c r="N1742" t="inlineStr">
        <is>
          <t>Mensual</t>
        </is>
      </c>
    </row>
    <row r="1743">
      <c r="A1743" t="inlineStr">
        <is>
          <t>2026-03</t>
        </is>
      </c>
      <c r="B1743" t="inlineStr">
        <is>
          <t>Costa Rica</t>
        </is>
      </c>
      <c r="C1743" t="inlineStr">
        <is>
          <t>Coco Costa Rica</t>
        </is>
      </c>
      <c r="D1743" t="inlineStr">
        <is>
          <t>USD</t>
        </is>
      </c>
      <c r="E1743" t="inlineStr">
        <is>
          <t>Real</t>
        </is>
      </c>
      <c r="F1743" t="inlineStr">
        <is>
          <t>pyg_gasto_ventas</t>
        </is>
      </c>
      <c r="G1743" t="inlineStr">
        <is>
          <t>Consolidación USD</t>
        </is>
      </c>
      <c r="I1743" t="n">
        <v>0</v>
      </c>
      <c r="J1743" t="inlineStr">
        <is>
          <t>USD</t>
        </is>
      </c>
      <c r="K1743" t="inlineStr">
        <is>
          <t>Homologado desde auxiliar contable (V5 Marzo 2026 CR.xlsx). Reemplaza fuente previa (modelo/sin dato).</t>
        </is>
      </c>
      <c r="L1743" t="inlineStr">
        <is>
          <t>Internacional</t>
        </is>
      </c>
      <c r="M1743" t="inlineStr">
        <is>
          <t>Finanzas</t>
        </is>
      </c>
      <c r="N1743" t="inlineStr">
        <is>
          <t>Mensual</t>
        </is>
      </c>
    </row>
    <row r="1744">
      <c r="A1744" t="inlineStr">
        <is>
          <t>2026-03</t>
        </is>
      </c>
      <c r="B1744" t="inlineStr">
        <is>
          <t>Costa Rica</t>
        </is>
      </c>
      <c r="C1744" t="inlineStr">
        <is>
          <t>Coco Costa Rica</t>
        </is>
      </c>
      <c r="D1744" t="inlineStr">
        <is>
          <t>USD</t>
        </is>
      </c>
      <c r="E1744" t="inlineStr">
        <is>
          <t>Real</t>
        </is>
      </c>
      <c r="F1744" t="inlineStr">
        <is>
          <t>pyg_gasto_proyectos</t>
        </is>
      </c>
      <c r="G1744" t="inlineStr">
        <is>
          <t>Consolidación USD</t>
        </is>
      </c>
      <c r="I1744" t="n">
        <v>0</v>
      </c>
      <c r="J1744" t="inlineStr">
        <is>
          <t>USD</t>
        </is>
      </c>
      <c r="K1744" t="inlineStr">
        <is>
          <t>Homologado desde auxiliar contable (V5 Marzo 2026 CR.xlsx). Reemplaza fuente previa (modelo/sin dato).</t>
        </is>
      </c>
      <c r="L1744" t="inlineStr">
        <is>
          <t>Internacional</t>
        </is>
      </c>
      <c r="M1744" t="inlineStr">
        <is>
          <t>Finanzas</t>
        </is>
      </c>
      <c r="N1744" t="inlineStr">
        <is>
          <t>Mensual</t>
        </is>
      </c>
    </row>
    <row r="1745">
      <c r="A1745" t="inlineStr">
        <is>
          <t>2026-03</t>
        </is>
      </c>
      <c r="B1745" t="inlineStr">
        <is>
          <t>Costa Rica</t>
        </is>
      </c>
      <c r="C1745" t="inlineStr">
        <is>
          <t>Coco Costa Rica</t>
        </is>
      </c>
      <c r="D1745" t="inlineStr">
        <is>
          <t>USD</t>
        </is>
      </c>
      <c r="E1745" t="inlineStr">
        <is>
          <t>Real</t>
        </is>
      </c>
      <c r="F1745" t="inlineStr">
        <is>
          <t>pyg_gastos_financieros</t>
        </is>
      </c>
      <c r="G1745" t="inlineStr">
        <is>
          <t>Consolidación USD</t>
        </is>
      </c>
      <c r="I1745" t="n">
        <v>30</v>
      </c>
      <c r="J1745" t="inlineStr">
        <is>
          <t>USD</t>
        </is>
      </c>
      <c r="K1745" t="inlineStr">
        <is>
          <t>Homologado desde auxiliar contable (V5 Marzo 2026 CR.xlsx). Reemplaza fuente previa (modelo/sin dato).</t>
        </is>
      </c>
      <c r="L1745" t="inlineStr">
        <is>
          <t>Internacional</t>
        </is>
      </c>
      <c r="M1745" t="inlineStr">
        <is>
          <t>Finanzas</t>
        </is>
      </c>
      <c r="N1745" t="inlineStr">
        <is>
          <t>Mensual</t>
        </is>
      </c>
    </row>
    <row r="1746">
      <c r="A1746" t="inlineStr">
        <is>
          <t>2026-03</t>
        </is>
      </c>
      <c r="B1746" t="inlineStr">
        <is>
          <t>Costa Rica</t>
        </is>
      </c>
      <c r="C1746" t="inlineStr">
        <is>
          <t>Coco Costa Rica</t>
        </is>
      </c>
      <c r="D1746" t="inlineStr">
        <is>
          <t>USD</t>
        </is>
      </c>
      <c r="E1746" t="inlineStr">
        <is>
          <t>Real</t>
        </is>
      </c>
      <c r="F1746" t="inlineStr">
        <is>
          <t>pyg_utilidad_neta</t>
        </is>
      </c>
      <c r="G1746" t="inlineStr">
        <is>
          <t>Consolidación USD</t>
        </is>
      </c>
      <c r="I1746" t="n">
        <v>-2265.83</v>
      </c>
      <c r="J1746" t="inlineStr">
        <is>
          <t>USD</t>
        </is>
      </c>
      <c r="K1746" t="inlineStr">
        <is>
          <t>Homologado desde auxiliar contable (V5 Marzo 2026 CR.xlsx). Reemplaza fuente previa (modelo/sin dato).</t>
        </is>
      </c>
      <c r="L1746" t="inlineStr">
        <is>
          <t>Internacional</t>
        </is>
      </c>
      <c r="M1746" t="inlineStr">
        <is>
          <t>Finanzas</t>
        </is>
      </c>
      <c r="N1746" t="inlineStr">
        <is>
          <t>Mensual</t>
        </is>
      </c>
    </row>
    <row r="1747">
      <c r="A1747" t="inlineStr">
        <is>
          <t>2026-01</t>
        </is>
      </c>
      <c r="B1747" t="inlineStr">
        <is>
          <t>Perú</t>
        </is>
      </c>
      <c r="C1747" t="inlineStr">
        <is>
          <t>Coco Peru</t>
        </is>
      </c>
      <c r="D1747" t="inlineStr">
        <is>
          <t>USD</t>
        </is>
      </c>
      <c r="E1747" t="inlineStr">
        <is>
          <t>Real</t>
        </is>
      </c>
      <c r="F1747" t="inlineStr">
        <is>
          <t>pyg_ingresos_operacionales</t>
        </is>
      </c>
      <c r="G1747" t="inlineStr">
        <is>
          <t>Consolidación USD</t>
        </is>
      </c>
      <c r="I1747" t="n">
        <v>0</v>
      </c>
      <c r="J1747" t="inlineStr">
        <is>
          <t>USD</t>
        </is>
      </c>
      <c r="K1747" t="inlineStr">
        <is>
          <t>Homologado desde auxiliar contable (Enero 2026 PERU.xlsx). Reemplaza fuente previa (modelo/sin dato).</t>
        </is>
      </c>
      <c r="L1747" t="inlineStr">
        <is>
          <t>Internacional</t>
        </is>
      </c>
      <c r="M1747" t="inlineStr">
        <is>
          <t>Finanzas</t>
        </is>
      </c>
      <c r="N1747" t="inlineStr">
        <is>
          <t>Mensual</t>
        </is>
      </c>
    </row>
    <row r="1748">
      <c r="A1748" t="inlineStr">
        <is>
          <t>2026-01</t>
        </is>
      </c>
      <c r="B1748" t="inlineStr">
        <is>
          <t>Perú</t>
        </is>
      </c>
      <c r="C1748" t="inlineStr">
        <is>
          <t>Coco Peru</t>
        </is>
      </c>
      <c r="D1748" t="inlineStr">
        <is>
          <t>USD</t>
        </is>
      </c>
      <c r="E1748" t="inlineStr">
        <is>
          <t>Real</t>
        </is>
      </c>
      <c r="F1748" t="inlineStr">
        <is>
          <t>pyg_ingresos_no_operacionales</t>
        </is>
      </c>
      <c r="G1748" t="inlineStr">
        <is>
          <t>Consolidación USD</t>
        </is>
      </c>
      <c r="I1748" t="n">
        <v>0</v>
      </c>
      <c r="J1748" t="inlineStr">
        <is>
          <t>USD</t>
        </is>
      </c>
      <c r="K1748" t="inlineStr">
        <is>
          <t>Homologado desde auxiliar contable (Enero 2026 PERU.xlsx). Reemplaza fuente previa (modelo/sin dato).</t>
        </is>
      </c>
      <c r="L1748" t="inlineStr">
        <is>
          <t>Internacional</t>
        </is>
      </c>
      <c r="M1748" t="inlineStr">
        <is>
          <t>Finanzas</t>
        </is>
      </c>
      <c r="N1748" t="inlineStr">
        <is>
          <t>Mensual</t>
        </is>
      </c>
    </row>
    <row r="1749">
      <c r="A1749" t="inlineStr">
        <is>
          <t>2026-01</t>
        </is>
      </c>
      <c r="B1749" t="inlineStr">
        <is>
          <t>Perú</t>
        </is>
      </c>
      <c r="C1749" t="inlineStr">
        <is>
          <t>Coco Peru</t>
        </is>
      </c>
      <c r="D1749" t="inlineStr">
        <is>
          <t>USD</t>
        </is>
      </c>
      <c r="E1749" t="inlineStr">
        <is>
          <t>Real</t>
        </is>
      </c>
      <c r="F1749" t="inlineStr">
        <is>
          <t>pyg_costo_ventas</t>
        </is>
      </c>
      <c r="G1749" t="inlineStr">
        <is>
          <t>Consolidación USD</t>
        </is>
      </c>
      <c r="I1749" t="n">
        <v>0</v>
      </c>
      <c r="J1749" t="inlineStr">
        <is>
          <t>USD</t>
        </is>
      </c>
      <c r="K1749" t="inlineStr">
        <is>
          <t>Homologado desde auxiliar contable (Enero 2026 PERU.xlsx). Reemplaza fuente previa (modelo/sin dato).</t>
        </is>
      </c>
      <c r="L1749" t="inlineStr">
        <is>
          <t>Internacional</t>
        </is>
      </c>
      <c r="M1749" t="inlineStr">
        <is>
          <t>Finanzas</t>
        </is>
      </c>
      <c r="N1749" t="inlineStr">
        <is>
          <t>Mensual</t>
        </is>
      </c>
    </row>
    <row r="1750">
      <c r="A1750" t="inlineStr">
        <is>
          <t>2026-01</t>
        </is>
      </c>
      <c r="B1750" t="inlineStr">
        <is>
          <t>Perú</t>
        </is>
      </c>
      <c r="C1750" t="inlineStr">
        <is>
          <t>Coco Peru</t>
        </is>
      </c>
      <c r="D1750" t="inlineStr">
        <is>
          <t>USD</t>
        </is>
      </c>
      <c r="E1750" t="inlineStr">
        <is>
          <t>Real</t>
        </is>
      </c>
      <c r="F1750" t="inlineStr">
        <is>
          <t>pyg_gasto_administracion</t>
        </is>
      </c>
      <c r="G1750" t="inlineStr">
        <is>
          <t>Consolidación USD</t>
        </is>
      </c>
      <c r="I1750" t="n">
        <v>0</v>
      </c>
      <c r="J1750" t="inlineStr">
        <is>
          <t>USD</t>
        </is>
      </c>
      <c r="K1750" t="inlineStr">
        <is>
          <t>Homologado desde auxiliar contable (Enero 2026 PERU.xlsx). Reemplaza fuente previa (modelo/sin dato).</t>
        </is>
      </c>
      <c r="L1750" t="inlineStr">
        <is>
          <t>Internacional</t>
        </is>
      </c>
      <c r="M1750" t="inlineStr">
        <is>
          <t>Finanzas</t>
        </is>
      </c>
      <c r="N1750" t="inlineStr">
        <is>
          <t>Mensual</t>
        </is>
      </c>
    </row>
    <row r="1751">
      <c r="A1751" t="inlineStr">
        <is>
          <t>2026-01</t>
        </is>
      </c>
      <c r="B1751" t="inlineStr">
        <is>
          <t>Perú</t>
        </is>
      </c>
      <c r="C1751" t="inlineStr">
        <is>
          <t>Coco Peru</t>
        </is>
      </c>
      <c r="D1751" t="inlineStr">
        <is>
          <t>USD</t>
        </is>
      </c>
      <c r="E1751" t="inlineStr">
        <is>
          <t>Real</t>
        </is>
      </c>
      <c r="F1751" t="inlineStr">
        <is>
          <t>pyg_gasto_ventas</t>
        </is>
      </c>
      <c r="G1751" t="inlineStr">
        <is>
          <t>Consolidación USD</t>
        </is>
      </c>
      <c r="I1751" t="n">
        <v>633.6</v>
      </c>
      <c r="J1751" t="inlineStr">
        <is>
          <t>USD</t>
        </is>
      </c>
      <c r="K1751" t="inlineStr">
        <is>
          <t>Homologado desde auxiliar contable (Enero 2026 PERU.xlsx). Reemplaza fuente previa (modelo/sin dato).</t>
        </is>
      </c>
      <c r="L1751" t="inlineStr">
        <is>
          <t>Internacional</t>
        </is>
      </c>
      <c r="M1751" t="inlineStr">
        <is>
          <t>Finanzas</t>
        </is>
      </c>
      <c r="N1751" t="inlineStr">
        <is>
          <t>Mensual</t>
        </is>
      </c>
    </row>
    <row r="1752">
      <c r="A1752" t="inlineStr">
        <is>
          <t>2026-01</t>
        </is>
      </c>
      <c r="B1752" t="inlineStr">
        <is>
          <t>Perú</t>
        </is>
      </c>
      <c r="C1752" t="inlineStr">
        <is>
          <t>Coco Peru</t>
        </is>
      </c>
      <c r="D1752" t="inlineStr">
        <is>
          <t>USD</t>
        </is>
      </c>
      <c r="E1752" t="inlineStr">
        <is>
          <t>Real</t>
        </is>
      </c>
      <c r="F1752" t="inlineStr">
        <is>
          <t>pyg_gasto_proyectos</t>
        </is>
      </c>
      <c r="G1752" t="inlineStr">
        <is>
          <t>Consolidación USD</t>
        </is>
      </c>
      <c r="I1752" t="n">
        <v>0</v>
      </c>
      <c r="J1752" t="inlineStr">
        <is>
          <t>USD</t>
        </is>
      </c>
      <c r="K1752" t="inlineStr">
        <is>
          <t>Homologado desde auxiliar contable (Enero 2026 PERU.xlsx). Reemplaza fuente previa (modelo/sin dato).</t>
        </is>
      </c>
      <c r="L1752" t="inlineStr">
        <is>
          <t>Internacional</t>
        </is>
      </c>
      <c r="M1752" t="inlineStr">
        <is>
          <t>Finanzas</t>
        </is>
      </c>
      <c r="N1752" t="inlineStr">
        <is>
          <t>Mensual</t>
        </is>
      </c>
    </row>
    <row r="1753">
      <c r="A1753" t="inlineStr">
        <is>
          <t>2026-01</t>
        </is>
      </c>
      <c r="B1753" t="inlineStr">
        <is>
          <t>Perú</t>
        </is>
      </c>
      <c r="C1753" t="inlineStr">
        <is>
          <t>Coco Peru</t>
        </is>
      </c>
      <c r="D1753" t="inlineStr">
        <is>
          <t>USD</t>
        </is>
      </c>
      <c r="E1753" t="inlineStr">
        <is>
          <t>Real</t>
        </is>
      </c>
      <c r="F1753" t="inlineStr">
        <is>
          <t>pyg_gastos_financieros</t>
        </is>
      </c>
      <c r="G1753" t="inlineStr">
        <is>
          <t>Consolidación USD</t>
        </is>
      </c>
      <c r="I1753" t="n">
        <v>27.62</v>
      </c>
      <c r="J1753" t="inlineStr">
        <is>
          <t>USD</t>
        </is>
      </c>
      <c r="K1753" t="inlineStr">
        <is>
          <t>Homologado desde auxiliar contable (Enero 2026 PERU.xlsx). Reemplaza fuente previa (modelo/sin dato).</t>
        </is>
      </c>
      <c r="L1753" t="inlineStr">
        <is>
          <t>Internacional</t>
        </is>
      </c>
      <c r="M1753" t="inlineStr">
        <is>
          <t>Finanzas</t>
        </is>
      </c>
      <c r="N1753" t="inlineStr">
        <is>
          <t>Mensual</t>
        </is>
      </c>
    </row>
    <row r="1754">
      <c r="A1754" t="inlineStr">
        <is>
          <t>2026-01</t>
        </is>
      </c>
      <c r="B1754" t="inlineStr">
        <is>
          <t>Perú</t>
        </is>
      </c>
      <c r="C1754" t="inlineStr">
        <is>
          <t>Coco Peru</t>
        </is>
      </c>
      <c r="D1754" t="inlineStr">
        <is>
          <t>USD</t>
        </is>
      </c>
      <c r="E1754" t="inlineStr">
        <is>
          <t>Real</t>
        </is>
      </c>
      <c r="F1754" t="inlineStr">
        <is>
          <t>pyg_utilidad_neta</t>
        </is>
      </c>
      <c r="G1754" t="inlineStr">
        <is>
          <t>Consolidación USD</t>
        </is>
      </c>
      <c r="I1754" t="n">
        <v>-661.22</v>
      </c>
      <c r="J1754" t="inlineStr">
        <is>
          <t>USD</t>
        </is>
      </c>
      <c r="K1754" t="inlineStr">
        <is>
          <t>Homologado desde auxiliar contable (Enero 2026 PERU.xlsx). Reemplaza fuente previa (modelo/sin dato).</t>
        </is>
      </c>
      <c r="L1754" t="inlineStr">
        <is>
          <t>Internacional</t>
        </is>
      </c>
      <c r="M1754" t="inlineStr">
        <is>
          <t>Finanzas</t>
        </is>
      </c>
      <c r="N1754" t="inlineStr">
        <is>
          <t>Mensual</t>
        </is>
      </c>
    </row>
    <row r="1755">
      <c r="A1755" t="inlineStr">
        <is>
          <t>2026-02</t>
        </is>
      </c>
      <c r="B1755" t="inlineStr">
        <is>
          <t>Perú</t>
        </is>
      </c>
      <c r="C1755" t="inlineStr">
        <is>
          <t>Coco Peru</t>
        </is>
      </c>
      <c r="D1755" t="inlineStr">
        <is>
          <t>USD</t>
        </is>
      </c>
      <c r="E1755" t="inlineStr">
        <is>
          <t>Real</t>
        </is>
      </c>
      <c r="F1755" t="inlineStr">
        <is>
          <t>pyg_ingresos_operacionales</t>
        </is>
      </c>
      <c r="G1755" t="inlineStr">
        <is>
          <t>Consolidación USD</t>
        </is>
      </c>
      <c r="I1755" t="n">
        <v>829.52</v>
      </c>
      <c r="J1755" t="inlineStr">
        <is>
          <t>USD</t>
        </is>
      </c>
      <c r="K1755" t="inlineStr">
        <is>
          <t>Homologado desde auxiliar contable (Febrero 2026 PERU.xlsx). Reemplaza fuente previa (modelo/sin dato).</t>
        </is>
      </c>
      <c r="L1755" t="inlineStr">
        <is>
          <t>Internacional</t>
        </is>
      </c>
      <c r="M1755" t="inlineStr">
        <is>
          <t>Finanzas</t>
        </is>
      </c>
      <c r="N1755" t="inlineStr">
        <is>
          <t>Mensual</t>
        </is>
      </c>
    </row>
    <row r="1756">
      <c r="A1756" t="inlineStr">
        <is>
          <t>2026-02</t>
        </is>
      </c>
      <c r="B1756" t="inlineStr">
        <is>
          <t>Perú</t>
        </is>
      </c>
      <c r="C1756" t="inlineStr">
        <is>
          <t>Coco Peru</t>
        </is>
      </c>
      <c r="D1756" t="inlineStr">
        <is>
          <t>USD</t>
        </is>
      </c>
      <c r="E1756" t="inlineStr">
        <is>
          <t>Real</t>
        </is>
      </c>
      <c r="F1756" t="inlineStr">
        <is>
          <t>pyg_ingresos_no_operacionales</t>
        </is>
      </c>
      <c r="G1756" t="inlineStr">
        <is>
          <t>Consolidación USD</t>
        </is>
      </c>
      <c r="I1756" t="n">
        <v>19350.89</v>
      </c>
      <c r="J1756" t="inlineStr">
        <is>
          <t>USD</t>
        </is>
      </c>
      <c r="K1756" t="inlineStr">
        <is>
          <t>Homologado desde auxiliar contable (Febrero 2026 PERU.xlsx). Reemplaza fuente previa (modelo/sin dato).</t>
        </is>
      </c>
      <c r="L1756" t="inlineStr">
        <is>
          <t>Internacional</t>
        </is>
      </c>
      <c r="M1756" t="inlineStr">
        <is>
          <t>Finanzas</t>
        </is>
      </c>
      <c r="N1756" t="inlineStr">
        <is>
          <t>Mensual</t>
        </is>
      </c>
    </row>
    <row r="1757">
      <c r="A1757" t="inlineStr">
        <is>
          <t>2026-02</t>
        </is>
      </c>
      <c r="B1757" t="inlineStr">
        <is>
          <t>Perú</t>
        </is>
      </c>
      <c r="C1757" t="inlineStr">
        <is>
          <t>Coco Peru</t>
        </is>
      </c>
      <c r="D1757" t="inlineStr">
        <is>
          <t>USD</t>
        </is>
      </c>
      <c r="E1757" t="inlineStr">
        <is>
          <t>Real</t>
        </is>
      </c>
      <c r="F1757" t="inlineStr">
        <is>
          <t>pyg_costo_ventas</t>
        </is>
      </c>
      <c r="G1757" t="inlineStr">
        <is>
          <t>Consolidación USD</t>
        </is>
      </c>
      <c r="I1757" t="n">
        <v>0</v>
      </c>
      <c r="J1757" t="inlineStr">
        <is>
          <t>USD</t>
        </is>
      </c>
      <c r="K1757" t="inlineStr">
        <is>
          <t>Homologado desde auxiliar contable (Febrero 2026 PERU.xlsx). Reemplaza fuente previa (modelo/sin dato).</t>
        </is>
      </c>
      <c r="L1757" t="inlineStr">
        <is>
          <t>Internacional</t>
        </is>
      </c>
      <c r="M1757" t="inlineStr">
        <is>
          <t>Finanzas</t>
        </is>
      </c>
      <c r="N1757" t="inlineStr">
        <is>
          <t>Mensual</t>
        </is>
      </c>
    </row>
    <row r="1758">
      <c r="A1758" t="inlineStr">
        <is>
          <t>2026-02</t>
        </is>
      </c>
      <c r="B1758" t="inlineStr">
        <is>
          <t>Perú</t>
        </is>
      </c>
      <c r="C1758" t="inlineStr">
        <is>
          <t>Coco Peru</t>
        </is>
      </c>
      <c r="D1758" t="inlineStr">
        <is>
          <t>USD</t>
        </is>
      </c>
      <c r="E1758" t="inlineStr">
        <is>
          <t>Real</t>
        </is>
      </c>
      <c r="F1758" t="inlineStr">
        <is>
          <t>pyg_gasto_administracion</t>
        </is>
      </c>
      <c r="G1758" t="inlineStr">
        <is>
          <t>Consolidación USD</t>
        </is>
      </c>
      <c r="I1758" t="n">
        <v>254.8</v>
      </c>
      <c r="J1758" t="inlineStr">
        <is>
          <t>USD</t>
        </is>
      </c>
      <c r="K1758" t="inlineStr">
        <is>
          <t>Homologado desde auxiliar contable (Febrero 2026 PERU.xlsx). Reemplaza fuente previa (modelo/sin dato).</t>
        </is>
      </c>
      <c r="L1758" t="inlineStr">
        <is>
          <t>Internacional</t>
        </is>
      </c>
      <c r="M1758" t="inlineStr">
        <is>
          <t>Finanzas</t>
        </is>
      </c>
      <c r="N1758" t="inlineStr">
        <is>
          <t>Mensual</t>
        </is>
      </c>
    </row>
    <row r="1759">
      <c r="A1759" t="inlineStr">
        <is>
          <t>2026-02</t>
        </is>
      </c>
      <c r="B1759" t="inlineStr">
        <is>
          <t>Perú</t>
        </is>
      </c>
      <c r="C1759" t="inlineStr">
        <is>
          <t>Coco Peru</t>
        </is>
      </c>
      <c r="D1759" t="inlineStr">
        <is>
          <t>USD</t>
        </is>
      </c>
      <c r="E1759" t="inlineStr">
        <is>
          <t>Real</t>
        </is>
      </c>
      <c r="F1759" t="inlineStr">
        <is>
          <t>pyg_gasto_ventas</t>
        </is>
      </c>
      <c r="G1759" t="inlineStr">
        <is>
          <t>Consolidación USD</t>
        </is>
      </c>
      <c r="I1759" t="n">
        <v>0</v>
      </c>
      <c r="J1759" t="inlineStr">
        <is>
          <t>USD</t>
        </is>
      </c>
      <c r="K1759" t="inlineStr">
        <is>
          <t>Homologado desde auxiliar contable (Febrero 2026 PERU.xlsx). Reemplaza fuente previa (modelo/sin dato).</t>
        </is>
      </c>
      <c r="L1759" t="inlineStr">
        <is>
          <t>Internacional</t>
        </is>
      </c>
      <c r="M1759" t="inlineStr">
        <is>
          <t>Finanzas</t>
        </is>
      </c>
      <c r="N1759" t="inlineStr">
        <is>
          <t>Mensual</t>
        </is>
      </c>
    </row>
    <row r="1760">
      <c r="A1760" t="inlineStr">
        <is>
          <t>2026-02</t>
        </is>
      </c>
      <c r="B1760" t="inlineStr">
        <is>
          <t>Perú</t>
        </is>
      </c>
      <c r="C1760" t="inlineStr">
        <is>
          <t>Coco Peru</t>
        </is>
      </c>
      <c r="D1760" t="inlineStr">
        <is>
          <t>USD</t>
        </is>
      </c>
      <c r="E1760" t="inlineStr">
        <is>
          <t>Real</t>
        </is>
      </c>
      <c r="F1760" t="inlineStr">
        <is>
          <t>pyg_gasto_proyectos</t>
        </is>
      </c>
      <c r="G1760" t="inlineStr">
        <is>
          <t>Consolidación USD</t>
        </is>
      </c>
      <c r="I1760" t="n">
        <v>0</v>
      </c>
      <c r="J1760" t="inlineStr">
        <is>
          <t>USD</t>
        </is>
      </c>
      <c r="K1760" t="inlineStr">
        <is>
          <t>Homologado desde auxiliar contable (Febrero 2026 PERU.xlsx). Reemplaza fuente previa (modelo/sin dato).</t>
        </is>
      </c>
      <c r="L1760" t="inlineStr">
        <is>
          <t>Internacional</t>
        </is>
      </c>
      <c r="M1760" t="inlineStr">
        <is>
          <t>Finanzas</t>
        </is>
      </c>
      <c r="N1760" t="inlineStr">
        <is>
          <t>Mensual</t>
        </is>
      </c>
    </row>
    <row r="1761">
      <c r="A1761" t="inlineStr">
        <is>
          <t>2026-02</t>
        </is>
      </c>
      <c r="B1761" t="inlineStr">
        <is>
          <t>Perú</t>
        </is>
      </c>
      <c r="C1761" t="inlineStr">
        <is>
          <t>Coco Peru</t>
        </is>
      </c>
      <c r="D1761" t="inlineStr">
        <is>
          <t>USD</t>
        </is>
      </c>
      <c r="E1761" t="inlineStr">
        <is>
          <t>Real</t>
        </is>
      </c>
      <c r="F1761" t="inlineStr">
        <is>
          <t>pyg_gastos_financieros</t>
        </is>
      </c>
      <c r="G1761" t="inlineStr">
        <is>
          <t>Consolidación USD</t>
        </is>
      </c>
      <c r="I1761" t="n">
        <v>28.12</v>
      </c>
      <c r="J1761" t="inlineStr">
        <is>
          <t>USD</t>
        </is>
      </c>
      <c r="K1761" t="inlineStr">
        <is>
          <t>Homologado desde auxiliar contable (Febrero 2026 PERU.xlsx). Reemplaza fuente previa (modelo/sin dato).</t>
        </is>
      </c>
      <c r="L1761" t="inlineStr">
        <is>
          <t>Internacional</t>
        </is>
      </c>
      <c r="M1761" t="inlineStr">
        <is>
          <t>Finanzas</t>
        </is>
      </c>
      <c r="N1761" t="inlineStr">
        <is>
          <t>Mensual</t>
        </is>
      </c>
    </row>
    <row r="1762">
      <c r="A1762" t="inlineStr">
        <is>
          <t>2026-02</t>
        </is>
      </c>
      <c r="B1762" t="inlineStr">
        <is>
          <t>Perú</t>
        </is>
      </c>
      <c r="C1762" t="inlineStr">
        <is>
          <t>Coco Peru</t>
        </is>
      </c>
      <c r="D1762" t="inlineStr">
        <is>
          <t>USD</t>
        </is>
      </c>
      <c r="E1762" t="inlineStr">
        <is>
          <t>Real</t>
        </is>
      </c>
      <c r="F1762" t="inlineStr">
        <is>
          <t>pyg_utilidad_neta</t>
        </is>
      </c>
      <c r="G1762" t="inlineStr">
        <is>
          <t>Consolidación USD</t>
        </is>
      </c>
      <c r="I1762" t="n">
        <v>19897.49</v>
      </c>
      <c r="J1762" t="inlineStr">
        <is>
          <t>USD</t>
        </is>
      </c>
      <c r="K1762" t="inlineStr">
        <is>
          <t>Homologado desde auxiliar contable (Febrero 2026 PERU.xlsx). Reemplaza fuente previa (modelo/sin dato).</t>
        </is>
      </c>
      <c r="L1762" t="inlineStr">
        <is>
          <t>Internacional</t>
        </is>
      </c>
      <c r="M1762" t="inlineStr">
        <is>
          <t>Finanzas</t>
        </is>
      </c>
      <c r="N1762" t="inlineStr">
        <is>
          <t>Mensual</t>
        </is>
      </c>
    </row>
    <row r="1763">
      <c r="A1763" t="inlineStr">
        <is>
          <t>2026-03</t>
        </is>
      </c>
      <c r="B1763" t="inlineStr">
        <is>
          <t>Perú</t>
        </is>
      </c>
      <c r="C1763" t="inlineStr">
        <is>
          <t>Coco Peru</t>
        </is>
      </c>
      <c r="D1763" t="inlineStr">
        <is>
          <t>USD</t>
        </is>
      </c>
      <c r="E1763" t="inlineStr">
        <is>
          <t>Real</t>
        </is>
      </c>
      <c r="F1763" t="inlineStr">
        <is>
          <t>pyg_ingresos_operacionales</t>
        </is>
      </c>
      <c r="G1763" t="inlineStr">
        <is>
          <t>Consolidación USD</t>
        </is>
      </c>
      <c r="I1763" t="n">
        <v>1351.99</v>
      </c>
      <c r="J1763" t="inlineStr">
        <is>
          <t>USD</t>
        </is>
      </c>
      <c r="K1763" t="inlineStr">
        <is>
          <t>Homologado desde auxiliar contable (V4 Marzo 2026 PERU.xlsx). Reemplaza fuente previa (modelo/sin dato).</t>
        </is>
      </c>
      <c r="L1763" t="inlineStr">
        <is>
          <t>Internacional</t>
        </is>
      </c>
      <c r="M1763" t="inlineStr">
        <is>
          <t>Finanzas</t>
        </is>
      </c>
      <c r="N1763" t="inlineStr">
        <is>
          <t>Mensual</t>
        </is>
      </c>
    </row>
    <row r="1764">
      <c r="A1764" t="inlineStr">
        <is>
          <t>2026-03</t>
        </is>
      </c>
      <c r="B1764" t="inlineStr">
        <is>
          <t>Perú</t>
        </is>
      </c>
      <c r="C1764" t="inlineStr">
        <is>
          <t>Coco Peru</t>
        </is>
      </c>
      <c r="D1764" t="inlineStr">
        <is>
          <t>USD</t>
        </is>
      </c>
      <c r="E1764" t="inlineStr">
        <is>
          <t>Real</t>
        </is>
      </c>
      <c r="F1764" t="inlineStr">
        <is>
          <t>pyg_ingresos_no_operacionales</t>
        </is>
      </c>
      <c r="G1764" t="inlineStr">
        <is>
          <t>Consolidación USD</t>
        </is>
      </c>
      <c r="I1764" t="n">
        <v>0</v>
      </c>
      <c r="J1764" t="inlineStr">
        <is>
          <t>USD</t>
        </is>
      </c>
      <c r="K1764" t="inlineStr">
        <is>
          <t>Homologado desde auxiliar contable (V4 Marzo 2026 PERU.xlsx). Reemplaza fuente previa (modelo/sin dato).</t>
        </is>
      </c>
      <c r="L1764" t="inlineStr">
        <is>
          <t>Internacional</t>
        </is>
      </c>
      <c r="M1764" t="inlineStr">
        <is>
          <t>Finanzas</t>
        </is>
      </c>
      <c r="N1764" t="inlineStr">
        <is>
          <t>Mensual</t>
        </is>
      </c>
    </row>
    <row r="1765">
      <c r="A1765" t="inlineStr">
        <is>
          <t>2026-03</t>
        </is>
      </c>
      <c r="B1765" t="inlineStr">
        <is>
          <t>Perú</t>
        </is>
      </c>
      <c r="C1765" t="inlineStr">
        <is>
          <t>Coco Peru</t>
        </is>
      </c>
      <c r="D1765" t="inlineStr">
        <is>
          <t>USD</t>
        </is>
      </c>
      <c r="E1765" t="inlineStr">
        <is>
          <t>Real</t>
        </is>
      </c>
      <c r="F1765" t="inlineStr">
        <is>
          <t>pyg_costo_ventas</t>
        </is>
      </c>
      <c r="G1765" t="inlineStr">
        <is>
          <t>Consolidación USD</t>
        </is>
      </c>
      <c r="I1765" t="n">
        <v>0</v>
      </c>
      <c r="J1765" t="inlineStr">
        <is>
          <t>USD</t>
        </is>
      </c>
      <c r="K1765" t="inlineStr">
        <is>
          <t>Homologado desde auxiliar contable (V4 Marzo 2026 PERU.xlsx). Reemplaza fuente previa (modelo/sin dato).</t>
        </is>
      </c>
      <c r="L1765" t="inlineStr">
        <is>
          <t>Internacional</t>
        </is>
      </c>
      <c r="M1765" t="inlineStr">
        <is>
          <t>Finanzas</t>
        </is>
      </c>
      <c r="N1765" t="inlineStr">
        <is>
          <t>Mensual</t>
        </is>
      </c>
    </row>
    <row r="1766">
      <c r="A1766" t="inlineStr">
        <is>
          <t>2026-03</t>
        </is>
      </c>
      <c r="B1766" t="inlineStr">
        <is>
          <t>Perú</t>
        </is>
      </c>
      <c r="C1766" t="inlineStr">
        <is>
          <t>Coco Peru</t>
        </is>
      </c>
      <c r="D1766" t="inlineStr">
        <is>
          <t>USD</t>
        </is>
      </c>
      <c r="E1766" t="inlineStr">
        <is>
          <t>Real</t>
        </is>
      </c>
      <c r="F1766" t="inlineStr">
        <is>
          <t>pyg_gasto_administracion</t>
        </is>
      </c>
      <c r="G1766" t="inlineStr">
        <is>
          <t>Consolidación USD</t>
        </is>
      </c>
      <c r="I1766" t="n">
        <v>249.49</v>
      </c>
      <c r="J1766" t="inlineStr">
        <is>
          <t>USD</t>
        </is>
      </c>
      <c r="K1766" t="inlineStr">
        <is>
          <t>Homologado desde auxiliar contable (V4 Marzo 2026 PERU.xlsx). Reemplaza fuente previa (modelo/sin dato).</t>
        </is>
      </c>
      <c r="L1766" t="inlineStr">
        <is>
          <t>Internacional</t>
        </is>
      </c>
      <c r="M1766" t="inlineStr">
        <is>
          <t>Finanzas</t>
        </is>
      </c>
      <c r="N1766" t="inlineStr">
        <is>
          <t>Mensual</t>
        </is>
      </c>
    </row>
    <row r="1767">
      <c r="A1767" t="inlineStr">
        <is>
          <t>2026-03</t>
        </is>
      </c>
      <c r="B1767" t="inlineStr">
        <is>
          <t>Perú</t>
        </is>
      </c>
      <c r="C1767" t="inlineStr">
        <is>
          <t>Coco Peru</t>
        </is>
      </c>
      <c r="D1767" t="inlineStr">
        <is>
          <t>USD</t>
        </is>
      </c>
      <c r="E1767" t="inlineStr">
        <is>
          <t>Real</t>
        </is>
      </c>
      <c r="F1767" t="inlineStr">
        <is>
          <t>pyg_gasto_ventas</t>
        </is>
      </c>
      <c r="G1767" t="inlineStr">
        <is>
          <t>Consolidación USD</t>
        </is>
      </c>
      <c r="I1767" t="n">
        <v>799.79</v>
      </c>
      <c r="J1767" t="inlineStr">
        <is>
          <t>USD</t>
        </is>
      </c>
      <c r="K1767" t="inlineStr">
        <is>
          <t>Homologado desde auxiliar contable (V4 Marzo 2026 PERU.xlsx). Reemplaza fuente previa (modelo/sin dato).</t>
        </is>
      </c>
      <c r="L1767" t="inlineStr">
        <is>
          <t>Internacional</t>
        </is>
      </c>
      <c r="M1767" t="inlineStr">
        <is>
          <t>Finanzas</t>
        </is>
      </c>
      <c r="N1767" t="inlineStr">
        <is>
          <t>Mensual</t>
        </is>
      </c>
    </row>
    <row r="1768">
      <c r="A1768" t="inlineStr">
        <is>
          <t>2026-03</t>
        </is>
      </c>
      <c r="B1768" t="inlineStr">
        <is>
          <t>Perú</t>
        </is>
      </c>
      <c r="C1768" t="inlineStr">
        <is>
          <t>Coco Peru</t>
        </is>
      </c>
      <c r="D1768" t="inlineStr">
        <is>
          <t>USD</t>
        </is>
      </c>
      <c r="E1768" t="inlineStr">
        <is>
          <t>Real</t>
        </is>
      </c>
      <c r="F1768" t="inlineStr">
        <is>
          <t>pyg_gasto_proyectos</t>
        </is>
      </c>
      <c r="G1768" t="inlineStr">
        <is>
          <t>Consolidación USD</t>
        </is>
      </c>
      <c r="I1768" t="n">
        <v>0</v>
      </c>
      <c r="J1768" t="inlineStr">
        <is>
          <t>USD</t>
        </is>
      </c>
      <c r="K1768" t="inlineStr">
        <is>
          <t>Homologado desde auxiliar contable (V4 Marzo 2026 PERU.xlsx). Reemplaza fuente previa (modelo/sin dato).</t>
        </is>
      </c>
      <c r="L1768" t="inlineStr">
        <is>
          <t>Internacional</t>
        </is>
      </c>
      <c r="M1768" t="inlineStr">
        <is>
          <t>Finanzas</t>
        </is>
      </c>
      <c r="N1768" t="inlineStr">
        <is>
          <t>Mensual</t>
        </is>
      </c>
    </row>
    <row r="1769">
      <c r="A1769" t="inlineStr">
        <is>
          <t>2026-03</t>
        </is>
      </c>
      <c r="B1769" t="inlineStr">
        <is>
          <t>Perú</t>
        </is>
      </c>
      <c r="C1769" t="inlineStr">
        <is>
          <t>Coco Peru</t>
        </is>
      </c>
      <c r="D1769" t="inlineStr">
        <is>
          <t>USD</t>
        </is>
      </c>
      <c r="E1769" t="inlineStr">
        <is>
          <t>Real</t>
        </is>
      </c>
      <c r="F1769" t="inlineStr">
        <is>
          <t>pyg_gastos_financieros</t>
        </is>
      </c>
      <c r="G1769" t="inlineStr">
        <is>
          <t>Consolidación USD</t>
        </is>
      </c>
      <c r="I1769" t="n">
        <v>26.44</v>
      </c>
      <c r="J1769" t="inlineStr">
        <is>
          <t>USD</t>
        </is>
      </c>
      <c r="K1769" t="inlineStr">
        <is>
          <t>Homologado desde auxiliar contable (V4 Marzo 2026 PERU.xlsx). Reemplaza fuente previa (modelo/sin dato).</t>
        </is>
      </c>
      <c r="L1769" t="inlineStr">
        <is>
          <t>Internacional</t>
        </is>
      </c>
      <c r="M1769" t="inlineStr">
        <is>
          <t>Finanzas</t>
        </is>
      </c>
      <c r="N1769" t="inlineStr">
        <is>
          <t>Mensual</t>
        </is>
      </c>
    </row>
    <row r="1770">
      <c r="A1770" t="inlineStr">
        <is>
          <t>2026-03</t>
        </is>
      </c>
      <c r="B1770" t="inlineStr">
        <is>
          <t>Perú</t>
        </is>
      </c>
      <c r="C1770" t="inlineStr">
        <is>
          <t>Coco Peru</t>
        </is>
      </c>
      <c r="D1770" t="inlineStr">
        <is>
          <t>USD</t>
        </is>
      </c>
      <c r="E1770" t="inlineStr">
        <is>
          <t>Real</t>
        </is>
      </c>
      <c r="F1770" t="inlineStr">
        <is>
          <t>pyg_utilidad_neta</t>
        </is>
      </c>
      <c r="G1770" t="inlineStr">
        <is>
          <t>Consolidación USD</t>
        </is>
      </c>
      <c r="I1770" t="n">
        <v>276.26</v>
      </c>
      <c r="J1770" t="inlineStr">
        <is>
          <t>USD</t>
        </is>
      </c>
      <c r="K1770" t="inlineStr">
        <is>
          <t>Homologado desde auxiliar contable (V4 Marzo 2026 PERU.xlsx). Reemplaza fuente previa (modelo/sin dato).</t>
        </is>
      </c>
      <c r="L1770" t="inlineStr">
        <is>
          <t>Internacional</t>
        </is>
      </c>
      <c r="M1770" t="inlineStr">
        <is>
          <t>Finanzas</t>
        </is>
      </c>
      <c r="N1770" t="inlineStr">
        <is>
          <t>Mensual</t>
        </is>
      </c>
    </row>
    <row r="1771">
      <c r="A1771" t="inlineStr">
        <is>
          <t>2026-07</t>
        </is>
      </c>
      <c r="B1771" t="inlineStr">
        <is>
          <t>Colombia</t>
        </is>
      </c>
      <c r="C1771" t="inlineStr">
        <is>
          <t>Coco Colombia</t>
        </is>
      </c>
      <c r="D1771" t="inlineStr">
        <is>
          <t>COP</t>
        </is>
      </c>
      <c r="E1771" t="inlineStr">
        <is>
          <t>Real</t>
        </is>
      </c>
      <c r="F1771" t="inlineStr">
        <is>
          <t>retained_mrr</t>
        </is>
      </c>
      <c r="I1771" t="n">
        <v>316310847.01</v>
      </c>
      <c r="J1771" t="inlineStr">
        <is>
          <t>COP</t>
        </is>
      </c>
      <c r="K1771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N1771" t="inlineStr">
        <is>
          <t>Mensual</t>
        </is>
      </c>
    </row>
    <row r="1772">
      <c r="A1772" t="inlineStr">
        <is>
          <t>2026-07</t>
        </is>
      </c>
      <c r="B1772" t="inlineStr">
        <is>
          <t>Colombia</t>
        </is>
      </c>
      <c r="C1772" t="inlineStr">
        <is>
          <t>Coco Colombia</t>
        </is>
      </c>
      <c r="D1772" t="inlineStr">
        <is>
          <t>COP</t>
        </is>
      </c>
      <c r="E1772" t="inlineStr">
        <is>
          <t>Real</t>
        </is>
      </c>
      <c r="F1772" t="inlineStr">
        <is>
          <t>new_mrr</t>
        </is>
      </c>
      <c r="I1772" t="n">
        <v>9249060</v>
      </c>
      <c r="J1772" t="inlineStr">
        <is>
          <t>COP</t>
        </is>
      </c>
      <c r="K1772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N1772" t="inlineStr">
        <is>
          <t>Mensual</t>
        </is>
      </c>
    </row>
    <row r="1773">
      <c r="A1773" t="inlineStr">
        <is>
          <t>2026-07</t>
        </is>
      </c>
      <c r="B1773" t="inlineStr">
        <is>
          <t>Colombia</t>
        </is>
      </c>
      <c r="C1773" t="inlineStr">
        <is>
          <t>Coco Colombia</t>
        </is>
      </c>
      <c r="D1773" t="inlineStr">
        <is>
          <t>COP</t>
        </is>
      </c>
      <c r="E1773" t="inlineStr">
        <is>
          <t>Real</t>
        </is>
      </c>
      <c r="F1773" t="inlineStr">
        <is>
          <t>reactivacion_mrr</t>
        </is>
      </c>
      <c r="I1773" t="n">
        <v>0</v>
      </c>
      <c r="J1773" t="inlineStr">
        <is>
          <t>COP</t>
        </is>
      </c>
      <c r="K1773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N1773" t="inlineStr">
        <is>
          <t>Mensual</t>
        </is>
      </c>
    </row>
    <row r="1774">
      <c r="A1774" t="inlineStr">
        <is>
          <t>2026-07</t>
        </is>
      </c>
      <c r="B1774" t="inlineStr">
        <is>
          <t>Colombia</t>
        </is>
      </c>
      <c r="C1774" t="inlineStr">
        <is>
          <t>Coco Colombia</t>
        </is>
      </c>
      <c r="D1774" t="inlineStr">
        <is>
          <t>COP</t>
        </is>
      </c>
      <c r="E1774" t="inlineStr">
        <is>
          <t>Real</t>
        </is>
      </c>
      <c r="F1774" t="inlineStr">
        <is>
          <t>expansion_mrr</t>
        </is>
      </c>
      <c r="I1774" t="n">
        <v>14828121.53</v>
      </c>
      <c r="J1774" t="inlineStr">
        <is>
          <t>COP</t>
        </is>
      </c>
      <c r="K1774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N1774" t="inlineStr">
        <is>
          <t>Mensual</t>
        </is>
      </c>
    </row>
    <row r="1775">
      <c r="A1775" t="inlineStr">
        <is>
          <t>2026-07</t>
        </is>
      </c>
      <c r="B1775" t="inlineStr">
        <is>
          <t>Colombia</t>
        </is>
      </c>
      <c r="C1775" t="inlineStr">
        <is>
          <t>Coco Colombia</t>
        </is>
      </c>
      <c r="D1775" t="inlineStr">
        <is>
          <t>COP</t>
        </is>
      </c>
      <c r="E1775" t="inlineStr">
        <is>
          <t>Real</t>
        </is>
      </c>
      <c r="F1775" t="inlineStr">
        <is>
          <t>contraction_mrr</t>
        </is>
      </c>
      <c r="I1775" t="n">
        <v>-43146257.94</v>
      </c>
      <c r="J1775" t="inlineStr">
        <is>
          <t>COP</t>
        </is>
      </c>
      <c r="K1775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N1775" t="inlineStr">
        <is>
          <t>Mensual</t>
        </is>
      </c>
    </row>
    <row r="1776">
      <c r="A1776" t="inlineStr">
        <is>
          <t>2026-07</t>
        </is>
      </c>
      <c r="B1776" t="inlineStr">
        <is>
          <t>Colombia</t>
        </is>
      </c>
      <c r="C1776" t="inlineStr">
        <is>
          <t>Coco Colombia</t>
        </is>
      </c>
      <c r="D1776" t="inlineStr">
        <is>
          <t>COP</t>
        </is>
      </c>
      <c r="E1776" t="inlineStr">
        <is>
          <t>Real</t>
        </is>
      </c>
      <c r="F1776" t="inlineStr">
        <is>
          <t>churned_mrr</t>
        </is>
      </c>
      <c r="I1776" t="n">
        <v>-37681670</v>
      </c>
      <c r="J1776" t="inlineStr">
        <is>
          <t>COP</t>
        </is>
      </c>
      <c r="K1776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N1776" t="inlineStr">
        <is>
          <t>Mensual</t>
        </is>
      </c>
    </row>
    <row r="1777">
      <c r="A1777" t="inlineStr">
        <is>
          <t>2026-06</t>
        </is>
      </c>
      <c r="B1777" t="inlineStr">
        <is>
          <t>Colombia</t>
        </is>
      </c>
      <c r="C1777" t="inlineStr">
        <is>
          <t>Coco Colombia</t>
        </is>
      </c>
      <c r="D1777" t="inlineStr">
        <is>
          <t>COP</t>
        </is>
      </c>
      <c r="E1777" t="inlineStr">
        <is>
          <t>Real</t>
        </is>
      </c>
      <c r="F1777" t="inlineStr">
        <is>
          <t>mrr_final</t>
        </is>
      </c>
      <c r="I1777" t="n">
        <v>759860184.11</v>
      </c>
      <c r="J1777" t="inlineStr">
        <is>
          <t>COP</t>
        </is>
      </c>
      <c r="K1777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N1777" t="inlineStr">
        <is>
          <t>Mensual</t>
        </is>
      </c>
    </row>
    <row r="1778">
      <c r="A1778" t="inlineStr">
        <is>
          <t>2026-07</t>
        </is>
      </c>
      <c r="B1778" t="inlineStr">
        <is>
          <t>Colombia</t>
        </is>
      </c>
      <c r="C1778" t="inlineStr">
        <is>
          <t>Coco Colombia</t>
        </is>
      </c>
      <c r="D1778" t="inlineStr">
        <is>
          <t>COP</t>
        </is>
      </c>
      <c r="E1778" t="inlineStr">
        <is>
          <t>Real</t>
        </is>
      </c>
      <c r="F1778" t="inlineStr">
        <is>
          <t>mrr_final</t>
        </is>
      </c>
      <c r="I1778" t="n">
        <v>703109437.7</v>
      </c>
      <c r="J1778" t="inlineStr">
        <is>
          <t>COP</t>
        </is>
      </c>
      <c r="K1778" t="inlineStr">
        <is>
          <t>MRR recurrente = VENCIDA (mes anterior) + CORRIENTE (mes en curso) por cliente. Caja Costa Rica reclasificada como one-off, fuera de MRR y ARR. Fuente: Analisis_MRR_Junio_Julio.xlsx, hoja Base (115 clientes).</t>
        </is>
      </c>
      <c r="N1778" t="inlineStr">
        <is>
          <t>Mensual</t>
        </is>
      </c>
    </row>
    <row r="1779">
      <c r="A1779" t="inlineStr">
        <is>
          <t>2026-06</t>
        </is>
      </c>
      <c r="B1779" t="inlineStr">
        <is>
          <t>Colombia</t>
        </is>
      </c>
      <c r="C1779" t="inlineStr">
        <is>
          <t>Coco Colombia</t>
        </is>
      </c>
      <c r="D1779" t="inlineStr">
        <is>
          <t>COP</t>
        </is>
      </c>
      <c r="E1779" t="inlineStr">
        <is>
          <t>Real</t>
        </is>
      </c>
      <c r="F1779" t="inlineStr">
        <is>
          <t>arr_mrr</t>
        </is>
      </c>
      <c r="J1779" t="inlineStr">
        <is>
          <t>COP</t>
        </is>
      </c>
      <c r="K1779" t="inlineStr">
        <is>
          <t>RETIRADO el 27-ago-2026: definicion distinta a la vigente. El valor anterior queda en BD_TRAZABILIDAD_COCO, hoja MRR_Cartera_Reemplazado.</t>
        </is>
      </c>
      <c r="N1779" t="inlineStr">
        <is>
          <t>Mensual</t>
        </is>
      </c>
    </row>
    <row r="1780">
      <c r="A1780" t="inlineStr">
        <is>
          <t>2026-07</t>
        </is>
      </c>
      <c r="B1780" t="inlineStr">
        <is>
          <t>Colombia</t>
        </is>
      </c>
      <c r="C1780" t="inlineStr">
        <is>
          <t>Coco Colombia</t>
        </is>
      </c>
      <c r="D1780" t="inlineStr">
        <is>
          <t>COP</t>
        </is>
      </c>
      <c r="E1780" t="inlineStr">
        <is>
          <t>Real</t>
        </is>
      </c>
      <c r="F1780" t="inlineStr">
        <is>
          <t>arr_mrr</t>
        </is>
      </c>
      <c r="I1780" t="n">
        <v>8595360796.23</v>
      </c>
      <c r="J1780" t="inlineStr">
        <is>
          <t>COP</t>
        </is>
      </c>
      <c r="K1780" t="inlineStr">
        <is>
          <t>ARR = MRR promedio ene-jul 2026 x 12. Antes se calculaba como ultimo mes x 12; el cambio de definicion se decidio el 27-ago-2026.</t>
        </is>
      </c>
      <c r="N1780" t="inlineStr">
        <is>
          <t>Mensual</t>
        </is>
      </c>
    </row>
    <row r="1781">
      <c r="A1781" t="inlineStr">
        <is>
          <t>2026-07</t>
        </is>
      </c>
      <c r="B1781" t="inlineStr">
        <is>
          <t>Colombia</t>
        </is>
      </c>
      <c r="C1781" t="inlineStr">
        <is>
          <t>Coco Colombia</t>
        </is>
      </c>
      <c r="D1781" t="inlineStr">
        <is>
          <t>COP</t>
        </is>
      </c>
      <c r="E1781" t="inlineStr">
        <is>
          <t>Real</t>
        </is>
      </c>
      <c r="F1781" t="inlineStr">
        <is>
          <t>cartera_total</t>
        </is>
      </c>
      <c r="I1781" t="n">
        <v>1535916157.5</v>
      </c>
      <c r="J1781" t="inlineStr">
        <is>
          <t>COP</t>
        </is>
      </c>
      <c r="K1781" t="inlineStr">
        <is>
          <t>Cartera al 31-jul-2026, recibida en USD y convertida con la TRM de julio (3.268,95). Reemplaza la conversion anterior, que uso 3.505,2683 --la TRM de junio-- y dejaba la cifra 7,2%% inflada.</t>
        </is>
      </c>
      <c r="N1781" t="inlineStr">
        <is>
          <t>Mensual</t>
        </is>
      </c>
    </row>
    <row r="1782">
      <c r="A1782" t="inlineStr">
        <is>
          <t>2026-07</t>
        </is>
      </c>
      <c r="B1782" t="inlineStr">
        <is>
          <t>Colombia</t>
        </is>
      </c>
      <c r="C1782" t="inlineStr">
        <is>
          <t>Coco Colombia</t>
        </is>
      </c>
      <c r="D1782" t="inlineStr">
        <is>
          <t>COP</t>
        </is>
      </c>
      <c r="E1782" t="inlineStr">
        <is>
          <t>Real</t>
        </is>
      </c>
      <c r="F1782" t="inlineStr">
        <is>
          <t>cartera_vencida</t>
        </is>
      </c>
      <c r="I1782" t="n">
        <v>639060111.3</v>
      </c>
      <c r="J1782" t="inlineStr">
        <is>
          <t>COP</t>
        </is>
      </c>
      <c r="K1782" t="inlineStr">
        <is>
          <t>Cartera al 31-jul-2026, recibida en USD y convertida con la TRM de julio (3.268,95). Reemplaza la conversion anterior, que uso 3.505,2683 --la TRM de junio-- y dejaba la cifra 7,2%% inflada.</t>
        </is>
      </c>
      <c r="N1782" t="inlineStr">
        <is>
          <t>Mensual</t>
        </is>
      </c>
    </row>
    <row r="1783">
      <c r="A1783" t="inlineStr">
        <is>
          <t>2026-07</t>
        </is>
      </c>
      <c r="B1783" t="inlineStr">
        <is>
          <t>Colombia</t>
        </is>
      </c>
      <c r="C1783" t="inlineStr">
        <is>
          <t>Coco Colombia</t>
        </is>
      </c>
      <c r="D1783" t="inlineStr">
        <is>
          <t>COP</t>
        </is>
      </c>
      <c r="E1783" t="inlineStr">
        <is>
          <t>Real</t>
        </is>
      </c>
      <c r="F1783" t="inlineStr">
        <is>
          <t>cartera_sana</t>
        </is>
      </c>
      <c r="I1783" t="n">
        <v>896852777.25</v>
      </c>
      <c r="J1783" t="inlineStr">
        <is>
          <t>COP</t>
        </is>
      </c>
      <c r="K1783" t="inlineStr">
        <is>
          <t>Cartera al 31-jul-2026, recibida en USD y convertida con la TRM de julio (3.268,95). Reemplaza la conversion anterior, que uso 3.505,2683 --la TRM de junio-- y dejaba la cifra 7,2%% inflada.</t>
        </is>
      </c>
      <c r="N1783" t="inlineStr">
        <is>
          <t>Mensual</t>
        </is>
      </c>
    </row>
    <row r="1784">
      <c r="A1784" t="inlineStr">
        <is>
          <t>2026-07</t>
        </is>
      </c>
      <c r="B1784" t="inlineStr">
        <is>
          <t>Colombia</t>
        </is>
      </c>
      <c r="C1784" t="inlineStr">
        <is>
          <t>Coco Colombia</t>
        </is>
      </c>
      <c r="D1784" t="inlineStr">
        <is>
          <t>COP</t>
        </is>
      </c>
      <c r="E1784" t="inlineStr">
        <is>
          <t>Real</t>
        </is>
      </c>
      <c r="F1784" t="inlineStr">
        <is>
          <t>dso</t>
        </is>
      </c>
      <c r="I1784" t="n">
        <v>58</v>
      </c>
      <c r="J1784" t="inlineStr">
        <is>
          <t>días</t>
        </is>
      </c>
      <c r="K1784" t="inlineStr">
        <is>
          <t>Cartera al 31-jul-2026. Fuente: Analisis_MRR_Junio_Julio.xlsx.</t>
        </is>
      </c>
      <c r="N1784" t="inlineStr">
        <is>
          <t>Mensual</t>
        </is>
      </c>
    </row>
    <row r="1785">
      <c r="A1785" t="inlineStr">
        <is>
          <t>2026-07</t>
        </is>
      </c>
      <c r="B1785" t="inlineStr">
        <is>
          <t>Colombia</t>
        </is>
      </c>
      <c r="C1785" t="inlineStr">
        <is>
          <t>Coco Colombia</t>
        </is>
      </c>
      <c r="D1785" t="inlineStr">
        <is>
          <t>COP</t>
        </is>
      </c>
      <c r="E1785" t="inlineStr">
        <is>
          <t>Real</t>
        </is>
      </c>
      <c r="F1785" t="inlineStr">
        <is>
          <t>cartera_cobro_legal</t>
        </is>
      </c>
      <c r="I1785" t="n">
        <v>53421180.9</v>
      </c>
      <c r="J1785" t="inlineStr">
        <is>
          <t>COP</t>
        </is>
      </c>
      <c r="K1785" t="inlineStr">
        <is>
          <t>Cartera al 31-jul-2026, recibida en USD y convertida con la TRM de julio (3.268,95). Reemplaza la conversion anterior, que uso 3.505,2683 --la TRM de junio-- y dejaba la cifra 7,2%% inflada.</t>
        </is>
      </c>
      <c r="N1785" t="inlineStr">
        <is>
          <t>Mensual</t>
        </is>
      </c>
    </row>
    <row r="1786">
      <c r="A1786" t="inlineStr">
        <is>
          <t>2026-07</t>
        </is>
      </c>
      <c r="B1786" t="inlineStr">
        <is>
          <t>Colombia</t>
        </is>
      </c>
      <c r="C1786" t="inlineStr">
        <is>
          <t>Coco Colombia</t>
        </is>
      </c>
      <c r="D1786" t="inlineStr">
        <is>
          <t>COP</t>
        </is>
      </c>
      <c r="E1786" t="inlineStr">
        <is>
          <t>Real</t>
        </is>
      </c>
      <c r="F1786" t="inlineStr">
        <is>
          <t>cartera_mayor_60_pct</t>
        </is>
      </c>
      <c r="I1786" t="n">
        <v>7</v>
      </c>
      <c r="J1786" t="inlineStr">
        <is>
          <t>%</t>
        </is>
      </c>
      <c r="K1786" t="inlineStr">
        <is>
          <t>Cartera al 31-jul-2026.</t>
        </is>
      </c>
      <c r="N1786" t="inlineStr">
        <is>
          <t>Mensual</t>
        </is>
      </c>
    </row>
    <row r="1787">
      <c r="A1787" t="inlineStr">
        <is>
          <t>2026-07</t>
        </is>
      </c>
      <c r="B1787" t="inlineStr">
        <is>
          <t>Colombia</t>
        </is>
      </c>
      <c r="C1787" t="inlineStr">
        <is>
          <t>Coco Colombia</t>
        </is>
      </c>
      <c r="D1787" t="inlineStr">
        <is>
          <t>COP</t>
        </is>
      </c>
      <c r="E1787" t="inlineStr">
        <is>
          <t>Real</t>
        </is>
      </c>
      <c r="F1787" t="inlineStr">
        <is>
          <t>write_off_ratio</t>
        </is>
      </c>
      <c r="I1787" t="n">
        <v>0.22</v>
      </c>
      <c r="J1787" t="inlineStr">
        <is>
          <t>%</t>
        </is>
      </c>
      <c r="K1787" t="inlineStr">
        <is>
          <t>Cartera al 31-jul-2026.</t>
        </is>
      </c>
      <c r="N1787" t="inlineStr">
        <is>
          <t>Mensual</t>
        </is>
      </c>
    </row>
    <row r="1788">
      <c r="A1788" t="inlineStr">
        <is>
          <t>2026-07</t>
        </is>
      </c>
      <c r="B1788" t="inlineStr">
        <is>
          <t>Colombia</t>
        </is>
      </c>
      <c r="C1788" t="inlineStr">
        <is>
          <t>Coco Colombia</t>
        </is>
      </c>
      <c r="D1788" t="inlineStr">
        <is>
          <t>COP</t>
        </is>
      </c>
      <c r="E1788" t="inlineStr">
        <is>
          <t>Real</t>
        </is>
      </c>
      <c r="F1788" t="inlineStr">
        <is>
          <t>gasto_admin</t>
        </is>
      </c>
      <c r="H1788" t="inlineStr">
        <is>
          <t>Personal</t>
        </is>
      </c>
      <c r="I1788" t="n">
        <v>60719000</v>
      </c>
      <c r="J1788" t="inlineStr">
        <is>
          <t>COP</t>
        </is>
      </c>
      <c r="K1788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88" t="inlineStr">
        <is>
          <t>Mensual</t>
        </is>
      </c>
    </row>
    <row r="1789">
      <c r="A1789" t="inlineStr">
        <is>
          <t>2026-07</t>
        </is>
      </c>
      <c r="B1789" t="inlineStr">
        <is>
          <t>Colombia</t>
        </is>
      </c>
      <c r="C1789" t="inlineStr">
        <is>
          <t>Coco Colombia</t>
        </is>
      </c>
      <c r="D1789" t="inlineStr">
        <is>
          <t>COP</t>
        </is>
      </c>
      <c r="E1789" t="inlineStr">
        <is>
          <t>Real</t>
        </is>
      </c>
      <c r="F1789" t="inlineStr">
        <is>
          <t>gasto_admin</t>
        </is>
      </c>
      <c r="H1789" t="inlineStr">
        <is>
          <t>Honorarios</t>
        </is>
      </c>
      <c r="I1789" t="n">
        <v>7656122</v>
      </c>
      <c r="J1789" t="inlineStr">
        <is>
          <t>COP</t>
        </is>
      </c>
      <c r="K1789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89" t="inlineStr">
        <is>
          <t>Mensual</t>
        </is>
      </c>
    </row>
    <row r="1790">
      <c r="A1790" t="inlineStr">
        <is>
          <t>2026-07</t>
        </is>
      </c>
      <c r="B1790" t="inlineStr">
        <is>
          <t>Colombia</t>
        </is>
      </c>
      <c r="C1790" t="inlineStr">
        <is>
          <t>Coco Colombia</t>
        </is>
      </c>
      <c r="D1790" t="inlineStr">
        <is>
          <t>COP</t>
        </is>
      </c>
      <c r="E1790" t="inlineStr">
        <is>
          <t>Real</t>
        </is>
      </c>
      <c r="F1790" t="inlineStr">
        <is>
          <t>gasto_admin</t>
        </is>
      </c>
      <c r="H1790" t="inlineStr">
        <is>
          <t>Arrendamiento</t>
        </is>
      </c>
      <c r="I1790" t="n">
        <v>10446087</v>
      </c>
      <c r="J1790" t="inlineStr">
        <is>
          <t>COP</t>
        </is>
      </c>
      <c r="K1790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0" t="inlineStr">
        <is>
          <t>Mensual</t>
        </is>
      </c>
    </row>
    <row r="1791">
      <c r="A1791" t="inlineStr">
        <is>
          <t>2026-07</t>
        </is>
      </c>
      <c r="B1791" t="inlineStr">
        <is>
          <t>Colombia</t>
        </is>
      </c>
      <c r="C1791" t="inlineStr">
        <is>
          <t>Coco Colombia</t>
        </is>
      </c>
      <c r="D1791" t="inlineStr">
        <is>
          <t>COP</t>
        </is>
      </c>
      <c r="E1791" t="inlineStr">
        <is>
          <t>Real</t>
        </is>
      </c>
      <c r="F1791" t="inlineStr">
        <is>
          <t>gasto_admin</t>
        </is>
      </c>
      <c r="H1791" t="inlineStr">
        <is>
          <t>Seguros</t>
        </is>
      </c>
      <c r="I1791" t="n">
        <v>1206094</v>
      </c>
      <c r="J1791" t="inlineStr">
        <is>
          <t>COP</t>
        </is>
      </c>
      <c r="K1791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1" t="inlineStr">
        <is>
          <t>Mensual</t>
        </is>
      </c>
    </row>
    <row r="1792">
      <c r="A1792" t="inlineStr">
        <is>
          <t>2026-07</t>
        </is>
      </c>
      <c r="B1792" t="inlineStr">
        <is>
          <t>Colombia</t>
        </is>
      </c>
      <c r="C1792" t="inlineStr">
        <is>
          <t>Coco Colombia</t>
        </is>
      </c>
      <c r="D1792" t="inlineStr">
        <is>
          <t>COP</t>
        </is>
      </c>
      <c r="E1792" t="inlineStr">
        <is>
          <t>Real</t>
        </is>
      </c>
      <c r="F1792" t="inlineStr">
        <is>
          <t>gasto_admin</t>
        </is>
      </c>
      <c r="H1792" t="inlineStr">
        <is>
          <t>Servicios</t>
        </is>
      </c>
      <c r="I1792" t="n">
        <v>3828607</v>
      </c>
      <c r="J1792" t="inlineStr">
        <is>
          <t>COP</t>
        </is>
      </c>
      <c r="K1792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2" t="inlineStr">
        <is>
          <t>Mensual</t>
        </is>
      </c>
    </row>
    <row r="1793">
      <c r="A1793" t="inlineStr">
        <is>
          <t>2026-07</t>
        </is>
      </c>
      <c r="B1793" t="inlineStr">
        <is>
          <t>Colombia</t>
        </is>
      </c>
      <c r="C1793" t="inlineStr">
        <is>
          <t>Coco Colombia</t>
        </is>
      </c>
      <c r="D1793" t="inlineStr">
        <is>
          <t>COP</t>
        </is>
      </c>
      <c r="E1793" t="inlineStr">
        <is>
          <t>Real</t>
        </is>
      </c>
      <c r="F1793" t="inlineStr">
        <is>
          <t>gasto_admin</t>
        </is>
      </c>
      <c r="H1793" t="inlineStr">
        <is>
          <t>Viajes</t>
        </is>
      </c>
      <c r="I1793" t="n">
        <v>11391185</v>
      </c>
      <c r="J1793" t="inlineStr">
        <is>
          <t>COP</t>
        </is>
      </c>
      <c r="K1793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3" t="inlineStr">
        <is>
          <t>Mensual</t>
        </is>
      </c>
    </row>
    <row r="1794">
      <c r="A1794" t="inlineStr">
        <is>
          <t>2026-07</t>
        </is>
      </c>
      <c r="B1794" t="inlineStr">
        <is>
          <t>Colombia</t>
        </is>
      </c>
      <c r="C1794" t="inlineStr">
        <is>
          <t>Coco Colombia</t>
        </is>
      </c>
      <c r="D1794" t="inlineStr">
        <is>
          <t>COP</t>
        </is>
      </c>
      <c r="E1794" t="inlineStr">
        <is>
          <t>Real</t>
        </is>
      </c>
      <c r="F1794" t="inlineStr">
        <is>
          <t>costo_proveedor</t>
        </is>
      </c>
      <c r="H1794" t="inlineStr">
        <is>
          <t>Infobip</t>
        </is>
      </c>
      <c r="I1794" t="n">
        <v>93796468</v>
      </c>
      <c r="J1794" t="inlineStr">
        <is>
          <t>COP</t>
        </is>
      </c>
      <c r="K1794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4" t="inlineStr">
        <is>
          <t>Mensual</t>
        </is>
      </c>
    </row>
    <row r="1795">
      <c r="A1795" t="inlineStr">
        <is>
          <t>2026-07</t>
        </is>
      </c>
      <c r="B1795" t="inlineStr">
        <is>
          <t>Colombia</t>
        </is>
      </c>
      <c r="C1795" t="inlineStr">
        <is>
          <t>Coco Colombia</t>
        </is>
      </c>
      <c r="D1795" t="inlineStr">
        <is>
          <t>COP</t>
        </is>
      </c>
      <c r="E1795" t="inlineStr">
        <is>
          <t>Real</t>
        </is>
      </c>
      <c r="F1795" t="inlineStr">
        <is>
          <t>costo_proveedor</t>
        </is>
      </c>
      <c r="H1795" t="inlineStr">
        <is>
          <t>B2Chat</t>
        </is>
      </c>
      <c r="I1795" t="n">
        <v>20973084</v>
      </c>
      <c r="J1795" t="inlineStr">
        <is>
          <t>COP</t>
        </is>
      </c>
      <c r="K1795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5" t="inlineStr">
        <is>
          <t>Mensual</t>
        </is>
      </c>
    </row>
    <row r="1796">
      <c r="A1796" t="inlineStr">
        <is>
          <t>2026-07</t>
        </is>
      </c>
      <c r="B1796" t="inlineStr">
        <is>
          <t>Colombia</t>
        </is>
      </c>
      <c r="C1796" t="inlineStr">
        <is>
          <t>Coco Colombia</t>
        </is>
      </c>
      <c r="D1796" t="inlineStr">
        <is>
          <t>COP</t>
        </is>
      </c>
      <c r="E1796" t="inlineStr">
        <is>
          <t>Real</t>
        </is>
      </c>
      <c r="F1796" t="inlineStr">
        <is>
          <t>gasto_comercial</t>
        </is>
      </c>
      <c r="H1796" t="inlineStr">
        <is>
          <t>Personal</t>
        </is>
      </c>
      <c r="I1796" t="n">
        <v>54224968</v>
      </c>
      <c r="J1796" t="inlineStr">
        <is>
          <t>COP</t>
        </is>
      </c>
      <c r="K1796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6" t="inlineStr">
        <is>
          <t>Mensual</t>
        </is>
      </c>
    </row>
    <row r="1797">
      <c r="A1797" t="inlineStr">
        <is>
          <t>2026-07</t>
        </is>
      </c>
      <c r="B1797" t="inlineStr">
        <is>
          <t>Colombia</t>
        </is>
      </c>
      <c r="C1797" t="inlineStr">
        <is>
          <t>Coco Colombia</t>
        </is>
      </c>
      <c r="D1797" t="inlineStr">
        <is>
          <t>COP</t>
        </is>
      </c>
      <c r="E1797" t="inlineStr">
        <is>
          <t>Real</t>
        </is>
      </c>
      <c r="F1797" t="inlineStr">
        <is>
          <t>gasto_comercial</t>
        </is>
      </c>
      <c r="H1797" t="inlineStr">
        <is>
          <t>Honorario</t>
        </is>
      </c>
      <c r="I1797" t="n">
        <v>12956710</v>
      </c>
      <c r="J1797" t="inlineStr">
        <is>
          <t>COP</t>
        </is>
      </c>
      <c r="K1797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7" t="inlineStr">
        <is>
          <t>Mensual</t>
        </is>
      </c>
    </row>
    <row r="1798">
      <c r="A1798" t="inlineStr">
        <is>
          <t>2026-07</t>
        </is>
      </c>
      <c r="B1798" t="inlineStr">
        <is>
          <t>Colombia</t>
        </is>
      </c>
      <c r="C1798" t="inlineStr">
        <is>
          <t>Coco Colombia</t>
        </is>
      </c>
      <c r="D1798" t="inlineStr">
        <is>
          <t>COP</t>
        </is>
      </c>
      <c r="E1798" t="inlineStr">
        <is>
          <t>Real</t>
        </is>
      </c>
      <c r="F1798" t="inlineStr">
        <is>
          <t>gasto_comercial</t>
        </is>
      </c>
      <c r="H1798" t="inlineStr">
        <is>
          <t>Seguros</t>
        </is>
      </c>
      <c r="I1798" t="n">
        <v>276332</v>
      </c>
      <c r="J1798" t="inlineStr">
        <is>
          <t>COP</t>
        </is>
      </c>
      <c r="K1798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8" t="inlineStr">
        <is>
          <t>Mensual</t>
        </is>
      </c>
    </row>
    <row r="1799">
      <c r="A1799" t="inlineStr">
        <is>
          <t>2026-07</t>
        </is>
      </c>
      <c r="B1799" t="inlineStr">
        <is>
          <t>Colombia</t>
        </is>
      </c>
      <c r="C1799" t="inlineStr">
        <is>
          <t>Coco Colombia</t>
        </is>
      </c>
      <c r="D1799" t="inlineStr">
        <is>
          <t>COP</t>
        </is>
      </c>
      <c r="E1799" t="inlineStr">
        <is>
          <t>Real</t>
        </is>
      </c>
      <c r="F1799" t="inlineStr">
        <is>
          <t>gasto_comercial</t>
        </is>
      </c>
      <c r="H1799" t="inlineStr">
        <is>
          <t>Servicios</t>
        </is>
      </c>
      <c r="I1799" t="n">
        <v>13644624</v>
      </c>
      <c r="J1799" t="inlineStr">
        <is>
          <t>COP</t>
        </is>
      </c>
      <c r="K1799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9" t="inlineStr">
        <is>
          <t>Mensual</t>
        </is>
      </c>
    </row>
    <row r="1800">
      <c r="A1800" t="inlineStr">
        <is>
          <t>2026-07</t>
        </is>
      </c>
      <c r="B1800" t="inlineStr">
        <is>
          <t>Colombia</t>
        </is>
      </c>
      <c r="C1800" t="inlineStr">
        <is>
          <t>Coco Colombia</t>
        </is>
      </c>
      <c r="D1800" t="inlineStr">
        <is>
          <t>COP</t>
        </is>
      </c>
      <c r="E1800" t="inlineStr">
        <is>
          <t>Real</t>
        </is>
      </c>
      <c r="F1800" t="inlineStr">
        <is>
          <t>gasto_comercial</t>
        </is>
      </c>
      <c r="H1800" t="inlineStr">
        <is>
          <t>Viajes</t>
        </is>
      </c>
      <c r="I1800" t="n">
        <v>16944724</v>
      </c>
      <c r="J1800" t="inlineStr">
        <is>
          <t>COP</t>
        </is>
      </c>
      <c r="K1800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0" t="inlineStr">
        <is>
          <t>Mensual</t>
        </is>
      </c>
    </row>
    <row r="1801">
      <c r="A1801" t="inlineStr">
        <is>
          <t>2026-07</t>
        </is>
      </c>
      <c r="B1801" t="inlineStr">
        <is>
          <t>Colombia</t>
        </is>
      </c>
      <c r="C1801" t="inlineStr">
        <is>
          <t>Coco Colombia</t>
        </is>
      </c>
      <c r="D1801" t="inlineStr">
        <is>
          <t>COP</t>
        </is>
      </c>
      <c r="E1801" t="inlineStr">
        <is>
          <t>Real</t>
        </is>
      </c>
      <c r="F1801" t="inlineStr">
        <is>
          <t>gasto_comercial</t>
        </is>
      </c>
      <c r="H1801" t="inlineStr">
        <is>
          <t>Diversos</t>
        </is>
      </c>
      <c r="I1801" t="n">
        <v>22869473</v>
      </c>
      <c r="J1801" t="inlineStr">
        <is>
          <t>COP</t>
        </is>
      </c>
      <c r="K1801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1" t="inlineStr">
        <is>
          <t>Mensual</t>
        </is>
      </c>
    </row>
    <row r="1802">
      <c r="A1802" t="inlineStr">
        <is>
          <t>2026-07</t>
        </is>
      </c>
      <c r="B1802" t="inlineStr">
        <is>
          <t>Colombia</t>
        </is>
      </c>
      <c r="C1802" t="inlineStr">
        <is>
          <t>Coco Colombia</t>
        </is>
      </c>
      <c r="D1802" t="inlineStr">
        <is>
          <t>COP</t>
        </is>
      </c>
      <c r="E1802" t="inlineStr">
        <is>
          <t>Real</t>
        </is>
      </c>
      <c r="F1802" t="inlineStr">
        <is>
          <t>costo_operacion</t>
        </is>
      </c>
      <c r="H1802" t="inlineStr">
        <is>
          <t>Personal</t>
        </is>
      </c>
      <c r="I1802" t="n">
        <v>76693508</v>
      </c>
      <c r="J1802" t="inlineStr">
        <is>
          <t>COP</t>
        </is>
      </c>
      <c r="K1802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2" t="inlineStr">
        <is>
          <t>Mensual</t>
        </is>
      </c>
    </row>
    <row r="1803">
      <c r="A1803" t="inlineStr">
        <is>
          <t>2026-07</t>
        </is>
      </c>
      <c r="B1803" t="inlineStr">
        <is>
          <t>Colombia</t>
        </is>
      </c>
      <c r="C1803" t="inlineStr">
        <is>
          <t>Coco Colombia</t>
        </is>
      </c>
      <c r="D1803" t="inlineStr">
        <is>
          <t>COP</t>
        </is>
      </c>
      <c r="E1803" t="inlineStr">
        <is>
          <t>Real</t>
        </is>
      </c>
      <c r="F1803" t="inlineStr">
        <is>
          <t>costo_operacion</t>
        </is>
      </c>
      <c r="H1803" t="inlineStr">
        <is>
          <t>Honorario</t>
        </is>
      </c>
      <c r="I1803" t="n">
        <v>4710811</v>
      </c>
      <c r="J1803" t="inlineStr">
        <is>
          <t>COP</t>
        </is>
      </c>
      <c r="K1803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3" t="inlineStr">
        <is>
          <t>Mensual</t>
        </is>
      </c>
    </row>
    <row r="1804">
      <c r="A1804" t="inlineStr">
        <is>
          <t>2026-07</t>
        </is>
      </c>
      <c r="B1804" t="inlineStr">
        <is>
          <t>Colombia</t>
        </is>
      </c>
      <c r="C1804" t="inlineStr">
        <is>
          <t>Coco Colombia</t>
        </is>
      </c>
      <c r="D1804" t="inlineStr">
        <is>
          <t>COP</t>
        </is>
      </c>
      <c r="E1804" t="inlineStr">
        <is>
          <t>Real</t>
        </is>
      </c>
      <c r="F1804" t="inlineStr">
        <is>
          <t>costo_operacion</t>
        </is>
      </c>
      <c r="H1804" t="inlineStr">
        <is>
          <t>Servicios</t>
        </is>
      </c>
      <c r="I1804" t="n">
        <v>10417286</v>
      </c>
      <c r="J1804" t="inlineStr">
        <is>
          <t>COP</t>
        </is>
      </c>
      <c r="K1804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4" t="inlineStr">
        <is>
          <t>Mensual</t>
        </is>
      </c>
    </row>
    <row r="1805">
      <c r="A1805" t="inlineStr">
        <is>
          <t>2026-07</t>
        </is>
      </c>
      <c r="B1805" t="inlineStr">
        <is>
          <t>Colombia</t>
        </is>
      </c>
      <c r="C1805" t="inlineStr">
        <is>
          <t>Coco Colombia</t>
        </is>
      </c>
      <c r="D1805" t="inlineStr">
        <is>
          <t>COP</t>
        </is>
      </c>
      <c r="E1805" t="inlineStr">
        <is>
          <t>Real</t>
        </is>
      </c>
      <c r="F1805" t="inlineStr">
        <is>
          <t>costo_operacion</t>
        </is>
      </c>
      <c r="H1805" t="inlineStr">
        <is>
          <t>Mantenimientos</t>
        </is>
      </c>
      <c r="I1805" t="n">
        <v>17940044</v>
      </c>
      <c r="J1805" t="inlineStr">
        <is>
          <t>COP</t>
        </is>
      </c>
      <c r="K1805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5" t="inlineStr">
        <is>
          <t>Mensual</t>
        </is>
      </c>
    </row>
    <row r="1806">
      <c r="A1806" t="inlineStr">
        <is>
          <t>2026-07</t>
        </is>
      </c>
      <c r="B1806" t="inlineStr">
        <is>
          <t>Colombia</t>
        </is>
      </c>
      <c r="C1806" t="inlineStr">
        <is>
          <t>Coco Colombia</t>
        </is>
      </c>
      <c r="D1806" t="inlineStr">
        <is>
          <t>COP</t>
        </is>
      </c>
      <c r="E1806" t="inlineStr">
        <is>
          <t>Real</t>
        </is>
      </c>
      <c r="F1806" t="inlineStr">
        <is>
          <t>gasto_desarrollo</t>
        </is>
      </c>
      <c r="H1806" t="inlineStr">
        <is>
          <t>Personal</t>
        </is>
      </c>
      <c r="I1806" t="n">
        <v>148534887</v>
      </c>
      <c r="J1806" t="inlineStr">
        <is>
          <t>COP</t>
        </is>
      </c>
      <c r="K1806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6" t="inlineStr">
        <is>
          <t>Mensual</t>
        </is>
      </c>
    </row>
    <row r="1807">
      <c r="A1807" t="inlineStr">
        <is>
          <t>2026-07</t>
        </is>
      </c>
      <c r="B1807" t="inlineStr">
        <is>
          <t>Colombia</t>
        </is>
      </c>
      <c r="C1807" t="inlineStr">
        <is>
          <t>Coco Colombia</t>
        </is>
      </c>
      <c r="D1807" t="inlineStr">
        <is>
          <t>COP</t>
        </is>
      </c>
      <c r="E1807" t="inlineStr">
        <is>
          <t>Real</t>
        </is>
      </c>
      <c r="F1807" t="inlineStr">
        <is>
          <t>gasto_desarrollo</t>
        </is>
      </c>
      <c r="H1807" t="inlineStr">
        <is>
          <t>Honorarios</t>
        </is>
      </c>
      <c r="I1807" t="n">
        <v>4051580</v>
      </c>
      <c r="J1807" t="inlineStr">
        <is>
          <t>COP</t>
        </is>
      </c>
      <c r="K1807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7" t="inlineStr">
        <is>
          <t>Mensual</t>
        </is>
      </c>
    </row>
    <row r="1808">
      <c r="A1808" t="inlineStr">
        <is>
          <t>2026-07</t>
        </is>
      </c>
      <c r="B1808" t="inlineStr">
        <is>
          <t>Colombia</t>
        </is>
      </c>
      <c r="C1808" t="inlineStr">
        <is>
          <t>Coco Colombia</t>
        </is>
      </c>
      <c r="D1808" t="inlineStr">
        <is>
          <t>COP</t>
        </is>
      </c>
      <c r="E1808" t="inlineStr">
        <is>
          <t>Real</t>
        </is>
      </c>
      <c r="F1808" t="inlineStr">
        <is>
          <t>gasto_desarrollo</t>
        </is>
      </c>
      <c r="H1808" t="inlineStr">
        <is>
          <t>Servicios</t>
        </is>
      </c>
      <c r="I1808" t="n">
        <v>1763472</v>
      </c>
      <c r="J1808" t="inlineStr">
        <is>
          <t>COP</t>
        </is>
      </c>
      <c r="K1808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8" t="inlineStr">
        <is>
          <t>Mensual</t>
        </is>
      </c>
    </row>
    <row r="1809">
      <c r="A1809" t="inlineStr">
        <is>
          <t>2026-07</t>
        </is>
      </c>
      <c r="B1809" t="inlineStr">
        <is>
          <t>Colombia</t>
        </is>
      </c>
      <c r="C1809" t="inlineStr">
        <is>
          <t>Coco Colombia</t>
        </is>
      </c>
      <c r="D1809" t="inlineStr">
        <is>
          <t>COP</t>
        </is>
      </c>
      <c r="E1809" t="inlineStr">
        <is>
          <t>Real</t>
        </is>
      </c>
      <c r="F1809" t="inlineStr">
        <is>
          <t>gasto_desarrollo</t>
        </is>
      </c>
      <c r="H1809" t="inlineStr">
        <is>
          <t>Viajes</t>
        </is>
      </c>
      <c r="I1809" t="n">
        <v>46625</v>
      </c>
      <c r="J1809" t="inlineStr">
        <is>
          <t>COP</t>
        </is>
      </c>
      <c r="K1809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9" t="inlineStr">
        <is>
          <t>Mensual</t>
        </is>
      </c>
    </row>
    <row r="1810">
      <c r="A1810" t="inlineStr">
        <is>
          <t>2026-06</t>
        </is>
      </c>
      <c r="B1810" t="inlineStr">
        <is>
          <t>Colombia</t>
        </is>
      </c>
      <c r="C1810" t="inlineStr">
        <is>
          <t>Coco Colombia</t>
        </is>
      </c>
      <c r="D1810" t="inlineStr">
        <is>
          <t>COP</t>
        </is>
      </c>
      <c r="E1810" t="inlineStr">
        <is>
          <t>Real</t>
        </is>
      </c>
      <c r="F1810" t="inlineStr">
        <is>
          <t>gasto_admin</t>
        </is>
      </c>
      <c r="H1810" t="inlineStr">
        <is>
          <t>Diversos</t>
        </is>
      </c>
      <c r="I1810" t="n">
        <v>21100000</v>
      </c>
      <c r="J1810" t="inlineStr">
        <is>
          <t>COP</t>
        </is>
      </c>
      <c r="K1810" t="inlineStr">
        <is>
          <t>Junio 2026, dato directo de Anexo 2 Recursos Financieros Informes Julio 2026 (hoja Noviembre, fila de Junio de cada bloque). No calculado.</t>
        </is>
      </c>
      <c r="N1810" t="inlineStr">
        <is>
          <t>Mensual</t>
        </is>
      </c>
    </row>
    <row r="1811">
      <c r="A1811" t="inlineStr">
        <is>
          <t>2026-06</t>
        </is>
      </c>
      <c r="B1811" t="inlineStr">
        <is>
          <t>Colombia</t>
        </is>
      </c>
      <c r="C1811" t="inlineStr">
        <is>
          <t>Coco Colombia</t>
        </is>
      </c>
      <c r="D1811" t="inlineStr">
        <is>
          <t>COP</t>
        </is>
      </c>
      <c r="E1811" t="inlineStr">
        <is>
          <t>Real</t>
        </is>
      </c>
      <c r="F1811" t="inlineStr">
        <is>
          <t>costo_proveedor</t>
        </is>
      </c>
      <c r="H1811" t="inlineStr">
        <is>
          <t>Infobip</t>
        </is>
      </c>
      <c r="I1811" t="n">
        <v>110800000</v>
      </c>
      <c r="J1811" t="inlineStr">
        <is>
          <t>COP</t>
        </is>
      </c>
      <c r="K1811" t="inlineStr">
        <is>
          <t>Junio 2026, dato directo de Anexo 2 Recursos Financieros Informes Julio 2026 (hoja Noviembre, fila de Junio de cada bloque). No calculado.</t>
        </is>
      </c>
      <c r="N1811" t="inlineStr">
        <is>
          <t>Mensual</t>
        </is>
      </c>
    </row>
    <row r="1812">
      <c r="A1812" t="inlineStr">
        <is>
          <t>2026-06</t>
        </is>
      </c>
      <c r="B1812" t="inlineStr">
        <is>
          <t>Colombia</t>
        </is>
      </c>
      <c r="C1812" t="inlineStr">
        <is>
          <t>Coco Colombia</t>
        </is>
      </c>
      <c r="D1812" t="inlineStr">
        <is>
          <t>COP</t>
        </is>
      </c>
      <c r="E1812" t="inlineStr">
        <is>
          <t>Real</t>
        </is>
      </c>
      <c r="F1812" t="inlineStr">
        <is>
          <t>costo_proveedor</t>
        </is>
      </c>
      <c r="H1812" t="inlineStr">
        <is>
          <t>IVA</t>
        </is>
      </c>
      <c r="I1812" t="n">
        <v>0</v>
      </c>
      <c r="J1812" t="inlineStr">
        <is>
          <t>COP</t>
        </is>
      </c>
      <c r="K1812" t="inlineStr">
        <is>
          <t>Junio 2026, dato directo de Anexo 2 Recursos Financieros Informes Julio 2026 (hoja Noviembre, fila de Junio de cada bloque). No calculado.</t>
        </is>
      </c>
      <c r="N1812" t="inlineStr">
        <is>
          <t>Mensual</t>
        </is>
      </c>
    </row>
    <row r="1813">
      <c r="A1813" t="inlineStr">
        <is>
          <t>2026-06</t>
        </is>
      </c>
      <c r="B1813" t="inlineStr">
        <is>
          <t>Colombia</t>
        </is>
      </c>
      <c r="C1813" t="inlineStr">
        <is>
          <t>Coco Colombia</t>
        </is>
      </c>
      <c r="D1813" t="inlineStr">
        <is>
          <t>COP</t>
        </is>
      </c>
      <c r="E1813" t="inlineStr">
        <is>
          <t>Real</t>
        </is>
      </c>
      <c r="F1813" t="inlineStr">
        <is>
          <t>costo_proveedor</t>
        </is>
      </c>
      <c r="H1813" t="inlineStr">
        <is>
          <t>AWS</t>
        </is>
      </c>
      <c r="I1813" t="n">
        <v>40900000</v>
      </c>
      <c r="J1813" t="inlineStr">
        <is>
          <t>COP</t>
        </is>
      </c>
      <c r="K1813" t="inlineStr">
        <is>
          <t>Junio 2026, dato directo de Anexo 2 Recursos Financieros Informes Julio 2026 (hoja Noviembre, fila de Junio de cada bloque). No calculado.</t>
        </is>
      </c>
      <c r="N1813" t="inlineStr">
        <is>
          <t>Mensual</t>
        </is>
      </c>
    </row>
    <row r="1814">
      <c r="A1814" t="inlineStr">
        <is>
          <t>2026-06</t>
        </is>
      </c>
      <c r="B1814" t="inlineStr">
        <is>
          <t>Colombia</t>
        </is>
      </c>
      <c r="C1814" t="inlineStr">
        <is>
          <t>Coco Colombia</t>
        </is>
      </c>
      <c r="D1814" t="inlineStr">
        <is>
          <t>COP</t>
        </is>
      </c>
      <c r="E1814" t="inlineStr">
        <is>
          <t>Real</t>
        </is>
      </c>
      <c r="F1814" t="inlineStr">
        <is>
          <t>costo_proveedor</t>
        </is>
      </c>
      <c r="H1814" t="inlineStr">
        <is>
          <t>B2Chat</t>
        </is>
      </c>
      <c r="I1814" t="n">
        <v>19800000</v>
      </c>
      <c r="J1814" t="inlineStr">
        <is>
          <t>COP</t>
        </is>
      </c>
      <c r="K1814" t="inlineStr">
        <is>
          <t>Junio 2026, dato directo de Anexo 2 Recursos Financieros Informes Julio 2026 (hoja Noviembre, fila de Junio de cada bloque). No calculado.</t>
        </is>
      </c>
      <c r="N1814" t="inlineStr">
        <is>
          <t>Mensual</t>
        </is>
      </c>
    </row>
    <row r="1815">
      <c r="A1815" t="inlineStr">
        <is>
          <t>2026-06</t>
        </is>
      </c>
      <c r="B1815" t="inlineStr">
        <is>
          <t>Colombia</t>
        </is>
      </c>
      <c r="C1815" t="inlineStr">
        <is>
          <t>Coco Colombia</t>
        </is>
      </c>
      <c r="D1815" t="inlineStr">
        <is>
          <t>COP</t>
        </is>
      </c>
      <c r="E1815" t="inlineStr">
        <is>
          <t>Real</t>
        </is>
      </c>
      <c r="F1815" t="inlineStr">
        <is>
          <t>costo_proveedor</t>
        </is>
      </c>
      <c r="H1815" t="inlineStr">
        <is>
          <t>Otros</t>
        </is>
      </c>
      <c r="I1815" t="n">
        <v>16800000</v>
      </c>
      <c r="J1815" t="inlineStr">
        <is>
          <t>COP</t>
        </is>
      </c>
      <c r="K1815" t="inlineStr">
        <is>
          <t>Junio 2026, dato directo de Anexo 2 Recursos Financieros Informes Julio 2026 (hoja Noviembre, fila de Junio de cada bloque). No calculado.</t>
        </is>
      </c>
      <c r="N1815" t="inlineStr">
        <is>
          <t>Mensual</t>
        </is>
      </c>
    </row>
    <row r="1816">
      <c r="A1816" t="inlineStr">
        <is>
          <t>2026-06</t>
        </is>
      </c>
      <c r="B1816" t="inlineStr">
        <is>
          <t>Colombia</t>
        </is>
      </c>
      <c r="C1816" t="inlineStr">
        <is>
          <t>Coco Colombia</t>
        </is>
      </c>
      <c r="D1816" t="inlineStr">
        <is>
          <t>COP</t>
        </is>
      </c>
      <c r="E1816" t="inlineStr">
        <is>
          <t>Real</t>
        </is>
      </c>
      <c r="F1816" t="inlineStr">
        <is>
          <t>gasto_comercial</t>
        </is>
      </c>
      <c r="H1816" t="inlineStr">
        <is>
          <t>Personal</t>
        </is>
      </c>
      <c r="I1816" t="n">
        <v>54200000</v>
      </c>
      <c r="J1816" t="inlineStr">
        <is>
          <t>COP</t>
        </is>
      </c>
      <c r="K1816" t="inlineStr">
        <is>
          <t>Junio 2026, dato directo de Anexo 2 Recursos Financieros Informes Julio 2026 (hoja Noviembre, fila de Junio de cada bloque). No calculado.</t>
        </is>
      </c>
      <c r="N1816" t="inlineStr">
        <is>
          <t>Mensual</t>
        </is>
      </c>
    </row>
    <row r="1817">
      <c r="A1817" t="inlineStr">
        <is>
          <t>2026-06</t>
        </is>
      </c>
      <c r="B1817" t="inlineStr">
        <is>
          <t>Colombia</t>
        </is>
      </c>
      <c r="C1817" t="inlineStr">
        <is>
          <t>Coco Colombia</t>
        </is>
      </c>
      <c r="D1817" t="inlineStr">
        <is>
          <t>COP</t>
        </is>
      </c>
      <c r="E1817" t="inlineStr">
        <is>
          <t>Real</t>
        </is>
      </c>
      <c r="F1817" t="inlineStr">
        <is>
          <t>gasto_comercial</t>
        </is>
      </c>
      <c r="H1817" t="inlineStr">
        <is>
          <t>Honorario</t>
        </is>
      </c>
      <c r="I1817" t="n">
        <v>43200000</v>
      </c>
      <c r="J1817" t="inlineStr">
        <is>
          <t>COP</t>
        </is>
      </c>
      <c r="K1817" t="inlineStr">
        <is>
          <t>Junio 2026, dato directo de Anexo 2 Recursos Financieros Informes Julio 2026 (hoja Noviembre, fila de Junio de cada bloque). No calculado.</t>
        </is>
      </c>
      <c r="N1817" t="inlineStr">
        <is>
          <t>Mensual</t>
        </is>
      </c>
    </row>
    <row r="1818">
      <c r="A1818" t="inlineStr">
        <is>
          <t>2026-06</t>
        </is>
      </c>
      <c r="B1818" t="inlineStr">
        <is>
          <t>Colombia</t>
        </is>
      </c>
      <c r="C1818" t="inlineStr">
        <is>
          <t>Coco Colombia</t>
        </is>
      </c>
      <c r="D1818" t="inlineStr">
        <is>
          <t>COP</t>
        </is>
      </c>
      <c r="E1818" t="inlineStr">
        <is>
          <t>Real</t>
        </is>
      </c>
      <c r="F1818" t="inlineStr">
        <is>
          <t>gasto_comercial</t>
        </is>
      </c>
      <c r="H1818" t="inlineStr">
        <is>
          <t>Seguros</t>
        </is>
      </c>
      <c r="I1818" t="n">
        <v>800000</v>
      </c>
      <c r="J1818" t="inlineStr">
        <is>
          <t>COP</t>
        </is>
      </c>
      <c r="K1818" t="inlineStr">
        <is>
          <t>Junio 2026, dato directo de Anexo 2 Recursos Financieros Informes Julio 2026 (hoja Noviembre, fila de Junio de cada bloque). No calculado.</t>
        </is>
      </c>
      <c r="N1818" t="inlineStr">
        <is>
          <t>Mensual</t>
        </is>
      </c>
    </row>
    <row r="1819">
      <c r="A1819" t="inlineStr">
        <is>
          <t>2026-06</t>
        </is>
      </c>
      <c r="B1819" t="inlineStr">
        <is>
          <t>Colombia</t>
        </is>
      </c>
      <c r="C1819" t="inlineStr">
        <is>
          <t>Coco Colombia</t>
        </is>
      </c>
      <c r="D1819" t="inlineStr">
        <is>
          <t>COP</t>
        </is>
      </c>
      <c r="E1819" t="inlineStr">
        <is>
          <t>Real</t>
        </is>
      </c>
      <c r="F1819" t="inlineStr">
        <is>
          <t>gasto_comercial</t>
        </is>
      </c>
      <c r="H1819" t="inlineStr">
        <is>
          <t>Servicios</t>
        </is>
      </c>
      <c r="I1819" t="n">
        <v>22400000</v>
      </c>
      <c r="J1819" t="inlineStr">
        <is>
          <t>COP</t>
        </is>
      </c>
      <c r="K1819" t="inlineStr">
        <is>
          <t>Junio 2026, dato directo de Anexo 2 Recursos Financieros Informes Julio 2026 (hoja Noviembre, fila de Junio de cada bloque). No calculado.</t>
        </is>
      </c>
      <c r="N1819" t="inlineStr">
        <is>
          <t>Mensual</t>
        </is>
      </c>
    </row>
    <row r="1820">
      <c r="A1820" t="inlineStr">
        <is>
          <t>2026-06</t>
        </is>
      </c>
      <c r="B1820" t="inlineStr">
        <is>
          <t>Colombia</t>
        </is>
      </c>
      <c r="C1820" t="inlineStr">
        <is>
          <t>Coco Colombia</t>
        </is>
      </c>
      <c r="D1820" t="inlineStr">
        <is>
          <t>COP</t>
        </is>
      </c>
      <c r="E1820" t="inlineStr">
        <is>
          <t>Real</t>
        </is>
      </c>
      <c r="F1820" t="inlineStr">
        <is>
          <t>gasto_comercial</t>
        </is>
      </c>
      <c r="H1820" t="inlineStr">
        <is>
          <t>Viajes</t>
        </is>
      </c>
      <c r="I1820" t="n">
        <v>4400000</v>
      </c>
      <c r="J1820" t="inlineStr">
        <is>
          <t>COP</t>
        </is>
      </c>
      <c r="K1820" t="inlineStr">
        <is>
          <t>Junio 2026, dato directo de Anexo 2 Recursos Financieros Informes Julio 2026 (hoja Noviembre, fila de Junio de cada bloque). No calculado.</t>
        </is>
      </c>
      <c r="N1820" t="inlineStr">
        <is>
          <t>Mensual</t>
        </is>
      </c>
    </row>
    <row r="1821">
      <c r="A1821" t="inlineStr">
        <is>
          <t>2026-06</t>
        </is>
      </c>
      <c r="B1821" t="inlineStr">
        <is>
          <t>Colombia</t>
        </is>
      </c>
      <c r="C1821" t="inlineStr">
        <is>
          <t>Coco Colombia</t>
        </is>
      </c>
      <c r="D1821" t="inlineStr">
        <is>
          <t>COP</t>
        </is>
      </c>
      <c r="E1821" t="inlineStr">
        <is>
          <t>Real</t>
        </is>
      </c>
      <c r="F1821" t="inlineStr">
        <is>
          <t>gasto_comercial</t>
        </is>
      </c>
      <c r="H1821" t="inlineStr">
        <is>
          <t>Diversos</t>
        </is>
      </c>
      <c r="I1821" t="n">
        <v>22300000</v>
      </c>
      <c r="J1821" t="inlineStr">
        <is>
          <t>COP</t>
        </is>
      </c>
      <c r="K1821" t="inlineStr">
        <is>
          <t>Junio 2026, dato directo de Anexo 2 Recursos Financieros Informes Julio 2026 (hoja Noviembre, fila de Junio de cada bloque). No calculado.</t>
        </is>
      </c>
      <c r="N1821" t="inlineStr">
        <is>
          <t>Mensual</t>
        </is>
      </c>
    </row>
    <row r="1822">
      <c r="A1822" t="inlineStr">
        <is>
          <t>2026-06</t>
        </is>
      </c>
      <c r="B1822" t="inlineStr">
        <is>
          <t>Colombia</t>
        </is>
      </c>
      <c r="C1822" t="inlineStr">
        <is>
          <t>Coco Colombia</t>
        </is>
      </c>
      <c r="D1822" t="inlineStr">
        <is>
          <t>COP</t>
        </is>
      </c>
      <c r="E1822" t="inlineStr">
        <is>
          <t>Real</t>
        </is>
      </c>
      <c r="F1822" t="inlineStr">
        <is>
          <t>costo_operacion</t>
        </is>
      </c>
      <c r="H1822" t="inlineStr">
        <is>
          <t>Personal</t>
        </is>
      </c>
      <c r="I1822" t="n">
        <v>81400000</v>
      </c>
      <c r="J1822" t="inlineStr">
        <is>
          <t>COP</t>
        </is>
      </c>
      <c r="K1822" t="inlineStr">
        <is>
          <t>Junio 2026, dato directo de Anexo 2 Recursos Financieros Informes Julio 2026 (hoja Noviembre, fila de Junio de cada bloque). No calculado.</t>
        </is>
      </c>
      <c r="N1822" t="inlineStr">
        <is>
          <t>Mensual</t>
        </is>
      </c>
    </row>
    <row r="1823">
      <c r="A1823" t="inlineStr">
        <is>
          <t>2026-06</t>
        </is>
      </c>
      <c r="B1823" t="inlineStr">
        <is>
          <t>Colombia</t>
        </is>
      </c>
      <c r="C1823" t="inlineStr">
        <is>
          <t>Coco Colombia</t>
        </is>
      </c>
      <c r="D1823" t="inlineStr">
        <is>
          <t>COP</t>
        </is>
      </c>
      <c r="E1823" t="inlineStr">
        <is>
          <t>Real</t>
        </is>
      </c>
      <c r="F1823" t="inlineStr">
        <is>
          <t>costo_operacion</t>
        </is>
      </c>
      <c r="H1823" t="inlineStr">
        <is>
          <t>Honorario</t>
        </is>
      </c>
      <c r="I1823" t="n">
        <v>0</v>
      </c>
      <c r="J1823" t="inlineStr">
        <is>
          <t>COP</t>
        </is>
      </c>
      <c r="K1823" t="inlineStr">
        <is>
          <t>Junio 2026, dato directo de Anexo 2 Recursos Financieros Informes Julio 2026 (hoja Noviembre, fila de Junio de cada bloque). No calculado.</t>
        </is>
      </c>
      <c r="N1823" t="inlineStr">
        <is>
          <t>Mensual</t>
        </is>
      </c>
    </row>
    <row r="1824">
      <c r="A1824" t="inlineStr">
        <is>
          <t>2026-06</t>
        </is>
      </c>
      <c r="B1824" t="inlineStr">
        <is>
          <t>Colombia</t>
        </is>
      </c>
      <c r="C1824" t="inlineStr">
        <is>
          <t>Coco Colombia</t>
        </is>
      </c>
      <c r="D1824" t="inlineStr">
        <is>
          <t>COP</t>
        </is>
      </c>
      <c r="E1824" t="inlineStr">
        <is>
          <t>Real</t>
        </is>
      </c>
      <c r="F1824" t="inlineStr">
        <is>
          <t>costo_operacion</t>
        </is>
      </c>
      <c r="H1824" t="inlineStr">
        <is>
          <t>Servicios</t>
        </is>
      </c>
      <c r="I1824" t="n">
        <v>12300000</v>
      </c>
      <c r="J1824" t="inlineStr">
        <is>
          <t>COP</t>
        </is>
      </c>
      <c r="K1824" t="inlineStr">
        <is>
          <t>Junio 2026, dato directo de Anexo 2 Recursos Financieros Informes Julio 2026 (hoja Noviembre, fila de Junio de cada bloque). No calculado.</t>
        </is>
      </c>
      <c r="N1824" t="inlineStr">
        <is>
          <t>Mensual</t>
        </is>
      </c>
    </row>
    <row r="1825">
      <c r="A1825" t="inlineStr">
        <is>
          <t>2026-06</t>
        </is>
      </c>
      <c r="B1825" t="inlineStr">
        <is>
          <t>Colombia</t>
        </is>
      </c>
      <c r="C1825" t="inlineStr">
        <is>
          <t>Coco Colombia</t>
        </is>
      </c>
      <c r="D1825" t="inlineStr">
        <is>
          <t>COP</t>
        </is>
      </c>
      <c r="E1825" t="inlineStr">
        <is>
          <t>Real</t>
        </is>
      </c>
      <c r="F1825" t="inlineStr">
        <is>
          <t>costo_operacion</t>
        </is>
      </c>
      <c r="H1825" t="inlineStr">
        <is>
          <t>Mantenimientos</t>
        </is>
      </c>
      <c r="I1825" t="n">
        <v>7000000</v>
      </c>
      <c r="J1825" t="inlineStr">
        <is>
          <t>COP</t>
        </is>
      </c>
      <c r="K1825" t="inlineStr">
        <is>
          <t>Junio 2026, dato directo de Anexo 2 Recursos Financieros Informes Julio 2026 (hoja Noviembre, fila de Junio de cada bloque). No calculado.</t>
        </is>
      </c>
      <c r="N1825" t="inlineStr">
        <is>
          <t>Mensual</t>
        </is>
      </c>
    </row>
    <row r="1826">
      <c r="A1826" t="inlineStr">
        <is>
          <t>2026-06</t>
        </is>
      </c>
      <c r="B1826" t="inlineStr">
        <is>
          <t>Colombia</t>
        </is>
      </c>
      <c r="C1826" t="inlineStr">
        <is>
          <t>Coco Colombia</t>
        </is>
      </c>
      <c r="D1826" t="inlineStr">
        <is>
          <t>COP</t>
        </is>
      </c>
      <c r="E1826" t="inlineStr">
        <is>
          <t>Real</t>
        </is>
      </c>
      <c r="F1826" t="inlineStr">
        <is>
          <t>costo_operacion</t>
        </is>
      </c>
      <c r="H1826" t="inlineStr">
        <is>
          <t>Viajes</t>
        </is>
      </c>
      <c r="I1826" t="n">
        <v>8100000</v>
      </c>
      <c r="J1826" t="inlineStr">
        <is>
          <t>COP</t>
        </is>
      </c>
      <c r="K1826" t="inlineStr">
        <is>
          <t>Junio 2026, dato directo de Anexo 2 Recursos Financieros Informes Julio 2026 (hoja Noviembre, fila de Junio de cada bloque). No calculado.</t>
        </is>
      </c>
      <c r="N1826" t="inlineStr">
        <is>
          <t>Mensual</t>
        </is>
      </c>
    </row>
    <row r="1827">
      <c r="A1827" t="inlineStr">
        <is>
          <t>2026-06</t>
        </is>
      </c>
      <c r="B1827" t="inlineStr">
        <is>
          <t>Colombia</t>
        </is>
      </c>
      <c r="C1827" t="inlineStr">
        <is>
          <t>Coco Colombia</t>
        </is>
      </c>
      <c r="D1827" t="inlineStr">
        <is>
          <t>COP</t>
        </is>
      </c>
      <c r="E1827" t="inlineStr">
        <is>
          <t>Real</t>
        </is>
      </c>
      <c r="F1827" t="inlineStr">
        <is>
          <t>gasto_desarrollo</t>
        </is>
      </c>
      <c r="H1827" t="inlineStr">
        <is>
          <t>Personal</t>
        </is>
      </c>
      <c r="I1827" t="n">
        <v>153900000</v>
      </c>
      <c r="J1827" t="inlineStr">
        <is>
          <t>COP</t>
        </is>
      </c>
      <c r="K1827" t="inlineStr">
        <is>
          <t>Junio 2026, dato directo de Anexo 2 Recursos Financieros Informes Julio 2026 (hoja Noviembre, fila de Junio de cada bloque). No calculado.</t>
        </is>
      </c>
      <c r="N1827" t="inlineStr">
        <is>
          <t>Mensual</t>
        </is>
      </c>
    </row>
    <row r="1828">
      <c r="A1828" t="inlineStr">
        <is>
          <t>2026-06</t>
        </is>
      </c>
      <c r="B1828" t="inlineStr">
        <is>
          <t>Colombia</t>
        </is>
      </c>
      <c r="C1828" t="inlineStr">
        <is>
          <t>Coco Colombia</t>
        </is>
      </c>
      <c r="D1828" t="inlineStr">
        <is>
          <t>COP</t>
        </is>
      </c>
      <c r="E1828" t="inlineStr">
        <is>
          <t>Real</t>
        </is>
      </c>
      <c r="F1828" t="inlineStr">
        <is>
          <t>gasto_desarrollo</t>
        </is>
      </c>
      <c r="H1828" t="inlineStr">
        <is>
          <t>Honorarios</t>
        </is>
      </c>
      <c r="I1828" t="n">
        <v>3300000</v>
      </c>
      <c r="J1828" t="inlineStr">
        <is>
          <t>COP</t>
        </is>
      </c>
      <c r="K1828" t="inlineStr">
        <is>
          <t>Junio 2026, dato directo de Anexo 2 Recursos Financieros Informes Julio 2026 (hoja Noviembre, fila de Junio de cada bloque). No calculado.</t>
        </is>
      </c>
      <c r="N1828" t="inlineStr">
        <is>
          <t>Mensual</t>
        </is>
      </c>
    </row>
    <row r="1829">
      <c r="A1829" t="inlineStr">
        <is>
          <t>2026-06</t>
        </is>
      </c>
      <c r="B1829" t="inlineStr">
        <is>
          <t>Colombia</t>
        </is>
      </c>
      <c r="C1829" t="inlineStr">
        <is>
          <t>Coco Colombia</t>
        </is>
      </c>
      <c r="D1829" t="inlineStr">
        <is>
          <t>COP</t>
        </is>
      </c>
      <c r="E1829" t="inlineStr">
        <is>
          <t>Real</t>
        </is>
      </c>
      <c r="F1829" t="inlineStr">
        <is>
          <t>gasto_desarrollo</t>
        </is>
      </c>
      <c r="H1829" t="inlineStr">
        <is>
          <t>Servicios</t>
        </is>
      </c>
      <c r="I1829" t="n">
        <v>2600000</v>
      </c>
      <c r="J1829" t="inlineStr">
        <is>
          <t>COP</t>
        </is>
      </c>
      <c r="K1829" t="inlineStr">
        <is>
          <t>Junio 2026, dato directo de Anexo 2 Recursos Financieros Informes Julio 2026 (hoja Noviembre, fila de Junio de cada bloque). No calculado.</t>
        </is>
      </c>
      <c r="N1829" t="inlineStr">
        <is>
          <t>Mensual</t>
        </is>
      </c>
    </row>
    <row r="1830">
      <c r="A1830" t="inlineStr">
        <is>
          <t>2026-06</t>
        </is>
      </c>
      <c r="B1830" t="inlineStr">
        <is>
          <t>Colombia</t>
        </is>
      </c>
      <c r="C1830" t="inlineStr">
        <is>
          <t>Coco Colombia</t>
        </is>
      </c>
      <c r="D1830" t="inlineStr">
        <is>
          <t>COP</t>
        </is>
      </c>
      <c r="E1830" t="inlineStr">
        <is>
          <t>Real</t>
        </is>
      </c>
      <c r="F1830" t="inlineStr">
        <is>
          <t>gasto_desarrollo</t>
        </is>
      </c>
      <c r="H1830" t="inlineStr">
        <is>
          <t>Viajes</t>
        </is>
      </c>
      <c r="I1830" t="n">
        <v>0</v>
      </c>
      <c r="J1830" t="inlineStr">
        <is>
          <t>COP</t>
        </is>
      </c>
      <c r="K1830" t="inlineStr">
        <is>
          <t>Junio 2026, dato directo de Anexo 2 Recursos Financieros Informes Julio 2026 (hoja Noviembre, fila de Junio de cada bloque). No calculado.</t>
        </is>
      </c>
      <c r="N1830" t="inlineStr">
        <is>
          <t>Mensual</t>
        </is>
      </c>
    </row>
    <row r="1831">
      <c r="A1831" t="inlineStr">
        <is>
          <t>2026-07</t>
        </is>
      </c>
      <c r="B1831" t="inlineStr">
        <is>
          <t>Colombia</t>
        </is>
      </c>
      <c r="C1831" t="inlineStr">
        <is>
          <t>Coco Colombia</t>
        </is>
      </c>
      <c r="D1831" t="inlineStr">
        <is>
          <t>COP</t>
        </is>
      </c>
      <c r="E1831" t="inlineStr">
        <is>
          <t>Real</t>
        </is>
      </c>
      <c r="F1831" t="inlineStr">
        <is>
          <t>gasto_area</t>
        </is>
      </c>
      <c r="H1831" t="inlineStr">
        <is>
          <t>Administración</t>
        </is>
      </c>
      <c r="I1831" t="n">
        <v>95247095</v>
      </c>
      <c r="J1831" t="inlineStr">
        <is>
          <t>COP</t>
        </is>
      </c>
      <c r="K1831" t="inlineStr">
        <is>
          <t>Julio 2026. Suma de gasto_admin+gasto_comercial+costo_proveedor+costo_operacion+gasto_desarrollo (parcial, ver esos codigos) + pyg_gastos_financieros oficial. Alimenta 'Costos y gastos por area'; la franja gris del grafico cubre lo que aun falta vs. el P&amp;G oficial.</t>
        </is>
      </c>
      <c r="N1831" t="inlineStr">
        <is>
          <t>Mensual</t>
        </is>
      </c>
    </row>
    <row r="1832">
      <c r="A1832" t="inlineStr">
        <is>
          <t>2026-07</t>
        </is>
      </c>
      <c r="B1832" t="inlineStr">
        <is>
          <t>Colombia</t>
        </is>
      </c>
      <c r="C1832" t="inlineStr">
        <is>
          <t>Coco Colombia</t>
        </is>
      </c>
      <c r="D1832" t="inlineStr">
        <is>
          <t>COP</t>
        </is>
      </c>
      <c r="E1832" t="inlineStr">
        <is>
          <t>Real</t>
        </is>
      </c>
      <c r="F1832" t="inlineStr">
        <is>
          <t>gasto_area</t>
        </is>
      </c>
      <c r="H1832" t="inlineStr">
        <is>
          <t>Comercial</t>
        </is>
      </c>
      <c r="I1832" t="n">
        <v>120916831</v>
      </c>
      <c r="J1832" t="inlineStr">
        <is>
          <t>COP</t>
        </is>
      </c>
      <c r="K1832" t="inlineStr">
        <is>
          <t>Julio 2026. Suma de gasto_admin+gasto_comercial+costo_proveedor+costo_operacion+gasto_desarrollo (parcial, ver esos codigos) + pyg_gastos_financieros oficial. Alimenta 'Costos y gastos por area'; la franja gris del grafico cubre lo que aun falta vs. el P&amp;G oficial.</t>
        </is>
      </c>
      <c r="N1832" t="inlineStr">
        <is>
          <t>Mensual</t>
        </is>
      </c>
    </row>
    <row r="1833">
      <c r="A1833" t="inlineStr">
        <is>
          <t>2026-07</t>
        </is>
      </c>
      <c r="B1833" t="inlineStr">
        <is>
          <t>Colombia</t>
        </is>
      </c>
      <c r="C1833" t="inlineStr">
        <is>
          <t>Coco Colombia</t>
        </is>
      </c>
      <c r="D1833" t="inlineStr">
        <is>
          <t>COP</t>
        </is>
      </c>
      <c r="E1833" t="inlineStr">
        <is>
          <t>Real</t>
        </is>
      </c>
      <c r="F1833" t="inlineStr">
        <is>
          <t>gasto_area</t>
        </is>
      </c>
      <c r="H1833" t="inlineStr">
        <is>
          <t>Proveedores</t>
        </is>
      </c>
      <c r="I1833" t="n">
        <v>114769552</v>
      </c>
      <c r="J1833" t="inlineStr">
        <is>
          <t>COP</t>
        </is>
      </c>
      <c r="K1833" t="inlineStr">
        <is>
          <t>Julio 2026. Suma de gasto_admin+gasto_comercial+costo_proveedor+costo_operacion+gasto_desarrollo (parcial, ver esos codigos) + pyg_gastos_financieros oficial. Alimenta 'Costos y gastos por area'; la franja gris del grafico cubre lo que aun falta vs. el P&amp;G oficial.</t>
        </is>
      </c>
      <c r="N1833" t="inlineStr">
        <is>
          <t>Mensual</t>
        </is>
      </c>
    </row>
    <row r="1834">
      <c r="A1834" t="inlineStr">
        <is>
          <t>2026-07</t>
        </is>
      </c>
      <c r="B1834" t="inlineStr">
        <is>
          <t>Colombia</t>
        </is>
      </c>
      <c r="C1834" t="inlineStr">
        <is>
          <t>Coco Colombia</t>
        </is>
      </c>
      <c r="D1834" t="inlineStr">
        <is>
          <t>COP</t>
        </is>
      </c>
      <c r="E1834" t="inlineStr">
        <is>
          <t>Real</t>
        </is>
      </c>
      <c r="F1834" t="inlineStr">
        <is>
          <t>gasto_area</t>
        </is>
      </c>
      <c r="H1834" t="inlineStr">
        <is>
          <t>TI</t>
        </is>
      </c>
      <c r="I1834" t="n">
        <v>264158213</v>
      </c>
      <c r="J1834" t="inlineStr">
        <is>
          <t>COP</t>
        </is>
      </c>
      <c r="K1834" t="inlineStr">
        <is>
          <t>Julio 2026. Suma de gasto_admin+gasto_comercial+costo_proveedor+costo_operacion+gasto_desarrollo (parcial, ver esos codigos) + pyg_gastos_financieros oficial. Alimenta 'Costos y gastos por area'; la franja gris del grafico cubre lo que aun falta vs. el P&amp;G oficial.</t>
        </is>
      </c>
      <c r="N1834" t="inlineStr">
        <is>
          <t>Mensual</t>
        </is>
      </c>
    </row>
    <row r="1835">
      <c r="A1835" t="inlineStr">
        <is>
          <t>2026-07</t>
        </is>
      </c>
      <c r="B1835" t="inlineStr">
        <is>
          <t>Colombia</t>
        </is>
      </c>
      <c r="C1835" t="inlineStr">
        <is>
          <t>Coco Colombia</t>
        </is>
      </c>
      <c r="D1835" t="inlineStr">
        <is>
          <t>COP</t>
        </is>
      </c>
      <c r="E1835" t="inlineStr">
        <is>
          <t>Real</t>
        </is>
      </c>
      <c r="F1835" t="inlineStr">
        <is>
          <t>gasto_area</t>
        </is>
      </c>
      <c r="H1835" t="inlineStr">
        <is>
          <t>Financieros</t>
        </is>
      </c>
      <c r="I1835" t="n">
        <v>5353621</v>
      </c>
      <c r="J1835" t="inlineStr">
        <is>
          <t>COP</t>
        </is>
      </c>
      <c r="K1835" t="inlineStr">
        <is>
          <t>Julio 2026. Suma de gasto_admin+gasto_comercial+costo_proveedor+costo_operacion+gasto_desarrollo (parcial, ver esos codigos) + pyg_gastos_financieros oficial. Alimenta 'Costos y gastos por area'; la franja gris del grafico cubre lo que aun falta vs. el P&amp;G oficial.</t>
        </is>
      </c>
      <c r="N1835" t="inlineStr">
        <is>
          <t>Mensual</t>
        </is>
      </c>
    </row>
    <row r="1836">
      <c r="A1836" t="inlineStr">
        <is>
          <t>2026-06</t>
        </is>
      </c>
      <c r="B1836" t="inlineStr">
        <is>
          <t>Colombia</t>
        </is>
      </c>
      <c r="C1836" t="inlineStr">
        <is>
          <t>Coco Colombia</t>
        </is>
      </c>
      <c r="E1836" t="inlineStr">
        <is>
          <t>Real</t>
        </is>
      </c>
      <c r="F1836" t="inlineStr">
        <is>
          <t>costo_proveedor_ventas_pct</t>
        </is>
      </c>
      <c r="I1836" t="n">
        <v>25.06</v>
      </c>
      <c r="J1836" t="inlineStr">
        <is>
          <t>%</t>
        </is>
      </c>
      <c r="K1836" t="inlineStr">
        <is>
          <t>Junio 2026 = costo_proveedor total (188.3M) / ingresos_operacionales oficiales (751.45M), Colombia COP. Formula validada contra ene-may ya cargados. Julio pendiente: costo_proveedor aun incompleto (falta AWS/IVA/Otros).</t>
        </is>
      </c>
      <c r="N1836" t="inlineStr">
        <is>
          <t>Mensual</t>
        </is>
      </c>
    </row>
    <row r="1837">
      <c r="A1837" t="inlineStr">
        <is>
          <t>2026-06</t>
        </is>
      </c>
      <c r="B1837" t="inlineStr">
        <is>
          <t>Colombia</t>
        </is>
      </c>
      <c r="C1837" t="inlineStr">
        <is>
          <t>Coco Colombia</t>
        </is>
      </c>
      <c r="D1837" t="inlineStr">
        <is>
          <t>COP</t>
        </is>
      </c>
      <c r="E1837" t="inlineStr">
        <is>
          <t>Real</t>
        </is>
      </c>
      <c r="F1837" t="inlineStr">
        <is>
          <t>retained_mrr</t>
        </is>
      </c>
      <c r="I1837" t="n">
        <v>656948972</v>
      </c>
      <c r="J1837" t="inlineStr">
        <is>
          <t>COP</t>
        </is>
      </c>
      <c r="K1837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837" t="inlineStr">
        <is>
          <t>Mensual</t>
        </is>
      </c>
    </row>
    <row r="1838">
      <c r="A1838" t="inlineStr">
        <is>
          <t>2026-06</t>
        </is>
      </c>
      <c r="B1838" t="inlineStr">
        <is>
          <t>Colombia</t>
        </is>
      </c>
      <c r="C1838" t="inlineStr">
        <is>
          <t>Coco Colombia</t>
        </is>
      </c>
      <c r="D1838" t="inlineStr">
        <is>
          <t>COP</t>
        </is>
      </c>
      <c r="E1838" t="inlineStr">
        <is>
          <t>Real</t>
        </is>
      </c>
      <c r="F1838" t="inlineStr">
        <is>
          <t>new_mrr</t>
        </is>
      </c>
      <c r="I1838" t="n">
        <v>0</v>
      </c>
      <c r="J1838" t="inlineStr">
        <is>
          <t>COP</t>
        </is>
      </c>
      <c r="K1838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838" t="inlineStr">
        <is>
          <t>Mensual</t>
        </is>
      </c>
    </row>
    <row r="1839">
      <c r="A1839" t="inlineStr">
        <is>
          <t>2026-06</t>
        </is>
      </c>
      <c r="B1839" t="inlineStr">
        <is>
          <t>Colombia</t>
        </is>
      </c>
      <c r="C1839" t="inlineStr">
        <is>
          <t>Coco Colombia</t>
        </is>
      </c>
      <c r="D1839" t="inlineStr">
        <is>
          <t>COP</t>
        </is>
      </c>
      <c r="E1839" t="inlineStr">
        <is>
          <t>Real</t>
        </is>
      </c>
      <c r="F1839" t="inlineStr">
        <is>
          <t>expansion_mrr</t>
        </is>
      </c>
      <c r="I1839" t="n">
        <v>42574280</v>
      </c>
      <c r="J1839" t="inlineStr">
        <is>
          <t>COP</t>
        </is>
      </c>
      <c r="K1839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839" t="inlineStr">
        <is>
          <t>Mensual</t>
        </is>
      </c>
    </row>
    <row r="1840">
      <c r="A1840" t="inlineStr">
        <is>
          <t>2026-06</t>
        </is>
      </c>
      <c r="B1840" t="inlineStr">
        <is>
          <t>Colombia</t>
        </is>
      </c>
      <c r="C1840" t="inlineStr">
        <is>
          <t>Coco Colombia</t>
        </is>
      </c>
      <c r="D1840" t="inlineStr">
        <is>
          <t>COP</t>
        </is>
      </c>
      <c r="E1840" t="inlineStr">
        <is>
          <t>Real</t>
        </is>
      </c>
      <c r="F1840" t="inlineStr">
        <is>
          <t>contraction_mrr</t>
        </is>
      </c>
      <c r="I1840" t="n">
        <v>-22143677</v>
      </c>
      <c r="J1840" t="inlineStr">
        <is>
          <t>COP</t>
        </is>
      </c>
      <c r="K1840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840" t="inlineStr">
        <is>
          <t>Mensual</t>
        </is>
      </c>
    </row>
    <row r="1841">
      <c r="A1841" t="inlineStr">
        <is>
          <t>2026-06</t>
        </is>
      </c>
      <c r="B1841" t="inlineStr">
        <is>
          <t>Colombia</t>
        </is>
      </c>
      <c r="C1841" t="inlineStr">
        <is>
          <t>Coco Colombia</t>
        </is>
      </c>
      <c r="D1841" t="inlineStr">
        <is>
          <t>COP</t>
        </is>
      </c>
      <c r="E1841" t="inlineStr">
        <is>
          <t>Real</t>
        </is>
      </c>
      <c r="F1841" t="inlineStr">
        <is>
          <t>churned_mrr</t>
        </is>
      </c>
      <c r="I1841" t="n">
        <v>-1573424</v>
      </c>
      <c r="J1841" t="inlineStr">
        <is>
          <t>COP</t>
        </is>
      </c>
      <c r="K1841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841" t="inlineStr">
        <is>
          <t>Mensual</t>
        </is>
      </c>
    </row>
    <row r="1842">
      <c r="A1842" t="inlineStr">
        <is>
          <t>2025-07</t>
        </is>
      </c>
      <c r="B1842" t="inlineStr">
        <is>
          <t>Colombia</t>
        </is>
      </c>
      <c r="C1842" t="inlineStr">
        <is>
          <t>Coco Colombia</t>
        </is>
      </c>
      <c r="D1842" t="inlineStr">
        <is>
          <t>COP</t>
        </is>
      </c>
      <c r="E1842" t="inlineStr">
        <is>
          <t>Real</t>
        </is>
      </c>
      <c r="F1842" t="inlineStr">
        <is>
          <t>arr_mrr</t>
        </is>
      </c>
      <c r="I1842" t="n">
        <v>8381347140</v>
      </c>
      <c r="J1842" t="inlineStr">
        <is>
          <t>COP</t>
        </is>
      </c>
      <c r="K1842" t="inlineStr">
        <is>
          <t>MRR del mes x 12. Recalculado sobre la serie unificada del 14-ago-2026.</t>
        </is>
      </c>
      <c r="N1842" t="inlineStr">
        <is>
          <t>Mensual</t>
        </is>
      </c>
    </row>
    <row r="1843">
      <c r="A1843" t="inlineStr">
        <is>
          <t>2025-08</t>
        </is>
      </c>
      <c r="B1843" t="inlineStr">
        <is>
          <t>Colombia</t>
        </is>
      </c>
      <c r="C1843" t="inlineStr">
        <is>
          <t>Coco Colombia</t>
        </is>
      </c>
      <c r="D1843" t="inlineStr">
        <is>
          <t>COP</t>
        </is>
      </c>
      <c r="E1843" t="inlineStr">
        <is>
          <t>Real</t>
        </is>
      </c>
      <c r="F1843" t="inlineStr">
        <is>
          <t>arr_mrr</t>
        </is>
      </c>
      <c r="I1843" t="n">
        <v>8228752272</v>
      </c>
      <c r="J1843" t="inlineStr">
        <is>
          <t>COP</t>
        </is>
      </c>
      <c r="K1843" t="inlineStr">
        <is>
          <t>MRR del mes x 12. Recalculado sobre la serie unificada del 14-ago-2026.</t>
        </is>
      </c>
      <c r="N1843" t="inlineStr">
        <is>
          <t>Mensual</t>
        </is>
      </c>
    </row>
    <row r="1844">
      <c r="A1844" t="inlineStr">
        <is>
          <t>2025-09</t>
        </is>
      </c>
      <c r="B1844" t="inlineStr">
        <is>
          <t>Colombia</t>
        </is>
      </c>
      <c r="C1844" t="inlineStr">
        <is>
          <t>Coco Colombia</t>
        </is>
      </c>
      <c r="D1844" t="inlineStr">
        <is>
          <t>COP</t>
        </is>
      </c>
      <c r="E1844" t="inlineStr">
        <is>
          <t>Real</t>
        </is>
      </c>
      <c r="F1844" t="inlineStr">
        <is>
          <t>arr_mrr</t>
        </is>
      </c>
      <c r="I1844" t="n">
        <v>8239199664</v>
      </c>
      <c r="J1844" t="inlineStr">
        <is>
          <t>COP</t>
        </is>
      </c>
      <c r="K1844" t="inlineStr">
        <is>
          <t>MRR del mes x 12. Recalculado sobre la serie unificada del 14-ago-2026.</t>
        </is>
      </c>
      <c r="N1844" t="inlineStr">
        <is>
          <t>Mensual</t>
        </is>
      </c>
    </row>
    <row r="1845">
      <c r="A1845" t="inlineStr">
        <is>
          <t>2025-10</t>
        </is>
      </c>
      <c r="B1845" t="inlineStr">
        <is>
          <t>Colombia</t>
        </is>
      </c>
      <c r="C1845" t="inlineStr">
        <is>
          <t>Coco Colombia</t>
        </is>
      </c>
      <c r="D1845" t="inlineStr">
        <is>
          <t>COP</t>
        </is>
      </c>
      <c r="E1845" t="inlineStr">
        <is>
          <t>Real</t>
        </is>
      </c>
      <c r="F1845" t="inlineStr">
        <is>
          <t>arr_mrr</t>
        </is>
      </c>
      <c r="I1845" t="n">
        <v>7961226192</v>
      </c>
      <c r="J1845" t="inlineStr">
        <is>
          <t>COP</t>
        </is>
      </c>
      <c r="K1845" t="inlineStr">
        <is>
          <t>MRR del mes x 12. Recalculado sobre la serie unificada del 14-ago-2026.</t>
        </is>
      </c>
      <c r="N1845" t="inlineStr">
        <is>
          <t>Mensual</t>
        </is>
      </c>
    </row>
    <row r="1846">
      <c r="A1846" t="inlineStr">
        <is>
          <t>2025-11</t>
        </is>
      </c>
      <c r="B1846" t="inlineStr">
        <is>
          <t>Colombia</t>
        </is>
      </c>
      <c r="C1846" t="inlineStr">
        <is>
          <t>Coco Colombia</t>
        </is>
      </c>
      <c r="D1846" t="inlineStr">
        <is>
          <t>COP</t>
        </is>
      </c>
      <c r="E1846" t="inlineStr">
        <is>
          <t>Real</t>
        </is>
      </c>
      <c r="F1846" t="inlineStr">
        <is>
          <t>arr_mrr</t>
        </is>
      </c>
      <c r="I1846" t="n">
        <v>8190086004</v>
      </c>
      <c r="J1846" t="inlineStr">
        <is>
          <t>COP</t>
        </is>
      </c>
      <c r="K1846" t="inlineStr">
        <is>
          <t>MRR del mes x 12. Recalculado sobre la serie unificada del 14-ago-2026.</t>
        </is>
      </c>
      <c r="N1846" t="inlineStr">
        <is>
          <t>Mensual</t>
        </is>
      </c>
    </row>
    <row r="1847">
      <c r="A1847" t="inlineStr">
        <is>
          <t>2025-12</t>
        </is>
      </c>
      <c r="B1847" t="inlineStr">
        <is>
          <t>Colombia</t>
        </is>
      </c>
      <c r="C1847" t="inlineStr">
        <is>
          <t>Coco Colombia</t>
        </is>
      </c>
      <c r="D1847" t="inlineStr">
        <is>
          <t>COP</t>
        </is>
      </c>
      <c r="E1847" t="inlineStr">
        <is>
          <t>Real</t>
        </is>
      </c>
      <c r="F1847" t="inlineStr">
        <is>
          <t>arr_mrr</t>
        </is>
      </c>
      <c r="I1847" t="n">
        <v>7947757824</v>
      </c>
      <c r="J1847" t="inlineStr">
        <is>
          <t>COP</t>
        </is>
      </c>
      <c r="K1847" t="inlineStr">
        <is>
          <t>MRR del mes x 12. Recalculado sobre la serie unificada del 14-ago-2026.</t>
        </is>
      </c>
      <c r="N1847" t="inlineStr">
        <is>
          <t>Mensual</t>
        </is>
      </c>
    </row>
    <row r="1848">
      <c r="A1848" t="inlineStr">
        <is>
          <t>2026-01</t>
        </is>
      </c>
      <c r="B1848" t="inlineStr">
        <is>
          <t>Colombia</t>
        </is>
      </c>
      <c r="C1848" t="inlineStr">
        <is>
          <t>Coco Colombia</t>
        </is>
      </c>
      <c r="D1848" t="inlineStr">
        <is>
          <t>COP</t>
        </is>
      </c>
      <c r="E1848" t="inlineStr">
        <is>
          <t>Real</t>
        </is>
      </c>
      <c r="F1848" t="inlineStr">
        <is>
          <t>arr_mrr</t>
        </is>
      </c>
      <c r="J1848" t="inlineStr">
        <is>
          <t>COP</t>
        </is>
      </c>
      <c r="K1848" t="inlineStr">
        <is>
          <t>RETIRADO el 27-ago-2026: ARR con la definicion vieja (MRR del mes x 12) calculado ademas sobre la serie de MRR anterior. La vigente es el promedio ene-jul x 12, que es una sola cifra anual y vive en 2026-07. Valor anterior en BD_TRAZABILIDAD_COCO, hoja MRR_Cartera_Reemplazado.</t>
        </is>
      </c>
      <c r="N1848" t="inlineStr">
        <is>
          <t>Mensual</t>
        </is>
      </c>
    </row>
    <row r="1849">
      <c r="A1849" t="inlineStr">
        <is>
          <t>2026-02</t>
        </is>
      </c>
      <c r="B1849" t="inlineStr">
        <is>
          <t>Colombia</t>
        </is>
      </c>
      <c r="C1849" t="inlineStr">
        <is>
          <t>Coco Colombia</t>
        </is>
      </c>
      <c r="D1849" t="inlineStr">
        <is>
          <t>COP</t>
        </is>
      </c>
      <c r="E1849" t="inlineStr">
        <is>
          <t>Real</t>
        </is>
      </c>
      <c r="F1849" t="inlineStr">
        <is>
          <t>arr_mrr</t>
        </is>
      </c>
      <c r="J1849" t="inlineStr">
        <is>
          <t>COP</t>
        </is>
      </c>
      <c r="K1849" t="inlineStr">
        <is>
          <t>RETIRADO el 27-ago-2026: ARR con la definicion vieja (MRR del mes x 12) calculado ademas sobre la serie de MRR anterior. La vigente es el promedio ene-jul x 12, que es una sola cifra anual y vive en 2026-07. Valor anterior en BD_TRAZABILIDAD_COCO, hoja MRR_Cartera_Reemplazado.</t>
        </is>
      </c>
      <c r="N1849" t="inlineStr">
        <is>
          <t>Mensual</t>
        </is>
      </c>
    </row>
    <row r="1850">
      <c r="A1850" t="inlineStr">
        <is>
          <t>2026-03</t>
        </is>
      </c>
      <c r="B1850" t="inlineStr">
        <is>
          <t>Colombia</t>
        </is>
      </c>
      <c r="C1850" t="inlineStr">
        <is>
          <t>Coco Colombia</t>
        </is>
      </c>
      <c r="D1850" t="inlineStr">
        <is>
          <t>COP</t>
        </is>
      </c>
      <c r="E1850" t="inlineStr">
        <is>
          <t>Real</t>
        </is>
      </c>
      <c r="F1850" t="inlineStr">
        <is>
          <t>arr_mrr</t>
        </is>
      </c>
      <c r="J1850" t="inlineStr">
        <is>
          <t>COP</t>
        </is>
      </c>
      <c r="K1850" t="inlineStr">
        <is>
          <t>RETIRADO el 27-ago-2026: ARR con la definicion vieja (MRR del mes x 12) calculado ademas sobre la serie de MRR anterior. La vigente es el promedio ene-jul x 12, que es una sola cifra anual y vive en 2026-07. Valor anterior en BD_TRAZABILIDAD_COCO, hoja MRR_Cartera_Reemplazado.</t>
        </is>
      </c>
      <c r="N1850" t="inlineStr">
        <is>
          <t>Mensual</t>
        </is>
      </c>
    </row>
    <row r="1851">
      <c r="A1851" t="inlineStr">
        <is>
          <t>2026-04</t>
        </is>
      </c>
      <c r="B1851" t="inlineStr">
        <is>
          <t>Colombia</t>
        </is>
      </c>
      <c r="C1851" t="inlineStr">
        <is>
          <t>Coco Colombia</t>
        </is>
      </c>
      <c r="D1851" t="inlineStr">
        <is>
          <t>COP</t>
        </is>
      </c>
      <c r="E1851" t="inlineStr">
        <is>
          <t>Real</t>
        </is>
      </c>
      <c r="F1851" t="inlineStr">
        <is>
          <t>arr_mrr</t>
        </is>
      </c>
      <c r="J1851" t="inlineStr">
        <is>
          <t>COP</t>
        </is>
      </c>
      <c r="K1851" t="inlineStr">
        <is>
          <t>RETIRADO el 27-ago-2026: ARR con la definicion vieja (MRR del mes x 12) calculado ademas sobre la serie de MRR anterior. La vigente es el promedio ene-jul x 12, que es una sola cifra anual y vive en 2026-07. Valor anterior en BD_TRAZABILIDAD_COCO, hoja MRR_Cartera_Reemplazado.</t>
        </is>
      </c>
      <c r="N1851" t="inlineStr">
        <is>
          <t>Mensual</t>
        </is>
      </c>
    </row>
    <row r="1852">
      <c r="A1852" t="inlineStr">
        <is>
          <t>2026-05</t>
        </is>
      </c>
      <c r="B1852" t="inlineStr">
        <is>
          <t>Colombia</t>
        </is>
      </c>
      <c r="C1852" t="inlineStr">
        <is>
          <t>Coco Colombia</t>
        </is>
      </c>
      <c r="D1852" t="inlineStr">
        <is>
          <t>COP</t>
        </is>
      </c>
      <c r="E1852" t="inlineStr">
        <is>
          <t>Real</t>
        </is>
      </c>
      <c r="F1852" t="inlineStr">
        <is>
          <t>arr_mrr</t>
        </is>
      </c>
      <c r="J1852" t="inlineStr">
        <is>
          <t>COP</t>
        </is>
      </c>
      <c r="K1852" t="inlineStr">
        <is>
          <t>RETIRADO el 27-ago-2026: definicion distinta a la vigente. El valor anterior queda en BD_TRAZABILIDAD_COCO, hoja MRR_Cartera_Reemplazado.</t>
        </is>
      </c>
      <c r="N1852" t="inlineStr">
        <is>
          <t>Mensual</t>
        </is>
      </c>
    </row>
    <row r="1853">
      <c r="A1853" t="inlineStr">
        <is>
          <t>2026-01</t>
        </is>
      </c>
      <c r="B1853" t="inlineStr">
        <is>
          <t>Colombia</t>
        </is>
      </c>
      <c r="C1853" t="inlineStr">
        <is>
          <t>Coco Colombia</t>
        </is>
      </c>
      <c r="D1853" t="inlineStr">
        <is>
          <t>USD</t>
        </is>
      </c>
      <c r="E1853" t="inlineStr">
        <is>
          <t>Real</t>
        </is>
      </c>
      <c r="F1853" t="inlineStr">
        <is>
          <t>pyg_ingresos_operacionales</t>
        </is>
      </c>
      <c r="G1853" t="inlineStr">
        <is>
          <t>Consolidación USD</t>
        </is>
      </c>
      <c r="I1853" t="n">
        <v>165338.29</v>
      </c>
      <c r="J1853" t="inlineStr">
        <is>
          <t>USD</t>
        </is>
      </c>
      <c r="K1853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3" t="inlineStr">
        <is>
          <t>Internacional</t>
        </is>
      </c>
      <c r="M1853" t="inlineStr">
        <is>
          <t>Finanzas</t>
        </is>
      </c>
      <c r="N1853" t="inlineStr">
        <is>
          <t>Mensual</t>
        </is>
      </c>
    </row>
    <row r="1854">
      <c r="A1854" t="inlineStr">
        <is>
          <t>2026-01</t>
        </is>
      </c>
      <c r="B1854" t="inlineStr">
        <is>
          <t>Colombia</t>
        </is>
      </c>
      <c r="C1854" t="inlineStr">
        <is>
          <t>Coco Colombia</t>
        </is>
      </c>
      <c r="D1854" t="inlineStr">
        <is>
          <t>USD</t>
        </is>
      </c>
      <c r="E1854" t="inlineStr">
        <is>
          <t>Real</t>
        </is>
      </c>
      <c r="F1854" t="inlineStr">
        <is>
          <t>pyg_costo_ventas</t>
        </is>
      </c>
      <c r="G1854" t="inlineStr">
        <is>
          <t>Consolidación USD</t>
        </is>
      </c>
      <c r="I1854" t="n">
        <v>64416.9</v>
      </c>
      <c r="J1854" t="inlineStr">
        <is>
          <t>USD</t>
        </is>
      </c>
      <c r="K1854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4" t="inlineStr">
        <is>
          <t>Internacional</t>
        </is>
      </c>
      <c r="M1854" t="inlineStr">
        <is>
          <t>Finanzas</t>
        </is>
      </c>
      <c r="N1854" t="inlineStr">
        <is>
          <t>Mensual</t>
        </is>
      </c>
    </row>
    <row r="1855">
      <c r="A1855" t="inlineStr">
        <is>
          <t>2026-01</t>
        </is>
      </c>
      <c r="B1855" t="inlineStr">
        <is>
          <t>Colombia</t>
        </is>
      </c>
      <c r="C1855" t="inlineStr">
        <is>
          <t>Coco Colombia</t>
        </is>
      </c>
      <c r="D1855" t="inlineStr">
        <is>
          <t>USD</t>
        </is>
      </c>
      <c r="E1855" t="inlineStr">
        <is>
          <t>Real</t>
        </is>
      </c>
      <c r="F1855" t="inlineStr">
        <is>
          <t>pyg_gasto_administracion</t>
        </is>
      </c>
      <c r="G1855" t="inlineStr">
        <is>
          <t>Consolidación USD</t>
        </is>
      </c>
      <c r="I1855" t="n">
        <v>26660.12</v>
      </c>
      <c r="J1855" t="inlineStr">
        <is>
          <t>USD</t>
        </is>
      </c>
      <c r="K1855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5" t="inlineStr">
        <is>
          <t>Internacional</t>
        </is>
      </c>
      <c r="M1855" t="inlineStr">
        <is>
          <t>Finanzas</t>
        </is>
      </c>
      <c r="N1855" t="inlineStr">
        <is>
          <t>Mensual</t>
        </is>
      </c>
    </row>
    <row r="1856">
      <c r="A1856" t="inlineStr">
        <is>
          <t>2026-01</t>
        </is>
      </c>
      <c r="B1856" t="inlineStr">
        <is>
          <t>Colombia</t>
        </is>
      </c>
      <c r="C1856" t="inlineStr">
        <is>
          <t>Coco Colombia</t>
        </is>
      </c>
      <c r="D1856" t="inlineStr">
        <is>
          <t>USD</t>
        </is>
      </c>
      <c r="E1856" t="inlineStr">
        <is>
          <t>Real</t>
        </is>
      </c>
      <c r="F1856" t="inlineStr">
        <is>
          <t>pyg_gasto_ventas</t>
        </is>
      </c>
      <c r="G1856" t="inlineStr">
        <is>
          <t>Consolidación USD</t>
        </is>
      </c>
      <c r="I1856" t="n">
        <v>35538.82</v>
      </c>
      <c r="J1856" t="inlineStr">
        <is>
          <t>USD</t>
        </is>
      </c>
      <c r="K1856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6" t="inlineStr">
        <is>
          <t>Internacional</t>
        </is>
      </c>
      <c r="M1856" t="inlineStr">
        <is>
          <t>Finanzas</t>
        </is>
      </c>
      <c r="N1856" t="inlineStr">
        <is>
          <t>Mensual</t>
        </is>
      </c>
    </row>
    <row r="1857">
      <c r="A1857" t="inlineStr">
        <is>
          <t>2026-01</t>
        </is>
      </c>
      <c r="B1857" t="inlineStr">
        <is>
          <t>Colombia</t>
        </is>
      </c>
      <c r="C1857" t="inlineStr">
        <is>
          <t>Coco Colombia</t>
        </is>
      </c>
      <c r="D1857" t="inlineStr">
        <is>
          <t>USD</t>
        </is>
      </c>
      <c r="E1857" t="inlineStr">
        <is>
          <t>Real</t>
        </is>
      </c>
      <c r="F1857" t="inlineStr">
        <is>
          <t>pyg_gasto_proyectos</t>
        </is>
      </c>
      <c r="G1857" t="inlineStr">
        <is>
          <t>Consolidación USD</t>
        </is>
      </c>
      <c r="I1857" t="n">
        <v>19824.43</v>
      </c>
      <c r="J1857" t="inlineStr">
        <is>
          <t>USD</t>
        </is>
      </c>
      <c r="K1857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7" t="inlineStr">
        <is>
          <t>Internacional</t>
        </is>
      </c>
      <c r="M1857" t="inlineStr">
        <is>
          <t>Finanzas</t>
        </is>
      </c>
      <c r="N1857" t="inlineStr">
        <is>
          <t>Mensual</t>
        </is>
      </c>
    </row>
    <row r="1858">
      <c r="A1858" t="inlineStr">
        <is>
          <t>2026-01</t>
        </is>
      </c>
      <c r="B1858" t="inlineStr">
        <is>
          <t>Colombia</t>
        </is>
      </c>
      <c r="C1858" t="inlineStr">
        <is>
          <t>Coco Colombia</t>
        </is>
      </c>
      <c r="D1858" t="inlineStr">
        <is>
          <t>USD</t>
        </is>
      </c>
      <c r="E1858" t="inlineStr">
        <is>
          <t>Real</t>
        </is>
      </c>
      <c r="F1858" t="inlineStr">
        <is>
          <t>pyg_ingresos_no_operacionales</t>
        </is>
      </c>
      <c r="G1858" t="inlineStr">
        <is>
          <t>Consolidación USD</t>
        </is>
      </c>
      <c r="I1858" t="n">
        <v>161.41</v>
      </c>
      <c r="J1858" t="inlineStr">
        <is>
          <t>USD</t>
        </is>
      </c>
      <c r="K1858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8" t="inlineStr">
        <is>
          <t>Internacional</t>
        </is>
      </c>
      <c r="M1858" t="inlineStr">
        <is>
          <t>Finanzas</t>
        </is>
      </c>
      <c r="N1858" t="inlineStr">
        <is>
          <t>Mensual</t>
        </is>
      </c>
    </row>
    <row r="1859">
      <c r="A1859" t="inlineStr">
        <is>
          <t>2026-01</t>
        </is>
      </c>
      <c r="B1859" t="inlineStr">
        <is>
          <t>Colombia</t>
        </is>
      </c>
      <c r="C1859" t="inlineStr">
        <is>
          <t>Coco Colombia</t>
        </is>
      </c>
      <c r="D1859" t="inlineStr">
        <is>
          <t>USD</t>
        </is>
      </c>
      <c r="E1859" t="inlineStr">
        <is>
          <t>Real</t>
        </is>
      </c>
      <c r="F1859" t="inlineStr">
        <is>
          <t>pyg_gastos_financieros</t>
        </is>
      </c>
      <c r="G1859" t="inlineStr">
        <is>
          <t>Consolidación USD</t>
        </is>
      </c>
      <c r="I1859" t="n">
        <v>1915.08</v>
      </c>
      <c r="J1859" t="inlineStr">
        <is>
          <t>USD</t>
        </is>
      </c>
      <c r="K1859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9" t="inlineStr">
        <is>
          <t>Internacional</t>
        </is>
      </c>
      <c r="M1859" t="inlineStr">
        <is>
          <t>Finanzas</t>
        </is>
      </c>
      <c r="N1859" t="inlineStr">
        <is>
          <t>Mensual</t>
        </is>
      </c>
    </row>
    <row r="1860">
      <c r="A1860" t="inlineStr">
        <is>
          <t>2026-01</t>
        </is>
      </c>
      <c r="B1860" t="inlineStr">
        <is>
          <t>Colombia</t>
        </is>
      </c>
      <c r="C1860" t="inlineStr">
        <is>
          <t>Coco Colombia</t>
        </is>
      </c>
      <c r="D1860" t="inlineStr">
        <is>
          <t>USD</t>
        </is>
      </c>
      <c r="E1860" t="inlineStr">
        <is>
          <t>Real</t>
        </is>
      </c>
      <c r="F1860" t="inlineStr">
        <is>
          <t>pyg_utilidad_neta</t>
        </is>
      </c>
      <c r="G1860" t="inlineStr">
        <is>
          <t>Consolidación USD</t>
        </is>
      </c>
      <c r="I1860" t="n">
        <v>17144.34</v>
      </c>
      <c r="J1860" t="inlineStr">
        <is>
          <t>USD</t>
        </is>
      </c>
      <c r="K1860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0" t="inlineStr">
        <is>
          <t>Internacional</t>
        </is>
      </c>
      <c r="M1860" t="inlineStr">
        <is>
          <t>Finanzas</t>
        </is>
      </c>
      <c r="N1860" t="inlineStr">
        <is>
          <t>Mensual</t>
        </is>
      </c>
    </row>
    <row r="1861">
      <c r="A1861" t="inlineStr">
        <is>
          <t>2026-02</t>
        </is>
      </c>
      <c r="B1861" t="inlineStr">
        <is>
          <t>Colombia</t>
        </is>
      </c>
      <c r="C1861" t="inlineStr">
        <is>
          <t>Coco Colombia</t>
        </is>
      </c>
      <c r="D1861" t="inlineStr">
        <is>
          <t>USD</t>
        </is>
      </c>
      <c r="E1861" t="inlineStr">
        <is>
          <t>Real</t>
        </is>
      </c>
      <c r="F1861" t="inlineStr">
        <is>
          <t>pyg_ingresos_operacionales</t>
        </is>
      </c>
      <c r="G1861" t="inlineStr">
        <is>
          <t>Consolidación USD</t>
        </is>
      </c>
      <c r="I1861" t="n">
        <v>202473.08</v>
      </c>
      <c r="J1861" t="inlineStr">
        <is>
          <t>USD</t>
        </is>
      </c>
      <c r="K1861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1" t="inlineStr">
        <is>
          <t>Internacional</t>
        </is>
      </c>
      <c r="M1861" t="inlineStr">
        <is>
          <t>Finanzas</t>
        </is>
      </c>
      <c r="N1861" t="inlineStr">
        <is>
          <t>Mensual</t>
        </is>
      </c>
    </row>
    <row r="1862">
      <c r="A1862" t="inlineStr">
        <is>
          <t>2026-02</t>
        </is>
      </c>
      <c r="B1862" t="inlineStr">
        <is>
          <t>Colombia</t>
        </is>
      </c>
      <c r="C1862" t="inlineStr">
        <is>
          <t>Coco Colombia</t>
        </is>
      </c>
      <c r="D1862" t="inlineStr">
        <is>
          <t>USD</t>
        </is>
      </c>
      <c r="E1862" t="inlineStr">
        <is>
          <t>Real</t>
        </is>
      </c>
      <c r="F1862" t="inlineStr">
        <is>
          <t>pyg_costo_ventas</t>
        </is>
      </c>
      <c r="G1862" t="inlineStr">
        <is>
          <t>Consolidación USD</t>
        </is>
      </c>
      <c r="I1862" t="n">
        <v>93401.09</v>
      </c>
      <c r="J1862" t="inlineStr">
        <is>
          <t>USD</t>
        </is>
      </c>
      <c r="K1862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2" t="inlineStr">
        <is>
          <t>Internacional</t>
        </is>
      </c>
      <c r="M1862" t="inlineStr">
        <is>
          <t>Finanzas</t>
        </is>
      </c>
      <c r="N1862" t="inlineStr">
        <is>
          <t>Mensual</t>
        </is>
      </c>
    </row>
    <row r="1863">
      <c r="A1863" t="inlineStr">
        <is>
          <t>2026-02</t>
        </is>
      </c>
      <c r="B1863" t="inlineStr">
        <is>
          <t>Colombia</t>
        </is>
      </c>
      <c r="C1863" t="inlineStr">
        <is>
          <t>Coco Colombia</t>
        </is>
      </c>
      <c r="D1863" t="inlineStr">
        <is>
          <t>USD</t>
        </is>
      </c>
      <c r="E1863" t="inlineStr">
        <is>
          <t>Real</t>
        </is>
      </c>
      <c r="F1863" t="inlineStr">
        <is>
          <t>pyg_gasto_administracion</t>
        </is>
      </c>
      <c r="G1863" t="inlineStr">
        <is>
          <t>Consolidación USD</t>
        </is>
      </c>
      <c r="I1863" t="n">
        <v>28738.8</v>
      </c>
      <c r="J1863" t="inlineStr">
        <is>
          <t>USD</t>
        </is>
      </c>
      <c r="K1863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3" t="inlineStr">
        <is>
          <t>Internacional</t>
        </is>
      </c>
      <c r="M1863" t="inlineStr">
        <is>
          <t>Finanzas</t>
        </is>
      </c>
      <c r="N1863" t="inlineStr">
        <is>
          <t>Mensual</t>
        </is>
      </c>
    </row>
    <row r="1864">
      <c r="A1864" t="inlineStr">
        <is>
          <t>2026-02</t>
        </is>
      </c>
      <c r="B1864" t="inlineStr">
        <is>
          <t>Colombia</t>
        </is>
      </c>
      <c r="C1864" t="inlineStr">
        <is>
          <t>Coco Colombia</t>
        </is>
      </c>
      <c r="D1864" t="inlineStr">
        <is>
          <t>USD</t>
        </is>
      </c>
      <c r="E1864" t="inlineStr">
        <is>
          <t>Real</t>
        </is>
      </c>
      <c r="F1864" t="inlineStr">
        <is>
          <t>pyg_gasto_ventas</t>
        </is>
      </c>
      <c r="G1864" t="inlineStr">
        <is>
          <t>Consolidación USD</t>
        </is>
      </c>
      <c r="I1864" t="n">
        <v>47238.63</v>
      </c>
      <c r="J1864" t="inlineStr">
        <is>
          <t>USD</t>
        </is>
      </c>
      <c r="K1864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4" t="inlineStr">
        <is>
          <t>Internacional</t>
        </is>
      </c>
      <c r="M1864" t="inlineStr">
        <is>
          <t>Finanzas</t>
        </is>
      </c>
      <c r="N1864" t="inlineStr">
        <is>
          <t>Mensual</t>
        </is>
      </c>
    </row>
    <row r="1865">
      <c r="A1865" t="inlineStr">
        <is>
          <t>2026-02</t>
        </is>
      </c>
      <c r="B1865" t="inlineStr">
        <is>
          <t>Colombia</t>
        </is>
      </c>
      <c r="C1865" t="inlineStr">
        <is>
          <t>Coco Colombia</t>
        </is>
      </c>
      <c r="D1865" t="inlineStr">
        <is>
          <t>USD</t>
        </is>
      </c>
      <c r="E1865" t="inlineStr">
        <is>
          <t>Real</t>
        </is>
      </c>
      <c r="F1865" t="inlineStr">
        <is>
          <t>pyg_gasto_proyectos</t>
        </is>
      </c>
      <c r="G1865" t="inlineStr">
        <is>
          <t>Consolidación USD</t>
        </is>
      </c>
      <c r="I1865" t="n">
        <v>20543.26</v>
      </c>
      <c r="J1865" t="inlineStr">
        <is>
          <t>USD</t>
        </is>
      </c>
      <c r="K1865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5" t="inlineStr">
        <is>
          <t>Internacional</t>
        </is>
      </c>
      <c r="M1865" t="inlineStr">
        <is>
          <t>Finanzas</t>
        </is>
      </c>
      <c r="N1865" t="inlineStr">
        <is>
          <t>Mensual</t>
        </is>
      </c>
    </row>
    <row r="1866">
      <c r="A1866" t="inlineStr">
        <is>
          <t>2026-02</t>
        </is>
      </c>
      <c r="B1866" t="inlineStr">
        <is>
          <t>Colombia</t>
        </is>
      </c>
      <c r="C1866" t="inlineStr">
        <is>
          <t>Coco Colombia</t>
        </is>
      </c>
      <c r="D1866" t="inlineStr">
        <is>
          <t>USD</t>
        </is>
      </c>
      <c r="E1866" t="inlineStr">
        <is>
          <t>Real</t>
        </is>
      </c>
      <c r="F1866" t="inlineStr">
        <is>
          <t>pyg_ingresos_no_operacionales</t>
        </is>
      </c>
      <c r="G1866" t="inlineStr">
        <is>
          <t>Consolidación USD</t>
        </is>
      </c>
      <c r="I1866" t="n">
        <v>3669.83</v>
      </c>
      <c r="J1866" t="inlineStr">
        <is>
          <t>USD</t>
        </is>
      </c>
      <c r="K1866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6" t="inlineStr">
        <is>
          <t>Internacional</t>
        </is>
      </c>
      <c r="M1866" t="inlineStr">
        <is>
          <t>Finanzas</t>
        </is>
      </c>
      <c r="N1866" t="inlineStr">
        <is>
          <t>Mensual</t>
        </is>
      </c>
    </row>
    <row r="1867">
      <c r="A1867" t="inlineStr">
        <is>
          <t>2026-02</t>
        </is>
      </c>
      <c r="B1867" t="inlineStr">
        <is>
          <t>Colombia</t>
        </is>
      </c>
      <c r="C1867" t="inlineStr">
        <is>
          <t>Coco Colombia</t>
        </is>
      </c>
      <c r="D1867" t="inlineStr">
        <is>
          <t>USD</t>
        </is>
      </c>
      <c r="E1867" t="inlineStr">
        <is>
          <t>Real</t>
        </is>
      </c>
      <c r="F1867" t="inlineStr">
        <is>
          <t>pyg_gastos_financieros</t>
        </is>
      </c>
      <c r="G1867" t="inlineStr">
        <is>
          <t>Consolidación USD</t>
        </is>
      </c>
      <c r="I1867" t="n">
        <v>1516.5</v>
      </c>
      <c r="J1867" t="inlineStr">
        <is>
          <t>USD</t>
        </is>
      </c>
      <c r="K1867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7" t="inlineStr">
        <is>
          <t>Internacional</t>
        </is>
      </c>
      <c r="M1867" t="inlineStr">
        <is>
          <t>Finanzas</t>
        </is>
      </c>
      <c r="N1867" t="inlineStr">
        <is>
          <t>Mensual</t>
        </is>
      </c>
    </row>
    <row r="1868">
      <c r="A1868" t="inlineStr">
        <is>
          <t>2026-02</t>
        </is>
      </c>
      <c r="B1868" t="inlineStr">
        <is>
          <t>Colombia</t>
        </is>
      </c>
      <c r="C1868" t="inlineStr">
        <is>
          <t>Coco Colombia</t>
        </is>
      </c>
      <c r="D1868" t="inlineStr">
        <is>
          <t>USD</t>
        </is>
      </c>
      <c r="E1868" t="inlineStr">
        <is>
          <t>Real</t>
        </is>
      </c>
      <c r="F1868" t="inlineStr">
        <is>
          <t>pyg_utilidad_neta</t>
        </is>
      </c>
      <c r="G1868" t="inlineStr">
        <is>
          <t>Consolidación USD</t>
        </is>
      </c>
      <c r="I1868" t="n">
        <v>14704.63</v>
      </c>
      <c r="J1868" t="inlineStr">
        <is>
          <t>USD</t>
        </is>
      </c>
      <c r="K1868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8" t="inlineStr">
        <is>
          <t>Internacional</t>
        </is>
      </c>
      <c r="M1868" t="inlineStr">
        <is>
          <t>Finanzas</t>
        </is>
      </c>
      <c r="N1868" t="inlineStr">
        <is>
          <t>Mensual</t>
        </is>
      </c>
    </row>
    <row r="1869">
      <c r="A1869" t="inlineStr">
        <is>
          <t>2026-03</t>
        </is>
      </c>
      <c r="B1869" t="inlineStr">
        <is>
          <t>Colombia</t>
        </is>
      </c>
      <c r="C1869" t="inlineStr">
        <is>
          <t>Coco Colombia</t>
        </is>
      </c>
      <c r="D1869" t="inlineStr">
        <is>
          <t>USD</t>
        </is>
      </c>
      <c r="E1869" t="inlineStr">
        <is>
          <t>Real</t>
        </is>
      </c>
      <c r="F1869" t="inlineStr">
        <is>
          <t>pyg_ingresos_operacionales</t>
        </is>
      </c>
      <c r="G1869" t="inlineStr">
        <is>
          <t>Consolidación USD</t>
        </is>
      </c>
      <c r="I1869" t="n">
        <v>211709.07</v>
      </c>
      <c r="J1869" t="inlineStr">
        <is>
          <t>USD</t>
        </is>
      </c>
      <c r="K1869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9" t="inlineStr">
        <is>
          <t>Internacional</t>
        </is>
      </c>
      <c r="M1869" t="inlineStr">
        <is>
          <t>Finanzas</t>
        </is>
      </c>
      <c r="N1869" t="inlineStr">
        <is>
          <t>Mensual</t>
        </is>
      </c>
    </row>
    <row r="1870">
      <c r="A1870" t="inlineStr">
        <is>
          <t>2026-03</t>
        </is>
      </c>
      <c r="B1870" t="inlineStr">
        <is>
          <t>Colombia</t>
        </is>
      </c>
      <c r="C1870" t="inlineStr">
        <is>
          <t>Coco Colombia</t>
        </is>
      </c>
      <c r="D1870" t="inlineStr">
        <is>
          <t>USD</t>
        </is>
      </c>
      <c r="E1870" t="inlineStr">
        <is>
          <t>Real</t>
        </is>
      </c>
      <c r="F1870" t="inlineStr">
        <is>
          <t>pyg_costo_ventas</t>
        </is>
      </c>
      <c r="G1870" t="inlineStr">
        <is>
          <t>Consolidación USD</t>
        </is>
      </c>
      <c r="I1870" t="n">
        <v>122564.05</v>
      </c>
      <c r="J1870" t="inlineStr">
        <is>
          <t>USD</t>
        </is>
      </c>
      <c r="K1870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0" t="inlineStr">
        <is>
          <t>Internacional</t>
        </is>
      </c>
      <c r="M1870" t="inlineStr">
        <is>
          <t>Finanzas</t>
        </is>
      </c>
      <c r="N1870" t="inlineStr">
        <is>
          <t>Mensual</t>
        </is>
      </c>
    </row>
    <row r="1871">
      <c r="A1871" t="inlineStr">
        <is>
          <t>2026-03</t>
        </is>
      </c>
      <c r="B1871" t="inlineStr">
        <is>
          <t>Colombia</t>
        </is>
      </c>
      <c r="C1871" t="inlineStr">
        <is>
          <t>Coco Colombia</t>
        </is>
      </c>
      <c r="D1871" t="inlineStr">
        <is>
          <t>USD</t>
        </is>
      </c>
      <c r="E1871" t="inlineStr">
        <is>
          <t>Real</t>
        </is>
      </c>
      <c r="F1871" t="inlineStr">
        <is>
          <t>pyg_gasto_administracion</t>
        </is>
      </c>
      <c r="G1871" t="inlineStr">
        <is>
          <t>Consolidación USD</t>
        </is>
      </c>
      <c r="I1871" t="n">
        <v>38146.49</v>
      </c>
      <c r="J1871" t="inlineStr">
        <is>
          <t>USD</t>
        </is>
      </c>
      <c r="K1871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1" t="inlineStr">
        <is>
          <t>Internacional</t>
        </is>
      </c>
      <c r="M1871" t="inlineStr">
        <is>
          <t>Finanzas</t>
        </is>
      </c>
      <c r="N1871" t="inlineStr">
        <is>
          <t>Mensual</t>
        </is>
      </c>
    </row>
    <row r="1872">
      <c r="A1872" t="inlineStr">
        <is>
          <t>2026-03</t>
        </is>
      </c>
      <c r="B1872" t="inlineStr">
        <is>
          <t>Colombia</t>
        </is>
      </c>
      <c r="C1872" t="inlineStr">
        <is>
          <t>Coco Colombia</t>
        </is>
      </c>
      <c r="D1872" t="inlineStr">
        <is>
          <t>USD</t>
        </is>
      </c>
      <c r="E1872" t="inlineStr">
        <is>
          <t>Real</t>
        </is>
      </c>
      <c r="F1872" t="inlineStr">
        <is>
          <t>pyg_gasto_ventas</t>
        </is>
      </c>
      <c r="G1872" t="inlineStr">
        <is>
          <t>Consolidación USD</t>
        </is>
      </c>
      <c r="I1872" t="n">
        <v>37555.76</v>
      </c>
      <c r="J1872" t="inlineStr">
        <is>
          <t>USD</t>
        </is>
      </c>
      <c r="K1872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2" t="inlineStr">
        <is>
          <t>Internacional</t>
        </is>
      </c>
      <c r="M1872" t="inlineStr">
        <is>
          <t>Finanzas</t>
        </is>
      </c>
      <c r="N1872" t="inlineStr">
        <is>
          <t>Mensual</t>
        </is>
      </c>
    </row>
    <row r="1873">
      <c r="A1873" t="inlineStr">
        <is>
          <t>2026-03</t>
        </is>
      </c>
      <c r="B1873" t="inlineStr">
        <is>
          <t>Colombia</t>
        </is>
      </c>
      <c r="C1873" t="inlineStr">
        <is>
          <t>Coco Colombia</t>
        </is>
      </c>
      <c r="D1873" t="inlineStr">
        <is>
          <t>USD</t>
        </is>
      </c>
      <c r="E1873" t="inlineStr">
        <is>
          <t>Real</t>
        </is>
      </c>
      <c r="F1873" t="inlineStr">
        <is>
          <t>pyg_gasto_proyectos</t>
        </is>
      </c>
      <c r="G1873" t="inlineStr">
        <is>
          <t>Consolidación USD</t>
        </is>
      </c>
      <c r="I1873" t="n">
        <v>19425.95</v>
      </c>
      <c r="J1873" t="inlineStr">
        <is>
          <t>USD</t>
        </is>
      </c>
      <c r="K1873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3" t="inlineStr">
        <is>
          <t>Internacional</t>
        </is>
      </c>
      <c r="M1873" t="inlineStr">
        <is>
          <t>Finanzas</t>
        </is>
      </c>
      <c r="N1873" t="inlineStr">
        <is>
          <t>Mensual</t>
        </is>
      </c>
    </row>
    <row r="1874">
      <c r="A1874" t="inlineStr">
        <is>
          <t>2026-03</t>
        </is>
      </c>
      <c r="B1874" t="inlineStr">
        <is>
          <t>Colombia</t>
        </is>
      </c>
      <c r="C1874" t="inlineStr">
        <is>
          <t>Coco Colombia</t>
        </is>
      </c>
      <c r="D1874" t="inlineStr">
        <is>
          <t>USD</t>
        </is>
      </c>
      <c r="E1874" t="inlineStr">
        <is>
          <t>Real</t>
        </is>
      </c>
      <c r="F1874" t="inlineStr">
        <is>
          <t>pyg_ingresos_no_operacionales</t>
        </is>
      </c>
      <c r="G1874" t="inlineStr">
        <is>
          <t>Consolidación USD</t>
        </is>
      </c>
      <c r="I1874" t="n">
        <v>-2743.11</v>
      </c>
      <c r="J1874" t="inlineStr">
        <is>
          <t>USD</t>
        </is>
      </c>
      <c r="K1874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4" t="inlineStr">
        <is>
          <t>Internacional</t>
        </is>
      </c>
      <c r="M1874" t="inlineStr">
        <is>
          <t>Finanzas</t>
        </is>
      </c>
      <c r="N1874" t="inlineStr">
        <is>
          <t>Mensual</t>
        </is>
      </c>
    </row>
    <row r="1875">
      <c r="A1875" t="inlineStr">
        <is>
          <t>2026-03</t>
        </is>
      </c>
      <c r="B1875" t="inlineStr">
        <is>
          <t>Colombia</t>
        </is>
      </c>
      <c r="C1875" t="inlineStr">
        <is>
          <t>Coco Colombia</t>
        </is>
      </c>
      <c r="D1875" t="inlineStr">
        <is>
          <t>USD</t>
        </is>
      </c>
      <c r="E1875" t="inlineStr">
        <is>
          <t>Real</t>
        </is>
      </c>
      <c r="F1875" t="inlineStr">
        <is>
          <t>pyg_gastos_financieros</t>
        </is>
      </c>
      <c r="G1875" t="inlineStr">
        <is>
          <t>Consolidación USD</t>
        </is>
      </c>
      <c r="I1875" t="n">
        <v>1478.81</v>
      </c>
      <c r="J1875" t="inlineStr">
        <is>
          <t>USD</t>
        </is>
      </c>
      <c r="K1875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5" t="inlineStr">
        <is>
          <t>Internacional</t>
        </is>
      </c>
      <c r="M1875" t="inlineStr">
        <is>
          <t>Finanzas</t>
        </is>
      </c>
      <c r="N1875" t="inlineStr">
        <is>
          <t>Mensual</t>
        </is>
      </c>
    </row>
    <row r="1876">
      <c r="A1876" t="inlineStr">
        <is>
          <t>2026-03</t>
        </is>
      </c>
      <c r="B1876" t="inlineStr">
        <is>
          <t>Colombia</t>
        </is>
      </c>
      <c r="C1876" t="inlineStr">
        <is>
          <t>Coco Colombia</t>
        </is>
      </c>
      <c r="D1876" t="inlineStr">
        <is>
          <t>USD</t>
        </is>
      </c>
      <c r="E1876" t="inlineStr">
        <is>
          <t>Real</t>
        </is>
      </c>
      <c r="F1876" t="inlineStr">
        <is>
          <t>pyg_utilidad_neta</t>
        </is>
      </c>
      <c r="G1876" t="inlineStr">
        <is>
          <t>Consolidación USD</t>
        </is>
      </c>
      <c r="I1876" t="n">
        <v>-10205.08</v>
      </c>
      <c r="J1876" t="inlineStr">
        <is>
          <t>USD</t>
        </is>
      </c>
      <c r="K1876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6" t="inlineStr">
        <is>
          <t>Internacional</t>
        </is>
      </c>
      <c r="M1876" t="inlineStr">
        <is>
          <t>Finanzas</t>
        </is>
      </c>
      <c r="N1876" t="inlineStr">
        <is>
          <t>Mensual</t>
        </is>
      </c>
    </row>
    <row r="1877">
      <c r="A1877" t="inlineStr">
        <is>
          <t>2026-07</t>
        </is>
      </c>
      <c r="B1877" t="inlineStr">
        <is>
          <t>Colombia</t>
        </is>
      </c>
      <c r="D1877" t="inlineStr">
        <is>
          <t>COP</t>
        </is>
      </c>
      <c r="E1877" t="inlineStr">
        <is>
          <t>Real</t>
        </is>
      </c>
      <c r="F1877" t="inlineStr">
        <is>
          <t>ingresos_no_recurrentes</t>
        </is>
      </c>
      <c r="I1877" t="n">
        <v>494843760</v>
      </c>
      <c r="J1877" t="inlineStr">
        <is>
          <t>COP</t>
        </is>
      </c>
      <c r="K1877" t="inlineStr">
        <is>
          <t>One-off Caja Costa Rica (CCSS), julio 2026. Fuera del MRR recurrente y del ARR.</t>
        </is>
      </c>
    </row>
    <row r="1878">
      <c r="A1878" t="inlineStr">
        <is>
          <t>2026-07</t>
        </is>
      </c>
      <c r="B1878" t="inlineStr">
        <is>
          <t>Colombia</t>
        </is>
      </c>
      <c r="D1878" t="inlineStr">
        <is>
          <t>COP</t>
        </is>
      </c>
      <c r="E1878" t="inlineStr">
        <is>
          <t>Real</t>
        </is>
      </c>
      <c r="F1878" t="inlineStr">
        <is>
          <t>cartera_arr_pct</t>
        </is>
      </c>
      <c r="I1878" t="n">
        <v>20.9</v>
      </c>
      <c r="J1878" t="inlineStr">
        <is>
          <t>%</t>
        </is>
      </c>
      <c r="K1878" t="inlineStr">
        <is>
          <t>Entregado por cartera. Con el ARR nuevo (8.595.360.796) la razon daria 17,9%: el 20,9% viene del ARR que usaba cartera, no del de esta base.</t>
        </is>
      </c>
    </row>
    <row r="1879">
      <c r="A1879" t="inlineStr">
        <is>
          <t>2026-07</t>
        </is>
      </c>
      <c r="B1879" t="inlineStr">
        <is>
          <t>Colombia</t>
        </is>
      </c>
      <c r="D1879" t="inlineStr">
        <is>
          <t>COP</t>
        </is>
      </c>
      <c r="E1879" t="inlineStr">
        <is>
          <t>Real</t>
        </is>
      </c>
      <c r="F1879" t="inlineStr">
        <is>
          <t>indice_morosidad</t>
        </is>
      </c>
      <c r="I1879" t="n">
        <v>77.3</v>
      </c>
      <c r="J1879" t="inlineStr">
        <is>
          <t>%</t>
        </is>
      </c>
      <c r="K1879" t="inlineStr">
        <is>
          <t>Entregado por cartera con su propia definicion; el tablero NO lo calcula. No coincide con vencida/total (41,6%) ni con la serie anterior (10,5 en mayo, 27,81 en junio), que quedo archivada.</t>
        </is>
      </c>
    </row>
    <row r="1880">
      <c r="A1880" t="inlineStr">
        <is>
          <t>2026-07</t>
        </is>
      </c>
      <c r="B1880" t="inlineStr">
        <is>
          <t>Colombia</t>
        </is>
      </c>
      <c r="D1880" t="inlineStr">
        <is>
          <t>COP</t>
        </is>
      </c>
      <c r="E1880" t="inlineStr">
        <is>
          <t>Real</t>
        </is>
      </c>
      <c r="F1880" t="inlineStr">
        <is>
          <t>concentracion_cartera</t>
        </is>
      </c>
      <c r="I1880" t="n">
        <v>45.3</v>
      </c>
      <c r="J1880" t="inlineStr">
        <is>
          <t>%</t>
        </is>
      </c>
      <c r="K1880" t="inlineStr">
        <is>
          <t>Entregado por cartera con su propia definicion; el tablero NO lo calcula. No coincide con vencida/total (41,6%) ni con la serie anterior (17,1 en mayo y junio), que quedo archivada.</t>
        </is>
      </c>
    </row>
    <row r="1881">
      <c r="A1881" t="inlineStr">
        <is>
          <t>2026-07</t>
        </is>
      </c>
      <c r="B1881" t="inlineStr">
        <is>
          <t>EE.UU.</t>
        </is>
      </c>
      <c r="C1881" t="inlineStr">
        <is>
          <t>Coco LLC</t>
        </is>
      </c>
      <c r="D1881" t="inlineStr">
        <is>
          <t>USD</t>
        </is>
      </c>
      <c r="E1881" t="inlineStr">
        <is>
          <t>Real</t>
        </is>
      </c>
      <c r="F1881" t="inlineStr">
        <is>
          <t>liquidez_total</t>
        </is>
      </c>
      <c r="H1881" t="inlineStr">
        <is>
          <t>Total bancos</t>
        </is>
      </c>
      <c r="I1881" t="n">
        <v>276523</v>
      </c>
      <c r="J1881" t="inlineStr">
        <is>
          <t>USD</t>
        </is>
      </c>
      <c r="K1881" t="inlineStr">
        <is>
          <t>Saldo bancario reportado por el usuario (sesion 31-ago-2026); corresponde al cierre de julio 2026.</t>
        </is>
      </c>
      <c r="L1881" t="inlineStr">
        <is>
          <t>Bancos</t>
        </is>
      </c>
      <c r="M1881" t="inlineStr">
        <is>
          <t>Tesorería</t>
        </is>
      </c>
      <c r="N1881" t="inlineStr">
        <is>
          <t>Mensual</t>
        </is>
      </c>
    </row>
    <row r="1882">
      <c r="A1882" t="inlineStr">
        <is>
          <t>2026-07</t>
        </is>
      </c>
      <c r="B1882" t="inlineStr">
        <is>
          <t>Colombia</t>
        </is>
      </c>
      <c r="C1882" t="inlineStr">
        <is>
          <t>Coco Colombia</t>
        </is>
      </c>
      <c r="D1882" t="inlineStr">
        <is>
          <t>COP</t>
        </is>
      </c>
      <c r="E1882" t="inlineStr">
        <is>
          <t>Real</t>
        </is>
      </c>
      <c r="F1882" t="inlineStr">
        <is>
          <t>liquidez_total</t>
        </is>
      </c>
      <c r="H1882" t="inlineStr">
        <is>
          <t>Total bancos</t>
        </is>
      </c>
      <c r="I1882" t="n">
        <v>251790666</v>
      </c>
      <c r="J1882" t="inlineStr">
        <is>
          <t>COP</t>
        </is>
      </c>
      <c r="K1882" t="inlineStr">
        <is>
          <t>Saldo bancario reportado por el usuario (sesion 31-ago-2026); corresponde al cierre de julio 2026.</t>
        </is>
      </c>
      <c r="L1882" t="inlineStr">
        <is>
          <t>Bancos</t>
        </is>
      </c>
      <c r="M1882" t="inlineStr">
        <is>
          <t>Tesorería</t>
        </is>
      </c>
      <c r="N1882" t="inlineStr">
        <is>
          <t>Mensual</t>
        </is>
      </c>
    </row>
  </sheetData>
  <mergeCells count="1">
    <mergeCell ref="A1:K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selection activeCell="A1" sqref="A1:C1"/>
    </sheetView>
  </sheetViews>
  <sheetFormatPr baseColWidth="8" defaultColWidth="8.6640625" defaultRowHeight="14.4"/>
  <cols>
    <col width="12" customWidth="1" style="52" min="1" max="1"/>
    <col width="14" customWidth="1" style="52" min="2" max="2"/>
    <col width="30" customWidth="1" style="52" min="3" max="3"/>
    <col width="20" customWidth="1" style="52" min="4" max="4"/>
  </cols>
  <sheetData>
    <row r="1" ht="24" customHeight="1" s="52">
      <c r="A1" s="53" t="inlineStr">
        <is>
          <t>TRM mensual (COP por USD) — derivada de ingresos COP / ingresos USD</t>
        </is>
      </c>
    </row>
    <row r="2" ht="14.25" customHeight="1" s="52">
      <c r="A2" s="54" t="inlineStr">
        <is>
          <t>El dashboard convierte a USD dividiendo el valor COP entre la TRM del periodo. Editable.</t>
        </is>
      </c>
    </row>
    <row r="3" ht="14.25" customHeight="1" s="52">
      <c r="A3" s="34" t="inlineStr">
        <is>
          <t>periodo</t>
        </is>
      </c>
      <c r="B3" s="34" t="inlineStr">
        <is>
          <t>trm_cop_usd</t>
        </is>
      </c>
      <c r="C3" s="34" t="inlineStr">
        <is>
          <t>fuente</t>
        </is>
      </c>
      <c r="D3" s="35" t="inlineStr">
        <is>
          <t>trm_promedio_mercado</t>
        </is>
      </c>
    </row>
    <row r="4" ht="14.25" customHeight="1" s="52">
      <c r="A4" s="5" t="inlineStr">
        <is>
          <t>2024-01</t>
        </is>
      </c>
      <c r="B4" s="40" t="n">
        <v>3915.2</v>
      </c>
      <c r="C4" s="18" t="inlineStr">
        <is>
          <t>TRM promedio de mercado (no derivable: sin bloque USD de Colombia)</t>
        </is>
      </c>
      <c r="D4" s="41" t="n">
        <v>3915.2</v>
      </c>
    </row>
    <row r="5" ht="14.25" customHeight="1" s="52">
      <c r="A5" s="6" t="inlineStr">
        <is>
          <t>2024-02</t>
        </is>
      </c>
      <c r="B5" s="42" t="n">
        <v>3931.44</v>
      </c>
      <c r="C5" s="20" t="inlineStr">
        <is>
          <t>TRM promedio de mercado (no derivable: sin bloque USD de Colombia)</t>
        </is>
      </c>
      <c r="D5" s="41" t="n">
        <v>3931.44</v>
      </c>
    </row>
    <row r="6" ht="14.25" customHeight="1" s="52">
      <c r="A6" s="5" t="inlineStr">
        <is>
          <t>2024-03</t>
        </is>
      </c>
      <c r="B6" s="40" t="n">
        <v>3899.34</v>
      </c>
      <c r="C6" s="18" t="inlineStr">
        <is>
          <t>TRM promedio de mercado (no derivable: sin bloque USD de Colombia)</t>
        </is>
      </c>
      <c r="D6" s="41" t="n">
        <v>3899.34</v>
      </c>
    </row>
    <row r="7" ht="14.25" customHeight="1" s="52">
      <c r="A7" s="6" t="inlineStr">
        <is>
          <t>2024-04</t>
        </is>
      </c>
      <c r="B7" s="42" t="n">
        <v>3867.98</v>
      </c>
      <c r="C7" s="20" t="inlineStr">
        <is>
          <t>TRM promedio de mercado (no derivable: sin bloque USD de Colombia)</t>
        </is>
      </c>
      <c r="D7" s="41" t="n">
        <v>3867.98</v>
      </c>
    </row>
    <row r="8" ht="14.25" customHeight="1" s="52">
      <c r="A8" s="5" t="inlineStr">
        <is>
          <t>2024-05</t>
        </is>
      </c>
      <c r="B8" s="40" t="n">
        <v>3869.1</v>
      </c>
      <c r="C8" s="18" t="inlineStr">
        <is>
          <t>TRM promedio de mercado (no derivable: sin bloque USD de Colombia)</t>
        </is>
      </c>
      <c r="D8" s="41" t="n">
        <v>3869.1</v>
      </c>
    </row>
    <row r="9" ht="14.25" customHeight="1" s="52">
      <c r="A9" s="6" t="inlineStr">
        <is>
          <t>2024-06</t>
        </is>
      </c>
      <c r="B9" s="42" t="n">
        <v>4042.8</v>
      </c>
      <c r="C9" s="20" t="inlineStr">
        <is>
          <t>TRM promedio de mercado (no derivable: sin bloque USD de Colombia)</t>
        </is>
      </c>
      <c r="D9" s="41" t="n">
        <v>4042.8</v>
      </c>
    </row>
    <row r="10" ht="14.25" customHeight="1" s="52">
      <c r="A10" s="5" t="inlineStr">
        <is>
          <t>2024-07</t>
        </is>
      </c>
      <c r="B10" s="40" t="n">
        <v>4036.92</v>
      </c>
      <c r="C10" s="18" t="inlineStr">
        <is>
          <t>TRM promedio de mercado (no derivable: sin bloque USD de Colombia)</t>
        </is>
      </c>
      <c r="D10" s="41" t="n">
        <v>4036.92</v>
      </c>
    </row>
    <row r="11" ht="14.25" customHeight="1" s="52">
      <c r="A11" s="6" t="inlineStr">
        <is>
          <t>2024-08</t>
        </is>
      </c>
      <c r="B11" s="42" t="n">
        <v>4065.55</v>
      </c>
      <c r="C11" s="20" t="inlineStr">
        <is>
          <t>TRM promedio de mercado (no derivable: sin bloque USD de Colombia)</t>
        </is>
      </c>
      <c r="D11" s="41" t="n">
        <v>4065.55</v>
      </c>
    </row>
    <row r="12" ht="14.25" customHeight="1" s="52">
      <c r="A12" s="5" t="inlineStr">
        <is>
          <t>2024-09</t>
        </is>
      </c>
      <c r="B12" s="40" t="n">
        <v>4182.51</v>
      </c>
      <c r="C12" s="18" t="inlineStr">
        <is>
          <t>TRM promedio de mercado (no derivable: sin bloque USD de Colombia)</t>
        </is>
      </c>
      <c r="D12" s="41" t="n">
        <v>4182.51</v>
      </c>
    </row>
    <row r="13" ht="14.25" customHeight="1" s="52">
      <c r="A13" s="6" t="inlineStr">
        <is>
          <t>2024-10</t>
        </is>
      </c>
      <c r="B13" s="42" t="n">
        <v>4249.47</v>
      </c>
      <c r="C13" s="20" t="inlineStr">
        <is>
          <t>TRM promedio de mercado (no derivable: sin bloque USD de Colombia)</t>
        </is>
      </c>
      <c r="D13" s="41" t="n">
        <v>4249.47</v>
      </c>
    </row>
    <row r="14" ht="14.25" customHeight="1" s="52">
      <c r="A14" s="5" t="inlineStr">
        <is>
          <t>2024-11</t>
        </is>
      </c>
      <c r="B14" s="40" t="n">
        <v>4408.65</v>
      </c>
      <c r="C14" s="18" t="inlineStr">
        <is>
          <t>TRM promedio de mercado (no derivable: sin bloque USD de Colombia)</t>
        </is>
      </c>
      <c r="D14" s="41" t="n">
        <v>4408.65</v>
      </c>
    </row>
    <row r="15" ht="14.25" customHeight="1" s="52">
      <c r="A15" s="6" t="inlineStr">
        <is>
          <t>2024-12</t>
        </is>
      </c>
      <c r="B15" s="42" t="n">
        <v>4385.15</v>
      </c>
      <c r="C15" s="20" t="inlineStr">
        <is>
          <t>TRM promedio de mercado (no derivable: sin bloque USD de Colombia)</t>
        </is>
      </c>
      <c r="D15" s="41" t="n">
        <v>4385.15</v>
      </c>
    </row>
    <row r="16" ht="14.25" customHeight="1" s="52">
      <c r="A16" s="5" t="inlineStr">
        <is>
          <t>2025-01</t>
        </is>
      </c>
      <c r="B16" s="40" t="n">
        <v>4307.57</v>
      </c>
      <c r="C16" s="18" t="inlineStr">
        <is>
          <t>TRM promedio de mercado (no derivable: sin bloque USD de Colombia)</t>
        </is>
      </c>
      <c r="D16" s="41" t="n">
        <v>4307.57</v>
      </c>
    </row>
    <row r="17" ht="14.25" customHeight="1" s="52">
      <c r="A17" s="6" t="inlineStr">
        <is>
          <t>2025-02</t>
        </is>
      </c>
      <c r="B17" s="42" t="n">
        <v>4127.95</v>
      </c>
      <c r="C17" s="20" t="inlineStr">
        <is>
          <t>TRM promedio de mercado (no derivable: sin bloque USD de Colombia)</t>
        </is>
      </c>
      <c r="D17" s="41" t="n">
        <v>4127.95</v>
      </c>
    </row>
    <row r="18" ht="14.25" customHeight="1" s="52">
      <c r="A18" s="5" t="inlineStr">
        <is>
          <t>2025-03</t>
        </is>
      </c>
      <c r="B18" s="40" t="n">
        <v>4137.68</v>
      </c>
      <c r="C18" s="18" t="inlineStr">
        <is>
          <t>TRM promedio de mercado (no derivable: sin bloque USD de Colombia)</t>
        </is>
      </c>
      <c r="D18" s="41" t="n">
        <v>4137.68</v>
      </c>
    </row>
    <row r="19" ht="14.25" customHeight="1" s="52">
      <c r="A19" s="6" t="inlineStr">
        <is>
          <t>2025-04</t>
        </is>
      </c>
      <c r="B19" s="42" t="n">
        <v>4280.26</v>
      </c>
      <c r="C19" s="20" t="inlineStr">
        <is>
          <t>TRM promedio de mercado (no derivable: sin bloque USD de Colombia)</t>
        </is>
      </c>
      <c r="D19" s="41" t="n">
        <v>4280.26</v>
      </c>
    </row>
    <row r="20" ht="14.25" customHeight="1" s="52">
      <c r="A20" s="5" t="inlineStr">
        <is>
          <t>2025-05</t>
        </is>
      </c>
      <c r="B20" s="40" t="n">
        <v>4203.38</v>
      </c>
      <c r="C20" s="18" t="inlineStr">
        <is>
          <t>TRM promedio de mercado (no derivable: sin bloque USD de Colombia)</t>
        </is>
      </c>
      <c r="D20" s="41" t="n">
        <v>4203.38</v>
      </c>
    </row>
    <row r="21" ht="14.25" customHeight="1" s="52">
      <c r="A21" s="6" t="inlineStr">
        <is>
          <t>2025-06</t>
        </is>
      </c>
      <c r="B21" s="42" t="n">
        <v>4113.49</v>
      </c>
      <c r="C21" s="20" t="inlineStr">
        <is>
          <t>TRM promedio de mercado (no derivable: sin bloque USD de Colombia)</t>
        </is>
      </c>
      <c r="D21" s="41" t="n">
        <v>4113.49</v>
      </c>
    </row>
    <row r="22" ht="14.25" customHeight="1" s="52">
      <c r="A22" s="5" t="inlineStr">
        <is>
          <t>2025-07</t>
        </is>
      </c>
      <c r="B22" s="40" t="n">
        <v>4040.85</v>
      </c>
      <c r="C22" s="18" t="inlineStr">
        <is>
          <t>TRM promedio de mercado (no derivable: sin bloque USD de Colombia)</t>
        </is>
      </c>
      <c r="D22" s="41" t="n">
        <v>4040.85</v>
      </c>
    </row>
    <row r="23" ht="14.25" customHeight="1" s="52">
      <c r="A23" s="6" t="inlineStr">
        <is>
          <t>2025-08</t>
        </is>
      </c>
      <c r="B23" s="42" t="n">
        <v>4047.41</v>
      </c>
      <c r="C23" s="20" t="inlineStr">
        <is>
          <t>TRM promedio de mercado (no derivable: sin bloque USD de Colombia)</t>
        </is>
      </c>
      <c r="D23" s="41" t="n">
        <v>4047.41</v>
      </c>
    </row>
    <row r="24" ht="14.25" customHeight="1" s="52">
      <c r="A24" s="5" t="inlineStr">
        <is>
          <t>2025-09</t>
        </is>
      </c>
      <c r="B24" s="40" t="n">
        <v>3922.21</v>
      </c>
      <c r="C24" s="18" t="inlineStr">
        <is>
          <t>TRM promedio de mercado (no derivable: sin bloque USD de Colombia)</t>
        </is>
      </c>
      <c r="D24" s="41" t="n">
        <v>3922.21</v>
      </c>
    </row>
    <row r="25" ht="14.25" customHeight="1" s="52">
      <c r="A25" s="6" t="inlineStr">
        <is>
          <t>2025-10</t>
        </is>
      </c>
      <c r="B25" s="42" t="n">
        <v>3877.84</v>
      </c>
      <c r="C25" s="20" t="inlineStr">
        <is>
          <t>TRM promedio de mercado (no derivable: sin bloque USD de Colombia)</t>
        </is>
      </c>
      <c r="D25" s="41" t="n">
        <v>3877.84</v>
      </c>
    </row>
    <row r="26" ht="14.25" customHeight="1" s="52">
      <c r="A26" s="5" t="inlineStr">
        <is>
          <t>2025-11</t>
        </is>
      </c>
      <c r="B26" s="40" t="n">
        <v>3786.18</v>
      </c>
      <c r="C26" s="18" t="inlineStr">
        <is>
          <t>TRM promedio de mercado (no derivable: sin bloque USD de Colombia)</t>
        </is>
      </c>
      <c r="D26" s="41" t="n">
        <v>3786.18</v>
      </c>
    </row>
    <row r="27" ht="14.25" customHeight="1" s="52">
      <c r="A27" s="6" t="inlineStr">
        <is>
          <t>2025-12</t>
        </is>
      </c>
      <c r="B27" s="42" t="n">
        <v>3791.47</v>
      </c>
      <c r="C27" s="20" t="inlineStr">
        <is>
          <t>TRM promedio de mercado (no derivable: sin bloque USD de Colombia)</t>
        </is>
      </c>
      <c r="D27" s="41" t="n">
        <v>3791.47</v>
      </c>
    </row>
    <row r="28" ht="14.25" customHeight="1" s="52">
      <c r="A28" s="5" t="inlineStr">
        <is>
          <t>2026-01</t>
        </is>
      </c>
      <c r="B28" s="40" t="n">
        <v>3703</v>
      </c>
      <c r="C28" s="18" t="inlineStr">
        <is>
          <t>TRM promedio de mercado (no derivable: sin bloque USD de Colombia)</t>
        </is>
      </c>
      <c r="D28" s="41" t="n">
        <v>3703</v>
      </c>
    </row>
    <row r="29" ht="14.25" customHeight="1" s="52">
      <c r="A29" s="6" t="inlineStr">
        <is>
          <t>2026-02</t>
        </is>
      </c>
      <c r="B29" s="42" t="n">
        <v>3675.64</v>
      </c>
      <c r="C29" s="20" t="inlineStr">
        <is>
          <t>TRM promedio de mercado (no derivable: sin bloque USD de Colombia)</t>
        </is>
      </c>
      <c r="D29" s="41" t="n">
        <v>3675.64</v>
      </c>
    </row>
    <row r="30" ht="14.25" customHeight="1" s="52">
      <c r="A30" s="5" t="inlineStr">
        <is>
          <t>2026-03</t>
        </is>
      </c>
      <c r="B30" s="40" t="n">
        <v>3717.56</v>
      </c>
      <c r="C30" s="18" t="inlineStr">
        <is>
          <t>TRM promedio de mercado (no derivable: sin bloque USD de Colombia)</t>
        </is>
      </c>
      <c r="D30" s="41" t="n">
        <v>3717.56</v>
      </c>
    </row>
    <row r="31" ht="14.25" customHeight="1" s="52">
      <c r="A31" s="6" t="inlineStr">
        <is>
          <t>2026-04</t>
        </is>
      </c>
      <c r="B31" s="42" t="n">
        <v>3617.52</v>
      </c>
      <c r="C31" s="20" t="inlineStr">
        <is>
          <t>Derivada: ingresos COP / ingresos USD de la consolidacion</t>
        </is>
      </c>
      <c r="D31" s="41" t="n">
        <v>3617.52</v>
      </c>
    </row>
    <row r="32" ht="14.25" customHeight="1" s="52">
      <c r="A32" s="5" t="inlineStr">
        <is>
          <t>2026-05</t>
        </is>
      </c>
      <c r="B32" s="40" t="n">
        <v>3714.02</v>
      </c>
      <c r="C32" s="18" t="inlineStr">
        <is>
          <t>Derivada: ingresos COP / ingresos USD de la consolidacion</t>
        </is>
      </c>
      <c r="D32" s="41" t="n">
        <v>3714.02</v>
      </c>
    </row>
    <row r="33">
      <c r="A33" s="26" t="inlineStr">
        <is>
          <t>2026-06</t>
        </is>
      </c>
      <c r="B33" s="43" t="n">
        <v>3505.27</v>
      </c>
      <c r="C33" s="27" t="inlineStr">
        <is>
          <t>Derivada: ingresos COP / ingresos USD de la consolidacion</t>
        </is>
      </c>
      <c r="D33" s="41" t="n">
        <v>3500.98</v>
      </c>
    </row>
    <row r="34">
      <c r="A34" t="inlineStr">
        <is>
          <t>2023-07</t>
        </is>
      </c>
      <c r="C34" t="inlineStr">
        <is>
          <t>TRM promedio mensual (mercado)</t>
        </is>
      </c>
      <c r="D34" s="41" t="n">
        <v>4069.23</v>
      </c>
    </row>
    <row r="35">
      <c r="A35" t="inlineStr">
        <is>
          <t>2023-08</t>
        </is>
      </c>
      <c r="C35" t="inlineStr">
        <is>
          <t>TRM promedio mensual (mercado)</t>
        </is>
      </c>
      <c r="D35" s="41" t="n">
        <v>4070.73</v>
      </c>
    </row>
    <row r="36">
      <c r="A36" t="inlineStr">
        <is>
          <t>2023-09</t>
        </is>
      </c>
      <c r="C36" t="inlineStr">
        <is>
          <t>TRM promedio mensual (mercado)</t>
        </is>
      </c>
      <c r="D36" s="41" t="n">
        <v>4004.52</v>
      </c>
    </row>
    <row r="37">
      <c r="A37" t="inlineStr">
        <is>
          <t>2023-10</t>
        </is>
      </c>
      <c r="C37" t="inlineStr">
        <is>
          <t>TRM promedio mensual (mercado)</t>
        </is>
      </c>
      <c r="D37" s="41" t="n">
        <v>4222.43</v>
      </c>
    </row>
    <row r="38">
      <c r="A38" t="inlineStr">
        <is>
          <t>2023-11</t>
        </is>
      </c>
      <c r="C38" t="inlineStr">
        <is>
          <t>TRM promedio mensual (mercado)</t>
        </is>
      </c>
      <c r="D38" s="41" t="n">
        <v>4038.8</v>
      </c>
    </row>
    <row r="39">
      <c r="A39" t="inlineStr">
        <is>
          <t>2023-12</t>
        </is>
      </c>
      <c r="C39" t="inlineStr">
        <is>
          <t>TRM promedio mensual (mercado)</t>
        </is>
      </c>
      <c r="D39" s="41" t="n">
        <v>3948.21</v>
      </c>
    </row>
    <row r="40">
      <c r="A40" t="inlineStr">
        <is>
          <t>2026-07</t>
        </is>
      </c>
      <c r="B40" t="n">
        <v>3268.95</v>
      </c>
      <c r="C40" t="inlineStr">
        <is>
          <t>Oficial julio (confirmada contra modelo V3 y Burn &amp; Runway)</t>
        </is>
      </c>
      <c r="D40" t="n">
        <v>3268.95</v>
      </c>
    </row>
  </sheetData>
  <mergeCells count="2">
    <mergeCell ref="A1:C1"/>
    <mergeCell ref="A2:C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4.4"/>
  <cols>
    <col width="11" customWidth="1" style="52" min="1" max="1"/>
    <col width="10" customWidth="1" style="52" min="2" max="2"/>
    <col width="13" customWidth="1" style="52" min="3" max="3"/>
    <col width="15" customWidth="1" style="52" min="4" max="4"/>
    <col width="34" customWidth="1" style="52" min="5" max="5"/>
  </cols>
  <sheetData>
    <row r="1" ht="12.45" customHeight="1" s="52">
      <c r="A1" s="37" t="inlineStr">
        <is>
          <t>Tasa de cambio Perú — promedio mensual 2026 (S/ por US$)</t>
        </is>
      </c>
    </row>
    <row r="2">
      <c r="A2" s="28" t="inlineStr">
        <is>
          <t>Fuente: BCRP (promedio del periodo). Serie PN01246PM; julio 2026 definitivo (3,400 = punto medio compra/venta SBS del mes completo).</t>
        </is>
      </c>
    </row>
    <row r="4">
      <c r="A4" s="44" t="inlineStr">
        <is>
          <t>periodo</t>
        </is>
      </c>
      <c r="B4" s="44" t="inlineStr">
        <is>
          <t>par</t>
        </is>
      </c>
      <c r="C4" s="44" t="inlineStr">
        <is>
          <t>tc_pen_usd</t>
        </is>
      </c>
      <c r="D4" s="44" t="inlineStr">
        <is>
          <t>factor_usd_pen</t>
        </is>
      </c>
      <c r="E4" s="44" t="inlineStr">
        <is>
          <t>fuente</t>
        </is>
      </c>
    </row>
    <row r="5">
      <c r="A5" t="inlineStr">
        <is>
          <t>2026-01</t>
        </is>
      </c>
      <c r="B5" t="inlineStr">
        <is>
          <t>PEN/USD</t>
        </is>
      </c>
      <c r="C5" s="45" t="n">
        <v>3.357</v>
      </c>
      <c r="D5" s="46" t="n">
        <v>0.297885</v>
      </c>
      <c r="E5" t="inlineStr">
        <is>
          <t>BCRP promedio mensual</t>
        </is>
      </c>
    </row>
    <row r="6">
      <c r="A6" t="inlineStr">
        <is>
          <t>2026-02</t>
        </is>
      </c>
      <c r="B6" t="inlineStr">
        <is>
          <t>PEN/USD</t>
        </is>
      </c>
      <c r="C6" s="45" t="n">
        <v>3.357</v>
      </c>
      <c r="D6" s="46" t="n">
        <v>0.297885</v>
      </c>
      <c r="E6" t="inlineStr">
        <is>
          <t>BCRP promedio mensual</t>
        </is>
      </c>
    </row>
    <row r="7">
      <c r="A7" t="inlineStr">
        <is>
          <t>2026-03</t>
        </is>
      </c>
      <c r="B7" t="inlineStr">
        <is>
          <t>PEN/USD</t>
        </is>
      </c>
      <c r="C7" s="45" t="n">
        <v>3.447</v>
      </c>
      <c r="D7" s="46" t="n">
        <v>0.290107</v>
      </c>
      <c r="E7" t="inlineStr">
        <is>
          <t>BCRP promedio mensual</t>
        </is>
      </c>
    </row>
    <row r="8">
      <c r="A8" t="inlineStr">
        <is>
          <t>2026-04</t>
        </is>
      </c>
      <c r="B8" t="inlineStr">
        <is>
          <t>PEN/USD</t>
        </is>
      </c>
      <c r="C8" s="45" t="n">
        <v>3.443</v>
      </c>
      <c r="D8" s="46" t="n">
        <v>0.290444</v>
      </c>
      <c r="E8" t="inlineStr">
        <is>
          <t>BCRP promedio mensual</t>
        </is>
      </c>
    </row>
    <row r="9">
      <c r="A9" t="inlineStr">
        <is>
          <t>2026-05</t>
        </is>
      </c>
      <c r="B9" t="inlineStr">
        <is>
          <t>PEN/USD</t>
        </is>
      </c>
      <c r="C9" s="45" t="n">
        <v>3.435</v>
      </c>
      <c r="D9" s="46" t="n">
        <v>0.291121</v>
      </c>
      <c r="E9" t="inlineStr">
        <is>
          <t>BCRP promedio mensual</t>
        </is>
      </c>
    </row>
    <row r="10">
      <c r="A10" t="inlineStr">
        <is>
          <t>2026-06</t>
        </is>
      </c>
      <c r="B10" t="inlineStr">
        <is>
          <t>PEN/USD</t>
        </is>
      </c>
      <c r="C10" s="45" t="n">
        <v>3.405</v>
      </c>
      <c r="D10" s="46" t="n">
        <v>0.293686</v>
      </c>
      <c r="E10" t="inlineStr">
        <is>
          <t>BCRP promedio mensual</t>
        </is>
      </c>
    </row>
    <row r="11">
      <c r="A11" t="inlineStr">
        <is>
          <t>2026-07</t>
        </is>
      </c>
      <c r="B11" t="inlineStr">
        <is>
          <t>PEN/USD</t>
        </is>
      </c>
      <c r="C11" s="45" t="n">
        <v>3.4</v>
      </c>
      <c r="D11" s="46" t="n">
        <v>0.294118</v>
      </c>
      <c r="E11" t="inlineStr">
        <is>
          <t>BCRP promedio mensual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:C1"/>
    </sheetView>
  </sheetViews>
  <sheetFormatPr baseColWidth="8" defaultColWidth="8.6640625" defaultRowHeight="14.4"/>
  <cols>
    <col width="32" customWidth="1" style="52" min="1" max="1"/>
    <col width="18" customWidth="1" style="52" min="2" max="2"/>
    <col width="30" customWidth="1" style="52" min="3" max="3"/>
  </cols>
  <sheetData>
    <row r="1" ht="24" customHeight="1" s="52">
      <c r="A1" s="53" t="inlineStr">
        <is>
          <t>LTV financiero (margen bruto + churn de ingresos TTM)</t>
        </is>
      </c>
    </row>
    <row r="2" ht="14.25" customHeight="1" s="52">
      <c r="A2" s="54" t="inlineStr">
        <is>
          <t>Cambia solo la celda amarilla (margen bruto) y LTV / payback / LTV:CAC se recalculan. Ventana TTM jun-2025 a may-2026.</t>
        </is>
      </c>
    </row>
    <row r="4" ht="14.25" customHeight="1" s="52">
      <c r="A4" s="8" t="inlineStr">
        <is>
          <t>Margen bruto (EDITABLE)</t>
        </is>
      </c>
      <c r="B4" s="59" t="n">
        <v>0.51</v>
      </c>
      <c r="C4" s="10" t="inlineStr">
        <is>
          <t>Source: Contabilidad, may-2026</t>
        </is>
      </c>
    </row>
    <row r="5" ht="14.25" customHeight="1" s="52">
      <c r="A5" s="11" t="inlineStr">
        <is>
          <t>ARPA mensual prom. (TTM)</t>
        </is>
      </c>
      <c r="B5" s="12" t="n">
        <v>8307111</v>
      </c>
      <c r="C5" s="10" t="inlineStr">
        <is>
          <t>Prom. ARPU mercadeo TTM</t>
        </is>
      </c>
    </row>
    <row r="6" ht="14.25" customHeight="1" s="52">
      <c r="A6" s="11" t="inlineStr">
        <is>
          <t>Churn de ingresos mensual (TTM)</t>
        </is>
      </c>
      <c r="B6" s="13" t="n">
        <v>0.0102</v>
      </c>
      <c r="C6" s="10" t="inlineStr">
        <is>
          <t>Σchurned / Σmrr_inicio (MRR bridge)</t>
        </is>
      </c>
    </row>
    <row r="7" ht="14.25" customHeight="1" s="52">
      <c r="A7" s="11" t="inlineStr">
        <is>
          <t>Churn de clientes mensual (TTM)</t>
        </is>
      </c>
      <c r="B7" s="13" t="n">
        <v>0.0117</v>
      </c>
      <c r="C7" s="10" t="inlineStr">
        <is>
          <t>Account Churn mercadeo (comparativo)</t>
        </is>
      </c>
    </row>
    <row r="8" ht="14.25" customHeight="1" s="52">
      <c r="A8" s="11" t="inlineStr">
        <is>
          <t>CAC prom. trimestral (TTM)</t>
        </is>
      </c>
      <c r="B8" s="12" t="n">
        <v>64935810</v>
      </c>
      <c r="C8" s="10" t="inlineStr">
        <is>
          <t>Prom. CAC mercadeo en la ventana</t>
        </is>
      </c>
    </row>
    <row r="10" ht="14.25" customHeight="1" s="52">
      <c r="A10" s="55" t="inlineStr">
        <is>
          <t>RESULTADOS</t>
        </is>
      </c>
    </row>
    <row r="11" ht="14.25" customHeight="1" s="52">
      <c r="A11" s="8" t="inlineStr">
        <is>
          <t>LTV financiero (COP)</t>
        </is>
      </c>
      <c r="B11" s="14">
        <f>B5*B4/B6</f>
        <v/>
      </c>
    </row>
    <row r="12" ht="14.25" customHeight="1" s="52">
      <c r="A12" s="8" t="inlineStr">
        <is>
          <t>Payback financiero (meses)</t>
        </is>
      </c>
      <c r="B12" s="60">
        <f>B8/(B5*B4)</f>
        <v/>
      </c>
    </row>
    <row r="13" ht="14.25" customHeight="1" s="52">
      <c r="A13" s="8" t="inlineStr">
        <is>
          <t>LTV:CAC financiero (veces)</t>
        </is>
      </c>
      <c r="B13" s="16">
        <f>B11/B8</f>
        <v/>
      </c>
    </row>
  </sheetData>
  <mergeCells count="3">
    <mergeCell ref="A1:C1"/>
    <mergeCell ref="A2:C2"/>
    <mergeCell ref="A10:C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workbookViewId="0">
      <selection activeCell="A1" sqref="A1:E1"/>
    </sheetView>
  </sheetViews>
  <sheetFormatPr baseColWidth="8" defaultColWidth="8.6640625" defaultRowHeight="14.4"/>
  <cols>
    <col width="34" customWidth="1" style="52" min="1" max="1"/>
    <col width="14" customWidth="1" style="52" min="2" max="2"/>
    <col width="18" customWidth="1" style="52" min="3" max="3"/>
    <col width="14" customWidth="1" style="52" min="4" max="5"/>
  </cols>
  <sheetData>
    <row r="1" ht="27.75" customHeight="1" s="52">
      <c r="A1" s="53" t="inlineStr">
        <is>
          <t>Análisis de Churn — Informe Contabilidad mayo 2026</t>
        </is>
      </c>
    </row>
    <row r="2" ht="14.25" customHeight="1" s="52">
      <c r="A2" s="54" t="inlineStr">
        <is>
          <t>Valor de churn en USD. Definición de la cifra (MRR perdido vs. valor de contrato) a confirmar. Total churn = 40.131 USD.</t>
        </is>
      </c>
    </row>
    <row r="4" ht="21.75" customHeight="1" s="52">
      <c r="A4" s="57" t="inlineStr">
        <is>
          <t>1. Churn por razón de retiro</t>
        </is>
      </c>
    </row>
    <row r="5" ht="14.25" customHeight="1" s="52">
      <c r="A5" s="21" t="inlineStr">
        <is>
          <t>Razón</t>
        </is>
      </c>
      <c r="B5" s="21" t="inlineStr">
        <is>
          <t>Valor USD</t>
        </is>
      </c>
      <c r="C5" s="21" t="inlineStr">
        <is>
          <t>% del total</t>
        </is>
      </c>
    </row>
    <row r="6" ht="14.25" customHeight="1" s="52">
      <c r="A6" s="5" t="inlineStr">
        <is>
          <t>Cambio de gerente</t>
        </is>
      </c>
      <c r="B6" s="7" t="n">
        <v>3689</v>
      </c>
      <c r="C6" s="61" t="n">
        <v>0.0919</v>
      </c>
    </row>
    <row r="7" ht="14.25" customHeight="1" s="52">
      <c r="A7" s="6" t="inlineStr">
        <is>
          <t>Interoperabilidad</t>
        </is>
      </c>
      <c r="B7" s="19" t="n">
        <v>1381</v>
      </c>
      <c r="C7" s="62" t="n">
        <v>0.0344</v>
      </c>
    </row>
    <row r="8" ht="14.25" customHeight="1" s="52">
      <c r="A8" s="5" t="inlineStr">
        <is>
          <t>No agrega valor</t>
        </is>
      </c>
      <c r="B8" s="7" t="n">
        <v>18462</v>
      </c>
      <c r="C8" s="61" t="n">
        <v>0.46</v>
      </c>
    </row>
    <row r="9" ht="14.25" customHeight="1" s="52">
      <c r="A9" s="6" t="inlineStr">
        <is>
          <t>Piloto no exitoso</t>
        </is>
      </c>
      <c r="B9" s="19" t="n">
        <v>558</v>
      </c>
      <c r="C9" s="62" t="n">
        <v>0.0139</v>
      </c>
    </row>
    <row r="10" ht="14.25" customHeight="1" s="52">
      <c r="A10" s="5" t="inlineStr">
        <is>
          <t>Presupuesto</t>
        </is>
      </c>
      <c r="B10" s="7" t="n">
        <v>16040</v>
      </c>
      <c r="C10" s="61" t="n">
        <v>0.3997</v>
      </c>
    </row>
    <row r="11" ht="14.25" customHeight="1" s="52">
      <c r="A11" s="24" t="inlineStr">
        <is>
          <t>Total</t>
        </is>
      </c>
      <c r="B11" s="19" t="n">
        <v>40131</v>
      </c>
      <c r="C11" s="62" t="n">
        <v>1</v>
      </c>
    </row>
    <row r="13" ht="21.75" customHeight="1" s="52">
      <c r="A13" s="57" t="inlineStr">
        <is>
          <t>2. Churn por factor</t>
        </is>
      </c>
    </row>
    <row r="14" ht="14.25" customHeight="1" s="52">
      <c r="A14" s="21" t="inlineStr">
        <is>
          <t>Factor</t>
        </is>
      </c>
      <c r="B14" s="21" t="inlineStr">
        <is>
          <t>Valor USD</t>
        </is>
      </c>
      <c r="C14" s="21" t="inlineStr">
        <is>
          <t>% del total</t>
        </is>
      </c>
    </row>
    <row r="15" ht="14.25" customHeight="1" s="52">
      <c r="A15" s="6" t="inlineStr">
        <is>
          <t>Externo</t>
        </is>
      </c>
      <c r="B15" s="19" t="n">
        <v>19436</v>
      </c>
      <c r="C15" s="62" t="n">
        <v>0.4843</v>
      </c>
    </row>
    <row r="16" ht="14.25" customHeight="1" s="52">
      <c r="A16" s="5" t="inlineStr">
        <is>
          <t>Interno</t>
        </is>
      </c>
      <c r="B16" s="7" t="n">
        <v>20694</v>
      </c>
      <c r="C16" s="61" t="n">
        <v>0.5157</v>
      </c>
    </row>
    <row r="17" ht="14.25" customHeight="1" s="52">
      <c r="A17" s="24" t="inlineStr">
        <is>
          <t>Total</t>
        </is>
      </c>
      <c r="B17" s="19" t="n">
        <v>40131</v>
      </c>
      <c r="C17" s="62" t="n">
        <v>1</v>
      </c>
    </row>
    <row r="19" ht="21.75" customHeight="1" s="52">
      <c r="A19" s="57" t="inlineStr">
        <is>
          <t>3. Churn por tamaño de cliente</t>
        </is>
      </c>
    </row>
    <row r="20" ht="14.25" customHeight="1" s="52">
      <c r="A20" s="21" t="inlineStr">
        <is>
          <t>Tamaño</t>
        </is>
      </c>
      <c r="B20" s="21" t="inlineStr">
        <is>
          <t>Valor USD</t>
        </is>
      </c>
      <c r="C20" s="21" t="inlineStr">
        <is>
          <t>Comparativo 'Enero'</t>
        </is>
      </c>
    </row>
    <row r="21" ht="14.25" customHeight="1" s="52">
      <c r="A21" s="6" t="inlineStr">
        <is>
          <t>Grande</t>
        </is>
      </c>
      <c r="B21" s="19" t="n">
        <v>28116</v>
      </c>
      <c r="C21" s="6" t="n">
        <v>0</v>
      </c>
    </row>
    <row r="22" ht="14.25" customHeight="1" s="52">
      <c r="A22" s="5" t="inlineStr">
        <is>
          <t>Mediano</t>
        </is>
      </c>
      <c r="B22" s="7" t="n">
        <v>8720</v>
      </c>
      <c r="C22" s="5" t="n">
        <v>14164</v>
      </c>
    </row>
    <row r="23" ht="14.25" customHeight="1" s="52">
      <c r="A23" s="6" t="inlineStr">
        <is>
          <t>Pequeño</t>
        </is>
      </c>
      <c r="B23" s="19" t="n">
        <v>3294</v>
      </c>
      <c r="C23" s="6" t="n">
        <v>1731</v>
      </c>
    </row>
    <row r="24" ht="14.25" customHeight="1" s="52">
      <c r="A24" s="25" t="inlineStr">
        <is>
          <t>Total</t>
        </is>
      </c>
      <c r="B24" s="7" t="n">
        <v>40131</v>
      </c>
      <c r="C24" s="5" t="n">
        <v>15895</v>
      </c>
    </row>
    <row r="26" ht="21.75" customHeight="1" s="52">
      <c r="A26" s="57" t="inlineStr">
        <is>
          <t>4. Notas y hallazgos (CS)</t>
        </is>
      </c>
    </row>
    <row r="27" ht="15" customHeight="1" s="52">
      <c r="A27" s="56" t="inlineStr">
        <is>
          <t>•  Salud Total representa el 40% del churn.</t>
        </is>
      </c>
    </row>
    <row r="28" ht="15" customHeight="1" s="52">
      <c r="A28" s="56" t="inlineStr">
        <is>
          <t>•  No gastar esfuerzo comercial en clientes con &lt; 3.000 citas mensuales o consultorios particulares.</t>
        </is>
      </c>
    </row>
    <row r="29" ht="15" customHeight="1" s="52">
      <c r="A29" s="56" t="inlineStr">
        <is>
          <t>•  El churn de B2C debe medirse aparte del agendamiento.</t>
        </is>
      </c>
    </row>
    <row r="30" ht="15" customHeight="1" s="52">
      <c r="A30" s="56" t="inlineStr">
        <is>
          <t>•  Producto: estabilización del bot en Q1.</t>
        </is>
      </c>
    </row>
    <row r="31" ht="15" customHeight="1" s="52">
      <c r="A31" s="56" t="inlineStr">
        <is>
          <t>•  Campañas y mejoras para Q3.</t>
        </is>
      </c>
    </row>
  </sheetData>
  <mergeCells count="11">
    <mergeCell ref="A30:E30"/>
    <mergeCell ref="A29:E29"/>
    <mergeCell ref="A4:E4"/>
    <mergeCell ref="A26:E26"/>
    <mergeCell ref="A2:E2"/>
    <mergeCell ref="A28:E28"/>
    <mergeCell ref="A19:E19"/>
    <mergeCell ref="A1:E1"/>
    <mergeCell ref="A13:E13"/>
    <mergeCell ref="A31:E31"/>
    <mergeCell ref="A27:E2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:E1"/>
    </sheetView>
  </sheetViews>
  <sheetFormatPr baseColWidth="8" defaultColWidth="8.6640625" defaultRowHeight="14.4"/>
  <cols>
    <col width="20" customWidth="1" style="52" min="1" max="1"/>
    <col width="18" customWidth="1" style="52" min="2" max="3"/>
    <col width="16" customWidth="1" style="52" min="4" max="5"/>
  </cols>
  <sheetData>
    <row r="1" ht="24" customHeight="1" s="52">
      <c r="A1" s="53" t="inlineStr">
        <is>
          <t>Facturación Contable vs Ejecutada — mayo 2026 (S2)</t>
        </is>
      </c>
    </row>
    <row r="3" ht="14.25" customHeight="1" s="52">
      <c r="A3" s="17" t="inlineStr">
        <is>
          <t>Concepto</t>
        </is>
      </c>
      <c r="B3" s="17" t="inlineStr">
        <is>
          <t>Contable (COP)</t>
        </is>
      </c>
      <c r="C3" s="17" t="inlineStr">
        <is>
          <t>Ejecutada (COP)</t>
        </is>
      </c>
      <c r="D3" s="17" t="inlineStr">
        <is>
          <t>Contable (USD)</t>
        </is>
      </c>
      <c r="E3" s="17" t="inlineStr">
        <is>
          <t>Ejecutada (USD)</t>
        </is>
      </c>
    </row>
    <row r="4" ht="14.25" customHeight="1" s="52">
      <c r="A4" s="5" t="inlineStr">
        <is>
          <t>Ingresos operativos</t>
        </is>
      </c>
      <c r="B4" s="7" t="n">
        <v>826514745</v>
      </c>
      <c r="C4" s="7" t="n">
        <v>812464793</v>
      </c>
      <c r="D4" s="7" t="n">
        <v>223987.735772358</v>
      </c>
      <c r="E4" s="7" t="n">
        <v>220180.160704607</v>
      </c>
    </row>
    <row r="5" ht="14.25" customHeight="1" s="52">
      <c r="A5" s="6" t="inlineStr">
        <is>
          <t>Otros ingresos</t>
        </is>
      </c>
      <c r="B5" s="19" t="n">
        <v>1366337</v>
      </c>
      <c r="C5" s="19" t="n">
        <v>1366337</v>
      </c>
      <c r="D5" s="19" t="n">
        <v>370.281029810298</v>
      </c>
      <c r="E5" s="19" t="n">
        <v>370.281029810298</v>
      </c>
    </row>
    <row r="6" ht="14.25" customHeight="1" s="52">
      <c r="A6" s="5" t="inlineStr">
        <is>
          <t>Egresos</t>
        </is>
      </c>
      <c r="B6" s="7" t="n">
        <v>713505270</v>
      </c>
      <c r="C6" s="7" t="n">
        <v>713505270</v>
      </c>
      <c r="D6" s="7" t="n">
        <v>193361.861788618</v>
      </c>
      <c r="E6" s="7" t="n">
        <v>193361.861788618</v>
      </c>
    </row>
    <row r="7" ht="14.25" customHeight="1" s="52">
      <c r="A7" s="6" t="inlineStr">
        <is>
          <t>Financieros</t>
        </is>
      </c>
      <c r="B7" s="19" t="n">
        <v>6000847</v>
      </c>
      <c r="C7" s="19" t="n">
        <v>6000847</v>
      </c>
      <c r="D7" s="19" t="n">
        <v>1626.245799458</v>
      </c>
      <c r="E7" s="19" t="n">
        <v>1626.245799458</v>
      </c>
    </row>
    <row r="8" ht="14.25" customHeight="1" s="52">
      <c r="A8" s="5" t="inlineStr">
        <is>
          <t>Utilidad</t>
        </is>
      </c>
      <c r="B8" s="7" t="n">
        <v>108374965</v>
      </c>
      <c r="C8" s="7" t="n">
        <v>94325013</v>
      </c>
      <c r="D8" s="7" t="n">
        <v>29369.9092140921</v>
      </c>
      <c r="E8" s="7" t="n">
        <v>25562.3341463415</v>
      </c>
    </row>
  </sheetData>
  <mergeCells count="1">
    <mergeCell ref="A1:E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area</t>
        </is>
      </c>
      <c r="B1" t="inlineStr">
        <is>
          <t>codigo_indicador</t>
        </is>
      </c>
      <c r="D1" t="inlineStr">
        <is>
          <t>paises</t>
        </is>
      </c>
      <c r="E1" t="inlineStr">
        <is>
          <t>escenarios</t>
        </is>
      </c>
      <c r="F1" t="inlineStr">
        <is>
          <t>monedas</t>
        </is>
      </c>
      <c r="G1" t="inlineStr">
        <is>
          <t>companias</t>
        </is>
      </c>
    </row>
    <row r="2">
      <c r="A2" t="inlineStr">
        <is>
          <t>Finanzas</t>
        </is>
      </c>
      <c r="B2" t="inlineStr">
        <is>
          <t>ingresos_totales</t>
        </is>
      </c>
      <c r="D2" t="inlineStr">
        <is>
          <t>Colombia</t>
        </is>
      </c>
      <c r="E2" t="inlineStr">
        <is>
          <t>Real</t>
        </is>
      </c>
      <c r="F2" t="inlineStr">
        <is>
          <t>COP</t>
        </is>
      </c>
      <c r="G2" t="inlineStr">
        <is>
          <t>Coco Colombia</t>
        </is>
      </c>
    </row>
    <row r="3">
      <c r="A3" t="inlineStr">
        <is>
          <t>Finanzas</t>
        </is>
      </c>
      <c r="B3" t="inlineStr">
        <is>
          <t>ingresos_recurrentes</t>
        </is>
      </c>
      <c r="D3" t="inlineStr">
        <is>
          <t>EE.UU.</t>
        </is>
      </c>
      <c r="E3" t="inlineStr">
        <is>
          <t>Presupuesto</t>
        </is>
      </c>
      <c r="F3" t="inlineStr">
        <is>
          <t>USD</t>
        </is>
      </c>
      <c r="G3" t="inlineStr">
        <is>
          <t>Coco LLC</t>
        </is>
      </c>
    </row>
    <row r="4">
      <c r="A4" t="inlineStr">
        <is>
          <t>Finanzas</t>
        </is>
      </c>
      <c r="B4" t="inlineStr">
        <is>
          <t>ingresos_no_recurrentes</t>
        </is>
      </c>
      <c r="D4" t="inlineStr">
        <is>
          <t>Perú</t>
        </is>
      </c>
      <c r="E4" t="inlineStr">
        <is>
          <t>Modelo</t>
        </is>
      </c>
      <c r="G4" t="inlineStr">
        <is>
          <t>Coco Perú</t>
        </is>
      </c>
    </row>
    <row r="5">
      <c r="A5" t="inlineStr">
        <is>
          <t>Finanzas</t>
        </is>
      </c>
      <c r="B5" t="inlineStr">
        <is>
          <t>costo_proveedor_ventas_pct</t>
        </is>
      </c>
      <c r="D5" t="inlineStr">
        <is>
          <t>Costa Rica</t>
        </is>
      </c>
      <c r="G5" t="inlineStr">
        <is>
          <t>Coco Costa Rica</t>
        </is>
      </c>
    </row>
    <row r="6">
      <c r="A6" t="inlineStr">
        <is>
          <t>Finanzas</t>
        </is>
      </c>
      <c r="B6" t="inlineStr">
        <is>
          <t>ebitda</t>
        </is>
      </c>
      <c r="D6" t="inlineStr">
        <is>
          <t>Consolidado</t>
        </is>
      </c>
      <c r="G6" t="inlineStr">
        <is>
          <t>Coco Consolidado</t>
        </is>
      </c>
    </row>
    <row r="7">
      <c r="A7" t="inlineStr">
        <is>
          <t>Finanzas</t>
        </is>
      </c>
      <c r="B7" t="inlineStr">
        <is>
          <t>utilidad_neta</t>
        </is>
      </c>
      <c r="D7" t="inlineStr">
        <is>
          <t>Otros</t>
        </is>
      </c>
    </row>
    <row r="8">
      <c r="A8" t="inlineStr">
        <is>
          <t>Finanzas</t>
        </is>
      </c>
      <c r="B8" t="inlineStr">
        <is>
          <t>egresos_totales</t>
        </is>
      </c>
    </row>
    <row r="9">
      <c r="A9" t="inlineStr">
        <is>
          <t>Finanzas</t>
        </is>
      </c>
      <c r="B9" t="inlineStr">
        <is>
          <t>burn_rate_neto</t>
        </is>
      </c>
    </row>
    <row r="10">
      <c r="A10" t="inlineStr">
        <is>
          <t>Finanzas</t>
        </is>
      </c>
      <c r="B10" t="inlineStr">
        <is>
          <t>runway_meses</t>
        </is>
      </c>
    </row>
    <row r="11">
      <c r="A11" t="inlineStr">
        <is>
          <t>Ingresos_MRR</t>
        </is>
      </c>
      <c r="B11" t="inlineStr">
        <is>
          <t>mrr_final</t>
        </is>
      </c>
    </row>
    <row r="12">
      <c r="A12" t="inlineStr">
        <is>
          <t>Ingresos_MRR</t>
        </is>
      </c>
      <c r="B12" t="inlineStr">
        <is>
          <t>arr</t>
        </is>
      </c>
    </row>
    <row r="13">
      <c r="A13" t="inlineStr">
        <is>
          <t>Ingresos_MRR</t>
        </is>
      </c>
      <c r="B13" t="inlineStr">
        <is>
          <t>arpa</t>
        </is>
      </c>
    </row>
    <row r="14">
      <c r="A14" t="inlineStr">
        <is>
          <t>Ingresos_MRR</t>
        </is>
      </c>
      <c r="B14" t="inlineStr">
        <is>
          <t>retained_mrr</t>
        </is>
      </c>
    </row>
    <row r="15">
      <c r="A15" t="inlineStr">
        <is>
          <t>Ingresos_MRR</t>
        </is>
      </c>
      <c r="B15" t="inlineStr">
        <is>
          <t>new_mrr</t>
        </is>
      </c>
    </row>
    <row r="16">
      <c r="A16" t="inlineStr">
        <is>
          <t>Ingresos_MRR</t>
        </is>
      </c>
      <c r="B16" t="inlineStr">
        <is>
          <t>expansion_mrr</t>
        </is>
      </c>
    </row>
    <row r="17">
      <c r="A17" t="inlineStr">
        <is>
          <t>Ingresos_MRR</t>
        </is>
      </c>
      <c r="B17" t="inlineStr">
        <is>
          <t>reactivacion_mrr</t>
        </is>
      </c>
    </row>
    <row r="18">
      <c r="A18" t="inlineStr">
        <is>
          <t>Ingresos_MRR</t>
        </is>
      </c>
      <c r="B18" t="inlineStr">
        <is>
          <t>contraction_mrr</t>
        </is>
      </c>
    </row>
    <row r="19">
      <c r="A19" t="inlineStr">
        <is>
          <t>Ingresos_MRR</t>
        </is>
      </c>
      <c r="B19" t="inlineStr">
        <is>
          <t>churned_mrr</t>
        </is>
      </c>
    </row>
    <row r="20">
      <c r="A20" t="inlineStr">
        <is>
          <t>Ingresos_MRR</t>
        </is>
      </c>
      <c r="B20" t="inlineStr">
        <is>
          <t>churn_mrr_mensual</t>
        </is>
      </c>
    </row>
    <row r="21">
      <c r="A21" t="inlineStr">
        <is>
          <t>Ingresos_MRR</t>
        </is>
      </c>
      <c r="B21" t="inlineStr">
        <is>
          <t>distribucion_ingresos</t>
        </is>
      </c>
    </row>
    <row r="22">
      <c r="A22" t="inlineStr">
        <is>
          <t>Comercial_Ventas</t>
        </is>
      </c>
      <c r="B22" t="inlineStr">
        <is>
          <t>pipeline_total</t>
        </is>
      </c>
    </row>
    <row r="23">
      <c r="A23" t="inlineStr">
        <is>
          <t>Comercial_Ventas</t>
        </is>
      </c>
      <c r="B23" t="inlineStr">
        <is>
          <t>pipeline_ponderado</t>
        </is>
      </c>
    </row>
    <row r="24">
      <c r="A24" t="inlineStr">
        <is>
          <t>Comercial_Ventas</t>
        </is>
      </c>
      <c r="B24" t="inlineStr">
        <is>
          <t>ventas_cerradas</t>
        </is>
      </c>
    </row>
    <row r="25">
      <c r="A25" t="inlineStr">
        <is>
          <t>Comercial_Ventas</t>
        </is>
      </c>
      <c r="B25" t="inlineStr">
        <is>
          <t>ticket_promedio</t>
        </is>
      </c>
    </row>
    <row r="26">
      <c r="A26" t="inlineStr">
        <is>
          <t>Comercial_Ventas</t>
        </is>
      </c>
      <c r="B26" t="inlineStr">
        <is>
          <t>forecast_comercial</t>
        </is>
      </c>
    </row>
    <row r="27">
      <c r="A27" t="inlineStr">
        <is>
          <t>Comercial_Ventas</t>
        </is>
      </c>
      <c r="B27" t="inlineStr">
        <is>
          <t>deals_ganados</t>
        </is>
      </c>
    </row>
    <row r="28">
      <c r="A28" t="inlineStr">
        <is>
          <t>Comercial_Ventas</t>
        </is>
      </c>
      <c r="B28" t="inlineStr">
        <is>
          <t>distribucion_facturacion_tamano</t>
        </is>
      </c>
    </row>
    <row r="29">
      <c r="A29" t="inlineStr">
        <is>
          <t>Marketing</t>
        </is>
      </c>
      <c r="B29" t="inlineStr">
        <is>
          <t>leads_generados</t>
        </is>
      </c>
    </row>
    <row r="30">
      <c r="A30" t="inlineStr">
        <is>
          <t>Marketing</t>
        </is>
      </c>
      <c r="B30" t="inlineStr">
        <is>
          <t>cac_fully_loaded</t>
        </is>
      </c>
    </row>
    <row r="31">
      <c r="A31" t="inlineStr">
        <is>
          <t>Marketing</t>
        </is>
      </c>
      <c r="B31" t="inlineStr">
        <is>
          <t>ltv</t>
        </is>
      </c>
    </row>
    <row r="32">
      <c r="A32" t="inlineStr">
        <is>
          <t>Marketing</t>
        </is>
      </c>
      <c r="B32" t="inlineStr">
        <is>
          <t>ltv_cac</t>
        </is>
      </c>
    </row>
    <row r="33">
      <c r="A33" t="inlineStr">
        <is>
          <t>Marketing</t>
        </is>
      </c>
      <c r="B33" t="inlineStr">
        <is>
          <t>cac_payback_meses</t>
        </is>
      </c>
    </row>
    <row r="34">
      <c r="A34" t="inlineStr">
        <is>
          <t>Marketing</t>
        </is>
      </c>
      <c r="B34" t="inlineStr">
        <is>
          <t>gasto_marketing_total</t>
        </is>
      </c>
    </row>
    <row r="35">
      <c r="A35" t="inlineStr">
        <is>
          <t>Customer_Success</t>
        </is>
      </c>
      <c r="B35" t="inlineStr">
        <is>
          <t>clientes_final</t>
        </is>
      </c>
    </row>
    <row r="36">
      <c r="A36" t="inlineStr">
        <is>
          <t>Customer_Success</t>
        </is>
      </c>
      <c r="B36" t="inlineStr">
        <is>
          <t>clientes_nuevos</t>
        </is>
      </c>
    </row>
    <row r="37">
      <c r="A37" t="inlineStr">
        <is>
          <t>Customer_Success</t>
        </is>
      </c>
      <c r="B37" t="inlineStr">
        <is>
          <t>clientes_perdidos</t>
        </is>
      </c>
    </row>
    <row r="38">
      <c r="A38" t="inlineStr">
        <is>
          <t>Customer_Success</t>
        </is>
      </c>
      <c r="B38" t="inlineStr">
        <is>
          <t>clientes_en_riesgo</t>
        </is>
      </c>
    </row>
    <row r="39">
      <c r="A39" t="inlineStr">
        <is>
          <t>Customer_Success</t>
        </is>
      </c>
      <c r="B39" t="inlineStr">
        <is>
          <t>clientes_riesgo_pct</t>
        </is>
      </c>
    </row>
    <row r="40">
      <c r="A40" t="inlineStr">
        <is>
          <t>Customer_Success</t>
        </is>
      </c>
      <c r="B40" t="inlineStr">
        <is>
          <t>churn_clientes_pct</t>
        </is>
      </c>
    </row>
    <row r="41">
      <c r="A41" t="inlineStr">
        <is>
          <t>Customer_Success</t>
        </is>
      </c>
      <c r="B41" t="inlineStr">
        <is>
          <t>nps</t>
        </is>
      </c>
    </row>
    <row r="42">
      <c r="A42" t="inlineStr">
        <is>
          <t>Cartera_Liquidez</t>
        </is>
      </c>
      <c r="B42" t="inlineStr">
        <is>
          <t>cartera_total</t>
        </is>
      </c>
    </row>
    <row r="43">
      <c r="A43" t="inlineStr">
        <is>
          <t>Cartera_Liquidez</t>
        </is>
      </c>
      <c r="B43" t="inlineStr">
        <is>
          <t>cartera_vencida</t>
        </is>
      </c>
    </row>
    <row r="44">
      <c r="A44" t="inlineStr">
        <is>
          <t>Cartera_Liquidez</t>
        </is>
      </c>
      <c r="B44" t="inlineStr">
        <is>
          <t>cartera_sana</t>
        </is>
      </c>
    </row>
    <row r="45">
      <c r="A45" t="inlineStr">
        <is>
          <t>Cartera_Liquidez</t>
        </is>
      </c>
      <c r="B45" t="inlineStr">
        <is>
          <t>dso</t>
        </is>
      </c>
    </row>
    <row r="46">
      <c r="A46" t="inlineStr">
        <is>
          <t>Cartera_Liquidez</t>
        </is>
      </c>
      <c r="B46" t="inlineStr">
        <is>
          <t>dpo</t>
        </is>
      </c>
    </row>
    <row r="47">
      <c r="A47" t="inlineStr">
        <is>
          <t>Cartera_Liquidez</t>
        </is>
      </c>
      <c r="B47" t="inlineStr">
        <is>
          <t>ccc</t>
        </is>
      </c>
    </row>
    <row r="48">
      <c r="A48" t="inlineStr">
        <is>
          <t>Cartera_Liquidez</t>
        </is>
      </c>
      <c r="B48" t="inlineStr">
        <is>
          <t>liquidez_total</t>
        </is>
      </c>
    </row>
    <row r="49">
      <c r="A49" t="inlineStr">
        <is>
          <t>Cartera_Liquidez</t>
        </is>
      </c>
      <c r="B49" t="inlineStr">
        <is>
          <t>indice_morosidad</t>
        </is>
      </c>
    </row>
    <row r="50">
      <c r="A50" t="inlineStr">
        <is>
          <t>Cartera_Liquidez</t>
        </is>
      </c>
      <c r="B50" t="inlineStr">
        <is>
          <t>cartera_mayor_60_pct</t>
        </is>
      </c>
    </row>
    <row r="51">
      <c r="A51" t="inlineStr">
        <is>
          <t>Cartera_Liquidez</t>
        </is>
      </c>
      <c r="B51" t="inlineStr">
        <is>
          <t>cartera_arr_pct</t>
        </is>
      </c>
    </row>
    <row r="52">
      <c r="A52" t="inlineStr">
        <is>
          <t>Cartera_Liquidez</t>
        </is>
      </c>
      <c r="B52" t="inlineStr">
        <is>
          <t>concentracion_cartera</t>
        </is>
      </c>
    </row>
    <row r="53">
      <c r="A53" t="inlineStr">
        <is>
          <t>Cartera_Liquidez</t>
        </is>
      </c>
      <c r="B53" t="inlineStr">
        <is>
          <t>write_off_ratio</t>
        </is>
      </c>
    </row>
    <row r="54">
      <c r="A54" t="inlineStr">
        <is>
          <t>Cartera_Liquidez</t>
        </is>
      </c>
      <c r="B54" t="inlineStr">
        <is>
          <t>cartera_cobro_legal</t>
        </is>
      </c>
    </row>
    <row r="55">
      <c r="A55" t="inlineStr">
        <is>
          <t>Cartera_Liquidez</t>
        </is>
      </c>
      <c r="B55" t="inlineStr">
        <is>
          <t>cartera_vencida_cliente</t>
        </is>
      </c>
    </row>
    <row r="56">
      <c r="A56" t="inlineStr">
        <is>
          <t>Costos_Gastos</t>
        </is>
      </c>
      <c r="B56" t="inlineStr">
        <is>
          <t>gasto_area</t>
        </is>
      </c>
    </row>
    <row r="57">
      <c r="A57" t="inlineStr">
        <is>
          <t>Costos_Gastos</t>
        </is>
      </c>
      <c r="B57" t="inlineStr">
        <is>
          <t>gasto_admin</t>
        </is>
      </c>
    </row>
    <row r="58">
      <c r="A58" t="inlineStr">
        <is>
          <t>Costos_Gastos</t>
        </is>
      </c>
      <c r="B58" t="inlineStr">
        <is>
          <t>gasto_comercial</t>
        </is>
      </c>
    </row>
    <row r="59">
      <c r="A59" t="inlineStr">
        <is>
          <t>Costos_Gastos</t>
        </is>
      </c>
      <c r="B59" t="inlineStr">
        <is>
          <t>gasto_desarrollo</t>
        </is>
      </c>
    </row>
    <row r="60">
      <c r="A60" t="inlineStr">
        <is>
          <t>Costos_Gastos</t>
        </is>
      </c>
      <c r="B60" t="inlineStr">
        <is>
          <t>costo_operacion</t>
        </is>
      </c>
    </row>
    <row r="61">
      <c r="A61" t="inlineStr">
        <is>
          <t>Costos_Gastos</t>
        </is>
      </c>
      <c r="B61" t="inlineStr">
        <is>
          <t>costo_proveedor</t>
        </is>
      </c>
    </row>
    <row r="62">
      <c r="A62" t="inlineStr">
        <is>
          <t>Costos_Gastos</t>
        </is>
      </c>
      <c r="B62" t="inlineStr">
        <is>
          <t>salario_area_pct</t>
        </is>
      </c>
    </row>
    <row r="63">
      <c r="A63" t="inlineStr">
        <is>
          <t>Internacional</t>
        </is>
      </c>
      <c r="B63" t="inlineStr">
        <is>
          <t>ingresos_internacionales</t>
        </is>
      </c>
    </row>
    <row r="64">
      <c r="A64" t="inlineStr">
        <is>
          <t>Internacional</t>
        </is>
      </c>
      <c r="B64" t="inlineStr">
        <is>
          <t>mrr_internacional</t>
        </is>
      </c>
    </row>
    <row r="65">
      <c r="A65" t="inlineStr">
        <is>
          <t>Internacional</t>
        </is>
      </c>
      <c r="B65" t="inlineStr">
        <is>
          <t>pipeline_internacional</t>
        </is>
      </c>
    </row>
    <row r="66">
      <c r="A66" t="inlineStr">
        <is>
          <t>Internacional</t>
        </is>
      </c>
      <c r="B66" t="inlineStr">
        <is>
          <t>clientes_internacionales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timestamp</t>
        </is>
      </c>
      <c r="B1" t="inlineStr">
        <is>
          <t>usuario</t>
        </is>
      </c>
      <c r="C1" t="inlineStr">
        <is>
          <t>accion</t>
        </is>
      </c>
      <c r="D1" t="inlineStr">
        <is>
          <t>area</t>
        </is>
      </c>
      <c r="E1" t="inlineStr">
        <is>
          <t>hoja</t>
        </is>
      </c>
      <c r="F1" t="inlineStr">
        <is>
          <t>filas_afectadas</t>
        </is>
      </c>
      <c r="G1" t="inlineStr">
        <is>
          <t>detalle</t>
        </is>
      </c>
    </row>
    <row r="2">
      <c r="A2" t="inlineStr">
        <is>
          <t>2026-08-12T14:53:01</t>
        </is>
      </c>
      <c r="B2" t="inlineStr">
        <is>
          <t>Codex</t>
        </is>
      </c>
      <c r="C2" t="inlineStr">
        <is>
          <t>actualizacion_bd_local</t>
        </is>
      </c>
      <c r="D2" t="inlineStr">
        <is>
          <t>Finanzas</t>
        </is>
      </c>
      <c r="E2" t="inlineStr">
        <is>
          <t>BD_MAESTRA_COCO</t>
        </is>
      </c>
      <c r="F2" t="n">
        <v>84</v>
      </c>
      <c r="G2" t="inlineStr">
        <is>
          <t>EEFF julio 2026: soporte contable, P&amp;G Colombia mensual, bloque internacional y candidatos intercompa??a.</t>
        </is>
      </c>
    </row>
    <row r="3">
      <c r="A3" t="inlineStr">
        <is>
          <t>2026-08-12T14:55:03</t>
        </is>
      </c>
      <c r="B3" t="inlineStr">
        <is>
          <t>Codex</t>
        </is>
      </c>
      <c r="C3" t="inlineStr">
        <is>
          <t>correccion_actualizacion_bd_local</t>
        </is>
      </c>
      <c r="D3" t="inlineStr">
        <is>
          <t>Finanzas</t>
        </is>
      </c>
      <c r="E3" t="inlineStr">
        <is>
          <t>BD_MAESTRA_COCO</t>
        </is>
      </c>
      <c r="F3" t="n">
        <v>84</v>
      </c>
      <c r="G3" t="inlineStr">
        <is>
          <t>Correcci?n: julio Colombia derivado solo con filas COP locales, excluyendo conversiones USD.</t>
        </is>
      </c>
    </row>
    <row r="4">
      <c r="C4" t="inlineStr">
        <is>
          <t>Actualizaci?n final julio 2026</t>
        </is>
      </c>
      <c r="G4" t="inlineStr">
        <is>
          <t>Base maestra actualizada con Colombia, EE.UU., Per? y Costa Rica julio; consolidado USD recalculado; CR julio agregado desde Julio 2026 CR.xlsx.</t>
        </is>
      </c>
    </row>
    <row r="5">
      <c r="A5" t="inlineStr">
        <is>
          <t>2026-08-12T17:09</t>
        </is>
      </c>
      <c r="B5" t="inlineStr">
        <is>
          <t>Codex</t>
        </is>
      </c>
      <c r="C5" t="inlineStr">
        <is>
          <t>organizacion_base_datos</t>
        </is>
      </c>
      <c r="D5" t="inlineStr">
        <is>
          <t>Finanzas/BI</t>
        </is>
      </c>
      <c r="E5" t="inlineStr">
        <is>
          <t>BD_MAESTRA_COCO</t>
        </is>
      </c>
      <c r="F5" t="n">
        <v>1261</v>
      </c>
      <c r="G5" t="inlineStr">
        <is>
          <t>Se agregan capas BD_PYG_OFICIAL, BD_GASTOS_HOMOLOGADOS, MAP_DASHBOARD_GASTOS, BD_GASTOS_DASHBOARD_BRIDGE y DB_CHECKS_ORGANIZACION.</t>
        </is>
      </c>
    </row>
    <row r="6">
      <c r="A6" t="inlineStr">
        <is>
          <t>2026-08-12T17:11</t>
        </is>
      </c>
      <c r="B6" t="inlineStr">
        <is>
          <t>Codex</t>
        </is>
      </c>
      <c r="C6" t="inlineStr">
        <is>
          <t>ajuste_organizacion_base</t>
        </is>
      </c>
      <c r="D6" t="inlineStr">
        <is>
          <t>Finanzas/BI</t>
        </is>
      </c>
      <c r="E6" t="inlineStr">
        <is>
          <t>BD_MAESTRA_COCO</t>
        </is>
      </c>
      <c r="F6" t="n">
        <v>129</v>
      </c>
      <c r="G6" t="inlineStr">
        <is>
          <t>Se agrega BD_GASTOS_RESUMEN_MENSUAL y se corrigen checks normalizados de cobertura julio.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cliente</t>
        </is>
      </c>
      <c r="B1" t="inlineStr">
        <is>
          <t>comercial</t>
        </is>
      </c>
      <c r="C1" t="inlineStr">
        <is>
          <t>tipo</t>
        </is>
      </c>
      <c r="D1" t="inlineStr">
        <is>
          <t>prob</t>
        </is>
      </c>
      <c r="E1" t="inlineStr">
        <is>
          <t>mes</t>
        </is>
      </c>
      <c r="F1" t="inlineStr">
        <is>
          <t>mrr_cop</t>
        </is>
      </c>
      <c r="G1" t="inlineStr">
        <is>
          <t>impl_cop</t>
        </is>
      </c>
      <c r="H1" t="inlineStr">
        <is>
          <t>citas</t>
        </is>
      </c>
      <c r="I1" t="inlineStr">
        <is>
          <t>valor_cop</t>
        </is>
      </c>
      <c r="J1" t="inlineStr">
        <is>
          <t>ponderado_cop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4.4"/>
  <cols>
    <col width="14" customWidth="1" style="52" min="1" max="1"/>
    <col width="38" customWidth="1" style="52" min="2" max="2"/>
    <col width="26" customWidth="1" style="52" min="3" max="3"/>
    <col width="21" customWidth="1" style="52" min="4" max="4"/>
    <col width="19" customWidth="1" style="52" min="5" max="5"/>
    <col width="16" customWidth="1" style="52" min="6" max="6"/>
    <col width="17" customWidth="1" style="52" min="7" max="7"/>
    <col width="38" customWidth="1" style="52" min="8" max="8"/>
    <col width="14" customWidth="1" style="52" min="9" max="9"/>
  </cols>
  <sheetData>
    <row r="1">
      <c r="A1" s="50" t="inlineStr">
        <is>
          <t>codigo_comun</t>
        </is>
      </c>
      <c r="B1" s="50" t="inlineStr">
        <is>
          <t>rubro_comun</t>
        </is>
      </c>
      <c r="C1" s="50" t="inlineStr">
        <is>
          <t>categoria_comun</t>
        </is>
      </c>
      <c r="D1" s="50" t="inlineStr">
        <is>
          <t>indicador_dashboard</t>
        </is>
      </c>
      <c r="E1" s="50" t="inlineStr">
        <is>
          <t>detalle_dashboard</t>
        </is>
      </c>
      <c r="F1" s="50" t="inlineStr">
        <is>
          <t>area_dashboard</t>
        </is>
      </c>
      <c r="G1" s="50" t="inlineStr">
        <is>
          <t>usar_en_grafica</t>
        </is>
      </c>
      <c r="H1" s="50" t="inlineStr">
        <is>
          <t>criterio</t>
        </is>
      </c>
      <c r="I1" s="50" t="inlineStr">
        <is>
          <t>estado_mapeo</t>
        </is>
      </c>
    </row>
    <row r="2">
      <c r="A2" t="inlineStr">
        <is>
          <t>PL-O-010</t>
        </is>
      </c>
      <c r="B2" t="inlineStr">
        <is>
          <t>Gastos de personal</t>
        </is>
      </c>
      <c r="C2" t="inlineStr">
        <is>
          <t>Gastos de administraci?n</t>
        </is>
      </c>
      <c r="D2" t="inlineStr">
        <is>
          <t>gasto_admin</t>
        </is>
      </c>
      <c r="E2" t="inlineStr">
        <is>
          <t>Personal</t>
        </is>
      </c>
      <c r="F2" t="inlineStr">
        <is>
          <t>Administracion</t>
        </is>
      </c>
      <c r="G2" t="inlineStr">
        <is>
          <t>SI</t>
        </is>
      </c>
      <c r="H2" t="inlineStr">
        <is>
          <t>Administracion: personal, n?mina y beneficios</t>
        </is>
      </c>
      <c r="I2" t="inlineStr">
        <is>
          <t>Aprobado</t>
        </is>
      </c>
    </row>
    <row r="3">
      <c r="A3" t="inlineStr">
        <is>
          <t>PL-O-020</t>
        </is>
      </c>
      <c r="B3" t="inlineStr">
        <is>
          <t>Honorarios y servicios profesionales</t>
        </is>
      </c>
      <c r="C3" t="inlineStr">
        <is>
          <t>Gastos de administraci?n</t>
        </is>
      </c>
      <c r="D3" t="inlineStr">
        <is>
          <t>gasto_admin</t>
        </is>
      </c>
      <c r="E3" t="inlineStr">
        <is>
          <t>Honorarios</t>
        </is>
      </c>
      <c r="F3" t="inlineStr">
        <is>
          <t>Administracion</t>
        </is>
      </c>
      <c r="G3" t="inlineStr">
        <is>
          <t>SI</t>
        </is>
      </c>
      <c r="H3" t="inlineStr">
        <is>
          <t>Servicios profesionales administrativos</t>
        </is>
      </c>
      <c r="I3" t="inlineStr">
        <is>
          <t>Aprobado</t>
        </is>
      </c>
    </row>
    <row r="4">
      <c r="A4" t="inlineStr">
        <is>
          <t>PL-O-030</t>
        </is>
      </c>
      <c r="B4" t="inlineStr">
        <is>
          <t>Impuestos y contribuciones</t>
        </is>
      </c>
      <c r="C4" t="inlineStr">
        <is>
          <t>Gastos de administraci?n</t>
        </is>
      </c>
      <c r="D4" t="inlineStr">
        <is>
          <t>gasto_admin</t>
        </is>
      </c>
      <c r="E4" t="inlineStr">
        <is>
          <t>Diversos</t>
        </is>
      </c>
      <c r="F4" t="inlineStr">
        <is>
          <t>Administracion</t>
        </is>
      </c>
      <c r="G4" t="inlineStr">
        <is>
          <t>SI</t>
        </is>
      </c>
      <c r="H4" t="inlineStr">
        <is>
          <t>Impuestos administrativos no financieros</t>
        </is>
      </c>
      <c r="I4" t="inlineStr">
        <is>
          <t>Aprobado</t>
        </is>
      </c>
    </row>
    <row r="5">
      <c r="A5" t="inlineStr">
        <is>
          <t>PL-O-040</t>
        </is>
      </c>
      <c r="B5" t="inlineStr">
        <is>
          <t>Arrendamientos</t>
        </is>
      </c>
      <c r="C5" t="inlineStr">
        <is>
          <t>Gastos de administraci?n</t>
        </is>
      </c>
      <c r="D5" t="inlineStr">
        <is>
          <t>gasto_admin</t>
        </is>
      </c>
      <c r="E5" t="inlineStr">
        <is>
          <t>Arrendamiento</t>
        </is>
      </c>
      <c r="F5" t="inlineStr">
        <is>
          <t>Administracion</t>
        </is>
      </c>
      <c r="G5" t="inlineStr">
        <is>
          <t>SI</t>
        </is>
      </c>
      <c r="H5" t="inlineStr">
        <is>
          <t>Arrendamientos administrativos</t>
        </is>
      </c>
      <c r="I5" t="inlineStr">
        <is>
          <t>Aprobado</t>
        </is>
      </c>
    </row>
    <row r="6">
      <c r="A6" t="inlineStr">
        <is>
          <t>PL-O-050</t>
        </is>
      </c>
      <c r="B6" t="inlineStr">
        <is>
          <t>Seguros</t>
        </is>
      </c>
      <c r="C6" t="inlineStr">
        <is>
          <t>Gastos de administraci?n</t>
        </is>
      </c>
      <c r="D6" t="inlineStr">
        <is>
          <t>gasto_admin</t>
        </is>
      </c>
      <c r="E6" t="inlineStr">
        <is>
          <t>Seguros</t>
        </is>
      </c>
      <c r="F6" t="inlineStr">
        <is>
          <t>Administracion</t>
        </is>
      </c>
      <c r="G6" t="inlineStr">
        <is>
          <t>SI</t>
        </is>
      </c>
      <c r="H6" t="inlineStr">
        <is>
          <t>P?lizas y seguros</t>
        </is>
      </c>
      <c r="I6" t="inlineStr">
        <is>
          <t>Aprobado</t>
        </is>
      </c>
    </row>
    <row r="7">
      <c r="A7" t="inlineStr">
        <is>
          <t>PL-O-060</t>
        </is>
      </c>
      <c r="B7" t="inlineStr">
        <is>
          <t>Tecnolog?a y procesamiento de datos</t>
        </is>
      </c>
      <c r="C7" t="inlineStr">
        <is>
          <t>Gastos de administraci?n</t>
        </is>
      </c>
      <c r="D7" t="inlineStr">
        <is>
          <t>gasto_admin</t>
        </is>
      </c>
      <c r="E7" t="inlineStr">
        <is>
          <t>Servicios</t>
        </is>
      </c>
      <c r="F7" t="inlineStr">
        <is>
          <t>Administracion</t>
        </is>
      </c>
      <c r="G7" t="inlineStr">
        <is>
          <t>SI</t>
        </is>
      </c>
      <c r="H7" t="inlineStr">
        <is>
          <t>Servicios tecnol?gicos administrativos</t>
        </is>
      </c>
      <c r="I7" t="inlineStr">
        <is>
          <t>Aprobado</t>
        </is>
      </c>
    </row>
    <row r="8">
      <c r="A8" t="inlineStr">
        <is>
          <t>PL-O-070</t>
        </is>
      </c>
      <c r="B8" t="inlineStr">
        <is>
          <t>Telecomunicaciones</t>
        </is>
      </c>
      <c r="C8" t="inlineStr">
        <is>
          <t>Gastos de administraci?n</t>
        </is>
      </c>
      <c r="D8" t="inlineStr">
        <is>
          <t>gasto_admin</t>
        </is>
      </c>
      <c r="E8" t="inlineStr">
        <is>
          <t>Servicios</t>
        </is>
      </c>
      <c r="F8" t="inlineStr">
        <is>
          <t>Administracion</t>
        </is>
      </c>
      <c r="G8" t="inlineStr">
        <is>
          <t>SI</t>
        </is>
      </c>
      <c r="H8" t="inlineStr">
        <is>
          <t>Telecomunicaciones y conectividad</t>
        </is>
      </c>
      <c r="I8" t="inlineStr">
        <is>
          <t>Aprobado</t>
        </is>
      </c>
    </row>
    <row r="9">
      <c r="A9" t="inlineStr">
        <is>
          <t>PL-O-080</t>
        </is>
      </c>
      <c r="B9" t="inlineStr">
        <is>
          <t>Correo y mensajer?a</t>
        </is>
      </c>
      <c r="C9" t="inlineStr">
        <is>
          <t>Gastos de administraci?n</t>
        </is>
      </c>
      <c r="D9" t="inlineStr">
        <is>
          <t>gasto_admin</t>
        </is>
      </c>
      <c r="E9" t="inlineStr">
        <is>
          <t>Servicios</t>
        </is>
      </c>
      <c r="F9" t="inlineStr">
        <is>
          <t>Administracion</t>
        </is>
      </c>
      <c r="G9" t="inlineStr">
        <is>
          <t>SI</t>
        </is>
      </c>
      <c r="H9" t="inlineStr">
        <is>
          <t>Mensajer?a y correo</t>
        </is>
      </c>
      <c r="I9" t="inlineStr">
        <is>
          <t>Aprobado</t>
        </is>
      </c>
    </row>
    <row r="10">
      <c r="A10" t="inlineStr">
        <is>
          <t>PL-O-090</t>
        </is>
      </c>
      <c r="B10" t="inlineStr">
        <is>
          <t>Viajes y representaci?n</t>
        </is>
      </c>
      <c r="C10" t="inlineStr">
        <is>
          <t>Gastos de administraci?n</t>
        </is>
      </c>
      <c r="D10" t="inlineStr">
        <is>
          <t>gasto_admin</t>
        </is>
      </c>
      <c r="E10" t="inlineStr">
        <is>
          <t>Viajes</t>
        </is>
      </c>
      <c r="F10" t="inlineStr">
        <is>
          <t>Administracion</t>
        </is>
      </c>
      <c r="G10" t="inlineStr">
        <is>
          <t>SI</t>
        </is>
      </c>
      <c r="H10" t="inlineStr">
        <is>
          <t>Viajes y representaci?n</t>
        </is>
      </c>
      <c r="I10" t="inlineStr">
        <is>
          <t>Aprobado</t>
        </is>
      </c>
    </row>
    <row r="11">
      <c r="A11" t="inlineStr">
        <is>
          <t>PL-O-100</t>
        </is>
      </c>
      <c r="B11" t="inlineStr">
        <is>
          <t>Otros servicios administrativos</t>
        </is>
      </c>
      <c r="C11" t="inlineStr">
        <is>
          <t>Gastos de administraci?n</t>
        </is>
      </c>
      <c r="D11" t="inlineStr">
        <is>
          <t>gasto_admin</t>
        </is>
      </c>
      <c r="E11" t="inlineStr">
        <is>
          <t>Servicios</t>
        </is>
      </c>
      <c r="F11" t="inlineStr">
        <is>
          <t>Administracion</t>
        </is>
      </c>
      <c r="G11" t="inlineStr">
        <is>
          <t>SI</t>
        </is>
      </c>
      <c r="H11" t="inlineStr">
        <is>
          <t>Servicios administrativos no clasificados</t>
        </is>
      </c>
      <c r="I11" t="inlineStr">
        <is>
          <t>Revisar</t>
        </is>
      </c>
    </row>
    <row r="12">
      <c r="A12" t="inlineStr">
        <is>
          <t>PL-O-110</t>
        </is>
      </c>
      <c r="B12" t="inlineStr">
        <is>
          <t>Suministros y oficina</t>
        </is>
      </c>
      <c r="C12" t="inlineStr">
        <is>
          <t>Gastos de administraci?n</t>
        </is>
      </c>
      <c r="D12" t="inlineStr">
        <is>
          <t>gasto_admin</t>
        </is>
      </c>
      <c r="E12" t="inlineStr">
        <is>
          <t>Diversos</t>
        </is>
      </c>
      <c r="F12" t="inlineStr">
        <is>
          <t>Administracion</t>
        </is>
      </c>
      <c r="G12" t="inlineStr">
        <is>
          <t>SI</t>
        </is>
      </c>
      <c r="H12" t="inlineStr">
        <is>
          <t>Suministros/oficina</t>
        </is>
      </c>
      <c r="I12" t="inlineStr">
        <is>
          <t>Aprobado</t>
        </is>
      </c>
    </row>
    <row r="13">
      <c r="A13" t="inlineStr">
        <is>
          <t>PL-O-120</t>
        </is>
      </c>
      <c r="B13" t="inlineStr">
        <is>
          <t>Alimentaci?n y restaurante</t>
        </is>
      </c>
      <c r="C13" t="inlineStr">
        <is>
          <t>Gastos de administraci?n</t>
        </is>
      </c>
      <c r="D13" t="inlineStr">
        <is>
          <t>gasto_admin</t>
        </is>
      </c>
      <c r="E13" t="inlineStr">
        <is>
          <t>Diversos</t>
        </is>
      </c>
      <c r="F13" t="inlineStr">
        <is>
          <t>Administracion</t>
        </is>
      </c>
      <c r="G13" t="inlineStr">
        <is>
          <t>SI</t>
        </is>
      </c>
      <c r="H13" t="inlineStr">
        <is>
          <t>Alimentaci?n/restaurante</t>
        </is>
      </c>
      <c r="I13" t="inlineStr">
        <is>
          <t>Revisar</t>
        </is>
      </c>
    </row>
    <row r="14">
      <c r="A14" t="inlineStr">
        <is>
          <t>PL-O-130</t>
        </is>
      </c>
      <c r="B14" t="inlineStr">
        <is>
          <t>Transporte local y parqueaderos</t>
        </is>
      </c>
      <c r="C14" t="inlineStr">
        <is>
          <t>Gastos de administraci?n</t>
        </is>
      </c>
      <c r="D14" t="inlineStr">
        <is>
          <t>gasto_admin</t>
        </is>
      </c>
      <c r="E14" t="inlineStr">
        <is>
          <t>Viajes</t>
        </is>
      </c>
      <c r="F14" t="inlineStr">
        <is>
          <t>Administracion</t>
        </is>
      </c>
      <c r="G14" t="inlineStr">
        <is>
          <t>SI</t>
        </is>
      </c>
      <c r="H14" t="inlineStr">
        <is>
          <t>Transporte local/parqueaderos</t>
        </is>
      </c>
      <c r="I14" t="inlineStr">
        <is>
          <t>Aprobado</t>
        </is>
      </c>
    </row>
    <row r="15">
      <c r="A15" t="inlineStr">
        <is>
          <t>PL-S-010</t>
        </is>
      </c>
      <c r="B15" t="inlineStr">
        <is>
          <t>Honorarios comerciales y t?cnicos</t>
        </is>
      </c>
      <c r="C15" t="inlineStr">
        <is>
          <t>Gastos de ventas</t>
        </is>
      </c>
      <c r="D15" t="inlineStr">
        <is>
          <t>gasto_comercial</t>
        </is>
      </c>
      <c r="E15" t="inlineStr">
        <is>
          <t>Honorarios</t>
        </is>
      </c>
      <c r="F15" t="inlineStr">
        <is>
          <t>Comercial</t>
        </is>
      </c>
      <c r="G15" t="inlineStr">
        <is>
          <t>SI</t>
        </is>
      </c>
      <c r="H15" t="inlineStr">
        <is>
          <t>Gastos de ventas / comercial</t>
        </is>
      </c>
      <c r="I15" t="inlineStr">
        <is>
          <t>Aprobado</t>
        </is>
      </c>
    </row>
    <row r="16">
      <c r="A16" t="inlineStr">
        <is>
          <t>PL-S-020</t>
        </is>
      </c>
      <c r="B16" t="inlineStr">
        <is>
          <t>Mercadeo y publicidad</t>
        </is>
      </c>
      <c r="C16" t="inlineStr">
        <is>
          <t>Gastos de ventas</t>
        </is>
      </c>
      <c r="D16" t="inlineStr">
        <is>
          <t>gasto_comercial</t>
        </is>
      </c>
      <c r="E16" t="inlineStr">
        <is>
          <t>Servicios</t>
        </is>
      </c>
      <c r="F16" t="inlineStr">
        <is>
          <t>Comercial</t>
        </is>
      </c>
      <c r="G16" t="inlineStr">
        <is>
          <t>SI</t>
        </is>
      </c>
      <c r="H16" t="inlineStr">
        <is>
          <t>Marketing/comercial</t>
        </is>
      </c>
      <c r="I16" t="inlineStr">
        <is>
          <t>Aprobado</t>
        </is>
      </c>
    </row>
    <row r="17">
      <c r="A17" t="inlineStr">
        <is>
          <t>PL-S-030</t>
        </is>
      </c>
      <c r="B17" t="inlineStr">
        <is>
          <t>Otros servicios comerciales</t>
        </is>
      </c>
      <c r="C17" t="inlineStr">
        <is>
          <t>Gastos de ventas</t>
        </is>
      </c>
      <c r="D17" t="inlineStr">
        <is>
          <t>gasto_comercial</t>
        </is>
      </c>
      <c r="E17" t="inlineStr">
        <is>
          <t>Servicios</t>
        </is>
      </c>
      <c r="F17" t="inlineStr">
        <is>
          <t>Comercial</t>
        </is>
      </c>
      <c r="G17" t="inlineStr">
        <is>
          <t>SI</t>
        </is>
      </c>
      <c r="H17" t="inlineStr">
        <is>
          <t>Servicios comerciales</t>
        </is>
      </c>
      <c r="I17" t="inlineStr">
        <is>
          <t>Revisar</t>
        </is>
      </c>
    </row>
    <row r="18">
      <c r="A18" t="inlineStr">
        <is>
          <t>PL-S-040</t>
        </is>
      </c>
      <c r="B18" t="inlineStr">
        <is>
          <t>Viajes comerciales</t>
        </is>
      </c>
      <c r="C18" t="inlineStr">
        <is>
          <t>Gastos de ventas</t>
        </is>
      </c>
      <c r="D18" t="inlineStr">
        <is>
          <t>gasto_comercial</t>
        </is>
      </c>
      <c r="E18" t="inlineStr">
        <is>
          <t>Viajes</t>
        </is>
      </c>
      <c r="F18" t="inlineStr">
        <is>
          <t>Comercial</t>
        </is>
      </c>
      <c r="G18" t="inlineStr">
        <is>
          <t>SI</t>
        </is>
      </c>
      <c r="H18" t="inlineStr">
        <is>
          <t>Viajes comerciales</t>
        </is>
      </c>
      <c r="I18" t="inlineStr">
        <is>
          <t>Aprobado</t>
        </is>
      </c>
    </row>
    <row r="19">
      <c r="A19" t="inlineStr">
        <is>
          <t>PL-S-050</t>
        </is>
      </c>
      <c r="B19" t="inlineStr">
        <is>
          <t>Transporte comercial</t>
        </is>
      </c>
      <c r="C19" t="inlineStr">
        <is>
          <t>Gastos de ventas</t>
        </is>
      </c>
      <c r="D19" t="inlineStr">
        <is>
          <t>gasto_comercial</t>
        </is>
      </c>
      <c r="E19" t="inlineStr">
        <is>
          <t>Viajes</t>
        </is>
      </c>
      <c r="F19" t="inlineStr">
        <is>
          <t>Comercial</t>
        </is>
      </c>
      <c r="G19" t="inlineStr">
        <is>
          <t>SI</t>
        </is>
      </c>
      <c r="H19" t="inlineStr">
        <is>
          <t>Transporte comercial</t>
        </is>
      </c>
      <c r="I19" t="inlineStr">
        <is>
          <t>Aprobado</t>
        </is>
      </c>
    </row>
    <row r="20">
      <c r="A20" t="inlineStr">
        <is>
          <t>PL-S-060</t>
        </is>
      </c>
      <c r="B20" t="inlineStr">
        <is>
          <t>Otros gastos comerciales</t>
        </is>
      </c>
      <c r="C20" t="inlineStr">
        <is>
          <t>Gastos de ventas</t>
        </is>
      </c>
      <c r="D20" t="inlineStr">
        <is>
          <t>gasto_comercial</t>
        </is>
      </c>
      <c r="E20" t="inlineStr">
        <is>
          <t>Diversos</t>
        </is>
      </c>
      <c r="F20" t="inlineStr">
        <is>
          <t>Comercial</t>
        </is>
      </c>
      <c r="G20" t="inlineStr">
        <is>
          <t>SI</t>
        </is>
      </c>
      <c r="H20" t="inlineStr">
        <is>
          <t>Otros gastos comerciales</t>
        </is>
      </c>
      <c r="I20" t="inlineStr">
        <is>
          <t>Revisar</t>
        </is>
      </c>
    </row>
    <row r="21">
      <c r="A21" t="inlineStr">
        <is>
          <t>PL-F-010</t>
        </is>
      </c>
      <c r="B21" t="inlineStr">
        <is>
          <t>Gastos financieros</t>
        </is>
      </c>
      <c r="C21" t="inlineStr">
        <is>
          <t>Gastos financieros</t>
        </is>
      </c>
      <c r="D21" t="inlineStr">
        <is>
          <t>gasto_area</t>
        </is>
      </c>
      <c r="E21" t="inlineStr">
        <is>
          <t>Financieros</t>
        </is>
      </c>
      <c r="F21" t="inlineStr">
        <is>
          <t>Financieros</t>
        </is>
      </c>
      <c r="G21" t="inlineStr">
        <is>
          <t>SI</t>
        </is>
      </c>
      <c r="H21" t="inlineStr">
        <is>
          <t>Costos financieros separados</t>
        </is>
      </c>
      <c r="I21" t="inlineStr">
        <is>
          <t>Aprobado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705"/>
  <sheetViews>
    <sheetView workbookViewId="0">
      <selection activeCell="A1" sqref="A1"/>
    </sheetView>
  </sheetViews>
  <sheetFormatPr baseColWidth="8" defaultRowHeight="14.4"/>
  <cols>
    <col width="10" customWidth="1" style="52" min="1" max="1"/>
    <col width="16" customWidth="1" style="52" min="2" max="2"/>
    <col width="10" customWidth="1" style="52" min="3" max="4"/>
    <col width="14" customWidth="1" style="52" min="5" max="5"/>
    <col width="27" customWidth="1" style="52" min="6" max="6"/>
    <col width="38" customWidth="1" style="52" min="7" max="9"/>
    <col width="15" customWidth="1" style="52" min="10" max="10"/>
    <col width="10" customWidth="1" style="52" min="11" max="12"/>
    <col width="20" customWidth="1" style="52" min="13" max="13"/>
    <col width="24" customWidth="1" style="52" min="14" max="14"/>
    <col width="16" customWidth="1" style="52" min="15" max="15"/>
    <col width="24" customWidth="1" style="52" min="16" max="16"/>
    <col width="12" customWidth="1" style="52" min="17" max="17"/>
    <col width="11" customWidth="1" style="52" min="18" max="18"/>
    <col width="10" customWidth="1" style="52" min="19" max="19"/>
    <col width="38" customWidth="1" style="52" min="20" max="20"/>
  </cols>
  <sheetData>
    <row r="1">
      <c r="A1" s="50" t="inlineStr">
        <is>
          <t>periodo</t>
        </is>
      </c>
      <c r="B1" s="50" t="inlineStr">
        <is>
          <t>pais</t>
        </is>
      </c>
      <c r="C1" s="50" t="inlineStr">
        <is>
          <t>entidad</t>
        </is>
      </c>
      <c r="D1" s="50" t="inlineStr">
        <is>
          <t>moneda</t>
        </is>
      </c>
      <c r="E1" s="50" t="inlineStr">
        <is>
          <t>codigo_comun</t>
        </is>
      </c>
      <c r="F1" s="50" t="inlineStr">
        <is>
          <t>categoria</t>
        </is>
      </c>
      <c r="G1" s="50" t="inlineStr">
        <is>
          <t>rubro_comun</t>
        </is>
      </c>
      <c r="H1" s="50" t="inlineStr">
        <is>
          <t>subrubro</t>
        </is>
      </c>
      <c r="I1" s="50" t="inlineStr">
        <is>
          <t>tercero_detalle</t>
        </is>
      </c>
      <c r="J1" s="50" t="inlineStr">
        <is>
          <t>saldo_inicial</t>
        </is>
      </c>
      <c r="K1" s="50" t="inlineStr">
        <is>
          <t>debitos</t>
        </is>
      </c>
      <c r="L1" s="50" t="inlineStr">
        <is>
          <t>creditos</t>
        </is>
      </c>
      <c r="M1" s="50" t="inlineStr">
        <is>
          <t>saldo_final_fuente</t>
        </is>
      </c>
      <c r="N1" s="50" t="inlineStr">
        <is>
          <t>saldo_presentacion_ytd</t>
        </is>
      </c>
      <c r="O1" s="50" t="inlineStr">
        <is>
          <t>movimiento_mes</t>
        </is>
      </c>
      <c r="P1" s="50" t="inlineStr">
        <is>
          <t>fuente_archivo</t>
        </is>
      </c>
      <c r="Q1" s="50" t="inlineStr">
        <is>
          <t>referencia</t>
        </is>
      </c>
      <c r="R1" s="50" t="inlineStr">
        <is>
          <t>confianza</t>
        </is>
      </c>
      <c r="S1" s="50" t="inlineStr">
        <is>
          <t>revisar</t>
        </is>
      </c>
      <c r="T1" s="50" t="inlineStr">
        <is>
          <t>fundamento</t>
        </is>
      </c>
    </row>
    <row r="2">
      <c r="A2" t="inlineStr">
        <is>
          <t>2026-04</t>
        </is>
      </c>
      <c r="B2" t="inlineStr">
        <is>
          <t>Costa Rica</t>
        </is>
      </c>
      <c r="C2" t="inlineStr">
        <is>
          <t>CR</t>
        </is>
      </c>
      <c r="D2" t="inlineStr">
        <is>
          <t>USD</t>
        </is>
      </c>
      <c r="E2" t="inlineStr">
        <is>
          <t>PL-O-010</t>
        </is>
      </c>
      <c r="F2" t="inlineStr">
        <is>
          <t>Gastos de administración</t>
        </is>
      </c>
      <c r="G2" t="inlineStr">
        <is>
          <t>Gastos de personal</t>
        </is>
      </c>
      <c r="H2" t="inlineStr">
        <is>
          <t>Sueldos</t>
        </is>
      </c>
      <c r="I2" t="inlineStr">
        <is>
          <t>NARANJO BUSTOS MARIAM</t>
        </is>
      </c>
      <c r="J2" s="41" t="n">
        <v>3600</v>
      </c>
      <c r="K2" s="41" t="n">
        <v>1200</v>
      </c>
      <c r="L2" s="41" t="n">
        <v>0</v>
      </c>
      <c r="M2" s="41" t="n">
        <v>4800</v>
      </c>
      <c r="N2" s="41" t="n">
        <v>4800</v>
      </c>
      <c r="O2" s="41" t="n">
        <v>1200</v>
      </c>
      <c r="P2" t="inlineStr">
        <is>
          <t>Abril 2026 CR.xlsx</t>
        </is>
      </c>
      <c r="Q2" t="inlineStr">
        <is>
          <t>Fila 28</t>
        </is>
      </c>
      <c r="R2" t="inlineStr">
        <is>
          <t>Alta</t>
        </is>
      </c>
      <c r="S2" t="inlineStr">
        <is>
          <t>NO</t>
        </is>
      </c>
      <c r="T2" t="inlineStr">
        <is>
          <t>Remuneración laboral</t>
        </is>
      </c>
    </row>
    <row r="3">
      <c r="A3" t="inlineStr">
        <is>
          <t>2026-04</t>
        </is>
      </c>
      <c r="B3" t="inlineStr">
        <is>
          <t>Costa Rica</t>
        </is>
      </c>
      <c r="C3" t="inlineStr">
        <is>
          <t>CR</t>
        </is>
      </c>
      <c r="D3" t="inlineStr">
        <is>
          <t>USD</t>
        </is>
      </c>
      <c r="E3" t="inlineStr">
        <is>
          <t>PL-O-090</t>
        </is>
      </c>
      <c r="F3" t="inlineStr">
        <is>
          <t>Gastos de administración</t>
        </is>
      </c>
      <c r="G3" t="inlineStr">
        <is>
          <t>Viajes y representación</t>
        </is>
      </c>
      <c r="H3" t="inlineStr">
        <is>
          <t>Viáticos</t>
        </is>
      </c>
      <c r="J3" s="41" t="n">
        <v>900</v>
      </c>
      <c r="K3" s="41" t="n">
        <v>300</v>
      </c>
      <c r="L3" s="41" t="n">
        <v>0</v>
      </c>
      <c r="M3" s="41" t="n">
        <v>1200</v>
      </c>
      <c r="N3" s="41" t="n">
        <v>1200</v>
      </c>
      <c r="O3" s="41" t="n">
        <v>300</v>
      </c>
      <c r="P3" t="inlineStr">
        <is>
          <t>Abril 2026 CR.xlsx</t>
        </is>
      </c>
      <c r="Q3" t="inlineStr">
        <is>
          <t>Fila 30</t>
        </is>
      </c>
      <c r="R3" t="inlineStr">
        <is>
          <t>Alta</t>
        </is>
      </c>
      <c r="S3" t="inlineStr">
        <is>
          <t>NO</t>
        </is>
      </c>
      <c r="T3" t="inlineStr">
        <is>
          <t>Viáticos administrativos</t>
        </is>
      </c>
    </row>
    <row r="4">
      <c r="A4" t="inlineStr">
        <is>
          <t>2026-04</t>
        </is>
      </c>
      <c r="B4" t="inlineStr">
        <is>
          <t>Costa Rica</t>
        </is>
      </c>
      <c r="C4" t="inlineStr">
        <is>
          <t>CR</t>
        </is>
      </c>
      <c r="D4" t="inlineStr">
        <is>
          <t>USD</t>
        </is>
      </c>
      <c r="E4" t="inlineStr">
        <is>
          <t>PL-O-010</t>
        </is>
      </c>
      <c r="F4" t="inlineStr">
        <is>
          <t>Gastos de administración</t>
        </is>
      </c>
      <c r="G4" t="inlineStr">
        <is>
          <t>Gastos de personal</t>
        </is>
      </c>
      <c r="H4" t="inlineStr">
        <is>
          <t>Prestaciones sociales</t>
        </is>
      </c>
      <c r="I4" t="inlineStr">
        <is>
          <t>NARANJO BUSTOS MARIAM</t>
        </is>
      </c>
      <c r="J4" s="41" t="n">
        <v>1212.37</v>
      </c>
      <c r="K4" s="41" t="n">
        <v>400</v>
      </c>
      <c r="L4" s="41" t="n">
        <v>0</v>
      </c>
      <c r="M4" s="41" t="n">
        <v>1612.37</v>
      </c>
      <c r="N4" s="41" t="n">
        <v>1612.37</v>
      </c>
      <c r="O4" s="41" t="n">
        <v>400</v>
      </c>
      <c r="P4" t="inlineStr">
        <is>
          <t>Abril 2026 CR.xlsx</t>
        </is>
      </c>
      <c r="Q4" t="inlineStr">
        <is>
          <t>Fila 32</t>
        </is>
      </c>
      <c r="R4" t="inlineStr">
        <is>
          <t>Alta</t>
        </is>
      </c>
      <c r="S4" t="inlineStr">
        <is>
          <t>NO</t>
        </is>
      </c>
      <c r="T4" t="inlineStr">
        <is>
          <t>Prestaciones laborales</t>
        </is>
      </c>
    </row>
    <row r="5">
      <c r="A5" t="inlineStr">
        <is>
          <t>2026-04</t>
        </is>
      </c>
      <c r="B5" t="inlineStr">
        <is>
          <t>Costa Rica</t>
        </is>
      </c>
      <c r="C5" t="inlineStr">
        <is>
          <t>CR</t>
        </is>
      </c>
      <c r="D5" t="inlineStr">
        <is>
          <t>USD</t>
        </is>
      </c>
      <c r="E5" t="inlineStr">
        <is>
          <t>PL-O-020</t>
        </is>
      </c>
      <c r="F5" t="inlineStr">
        <is>
          <t>Gastos de administración</t>
        </is>
      </c>
      <c r="G5" t="inlineStr">
        <is>
          <t>Honorarios y servicios profesionales</t>
        </is>
      </c>
      <c r="H5" t="inlineStr">
        <is>
          <t>Asesoría jurídica</t>
        </is>
      </c>
      <c r="I5" t="inlineStr">
        <is>
          <t>MUÑOZ CHACON FRANCISCO JAVIER</t>
        </is>
      </c>
      <c r="J5" s="41" t="n">
        <v>270.35</v>
      </c>
      <c r="K5" s="41" t="n">
        <v>0</v>
      </c>
      <c r="L5" s="41" t="n">
        <v>0</v>
      </c>
      <c r="M5" s="41" t="n">
        <v>270.35</v>
      </c>
      <c r="N5" s="41" t="n">
        <v>270.35</v>
      </c>
      <c r="O5" s="41" t="n">
        <v>0</v>
      </c>
      <c r="P5" t="inlineStr">
        <is>
          <t>Abril 2026 CR.xlsx</t>
        </is>
      </c>
      <c r="Q5" t="inlineStr">
        <is>
          <t>Fila 35</t>
        </is>
      </c>
      <c r="R5" t="inlineStr">
        <is>
          <t>Alta</t>
        </is>
      </c>
      <c r="S5" t="inlineStr">
        <is>
          <t>NO</t>
        </is>
      </c>
      <c r="T5" t="inlineStr">
        <is>
          <t>Servicio profesional jurídico</t>
        </is>
      </c>
    </row>
    <row r="6">
      <c r="A6" t="inlineStr">
        <is>
          <t>2026-04</t>
        </is>
      </c>
      <c r="B6" t="inlineStr">
        <is>
          <t>Costa Rica</t>
        </is>
      </c>
      <c r="C6" t="inlineStr">
        <is>
          <t>CR</t>
        </is>
      </c>
      <c r="D6" t="inlineStr">
        <is>
          <t>USD</t>
        </is>
      </c>
      <c r="E6" t="inlineStr">
        <is>
          <t>PL-O-030</t>
        </is>
      </c>
      <c r="F6" t="inlineStr">
        <is>
          <t>Gastos de administración</t>
        </is>
      </c>
      <c r="G6" t="inlineStr">
        <is>
          <t>Impuestos y contribuciones</t>
        </is>
      </c>
      <c r="H6" t="inlineStr">
        <is>
          <t>Industria, comercio y otros</t>
        </is>
      </c>
      <c r="I6" t="inlineStr">
        <is>
          <t>MINISTERIO DE HACIENDA</t>
        </is>
      </c>
      <c r="J6" s="41" t="n">
        <v>252.73</v>
      </c>
      <c r="K6" s="41" t="n">
        <v>0</v>
      </c>
      <c r="L6" s="41" t="n">
        <v>0</v>
      </c>
      <c r="M6" s="41" t="n">
        <v>252.73</v>
      </c>
      <c r="N6" s="41" t="n">
        <v>252.73</v>
      </c>
      <c r="O6" s="41" t="n">
        <v>0</v>
      </c>
      <c r="P6" t="inlineStr">
        <is>
          <t>Abril 2026 CR.xlsx</t>
        </is>
      </c>
      <c r="Q6" t="inlineStr">
        <is>
          <t>Fila 38</t>
        </is>
      </c>
      <c r="R6" t="inlineStr">
        <is>
          <t>Alta</t>
        </is>
      </c>
      <c r="S6" t="inlineStr">
        <is>
          <t>NO</t>
        </is>
      </c>
      <c r="T6" t="inlineStr">
        <is>
          <t>Impuestos no asociados a renta</t>
        </is>
      </c>
    </row>
    <row r="7">
      <c r="A7" t="inlineStr">
        <is>
          <t>2026-04</t>
        </is>
      </c>
      <c r="B7" t="inlineStr">
        <is>
          <t>Costa Rica</t>
        </is>
      </c>
      <c r="C7" t="inlineStr">
        <is>
          <t>CR</t>
        </is>
      </c>
      <c r="D7" t="inlineStr">
        <is>
          <t>USD</t>
        </is>
      </c>
      <c r="E7" t="inlineStr">
        <is>
          <t>PL-O-030</t>
        </is>
      </c>
      <c r="F7" t="inlineStr">
        <is>
          <t>Gastos de administración</t>
        </is>
      </c>
      <c r="G7" t="inlineStr">
        <is>
          <t>Impuestos y contribuciones</t>
        </is>
      </c>
      <c r="H7" t="inlineStr">
        <is>
          <t>Industria, comercio y otros</t>
        </is>
      </c>
      <c r="I7" t="inlineStr">
        <is>
          <t>MINISTERIO DE HACIENDA</t>
        </is>
      </c>
      <c r="J7" s="41" t="n">
        <v>26.55</v>
      </c>
      <c r="K7" s="41" t="n">
        <v>115.64</v>
      </c>
      <c r="L7" s="41" t="n">
        <v>0</v>
      </c>
      <c r="M7" s="41" t="n">
        <v>142.19</v>
      </c>
      <c r="N7" s="41" t="n">
        <v>142.19</v>
      </c>
      <c r="O7" s="41" t="n">
        <v>115.64</v>
      </c>
      <c r="P7" t="inlineStr">
        <is>
          <t>Abril 2026 CR.xlsx</t>
        </is>
      </c>
      <c r="Q7" t="inlineStr">
        <is>
          <t>Fila 39</t>
        </is>
      </c>
      <c r="R7" t="inlineStr">
        <is>
          <t>Alta</t>
        </is>
      </c>
      <c r="S7" t="inlineStr">
        <is>
          <t>NO</t>
        </is>
      </c>
      <c r="T7" t="inlineStr">
        <is>
          <t>Impuestos no asociados a renta</t>
        </is>
      </c>
    </row>
    <row r="8">
      <c r="A8" t="inlineStr">
        <is>
          <t>2026-04</t>
        </is>
      </c>
      <c r="B8" t="inlineStr">
        <is>
          <t>Costa Rica</t>
        </is>
      </c>
      <c r="C8" t="inlineStr">
        <is>
          <t>CR</t>
        </is>
      </c>
      <c r="D8" t="inlineStr">
        <is>
          <t>USD</t>
        </is>
      </c>
      <c r="E8" t="inlineStr">
        <is>
          <t>PL-O-030</t>
        </is>
      </c>
      <c r="F8" t="inlineStr">
        <is>
          <t>Gastos de administración</t>
        </is>
      </c>
      <c r="G8" t="inlineStr">
        <is>
          <t>Impuestos y contribuciones</t>
        </is>
      </c>
      <c r="H8" t="inlineStr">
        <is>
          <t>Contribuciones y afiliaciones</t>
        </is>
      </c>
      <c r="I8" t="inlineStr">
        <is>
          <t>MINISTERIO DE SALUD</t>
        </is>
      </c>
      <c r="J8" s="41" t="n">
        <v>64.79000000000001</v>
      </c>
      <c r="K8" s="41" t="n">
        <v>0</v>
      </c>
      <c r="L8" s="41" t="n">
        <v>0</v>
      </c>
      <c r="M8" s="41" t="n">
        <v>64.79000000000001</v>
      </c>
      <c r="N8" s="41" t="n">
        <v>64.79000000000001</v>
      </c>
      <c r="O8" s="41" t="n">
        <v>0</v>
      </c>
      <c r="P8" t="inlineStr">
        <is>
          <t>Abril 2026 CR.xlsx</t>
        </is>
      </c>
      <c r="Q8" t="inlineStr">
        <is>
          <t>Fila 42</t>
        </is>
      </c>
      <c r="R8" t="inlineStr">
        <is>
          <t>Alta</t>
        </is>
      </c>
      <c r="S8" t="inlineStr">
        <is>
          <t>NO</t>
        </is>
      </c>
      <c r="T8" t="inlineStr">
        <is>
          <t>Contribuciones</t>
        </is>
      </c>
    </row>
    <row r="9">
      <c r="A9" t="inlineStr">
        <is>
          <t>2026-04</t>
        </is>
      </c>
      <c r="B9" t="inlineStr">
        <is>
          <t>Costa Rica</t>
        </is>
      </c>
      <c r="C9" t="inlineStr">
        <is>
          <t>CR</t>
        </is>
      </c>
      <c r="D9" t="inlineStr">
        <is>
          <t>USD</t>
        </is>
      </c>
      <c r="E9" t="inlineStr">
        <is>
          <t>PL-O-050</t>
        </is>
      </c>
      <c r="F9" t="inlineStr">
        <is>
          <t>Gastos de administración</t>
        </is>
      </c>
      <c r="G9" t="inlineStr">
        <is>
          <t>Seguros</t>
        </is>
      </c>
      <c r="H9" t="inlineStr">
        <is>
          <t>Otros seguros</t>
        </is>
      </c>
      <c r="I9" t="inlineStr">
        <is>
          <t>RADIOGRAFICA COSTARRICENSE SA</t>
        </is>
      </c>
      <c r="J9" s="41" t="n">
        <v>0</v>
      </c>
      <c r="K9" s="41" t="n">
        <v>9205.719999999999</v>
      </c>
      <c r="L9" s="41" t="n">
        <v>0</v>
      </c>
      <c r="M9" s="41" t="n">
        <v>9205.719999999999</v>
      </c>
      <c r="N9" s="41" t="n">
        <v>9205.719999999999</v>
      </c>
      <c r="O9" s="41" t="n">
        <v>9205.719999999999</v>
      </c>
      <c r="P9" t="inlineStr">
        <is>
          <t>Abril 2026 CR.xlsx</t>
        </is>
      </c>
      <c r="Q9" t="inlineStr">
        <is>
          <t>Fila 45</t>
        </is>
      </c>
      <c r="R9" t="inlineStr">
        <is>
          <t>Media</t>
        </is>
      </c>
      <c r="S9" t="inlineStr">
        <is>
          <t>SI</t>
        </is>
      </c>
      <c r="T9" t="inlineStr">
        <is>
          <t>Cuenta fuente de seguros con descripción genérica</t>
        </is>
      </c>
    </row>
    <row r="10">
      <c r="A10" t="inlineStr">
        <is>
          <t>2026-04</t>
        </is>
      </c>
      <c r="B10" t="inlineStr">
        <is>
          <t>Costa Rica</t>
        </is>
      </c>
      <c r="C10" t="inlineStr">
        <is>
          <t>CR</t>
        </is>
      </c>
      <c r="D10" t="inlineStr">
        <is>
          <t>USD</t>
        </is>
      </c>
      <c r="E10" t="inlineStr">
        <is>
          <t>PL-O-050</t>
        </is>
      </c>
      <c r="F10" t="inlineStr">
        <is>
          <t>Gastos de administración</t>
        </is>
      </c>
      <c r="G10" t="inlineStr">
        <is>
          <t>Seguros</t>
        </is>
      </c>
      <c r="H10" t="inlineStr">
        <is>
          <t>Otros seguros</t>
        </is>
      </c>
      <c r="I10" t="inlineStr">
        <is>
          <t>SEGUROS INS</t>
        </is>
      </c>
      <c r="J10" s="41" t="n">
        <v>70.81</v>
      </c>
      <c r="K10" s="41" t="n">
        <v>0</v>
      </c>
      <c r="L10" s="41" t="n">
        <v>0</v>
      </c>
      <c r="M10" s="41" t="n">
        <v>70.81</v>
      </c>
      <c r="N10" s="41" t="n">
        <v>70.81</v>
      </c>
      <c r="O10" s="41" t="n">
        <v>0</v>
      </c>
      <c r="P10" t="inlineStr">
        <is>
          <t>Abril 2026 CR.xlsx</t>
        </is>
      </c>
      <c r="Q10" t="inlineStr">
        <is>
          <t>Fila 46</t>
        </is>
      </c>
      <c r="R10" t="inlineStr">
        <is>
          <t>Media</t>
        </is>
      </c>
      <c r="S10" t="inlineStr">
        <is>
          <t>SI</t>
        </is>
      </c>
      <c r="T10" t="inlineStr">
        <is>
          <t>Cuenta fuente de seguros con descripción genérica</t>
        </is>
      </c>
    </row>
    <row r="11">
      <c r="A11" t="inlineStr">
        <is>
          <t>2026-04</t>
        </is>
      </c>
      <c r="B11" t="inlineStr">
        <is>
          <t>Costa Rica</t>
        </is>
      </c>
      <c r="C11" t="inlineStr">
        <is>
          <t>CR</t>
        </is>
      </c>
      <c r="D11" t="inlineStr">
        <is>
          <t>USD</t>
        </is>
      </c>
      <c r="E11" t="inlineStr">
        <is>
          <t>PL-O-060</t>
        </is>
      </c>
      <c r="F11" t="inlineStr">
        <is>
          <t>Gastos de administración</t>
        </is>
      </c>
      <c r="G11" t="inlineStr">
        <is>
          <t>Tecnología y procesamiento de datos</t>
        </is>
      </c>
      <c r="H11" t="inlineStr">
        <is>
          <t>Plataformas y software</t>
        </is>
      </c>
      <c r="I11" t="inlineStr">
        <is>
          <t>CAJA COSTARRICENSE DE SEGURO SOCIAL</t>
        </is>
      </c>
      <c r="J11" s="41" t="n">
        <v>0</v>
      </c>
      <c r="K11" s="41" t="n">
        <v>57.71</v>
      </c>
      <c r="L11" s="41" t="n">
        <v>0</v>
      </c>
      <c r="M11" s="41" t="n">
        <v>57.71</v>
      </c>
      <c r="N11" s="41" t="n">
        <v>57.71</v>
      </c>
      <c r="O11" s="41" t="n">
        <v>57.71</v>
      </c>
      <c r="P11" t="inlineStr">
        <is>
          <t>Abril 2026 CR.xlsx</t>
        </is>
      </c>
      <c r="Q11" t="inlineStr">
        <is>
          <t>Fila 49</t>
        </is>
      </c>
      <c r="R11" t="inlineStr">
        <is>
          <t>Alta</t>
        </is>
      </c>
      <c r="S11" t="inlineStr">
        <is>
          <t>SI</t>
        </is>
      </c>
      <c r="T11" t="inlineStr">
        <is>
          <t>Revisar proveedores de telecomunicaciones registrados aquí</t>
        </is>
      </c>
    </row>
    <row r="12">
      <c r="A12" t="inlineStr">
        <is>
          <t>2026-04</t>
        </is>
      </c>
      <c r="B12" t="inlineStr">
        <is>
          <t>Costa Rica</t>
        </is>
      </c>
      <c r="C12" t="inlineStr">
        <is>
          <t>CR</t>
        </is>
      </c>
      <c r="D12" t="inlineStr">
        <is>
          <t>USD</t>
        </is>
      </c>
      <c r="E12" t="inlineStr">
        <is>
          <t>PL-O-110</t>
        </is>
      </c>
      <c r="F12" t="inlineStr">
        <is>
          <t>Gastos de administración</t>
        </is>
      </c>
      <c r="G12" t="inlineStr">
        <is>
          <t>Suministros y oficina</t>
        </is>
      </c>
      <c r="H12" t="inlineStr">
        <is>
          <t>Útiles, papelería y fotocopias</t>
        </is>
      </c>
      <c r="I12" t="inlineStr">
        <is>
          <t>FERRETERIA EPA S.A.</t>
        </is>
      </c>
      <c r="J12" s="41" t="n">
        <v>39.61</v>
      </c>
      <c r="K12" s="41" t="n">
        <v>0</v>
      </c>
      <c r="L12" s="41" t="n">
        <v>0</v>
      </c>
      <c r="M12" s="41" t="n">
        <v>39.61</v>
      </c>
      <c r="N12" s="41" t="n">
        <v>39.61</v>
      </c>
      <c r="O12" s="41" t="n">
        <v>0</v>
      </c>
      <c r="P12" t="inlineStr">
        <is>
          <t>Abril 2026 CR.xlsx</t>
        </is>
      </c>
      <c r="Q12" t="inlineStr">
        <is>
          <t>Fila 52</t>
        </is>
      </c>
      <c r="R12" t="inlineStr">
        <is>
          <t>Alta</t>
        </is>
      </c>
      <c r="S12" t="inlineStr">
        <is>
          <t>NO</t>
        </is>
      </c>
      <c r="T12" t="inlineStr">
        <is>
          <t>Suministros de oficina</t>
        </is>
      </c>
    </row>
    <row r="13">
      <c r="A13" t="inlineStr">
        <is>
          <t>2026-04</t>
        </is>
      </c>
      <c r="B13" t="inlineStr">
        <is>
          <t>Costa Rica</t>
        </is>
      </c>
      <c r="C13" t="inlineStr">
        <is>
          <t>CR</t>
        </is>
      </c>
      <c r="D13" t="inlineStr">
        <is>
          <t>USD</t>
        </is>
      </c>
      <c r="E13" t="inlineStr">
        <is>
          <t>PL-O-110</t>
        </is>
      </c>
      <c r="F13" t="inlineStr">
        <is>
          <t>Gastos de administración</t>
        </is>
      </c>
      <c r="G13" t="inlineStr">
        <is>
          <t>Suministros y oficina</t>
        </is>
      </c>
      <c r="H13" t="inlineStr">
        <is>
          <t>Útiles, papelería y fotocopias</t>
        </is>
      </c>
      <c r="I13" t="inlineStr">
        <is>
          <t>ISTORE SAN PEDRO</t>
        </is>
      </c>
      <c r="J13" s="41" t="n">
        <v>74.31</v>
      </c>
      <c r="K13" s="41" t="n">
        <v>0</v>
      </c>
      <c r="L13" s="41" t="n">
        <v>0</v>
      </c>
      <c r="M13" s="41" t="n">
        <v>74.31</v>
      </c>
      <c r="N13" s="41" t="n">
        <v>74.31</v>
      </c>
      <c r="O13" s="41" t="n">
        <v>0</v>
      </c>
      <c r="P13" t="inlineStr">
        <is>
          <t>Abril 2026 CR.xlsx</t>
        </is>
      </c>
      <c r="Q13" t="inlineStr">
        <is>
          <t>Fila 53</t>
        </is>
      </c>
      <c r="R13" t="inlineStr">
        <is>
          <t>Alta</t>
        </is>
      </c>
      <c r="S13" t="inlineStr">
        <is>
          <t>NO</t>
        </is>
      </c>
      <c r="T13" t="inlineStr">
        <is>
          <t>Suministros de oficina</t>
        </is>
      </c>
    </row>
    <row r="14">
      <c r="A14" t="inlineStr">
        <is>
          <t>2026-04</t>
        </is>
      </c>
      <c r="B14" t="inlineStr">
        <is>
          <t>Costa Rica</t>
        </is>
      </c>
      <c r="C14" t="inlineStr">
        <is>
          <t>CR</t>
        </is>
      </c>
      <c r="D14" t="inlineStr">
        <is>
          <t>USD</t>
        </is>
      </c>
      <c r="E14" t="inlineStr">
        <is>
          <t>PL-O-110</t>
        </is>
      </c>
      <c r="F14" t="inlineStr">
        <is>
          <t>Gastos de administración</t>
        </is>
      </c>
      <c r="G14" t="inlineStr">
        <is>
          <t>Suministros y oficina</t>
        </is>
      </c>
      <c r="H14" t="inlineStr">
        <is>
          <t>Útiles, papelería y fotocopias</t>
        </is>
      </c>
      <c r="I14" t="inlineStr">
        <is>
          <t>MUNDO TECNOLOGIA</t>
        </is>
      </c>
      <c r="J14" s="41" t="n">
        <v>15</v>
      </c>
      <c r="K14" s="41" t="n">
        <v>0</v>
      </c>
      <c r="L14" s="41" t="n">
        <v>0</v>
      </c>
      <c r="M14" s="41" t="n">
        <v>15</v>
      </c>
      <c r="N14" s="41" t="n">
        <v>15</v>
      </c>
      <c r="O14" s="41" t="n">
        <v>0</v>
      </c>
      <c r="P14" t="inlineStr">
        <is>
          <t>Abril 2026 CR.xlsx</t>
        </is>
      </c>
      <c r="Q14" t="inlineStr">
        <is>
          <t>Fila 54</t>
        </is>
      </c>
      <c r="R14" t="inlineStr">
        <is>
          <t>Alta</t>
        </is>
      </c>
      <c r="S14" t="inlineStr">
        <is>
          <t>NO</t>
        </is>
      </c>
      <c r="T14" t="inlineStr">
        <is>
          <t>Suministros de oficina</t>
        </is>
      </c>
    </row>
    <row r="15">
      <c r="A15" t="inlineStr">
        <is>
          <t>2026-04</t>
        </is>
      </c>
      <c r="B15" t="inlineStr">
        <is>
          <t>Costa Rica</t>
        </is>
      </c>
      <c r="C15" t="inlineStr">
        <is>
          <t>CR</t>
        </is>
      </c>
      <c r="D15" t="inlineStr">
        <is>
          <t>USD</t>
        </is>
      </c>
      <c r="E15" t="inlineStr">
        <is>
          <t>PL-O-110</t>
        </is>
      </c>
      <c r="F15" t="inlineStr">
        <is>
          <t>Gastos de administración</t>
        </is>
      </c>
      <c r="G15" t="inlineStr">
        <is>
          <t>Suministros y oficina</t>
        </is>
      </c>
      <c r="H15" t="inlineStr">
        <is>
          <t>Útiles, papelería y fotocopias</t>
        </is>
      </c>
      <c r="I15" t="inlineStr">
        <is>
          <t>REGISTRO NACIONAL REPUBLICA DE COSTA RICA</t>
        </is>
      </c>
      <c r="J15" s="41" t="n">
        <v>7</v>
      </c>
      <c r="K15" s="41" t="n">
        <v>0</v>
      </c>
      <c r="L15" s="41" t="n">
        <v>0</v>
      </c>
      <c r="M15" s="41" t="n">
        <v>7</v>
      </c>
      <c r="N15" s="41" t="n">
        <v>7</v>
      </c>
      <c r="O15" s="41" t="n">
        <v>0</v>
      </c>
      <c r="P15" t="inlineStr">
        <is>
          <t>Abril 2026 CR.xlsx</t>
        </is>
      </c>
      <c r="Q15" t="inlineStr">
        <is>
          <t>Fila 55</t>
        </is>
      </c>
      <c r="R15" t="inlineStr">
        <is>
          <t>Alta</t>
        </is>
      </c>
      <c r="S15" t="inlineStr">
        <is>
          <t>NO</t>
        </is>
      </c>
      <c r="T15" t="inlineStr">
        <is>
          <t>Suministros de oficina</t>
        </is>
      </c>
    </row>
    <row r="16">
      <c r="A16" t="inlineStr">
        <is>
          <t>2026-04</t>
        </is>
      </c>
      <c r="B16" t="inlineStr">
        <is>
          <t>Costa Rica</t>
        </is>
      </c>
      <c r="C16" t="inlineStr">
        <is>
          <t>CR</t>
        </is>
      </c>
      <c r="D16" t="inlineStr">
        <is>
          <t>USD</t>
        </is>
      </c>
      <c r="E16" t="inlineStr">
        <is>
          <t>PL-F-010</t>
        </is>
      </c>
      <c r="F16" t="inlineStr">
        <is>
          <t>Gastos financieros</t>
        </is>
      </c>
      <c r="G16" t="inlineStr">
        <is>
          <t>Gastos financieros</t>
        </is>
      </c>
      <c r="H16" t="inlineStr">
        <is>
          <t>Gastos bancarios</t>
        </is>
      </c>
      <c r="I16" t="inlineStr">
        <is>
          <t>BAC CREDOMATIC</t>
        </is>
      </c>
      <c r="J16" s="41" t="n">
        <v>80</v>
      </c>
      <c r="K16" s="41" t="n">
        <v>40</v>
      </c>
      <c r="L16" s="41" t="n">
        <v>0</v>
      </c>
      <c r="M16" s="41" t="n">
        <v>120</v>
      </c>
      <c r="N16" s="41" t="n">
        <v>120</v>
      </c>
      <c r="O16" s="41" t="n">
        <v>40</v>
      </c>
      <c r="P16" t="inlineStr">
        <is>
          <t>Abril 2026 CR.xlsx</t>
        </is>
      </c>
      <c r="Q16" t="inlineStr">
        <is>
          <t>Fila 59</t>
        </is>
      </c>
      <c r="R16" t="inlineStr">
        <is>
          <t>Alta</t>
        </is>
      </c>
      <c r="S16" t="inlineStr">
        <is>
          <t>NO</t>
        </is>
      </c>
      <c r="T16" t="inlineStr">
        <is>
          <t>Costo financiero bancario</t>
        </is>
      </c>
    </row>
    <row r="17">
      <c r="A17" t="inlineStr">
        <is>
          <t>2026-04</t>
        </is>
      </c>
      <c r="B17" t="inlineStr">
        <is>
          <t>Peru</t>
        </is>
      </c>
      <c r="C17" t="inlineStr">
        <is>
          <t>PERU</t>
        </is>
      </c>
      <c r="D17" t="inlineStr">
        <is>
          <t>PEN</t>
        </is>
      </c>
      <c r="E17" t="inlineStr">
        <is>
          <t>PL-R-010</t>
        </is>
      </c>
      <c r="F17" t="inlineStr">
        <is>
          <t>Ingresos operacionales</t>
        </is>
      </c>
      <c r="G17" t="inlineStr">
        <is>
          <t>Ingresos por servicios</t>
        </is>
      </c>
      <c r="H17" t="inlineStr">
        <is>
          <t>Software y agendamiento</t>
        </is>
      </c>
      <c r="I17" t="inlineStr">
        <is>
          <t>IMPLEMENTACION- EXCLUIDA</t>
        </is>
      </c>
      <c r="J17" s="41" t="n">
        <v>-1808.92</v>
      </c>
      <c r="K17" s="41" t="n">
        <v>0</v>
      </c>
      <c r="L17" s="41" t="n">
        <v>0</v>
      </c>
      <c r="M17" s="41" t="n">
        <v>-1808.92</v>
      </c>
      <c r="N17" s="41" t="n">
        <v>1808.92</v>
      </c>
      <c r="O17" s="41" t="n">
        <v>0</v>
      </c>
      <c r="P17" t="inlineStr">
        <is>
          <t>Abril 2026 PERU.xlsx</t>
        </is>
      </c>
      <c r="Q17" t="inlineStr">
        <is>
          <t>Fila 41</t>
        </is>
      </c>
      <c r="R17" t="inlineStr">
        <is>
          <t>Alta</t>
        </is>
      </c>
      <c r="S17" t="inlineStr">
        <is>
          <t>NO</t>
        </is>
      </c>
      <c r="T17" t="inlineStr">
        <is>
          <t>Ingreso operacional principal</t>
        </is>
      </c>
    </row>
    <row r="18">
      <c r="A18" t="inlineStr">
        <is>
          <t>2026-04</t>
        </is>
      </c>
      <c r="B18" t="inlineStr">
        <is>
          <t>Peru</t>
        </is>
      </c>
      <c r="C18" t="inlineStr">
        <is>
          <t>PERU</t>
        </is>
      </c>
      <c r="D18" t="inlineStr">
        <is>
          <t>PEN</t>
        </is>
      </c>
      <c r="E18" t="inlineStr">
        <is>
          <t>PL-R-010</t>
        </is>
      </c>
      <c r="F18" t="inlineStr">
        <is>
          <t>Ingresos operacionales</t>
        </is>
      </c>
      <c r="G18" t="inlineStr">
        <is>
          <t>Ingresos por servicios</t>
        </is>
      </c>
      <c r="H18" t="inlineStr">
        <is>
          <t>Software y agendamiento</t>
        </is>
      </c>
      <c r="I18" t="inlineStr">
        <is>
          <t>AGENDAMIENTO EN LA NUBE</t>
        </is>
      </c>
      <c r="J18" s="41" t="n">
        <v>-5636.09</v>
      </c>
      <c r="K18" s="41" t="n">
        <v>0</v>
      </c>
      <c r="L18" s="41" t="n">
        <v>2846.02</v>
      </c>
      <c r="M18" s="41" t="n">
        <v>-8482.110000000001</v>
      </c>
      <c r="N18" s="41" t="n">
        <v>8482.110000000001</v>
      </c>
      <c r="O18" s="41" t="n">
        <v>2846.02</v>
      </c>
      <c r="P18" t="inlineStr">
        <is>
          <t>Abril 2026 PERU.xlsx</t>
        </is>
      </c>
      <c r="Q18" t="inlineStr">
        <is>
          <t>Fila 42</t>
        </is>
      </c>
      <c r="R18" t="inlineStr">
        <is>
          <t>Alta</t>
        </is>
      </c>
      <c r="S18" t="inlineStr">
        <is>
          <t>NO</t>
        </is>
      </c>
      <c r="T18" t="inlineStr">
        <is>
          <t>Ingreso operacional principal</t>
        </is>
      </c>
    </row>
    <row r="19">
      <c r="A19" t="inlineStr">
        <is>
          <t>2026-04</t>
        </is>
      </c>
      <c r="B19" t="inlineStr">
        <is>
          <t>Peru</t>
        </is>
      </c>
      <c r="C19" t="inlineStr">
        <is>
          <t>PERU</t>
        </is>
      </c>
      <c r="D19" t="inlineStr">
        <is>
          <t>PEN</t>
        </is>
      </c>
      <c r="E19" t="inlineStr">
        <is>
          <t>PL-NO-020</t>
        </is>
      </c>
      <c r="F19" t="inlineStr">
        <is>
          <t>Ingresos no operacionales</t>
        </is>
      </c>
      <c r="G19" t="inlineStr">
        <is>
          <t>Otros ingresos</t>
        </is>
      </c>
      <c r="H19" t="inlineStr">
        <is>
          <t>Otros ingresos</t>
        </is>
      </c>
      <c r="I19" t="inlineStr">
        <is>
          <t>OTROS INGRESOS</t>
        </is>
      </c>
      <c r="J19" s="41" t="n">
        <v>-64960.94</v>
      </c>
      <c r="K19" s="41" t="n">
        <v>0</v>
      </c>
      <c r="L19" s="41" t="n">
        <v>0</v>
      </c>
      <c r="M19" s="41" t="n">
        <v>-64960.94</v>
      </c>
      <c r="N19" s="41" t="n">
        <v>64960.94</v>
      </c>
      <c r="O19" s="41" t="n">
        <v>0</v>
      </c>
      <c r="P19" t="inlineStr">
        <is>
          <t>Abril 2026 PERU.xlsx</t>
        </is>
      </c>
      <c r="Q19" t="inlineStr">
        <is>
          <t>Fila 45</t>
        </is>
      </c>
      <c r="R19" t="inlineStr">
        <is>
          <t>Media</t>
        </is>
      </c>
      <c r="S19" t="inlineStr">
        <is>
          <t>SI</t>
        </is>
      </c>
      <c r="T19" t="inlineStr">
        <is>
          <t>Cuenta genérica y material en Perú; validar naturaleza</t>
        </is>
      </c>
    </row>
    <row r="20">
      <c r="A20" t="inlineStr">
        <is>
          <t>2026-04</t>
        </is>
      </c>
      <c r="B20" t="inlineStr">
        <is>
          <t>Peru</t>
        </is>
      </c>
      <c r="C20" t="inlineStr">
        <is>
          <t>PERU</t>
        </is>
      </c>
      <c r="D20" t="inlineStr">
        <is>
          <t>PEN</t>
        </is>
      </c>
      <c r="E20" t="inlineStr">
        <is>
          <t>PL-O-020</t>
        </is>
      </c>
      <c r="F20" t="inlineStr">
        <is>
          <t>Gastos de administración</t>
        </is>
      </c>
      <c r="G20" t="inlineStr">
        <is>
          <t>Honorarios y servicios profesionales</t>
        </is>
      </c>
      <c r="H20" t="inlineStr">
        <is>
          <t>Asesoría jurídica</t>
        </is>
      </c>
      <c r="I20" t="inlineStr">
        <is>
          <t>HONORARIOS ASESORIA JURIDICA</t>
        </is>
      </c>
      <c r="J20" s="41" t="n">
        <v>1015.35</v>
      </c>
      <c r="K20" s="41" t="n">
        <v>524.25</v>
      </c>
      <c r="L20" s="41" t="n">
        <v>0</v>
      </c>
      <c r="M20" s="41" t="n">
        <v>1539.6</v>
      </c>
      <c r="N20" s="41" t="n">
        <v>1539.6</v>
      </c>
      <c r="O20" s="41" t="n">
        <v>524.25</v>
      </c>
      <c r="P20" t="inlineStr">
        <is>
          <t>Abril 2026 PERU.xlsx</t>
        </is>
      </c>
      <c r="Q20" t="inlineStr">
        <is>
          <t>Fila 49</t>
        </is>
      </c>
      <c r="R20" t="inlineStr">
        <is>
          <t>Alta</t>
        </is>
      </c>
      <c r="S20" t="inlineStr">
        <is>
          <t>NO</t>
        </is>
      </c>
      <c r="T20" t="inlineStr">
        <is>
          <t>Servicio profesional jurídico</t>
        </is>
      </c>
    </row>
    <row r="21">
      <c r="A21" t="inlineStr">
        <is>
          <t>2026-04</t>
        </is>
      </c>
      <c r="B21" t="inlineStr">
        <is>
          <t>Peru</t>
        </is>
      </c>
      <c r="C21" t="inlineStr">
        <is>
          <t>PERU</t>
        </is>
      </c>
      <c r="D21" t="inlineStr">
        <is>
          <t>PEN</t>
        </is>
      </c>
      <c r="E21" t="inlineStr">
        <is>
          <t>PL-O-020</t>
        </is>
      </c>
      <c r="F21" t="inlineStr">
        <is>
          <t>Gastos de administración</t>
        </is>
      </c>
      <c r="G21" t="inlineStr">
        <is>
          <t>Honorarios y servicios profesionales</t>
        </is>
      </c>
      <c r="H21" t="inlineStr">
        <is>
          <t>Asesoría financiera</t>
        </is>
      </c>
      <c r="I21" t="inlineStr">
        <is>
          <t>HONORARIOS ASESORIA FINANCIERA</t>
        </is>
      </c>
      <c r="J21" s="41" t="n">
        <v>700</v>
      </c>
      <c r="K21" s="41" t="n">
        <v>1100</v>
      </c>
      <c r="L21" s="41" t="n">
        <v>0</v>
      </c>
      <c r="M21" s="41" t="n">
        <v>1800</v>
      </c>
      <c r="N21" s="41" t="n">
        <v>1800</v>
      </c>
      <c r="O21" s="41" t="n">
        <v>1100</v>
      </c>
      <c r="P21" t="inlineStr">
        <is>
          <t>Abril 2026 PERU.xlsx</t>
        </is>
      </c>
      <c r="Q21" t="inlineStr">
        <is>
          <t>Fila 51</t>
        </is>
      </c>
      <c r="R21" t="inlineStr">
        <is>
          <t>Alta</t>
        </is>
      </c>
      <c r="S21" t="inlineStr">
        <is>
          <t>NO</t>
        </is>
      </c>
      <c r="T21" t="inlineStr">
        <is>
          <t>Servicio profesional financiero</t>
        </is>
      </c>
    </row>
    <row r="22">
      <c r="A22" t="inlineStr">
        <is>
          <t>2026-04</t>
        </is>
      </c>
      <c r="B22" t="inlineStr">
        <is>
          <t>Peru</t>
        </is>
      </c>
      <c r="C22" t="inlineStr">
        <is>
          <t>PERU</t>
        </is>
      </c>
      <c r="D22" t="inlineStr">
        <is>
          <t>PEN</t>
        </is>
      </c>
      <c r="E22" t="inlineStr">
        <is>
          <t>PL-S-010</t>
        </is>
      </c>
      <c r="F22" t="inlineStr">
        <is>
          <t>Gastos de ventas</t>
        </is>
      </c>
      <c r="G22" t="inlineStr">
        <is>
          <t>Honorarios comerciales y técnicos</t>
        </is>
      </c>
      <c r="H22" t="inlineStr">
        <is>
          <t>Otros honorarios</t>
        </is>
      </c>
      <c r="I22" t="inlineStr">
        <is>
          <t>HONORARIOS OTROS CONCEPTOS</t>
        </is>
      </c>
      <c r="J22" s="41" t="n">
        <v>2127</v>
      </c>
      <c r="K22" s="41" t="n">
        <v>0</v>
      </c>
      <c r="L22" s="41" t="n">
        <v>0</v>
      </c>
      <c r="M22" s="41" t="n">
        <v>2127</v>
      </c>
      <c r="N22" s="41" t="n">
        <v>2127</v>
      </c>
      <c r="O22" s="41" t="n">
        <v>0</v>
      </c>
      <c r="P22" t="inlineStr">
        <is>
          <t>Abril 2026 PERU.xlsx</t>
        </is>
      </c>
      <c r="Q22" t="inlineStr">
        <is>
          <t>Fila 54</t>
        </is>
      </c>
      <c r="R22" t="inlineStr">
        <is>
          <t>Media</t>
        </is>
      </c>
      <c r="S22" t="inlineStr">
        <is>
          <t>SI</t>
        </is>
      </c>
      <c r="T22" t="inlineStr">
        <is>
          <t>Cuenta genérica de honorarios de ventas</t>
        </is>
      </c>
    </row>
    <row r="23">
      <c r="A23" t="inlineStr">
        <is>
          <t>2026-04</t>
        </is>
      </c>
      <c r="B23" t="inlineStr">
        <is>
          <t>Peru</t>
        </is>
      </c>
      <c r="C23" t="inlineStr">
        <is>
          <t>PERU</t>
        </is>
      </c>
      <c r="D23" t="inlineStr">
        <is>
          <t>PEN</t>
        </is>
      </c>
      <c r="E23" t="inlineStr">
        <is>
          <t>PL-S-020</t>
        </is>
      </c>
      <c r="F23" t="inlineStr">
        <is>
          <t>Gastos de ventas</t>
        </is>
      </c>
      <c r="G23" t="inlineStr">
        <is>
          <t>Mercadeo y publicidad</t>
        </is>
      </c>
      <c r="H23" t="inlineStr">
        <is>
          <t>Propaganda y publicidad</t>
        </is>
      </c>
      <c r="I23" t="inlineStr">
        <is>
          <t>PROPAGANDA Y PUBLICIDAD</t>
        </is>
      </c>
      <c r="J23" s="41" t="n">
        <v>1706.19</v>
      </c>
      <c r="K23" s="41" t="n">
        <v>0</v>
      </c>
      <c r="L23" s="41" t="n">
        <v>0</v>
      </c>
      <c r="M23" s="41" t="n">
        <v>1706.19</v>
      </c>
      <c r="N23" s="41" t="n">
        <v>1706.19</v>
      </c>
      <c r="O23" s="41" t="n">
        <v>0</v>
      </c>
      <c r="P23" t="inlineStr">
        <is>
          <t>Abril 2026 PERU.xlsx</t>
        </is>
      </c>
      <c r="Q23" t="inlineStr">
        <is>
          <t>Fila 57</t>
        </is>
      </c>
      <c r="R23" t="inlineStr">
        <is>
          <t>Alta</t>
        </is>
      </c>
      <c r="S23" t="inlineStr">
        <is>
          <t>NO</t>
        </is>
      </c>
      <c r="T23" t="inlineStr">
        <is>
          <t>Gasto comercial de publicidad</t>
        </is>
      </c>
    </row>
    <row r="24">
      <c r="A24" t="inlineStr">
        <is>
          <t>2026-04</t>
        </is>
      </c>
      <c r="B24" t="inlineStr">
        <is>
          <t>Peru</t>
        </is>
      </c>
      <c r="C24" t="inlineStr">
        <is>
          <t>PERU</t>
        </is>
      </c>
      <c r="D24" t="inlineStr">
        <is>
          <t>PEN</t>
        </is>
      </c>
      <c r="E24" t="inlineStr">
        <is>
          <t>PL-S-040</t>
        </is>
      </c>
      <c r="F24" t="inlineStr">
        <is>
          <t>Gastos de ventas</t>
        </is>
      </c>
      <c r="G24" t="inlineStr">
        <is>
          <t>Viajes comerciales</t>
        </is>
      </c>
      <c r="H24" t="inlineStr">
        <is>
          <t>Alojamiento y manutención</t>
        </is>
      </c>
      <c r="I24" t="inlineStr">
        <is>
          <t>SERVICIO ALOJAMIENTO</t>
        </is>
      </c>
      <c r="J24" s="41" t="n">
        <v>0</v>
      </c>
      <c r="K24" s="41" t="n">
        <v>267.26</v>
      </c>
      <c r="L24" s="41" t="n">
        <v>0</v>
      </c>
      <c r="M24" s="41" t="n">
        <v>267.26</v>
      </c>
      <c r="N24" s="41" t="n">
        <v>267.26</v>
      </c>
      <c r="O24" s="41" t="n">
        <v>267.26</v>
      </c>
      <c r="P24" t="inlineStr">
        <is>
          <t>Abril 2026 PERU.xlsx</t>
        </is>
      </c>
      <c r="Q24" t="inlineStr">
        <is>
          <t>Fila 60</t>
        </is>
      </c>
      <c r="R24" t="inlineStr">
        <is>
          <t>Alta</t>
        </is>
      </c>
      <c r="S24" t="inlineStr">
        <is>
          <t>NO</t>
        </is>
      </c>
      <c r="T24" t="inlineStr">
        <is>
          <t>Viajes y alimentación comercial</t>
        </is>
      </c>
    </row>
    <row r="25">
      <c r="A25" t="inlineStr">
        <is>
          <t>2026-04</t>
        </is>
      </c>
      <c r="B25" t="inlineStr">
        <is>
          <t>Peru</t>
        </is>
      </c>
      <c r="C25" t="inlineStr">
        <is>
          <t>PERU</t>
        </is>
      </c>
      <c r="D25" t="inlineStr">
        <is>
          <t>PEN</t>
        </is>
      </c>
      <c r="E25" t="inlineStr">
        <is>
          <t>PL-S-040</t>
        </is>
      </c>
      <c r="F25" t="inlineStr">
        <is>
          <t>Gastos de ventas</t>
        </is>
      </c>
      <c r="G25" t="inlineStr">
        <is>
          <t>Viajes comerciales</t>
        </is>
      </c>
      <c r="H25" t="inlineStr">
        <is>
          <t>Alojamiento y manutención</t>
        </is>
      </c>
      <c r="I25" t="inlineStr">
        <is>
          <t>SERVICIO DE RESTAURANTE</t>
        </is>
      </c>
      <c r="J25" s="41" t="n">
        <v>80.8</v>
      </c>
      <c r="K25" s="41" t="n">
        <v>0</v>
      </c>
      <c r="L25" s="41" t="n">
        <v>0</v>
      </c>
      <c r="M25" s="41" t="n">
        <v>80.8</v>
      </c>
      <c r="N25" s="41" t="n">
        <v>80.8</v>
      </c>
      <c r="O25" s="41" t="n">
        <v>0</v>
      </c>
      <c r="P25" t="inlineStr">
        <is>
          <t>Abril 2026 PERU.xlsx</t>
        </is>
      </c>
      <c r="Q25" t="inlineStr">
        <is>
          <t>Fila 61</t>
        </is>
      </c>
      <c r="R25" t="inlineStr">
        <is>
          <t>Alta</t>
        </is>
      </c>
      <c r="S25" t="inlineStr">
        <is>
          <t>NO</t>
        </is>
      </c>
      <c r="T25" t="inlineStr">
        <is>
          <t>Viajes y alimentación comercial</t>
        </is>
      </c>
    </row>
    <row r="26">
      <c r="A26" t="inlineStr">
        <is>
          <t>2026-04</t>
        </is>
      </c>
      <c r="B26" t="inlineStr">
        <is>
          <t>Peru</t>
        </is>
      </c>
      <c r="C26" t="inlineStr">
        <is>
          <t>PERU</t>
        </is>
      </c>
      <c r="D26" t="inlineStr">
        <is>
          <t>PEN</t>
        </is>
      </c>
      <c r="E26" t="inlineStr">
        <is>
          <t>PL-S-040</t>
        </is>
      </c>
      <c r="F26" t="inlineStr">
        <is>
          <t>Gastos de ventas</t>
        </is>
      </c>
      <c r="G26" t="inlineStr">
        <is>
          <t>Viajes comerciales</t>
        </is>
      </c>
      <c r="H26" t="inlineStr">
        <is>
          <t>Alojamiento y manutención</t>
        </is>
      </c>
      <c r="I26" t="inlineStr">
        <is>
          <t>SERVICIO DE RESTAURANTE</t>
        </is>
      </c>
      <c r="J26" s="41" t="n">
        <v>0</v>
      </c>
      <c r="K26" s="41" t="n">
        <v>20.68</v>
      </c>
      <c r="L26" s="41" t="n">
        <v>0</v>
      </c>
      <c r="M26" s="41" t="n">
        <v>20.68</v>
      </c>
      <c r="N26" s="41" t="n">
        <v>20.68</v>
      </c>
      <c r="O26" s="41" t="n">
        <v>20.68</v>
      </c>
      <c r="P26" t="inlineStr">
        <is>
          <t>Abril 2026 PERU.xlsx</t>
        </is>
      </c>
      <c r="Q26" t="inlineStr">
        <is>
          <t>Fila 62</t>
        </is>
      </c>
      <c r="R26" t="inlineStr">
        <is>
          <t>Alta</t>
        </is>
      </c>
      <c r="S26" t="inlineStr">
        <is>
          <t>NO</t>
        </is>
      </c>
      <c r="T26" t="inlineStr">
        <is>
          <t>Viajes y alimentación comercial</t>
        </is>
      </c>
    </row>
    <row r="27">
      <c r="A27" t="inlineStr">
        <is>
          <t>2026-04</t>
        </is>
      </c>
      <c r="B27" t="inlineStr">
        <is>
          <t>Peru</t>
        </is>
      </c>
      <c r="C27" t="inlineStr">
        <is>
          <t>PERU</t>
        </is>
      </c>
      <c r="D27" t="inlineStr">
        <is>
          <t>PEN</t>
        </is>
      </c>
      <c r="E27" t="inlineStr">
        <is>
          <t>PL-S-040</t>
        </is>
      </c>
      <c r="F27" t="inlineStr">
        <is>
          <t>Gastos de ventas</t>
        </is>
      </c>
      <c r="G27" t="inlineStr">
        <is>
          <t>Viajes comerciales</t>
        </is>
      </c>
      <c r="H27" t="inlineStr">
        <is>
          <t>Alojamiento y manutención</t>
        </is>
      </c>
      <c r="I27" t="inlineStr">
        <is>
          <t>SERVICIO DE RESTAURANTE</t>
        </is>
      </c>
      <c r="J27" s="41" t="n">
        <v>114</v>
      </c>
      <c r="K27" s="41" t="n">
        <v>0</v>
      </c>
      <c r="L27" s="41" t="n">
        <v>0</v>
      </c>
      <c r="M27" s="41" t="n">
        <v>114</v>
      </c>
      <c r="N27" s="41" t="n">
        <v>114</v>
      </c>
      <c r="O27" s="41" t="n">
        <v>0</v>
      </c>
      <c r="P27" t="inlineStr">
        <is>
          <t>Abril 2026 PERU.xlsx</t>
        </is>
      </c>
      <c r="Q27" t="inlineStr">
        <is>
          <t>Fila 63</t>
        </is>
      </c>
      <c r="R27" t="inlineStr">
        <is>
          <t>Alta</t>
        </is>
      </c>
      <c r="S27" t="inlineStr">
        <is>
          <t>NO</t>
        </is>
      </c>
      <c r="T27" t="inlineStr">
        <is>
          <t>Viajes y alimentación comercial</t>
        </is>
      </c>
    </row>
    <row r="28">
      <c r="A28" t="inlineStr">
        <is>
          <t>2026-04</t>
        </is>
      </c>
      <c r="B28" t="inlineStr">
        <is>
          <t>Peru</t>
        </is>
      </c>
      <c r="C28" t="inlineStr">
        <is>
          <t>PERU</t>
        </is>
      </c>
      <c r="D28" t="inlineStr">
        <is>
          <t>PEN</t>
        </is>
      </c>
      <c r="E28" t="inlineStr">
        <is>
          <t>PL-S-040</t>
        </is>
      </c>
      <c r="F28" t="inlineStr">
        <is>
          <t>Gastos de ventas</t>
        </is>
      </c>
      <c r="G28" t="inlineStr">
        <is>
          <t>Viajes comerciales</t>
        </is>
      </c>
      <c r="H28" t="inlineStr">
        <is>
          <t>Alojamiento y manutención</t>
        </is>
      </c>
      <c r="I28" t="inlineStr">
        <is>
          <t>SERVICIO DE RESTAURANTE</t>
        </is>
      </c>
      <c r="J28" s="41" t="n">
        <v>520</v>
      </c>
      <c r="K28" s="41" t="n">
        <v>0</v>
      </c>
      <c r="L28" s="41" t="n">
        <v>0</v>
      </c>
      <c r="M28" s="41" t="n">
        <v>520</v>
      </c>
      <c r="N28" s="41" t="n">
        <v>520</v>
      </c>
      <c r="O28" s="41" t="n">
        <v>0</v>
      </c>
      <c r="P28" t="inlineStr">
        <is>
          <t>Abril 2026 PERU.xlsx</t>
        </is>
      </c>
      <c r="Q28" t="inlineStr">
        <is>
          <t>Fila 64</t>
        </is>
      </c>
      <c r="R28" t="inlineStr">
        <is>
          <t>Alta</t>
        </is>
      </c>
      <c r="S28" t="inlineStr">
        <is>
          <t>NO</t>
        </is>
      </c>
      <c r="T28" t="inlineStr">
        <is>
          <t>Viajes y alimentación comercial</t>
        </is>
      </c>
    </row>
    <row r="29">
      <c r="A29" t="inlineStr">
        <is>
          <t>2026-04</t>
        </is>
      </c>
      <c r="B29" t="inlineStr">
        <is>
          <t>Peru</t>
        </is>
      </c>
      <c r="C29" t="inlineStr">
        <is>
          <t>PERU</t>
        </is>
      </c>
      <c r="D29" t="inlineStr">
        <is>
          <t>PEN</t>
        </is>
      </c>
      <c r="E29" t="inlineStr">
        <is>
          <t>PL-S-040</t>
        </is>
      </c>
      <c r="F29" t="inlineStr">
        <is>
          <t>Gastos de ventas</t>
        </is>
      </c>
      <c r="G29" t="inlineStr">
        <is>
          <t>Viajes comerciales</t>
        </is>
      </c>
      <c r="H29" t="inlineStr">
        <is>
          <t>Alojamiento y manutención</t>
        </is>
      </c>
      <c r="I29" t="inlineStr">
        <is>
          <t>SERVICIO DE RESTAURANTE</t>
        </is>
      </c>
      <c r="J29" s="41" t="n">
        <v>6</v>
      </c>
      <c r="K29" s="41" t="n">
        <v>0</v>
      </c>
      <c r="L29" s="41" t="n">
        <v>0</v>
      </c>
      <c r="M29" s="41" t="n">
        <v>6</v>
      </c>
      <c r="N29" s="41" t="n">
        <v>6</v>
      </c>
      <c r="O29" s="41" t="n">
        <v>0</v>
      </c>
      <c r="P29" t="inlineStr">
        <is>
          <t>Abril 2026 PERU.xlsx</t>
        </is>
      </c>
      <c r="Q29" t="inlineStr">
        <is>
          <t>Fila 65</t>
        </is>
      </c>
      <c r="R29" t="inlineStr">
        <is>
          <t>Alta</t>
        </is>
      </c>
      <c r="S29" t="inlineStr">
        <is>
          <t>NO</t>
        </is>
      </c>
      <c r="T29" t="inlineStr">
        <is>
          <t>Viajes y alimentación comercial</t>
        </is>
      </c>
    </row>
    <row r="30">
      <c r="A30" t="inlineStr">
        <is>
          <t>2026-04</t>
        </is>
      </c>
      <c r="B30" t="inlineStr">
        <is>
          <t>Peru</t>
        </is>
      </c>
      <c r="C30" t="inlineStr">
        <is>
          <t>PERU</t>
        </is>
      </c>
      <c r="D30" t="inlineStr">
        <is>
          <t>PEN</t>
        </is>
      </c>
      <c r="E30" t="inlineStr">
        <is>
          <t>PL-S-040</t>
        </is>
      </c>
      <c r="F30" t="inlineStr">
        <is>
          <t>Gastos de ventas</t>
        </is>
      </c>
      <c r="G30" t="inlineStr">
        <is>
          <t>Viajes comerciales</t>
        </is>
      </c>
      <c r="H30" t="inlineStr">
        <is>
          <t>Alojamiento y manutención</t>
        </is>
      </c>
      <c r="I30" t="inlineStr">
        <is>
          <t>SERVICIO DE RESTAURANTE</t>
        </is>
      </c>
      <c r="J30" s="41" t="n">
        <v>0</v>
      </c>
      <c r="K30" s="41" t="n">
        <v>226.33</v>
      </c>
      <c r="L30" s="41" t="n">
        <v>0</v>
      </c>
      <c r="M30" s="41" t="n">
        <v>226.33</v>
      </c>
      <c r="N30" s="41" t="n">
        <v>226.33</v>
      </c>
      <c r="O30" s="41" t="n">
        <v>226.33</v>
      </c>
      <c r="P30" t="inlineStr">
        <is>
          <t>Abril 2026 PERU.xlsx</t>
        </is>
      </c>
      <c r="Q30" t="inlineStr">
        <is>
          <t>Fila 66</t>
        </is>
      </c>
      <c r="R30" t="inlineStr">
        <is>
          <t>Alta</t>
        </is>
      </c>
      <c r="S30" t="inlineStr">
        <is>
          <t>NO</t>
        </is>
      </c>
      <c r="T30" t="inlineStr">
        <is>
          <t>Viajes y alimentación comercial</t>
        </is>
      </c>
    </row>
    <row r="31">
      <c r="A31" t="inlineStr">
        <is>
          <t>2026-04</t>
        </is>
      </c>
      <c r="B31" t="inlineStr">
        <is>
          <t>Peru</t>
        </is>
      </c>
      <c r="C31" t="inlineStr">
        <is>
          <t>PERU</t>
        </is>
      </c>
      <c r="D31" t="inlineStr">
        <is>
          <t>PEN</t>
        </is>
      </c>
      <c r="E31" t="inlineStr">
        <is>
          <t>PL-S-040</t>
        </is>
      </c>
      <c r="F31" t="inlineStr">
        <is>
          <t>Gastos de ventas</t>
        </is>
      </c>
      <c r="G31" t="inlineStr">
        <is>
          <t>Viajes comerciales</t>
        </is>
      </c>
      <c r="H31" t="inlineStr">
        <is>
          <t>Alojamiento y manutención</t>
        </is>
      </c>
      <c r="I31" t="inlineStr">
        <is>
          <t>SERVICIO DE RESTAURANTE</t>
        </is>
      </c>
      <c r="J31" s="41" t="n">
        <v>280</v>
      </c>
      <c r="K31" s="41" t="n">
        <v>106.7</v>
      </c>
      <c r="L31" s="41" t="n">
        <v>0</v>
      </c>
      <c r="M31" s="41" t="n">
        <v>386.7</v>
      </c>
      <c r="N31" s="41" t="n">
        <v>386.7</v>
      </c>
      <c r="O31" s="41" t="n">
        <v>106.7</v>
      </c>
      <c r="P31" t="inlineStr">
        <is>
          <t>Abril 2026 PERU.xlsx</t>
        </is>
      </c>
      <c r="Q31" t="inlineStr">
        <is>
          <t>Fila 67</t>
        </is>
      </c>
      <c r="R31" t="inlineStr">
        <is>
          <t>Alta</t>
        </is>
      </c>
      <c r="S31" t="inlineStr">
        <is>
          <t>NO</t>
        </is>
      </c>
      <c r="T31" t="inlineStr">
        <is>
          <t>Viajes y alimentación comercial</t>
        </is>
      </c>
    </row>
    <row r="32">
      <c r="A32" t="inlineStr">
        <is>
          <t>2026-04</t>
        </is>
      </c>
      <c r="B32" t="inlineStr">
        <is>
          <t>Peru</t>
        </is>
      </c>
      <c r="C32" t="inlineStr">
        <is>
          <t>PERU</t>
        </is>
      </c>
      <c r="D32" t="inlineStr">
        <is>
          <t>PEN</t>
        </is>
      </c>
      <c r="E32" t="inlineStr">
        <is>
          <t>PL-S-040</t>
        </is>
      </c>
      <c r="F32" t="inlineStr">
        <is>
          <t>Gastos de ventas</t>
        </is>
      </c>
      <c r="G32" t="inlineStr">
        <is>
          <t>Viajes comerciales</t>
        </is>
      </c>
      <c r="H32" t="inlineStr">
        <is>
          <t>Alojamiento y manutención</t>
        </is>
      </c>
      <c r="I32" t="inlineStr">
        <is>
          <t>SERVICIO DE RESTAURANTE</t>
        </is>
      </c>
      <c r="J32" s="41" t="n">
        <v>0</v>
      </c>
      <c r="K32" s="41" t="n">
        <v>150.72</v>
      </c>
      <c r="L32" s="41" t="n">
        <v>0</v>
      </c>
      <c r="M32" s="41" t="n">
        <v>150.72</v>
      </c>
      <c r="N32" s="41" t="n">
        <v>150.72</v>
      </c>
      <c r="O32" s="41" t="n">
        <v>150.72</v>
      </c>
      <c r="P32" t="inlineStr">
        <is>
          <t>Abril 2026 PERU.xlsx</t>
        </is>
      </c>
      <c r="Q32" t="inlineStr">
        <is>
          <t>Fila 68</t>
        </is>
      </c>
      <c r="R32" t="inlineStr">
        <is>
          <t>Alta</t>
        </is>
      </c>
      <c r="S32" t="inlineStr">
        <is>
          <t>NO</t>
        </is>
      </c>
      <c r="T32" t="inlineStr">
        <is>
          <t>Viajes y alimentación comercial</t>
        </is>
      </c>
    </row>
    <row r="33">
      <c r="A33" t="inlineStr">
        <is>
          <t>2026-04</t>
        </is>
      </c>
      <c r="B33" t="inlineStr">
        <is>
          <t>Peru</t>
        </is>
      </c>
      <c r="C33" t="inlineStr">
        <is>
          <t>PERU</t>
        </is>
      </c>
      <c r="D33" t="inlineStr">
        <is>
          <t>PEN</t>
        </is>
      </c>
      <c r="E33" t="inlineStr">
        <is>
          <t>PL-S-040</t>
        </is>
      </c>
      <c r="F33" t="inlineStr">
        <is>
          <t>Gastos de ventas</t>
        </is>
      </c>
      <c r="G33" t="inlineStr">
        <is>
          <t>Viajes comerciales</t>
        </is>
      </c>
      <c r="H33" t="inlineStr">
        <is>
          <t>Alojamiento y manutención</t>
        </is>
      </c>
      <c r="I33" t="inlineStr">
        <is>
          <t>SERVICIO DE RESTAURANTE</t>
        </is>
      </c>
      <c r="J33" s="41" t="n">
        <v>24</v>
      </c>
      <c r="K33" s="41" t="n">
        <v>0</v>
      </c>
      <c r="L33" s="41" t="n">
        <v>0</v>
      </c>
      <c r="M33" s="41" t="n">
        <v>24</v>
      </c>
      <c r="N33" s="41" t="n">
        <v>24</v>
      </c>
      <c r="O33" s="41" t="n">
        <v>0</v>
      </c>
      <c r="P33" t="inlineStr">
        <is>
          <t>Abril 2026 PERU.xlsx</t>
        </is>
      </c>
      <c r="Q33" t="inlineStr">
        <is>
          <t>Fila 69</t>
        </is>
      </c>
      <c r="R33" t="inlineStr">
        <is>
          <t>Alta</t>
        </is>
      </c>
      <c r="S33" t="inlineStr">
        <is>
          <t>NO</t>
        </is>
      </c>
      <c r="T33" t="inlineStr">
        <is>
          <t>Viajes y alimentación comercial</t>
        </is>
      </c>
    </row>
    <row r="34">
      <c r="A34" t="inlineStr">
        <is>
          <t>2026-04</t>
        </is>
      </c>
      <c r="B34" t="inlineStr">
        <is>
          <t>Peru</t>
        </is>
      </c>
      <c r="C34" t="inlineStr">
        <is>
          <t>PERU</t>
        </is>
      </c>
      <c r="D34" t="inlineStr">
        <is>
          <t>PEN</t>
        </is>
      </c>
      <c r="E34" t="inlineStr">
        <is>
          <t>PL-S-040</t>
        </is>
      </c>
      <c r="F34" t="inlineStr">
        <is>
          <t>Gastos de ventas</t>
        </is>
      </c>
      <c r="G34" t="inlineStr">
        <is>
          <t>Viajes comerciales</t>
        </is>
      </c>
      <c r="H34" t="inlineStr">
        <is>
          <t>Alojamiento y manutención</t>
        </is>
      </c>
      <c r="I34" t="inlineStr">
        <is>
          <t>SERVICIO DE RESTAURANTE</t>
        </is>
      </c>
      <c r="J34" s="41" t="n">
        <v>24</v>
      </c>
      <c r="K34" s="41" t="n">
        <v>0</v>
      </c>
      <c r="L34" s="41" t="n">
        <v>0</v>
      </c>
      <c r="M34" s="41" t="n">
        <v>24</v>
      </c>
      <c r="N34" s="41" t="n">
        <v>24</v>
      </c>
      <c r="O34" s="41" t="n">
        <v>0</v>
      </c>
      <c r="P34" t="inlineStr">
        <is>
          <t>Abril 2026 PERU.xlsx</t>
        </is>
      </c>
      <c r="Q34" t="inlineStr">
        <is>
          <t>Fila 70</t>
        </is>
      </c>
      <c r="R34" t="inlineStr">
        <is>
          <t>Alta</t>
        </is>
      </c>
      <c r="S34" t="inlineStr">
        <is>
          <t>NO</t>
        </is>
      </c>
      <c r="T34" t="inlineStr">
        <is>
          <t>Viajes y alimentación comercial</t>
        </is>
      </c>
    </row>
    <row r="35">
      <c r="A35" t="inlineStr">
        <is>
          <t>2026-04</t>
        </is>
      </c>
      <c r="B35" t="inlineStr">
        <is>
          <t>Peru</t>
        </is>
      </c>
      <c r="C35" t="inlineStr">
        <is>
          <t>PERU</t>
        </is>
      </c>
      <c r="D35" t="inlineStr">
        <is>
          <t>PEN</t>
        </is>
      </c>
      <c r="E35" t="inlineStr">
        <is>
          <t>PL-S-050</t>
        </is>
      </c>
      <c r="F35" t="inlineStr">
        <is>
          <t>Gastos de ventas</t>
        </is>
      </c>
      <c r="G35" t="inlineStr">
        <is>
          <t>Transporte comercial</t>
        </is>
      </c>
      <c r="H35" t="inlineStr">
        <is>
          <t>Taxis y buses</t>
        </is>
      </c>
      <c r="I35" t="inlineStr">
        <is>
          <t>TAXIS Y BUSES</t>
        </is>
      </c>
      <c r="J35" s="41" t="n">
        <v>0</v>
      </c>
      <c r="K35" s="41" t="n">
        <v>78</v>
      </c>
      <c r="L35" s="41" t="n">
        <v>0</v>
      </c>
      <c r="M35" s="41" t="n">
        <v>78</v>
      </c>
      <c r="N35" s="41" t="n">
        <v>78</v>
      </c>
      <c r="O35" s="41" t="n">
        <v>78</v>
      </c>
      <c r="P35" t="inlineStr">
        <is>
          <t>Abril 2026 PERU.xlsx</t>
        </is>
      </c>
      <c r="Q35" t="inlineStr">
        <is>
          <t>Fila 73</t>
        </is>
      </c>
      <c r="R35" t="inlineStr">
        <is>
          <t>Alta</t>
        </is>
      </c>
      <c r="S35" t="inlineStr">
        <is>
          <t>NO</t>
        </is>
      </c>
      <c r="T35" t="inlineStr">
        <is>
          <t>Transporte local comercial</t>
        </is>
      </c>
    </row>
    <row r="36">
      <c r="A36" t="inlineStr">
        <is>
          <t>2026-04</t>
        </is>
      </c>
      <c r="B36" t="inlineStr">
        <is>
          <t>Peru</t>
        </is>
      </c>
      <c r="C36" t="inlineStr">
        <is>
          <t>PERU</t>
        </is>
      </c>
      <c r="D36" t="inlineStr">
        <is>
          <t>PEN</t>
        </is>
      </c>
      <c r="E36" t="inlineStr">
        <is>
          <t>PL-S-060</t>
        </is>
      </c>
      <c r="F36" t="inlineStr">
        <is>
          <t>Gastos de ventas</t>
        </is>
      </c>
      <c r="G36" t="inlineStr">
        <is>
          <t>Otros gastos comerciales</t>
        </is>
      </c>
      <c r="H36" t="inlineStr">
        <is>
          <t>Otros</t>
        </is>
      </c>
      <c r="I36" t="inlineStr">
        <is>
          <t>MEDICAMENTOS</t>
        </is>
      </c>
      <c r="J36" s="41" t="n">
        <v>1.9</v>
      </c>
      <c r="K36" s="41" t="n">
        <v>0</v>
      </c>
      <c r="L36" s="41" t="n">
        <v>0</v>
      </c>
      <c r="M36" s="41" t="n">
        <v>1.9</v>
      </c>
      <c r="N36" s="41" t="n">
        <v>1.9</v>
      </c>
      <c r="O36" s="41" t="n">
        <v>0</v>
      </c>
      <c r="P36" t="inlineStr">
        <is>
          <t>Abril 2026 PERU.xlsx</t>
        </is>
      </c>
      <c r="Q36" t="inlineStr">
        <is>
          <t>Fila 75</t>
        </is>
      </c>
      <c r="R36" t="inlineStr">
        <is>
          <t>Media</t>
        </is>
      </c>
      <c r="S36" t="inlineStr">
        <is>
          <t>SI</t>
        </is>
      </c>
      <c r="T36" t="inlineStr">
        <is>
          <t>Cuenta genérica de ventas</t>
        </is>
      </c>
    </row>
    <row r="37">
      <c r="A37" t="inlineStr">
        <is>
          <t>2026-04</t>
        </is>
      </c>
      <c r="B37" t="inlineStr">
        <is>
          <t>Peru</t>
        </is>
      </c>
      <c r="C37" t="inlineStr">
        <is>
          <t>PERU</t>
        </is>
      </c>
      <c r="D37" t="inlineStr">
        <is>
          <t>PEN</t>
        </is>
      </c>
      <c r="E37" t="inlineStr">
        <is>
          <t>PL-F-010</t>
        </is>
      </c>
      <c r="F37" t="inlineStr">
        <is>
          <t>Gastos financieros</t>
        </is>
      </c>
      <c r="G37" t="inlineStr">
        <is>
          <t>Gastos financieros</t>
        </is>
      </c>
      <c r="H37" t="inlineStr">
        <is>
          <t>Gastos bancarios</t>
        </is>
      </c>
      <c r="I37" t="inlineStr">
        <is>
          <t>GASTOS BANCARIOS</t>
        </is>
      </c>
      <c r="J37" s="41" t="n">
        <v>33.06</v>
      </c>
      <c r="K37" s="41" t="n">
        <v>11</v>
      </c>
      <c r="L37" s="41" t="n">
        <v>0</v>
      </c>
      <c r="M37" s="41" t="n">
        <v>44.06</v>
      </c>
      <c r="N37" s="41" t="n">
        <v>44.06</v>
      </c>
      <c r="O37" s="41" t="n">
        <v>11</v>
      </c>
      <c r="P37" t="inlineStr">
        <is>
          <t>Abril 2026 PERU.xlsx</t>
        </is>
      </c>
      <c r="Q37" t="inlineStr">
        <is>
          <t>Fila 78</t>
        </is>
      </c>
      <c r="R37" t="inlineStr">
        <is>
          <t>Alta</t>
        </is>
      </c>
      <c r="S37" t="inlineStr">
        <is>
          <t>NO</t>
        </is>
      </c>
      <c r="T37" t="inlineStr">
        <is>
          <t>Costo financiero bancario</t>
        </is>
      </c>
    </row>
    <row r="38">
      <c r="A38" t="inlineStr">
        <is>
          <t>2026-04</t>
        </is>
      </c>
      <c r="B38" t="inlineStr">
        <is>
          <t>Peru</t>
        </is>
      </c>
      <c r="C38" t="inlineStr">
        <is>
          <t>PERU</t>
        </is>
      </c>
      <c r="D38" t="inlineStr">
        <is>
          <t>PEN</t>
        </is>
      </c>
      <c r="E38" t="inlineStr">
        <is>
          <t>PL-F-010</t>
        </is>
      </c>
      <c r="F38" t="inlineStr">
        <is>
          <t>Gastos financieros</t>
        </is>
      </c>
      <c r="G38" t="inlineStr">
        <is>
          <t>Gastos financieros</t>
        </is>
      </c>
      <c r="H38" t="inlineStr">
        <is>
          <t>Gastos bancarios</t>
        </is>
      </c>
      <c r="I38" t="inlineStr">
        <is>
          <t>IVA</t>
        </is>
      </c>
      <c r="J38" s="41" t="n">
        <v>5.2</v>
      </c>
      <c r="K38" s="41" t="n">
        <v>0.35</v>
      </c>
      <c r="L38" s="41" t="n">
        <v>0</v>
      </c>
      <c r="M38" s="41" t="n">
        <v>5.55</v>
      </c>
      <c r="N38" s="41" t="n">
        <v>5.55</v>
      </c>
      <c r="O38" s="41" t="n">
        <v>0.35</v>
      </c>
      <c r="P38" t="inlineStr">
        <is>
          <t>Abril 2026 PERU.xlsx</t>
        </is>
      </c>
      <c r="Q38" t="inlineStr">
        <is>
          <t>Fila 79</t>
        </is>
      </c>
      <c r="R38" t="inlineStr">
        <is>
          <t>Alta</t>
        </is>
      </c>
      <c r="S38" t="inlineStr">
        <is>
          <t>NO</t>
        </is>
      </c>
      <c r="T38" t="inlineStr">
        <is>
          <t>Costo financiero bancario</t>
        </is>
      </c>
    </row>
    <row r="39">
      <c r="A39" t="inlineStr">
        <is>
          <t>2026-04</t>
        </is>
      </c>
      <c r="B39" t="inlineStr">
        <is>
          <t>Peru</t>
        </is>
      </c>
      <c r="C39" t="inlineStr">
        <is>
          <t>PERU</t>
        </is>
      </c>
      <c r="D39" t="inlineStr">
        <is>
          <t>PEN</t>
        </is>
      </c>
      <c r="E39" t="inlineStr">
        <is>
          <t>PL-F-010</t>
        </is>
      </c>
      <c r="F39" t="inlineStr">
        <is>
          <t>Gastos financieros</t>
        </is>
      </c>
      <c r="G39" t="inlineStr">
        <is>
          <t>Gastos financieros</t>
        </is>
      </c>
      <c r="H39" t="inlineStr">
        <is>
          <t>Gastos bancarios</t>
        </is>
      </c>
      <c r="I39" t="inlineStr">
        <is>
          <t>CUOTA MANEJO</t>
        </is>
      </c>
      <c r="J39" s="41" t="n">
        <v>240</v>
      </c>
      <c r="K39" s="41" t="n">
        <v>80</v>
      </c>
      <c r="L39" s="41" t="n">
        <v>0</v>
      </c>
      <c r="M39" s="41" t="n">
        <v>320</v>
      </c>
      <c r="N39" s="41" t="n">
        <v>320</v>
      </c>
      <c r="O39" s="41" t="n">
        <v>80</v>
      </c>
      <c r="P39" t="inlineStr">
        <is>
          <t>Abril 2026 PERU.xlsx</t>
        </is>
      </c>
      <c r="Q39" t="inlineStr">
        <is>
          <t>Fila 80</t>
        </is>
      </c>
      <c r="R39" t="inlineStr">
        <is>
          <t>Alta</t>
        </is>
      </c>
      <c r="S39" t="inlineStr">
        <is>
          <t>NO</t>
        </is>
      </c>
      <c r="T39" t="inlineStr">
        <is>
          <t>Costo financiero bancario</t>
        </is>
      </c>
    </row>
    <row r="40">
      <c r="A40" t="inlineStr">
        <is>
          <t>2026-04</t>
        </is>
      </c>
      <c r="B40" t="inlineStr">
        <is>
          <t>Estados Unidos</t>
        </is>
      </c>
      <c r="C40" t="inlineStr">
        <is>
          <t>USA</t>
        </is>
      </c>
      <c r="D40" t="inlineStr">
        <is>
          <t>USD</t>
        </is>
      </c>
      <c r="E40" t="inlineStr">
        <is>
          <t>PL-R-010</t>
        </is>
      </c>
      <c r="F40" t="inlineStr">
        <is>
          <t>Ingresos operacionales</t>
        </is>
      </c>
      <c r="G40" t="inlineStr">
        <is>
          <t>Ingresos por servicios</t>
        </is>
      </c>
      <c r="H40" t="inlineStr">
        <is>
          <t>Software y agendamiento</t>
        </is>
      </c>
      <c r="I40" t="inlineStr">
        <is>
          <t>PRESTADORA DE SERVICIOS DE SALUD PREVENTIS SA</t>
        </is>
      </c>
      <c r="J40" s="41" t="n">
        <v>-10352.35</v>
      </c>
      <c r="K40" s="41" t="n">
        <v>0</v>
      </c>
      <c r="L40" s="41" t="n">
        <v>5541</v>
      </c>
      <c r="M40" s="41" t="n">
        <v>-15893.35</v>
      </c>
      <c r="N40" s="41" t="n">
        <v>15893.35</v>
      </c>
      <c r="O40" s="41" t="n">
        <v>5541</v>
      </c>
      <c r="P40" t="inlineStr">
        <is>
          <t>Abril 2026 USA.xlsx</t>
        </is>
      </c>
      <c r="Q40" t="inlineStr">
        <is>
          <t>Fila 59</t>
        </is>
      </c>
      <c r="R40" t="inlineStr">
        <is>
          <t>Alta</t>
        </is>
      </c>
      <c r="S40" t="inlineStr">
        <is>
          <t>NO</t>
        </is>
      </c>
      <c r="T40" t="inlineStr">
        <is>
          <t>Ingreso operacional principal</t>
        </is>
      </c>
    </row>
    <row r="41">
      <c r="A41" t="inlineStr">
        <is>
          <t>2026-04</t>
        </is>
      </c>
      <c r="B41" t="inlineStr">
        <is>
          <t>Estados Unidos</t>
        </is>
      </c>
      <c r="C41" t="inlineStr">
        <is>
          <t>USA</t>
        </is>
      </c>
      <c r="D41" t="inlineStr">
        <is>
          <t>USD</t>
        </is>
      </c>
      <c r="E41" t="inlineStr">
        <is>
          <t>PL-R-010</t>
        </is>
      </c>
      <c r="F41" t="inlineStr">
        <is>
          <t>Ingresos operacionales</t>
        </is>
      </c>
      <c r="G41" t="inlineStr">
        <is>
          <t>Ingresos por servicios</t>
        </is>
      </c>
      <c r="H41" t="inlineStr">
        <is>
          <t>Software y agendamiento</t>
        </is>
      </c>
      <c r="I41" t="inlineStr">
        <is>
          <t>SERVICIOS HOSPITALARIOS BRISAS SA</t>
        </is>
      </c>
      <c r="J41" s="41" t="n">
        <v>-600</v>
      </c>
      <c r="K41" s="41" t="n">
        <v>0</v>
      </c>
      <c r="L41" s="41" t="n">
        <v>300</v>
      </c>
      <c r="M41" s="41" t="n">
        <v>-900</v>
      </c>
      <c r="N41" s="41" t="n">
        <v>900</v>
      </c>
      <c r="O41" s="41" t="n">
        <v>300</v>
      </c>
      <c r="P41" t="inlineStr">
        <is>
          <t>Abril 2026 USA.xlsx</t>
        </is>
      </c>
      <c r="Q41" t="inlineStr">
        <is>
          <t>Fila 60</t>
        </is>
      </c>
      <c r="R41" t="inlineStr">
        <is>
          <t>Alta</t>
        </is>
      </c>
      <c r="S41" t="inlineStr">
        <is>
          <t>NO</t>
        </is>
      </c>
      <c r="T41" t="inlineStr">
        <is>
          <t>Ingreso operacional principal</t>
        </is>
      </c>
    </row>
    <row r="42">
      <c r="A42" t="inlineStr">
        <is>
          <t>2026-04</t>
        </is>
      </c>
      <c r="B42" t="inlineStr">
        <is>
          <t>Estados Unidos</t>
        </is>
      </c>
      <c r="C42" t="inlineStr">
        <is>
          <t>USA</t>
        </is>
      </c>
      <c r="D42" t="inlineStr">
        <is>
          <t>USD</t>
        </is>
      </c>
      <c r="E42" t="inlineStr">
        <is>
          <t>PL-R-010</t>
        </is>
      </c>
      <c r="F42" t="inlineStr">
        <is>
          <t>Ingresos operacionales</t>
        </is>
      </c>
      <c r="G42" t="inlineStr">
        <is>
          <t>Ingresos por servicios</t>
        </is>
      </c>
      <c r="H42" t="inlineStr">
        <is>
          <t>Software y agendamiento</t>
        </is>
      </c>
      <c r="I42" t="inlineStr">
        <is>
          <t>ACOSTA BORBON ALEJANDRO</t>
        </is>
      </c>
      <c r="J42" s="41" t="n">
        <v>-217</v>
      </c>
      <c r="K42" s="41" t="n">
        <v>0</v>
      </c>
      <c r="L42" s="41" t="n">
        <v>0</v>
      </c>
      <c r="M42" s="41" t="n">
        <v>-217</v>
      </c>
      <c r="N42" s="41" t="n">
        <v>217</v>
      </c>
      <c r="O42" s="41" t="n">
        <v>0</v>
      </c>
      <c r="P42" t="inlineStr">
        <is>
          <t>Abril 2026 USA.xlsx</t>
        </is>
      </c>
      <c r="Q42" t="inlineStr">
        <is>
          <t>Fila 61</t>
        </is>
      </c>
      <c r="R42" t="inlineStr">
        <is>
          <t>Alta</t>
        </is>
      </c>
      <c r="S42" t="inlineStr">
        <is>
          <t>NO</t>
        </is>
      </c>
      <c r="T42" t="inlineStr">
        <is>
          <t>Ingreso operacional principal</t>
        </is>
      </c>
    </row>
    <row r="43">
      <c r="A43" t="inlineStr">
        <is>
          <t>2026-04</t>
        </is>
      </c>
      <c r="B43" t="inlineStr">
        <is>
          <t>Estados Unidos</t>
        </is>
      </c>
      <c r="C43" t="inlineStr">
        <is>
          <t>USA</t>
        </is>
      </c>
      <c r="D43" t="inlineStr">
        <is>
          <t>USD</t>
        </is>
      </c>
      <c r="E43" t="inlineStr">
        <is>
          <t>PL-R-010</t>
        </is>
      </c>
      <c r="F43" t="inlineStr">
        <is>
          <t>Ingresos operacionales</t>
        </is>
      </c>
      <c r="G43" t="inlineStr">
        <is>
          <t>Ingresos por servicios</t>
        </is>
      </c>
      <c r="H43" t="inlineStr">
        <is>
          <t>Software y agendamiento</t>
        </is>
      </c>
      <c r="I43" t="inlineStr">
        <is>
          <t>Emmely Esther Coronado Peguero</t>
        </is>
      </c>
      <c r="J43" s="41" t="n">
        <v>-289.35</v>
      </c>
      <c r="K43" s="41" t="n">
        <v>0</v>
      </c>
      <c r="L43" s="41" t="n">
        <v>96.45</v>
      </c>
      <c r="M43" s="41" t="n">
        <v>-385.8</v>
      </c>
      <c r="N43" s="41" t="n">
        <v>385.8</v>
      </c>
      <c r="O43" s="41" t="n">
        <v>96.45</v>
      </c>
      <c r="P43" t="inlineStr">
        <is>
          <t>Abril 2026 USA.xlsx</t>
        </is>
      </c>
      <c r="Q43" t="inlineStr">
        <is>
          <t>Fila 62</t>
        </is>
      </c>
      <c r="R43" t="inlineStr">
        <is>
          <t>Alta</t>
        </is>
      </c>
      <c r="S43" t="inlineStr">
        <is>
          <t>NO</t>
        </is>
      </c>
      <c r="T43" t="inlineStr">
        <is>
          <t>Ingreso operacional principal</t>
        </is>
      </c>
    </row>
    <row r="44">
      <c r="A44" t="inlineStr">
        <is>
          <t>2026-04</t>
        </is>
      </c>
      <c r="B44" t="inlineStr">
        <is>
          <t>Estados Unidos</t>
        </is>
      </c>
      <c r="C44" t="inlineStr">
        <is>
          <t>USA</t>
        </is>
      </c>
      <c r="D44" t="inlineStr">
        <is>
          <t>USD</t>
        </is>
      </c>
      <c r="E44" t="inlineStr">
        <is>
          <t>PL-R-010</t>
        </is>
      </c>
      <c r="F44" t="inlineStr">
        <is>
          <t>Ingresos operacionales</t>
        </is>
      </c>
      <c r="G44" t="inlineStr">
        <is>
          <t>Ingresos por servicios</t>
        </is>
      </c>
      <c r="H44" t="inlineStr">
        <is>
          <t>Software y agendamiento</t>
        </is>
      </c>
      <c r="I44" t="inlineStr">
        <is>
          <t>Fundacion para la Confianza</t>
        </is>
      </c>
      <c r="J44" s="41" t="n">
        <v>-165</v>
      </c>
      <c r="K44" s="41" t="n">
        <v>0</v>
      </c>
      <c r="L44" s="41" t="n">
        <v>55</v>
      </c>
      <c r="M44" s="41" t="n">
        <v>-220</v>
      </c>
      <c r="N44" s="41" t="n">
        <v>220</v>
      </c>
      <c r="O44" s="41" t="n">
        <v>55</v>
      </c>
      <c r="P44" t="inlineStr">
        <is>
          <t>Abril 2026 USA.xlsx</t>
        </is>
      </c>
      <c r="Q44" t="inlineStr">
        <is>
          <t>Fila 63</t>
        </is>
      </c>
      <c r="R44" t="inlineStr">
        <is>
          <t>Alta</t>
        </is>
      </c>
      <c r="S44" t="inlineStr">
        <is>
          <t>NO</t>
        </is>
      </c>
      <c r="T44" t="inlineStr">
        <is>
          <t>Ingreso operacional principal</t>
        </is>
      </c>
    </row>
    <row r="45">
      <c r="A45" t="inlineStr">
        <is>
          <t>2026-04</t>
        </is>
      </c>
      <c r="B45" t="inlineStr">
        <is>
          <t>Estados Unidos</t>
        </is>
      </c>
      <c r="C45" t="inlineStr">
        <is>
          <t>USA</t>
        </is>
      </c>
      <c r="D45" t="inlineStr">
        <is>
          <t>USD</t>
        </is>
      </c>
      <c r="E45" t="inlineStr">
        <is>
          <t>PL-NO-010</t>
        </is>
      </c>
      <c r="F45" t="inlineStr">
        <is>
          <t>Ingresos no operacionales</t>
        </is>
      </c>
      <c r="G45" t="inlineStr">
        <is>
          <t>Ingresos financieros</t>
        </is>
      </c>
      <c r="H45" t="inlineStr">
        <is>
          <t>Intereses</t>
        </is>
      </c>
      <c r="I45" t="inlineStr">
        <is>
          <t>PRESTADORA DE SERVICIOS DE SALUD PREVENTIS SA</t>
        </is>
      </c>
      <c r="J45" s="41" t="n">
        <v>-0.35</v>
      </c>
      <c r="K45" s="41" t="n">
        <v>0</v>
      </c>
      <c r="L45" s="41" t="n">
        <v>0</v>
      </c>
      <c r="M45" s="41" t="n">
        <v>-0.35</v>
      </c>
      <c r="N45" s="41" t="n">
        <v>0.35</v>
      </c>
      <c r="O45" s="41" t="n">
        <v>0</v>
      </c>
      <c r="P45" t="inlineStr">
        <is>
          <t>Abril 2026 USA.xlsx</t>
        </is>
      </c>
      <c r="Q45" t="inlineStr">
        <is>
          <t>Fila 67</t>
        </is>
      </c>
      <c r="R45" t="inlineStr">
        <is>
          <t>Alta</t>
        </is>
      </c>
      <c r="S45" t="inlineStr">
        <is>
          <t>NO</t>
        </is>
      </c>
      <c r="T45" t="inlineStr">
        <is>
          <t>Ingreso financiero</t>
        </is>
      </c>
    </row>
    <row r="46">
      <c r="A46" t="inlineStr">
        <is>
          <t>2026-04</t>
        </is>
      </c>
      <c r="B46" t="inlineStr">
        <is>
          <t>Estados Unidos</t>
        </is>
      </c>
      <c r="C46" t="inlineStr">
        <is>
          <t>USA</t>
        </is>
      </c>
      <c r="D46" t="inlineStr">
        <is>
          <t>USD</t>
        </is>
      </c>
      <c r="E46" t="inlineStr">
        <is>
          <t>PL-NO-010</t>
        </is>
      </c>
      <c r="F46" t="inlineStr">
        <is>
          <t>Ingresos no operacionales</t>
        </is>
      </c>
      <c r="G46" t="inlineStr">
        <is>
          <t>Ingresos financieros</t>
        </is>
      </c>
      <c r="H46" t="inlineStr">
        <is>
          <t>Intereses</t>
        </is>
      </c>
      <c r="I46" t="inlineStr">
        <is>
          <t>SERVICIOS HOSPITALARIOS BRISAS SA</t>
        </is>
      </c>
      <c r="J46" s="41" t="n">
        <v>-83</v>
      </c>
      <c r="K46" s="41" t="n">
        <v>0</v>
      </c>
      <c r="L46" s="41" t="n">
        <v>0</v>
      </c>
      <c r="M46" s="41" t="n">
        <v>-83</v>
      </c>
      <c r="N46" s="41" t="n">
        <v>83</v>
      </c>
      <c r="O46" s="41" t="n">
        <v>0</v>
      </c>
      <c r="P46" t="inlineStr">
        <is>
          <t>Abril 2026 USA.xlsx</t>
        </is>
      </c>
      <c r="Q46" t="inlineStr">
        <is>
          <t>Fila 68</t>
        </is>
      </c>
      <c r="R46" t="inlineStr">
        <is>
          <t>Alta</t>
        </is>
      </c>
      <c r="S46" t="inlineStr">
        <is>
          <t>NO</t>
        </is>
      </c>
      <c r="T46" t="inlineStr">
        <is>
          <t>Ingreso financiero</t>
        </is>
      </c>
    </row>
    <row r="47">
      <c r="A47" t="inlineStr">
        <is>
          <t>2026-04</t>
        </is>
      </c>
      <c r="B47" t="inlineStr">
        <is>
          <t>Estados Unidos</t>
        </is>
      </c>
      <c r="C47" t="inlineStr">
        <is>
          <t>USA</t>
        </is>
      </c>
      <c r="D47" t="inlineStr">
        <is>
          <t>USD</t>
        </is>
      </c>
      <c r="E47" t="inlineStr">
        <is>
          <t>PL-NO-010</t>
        </is>
      </c>
      <c r="F47" t="inlineStr">
        <is>
          <t>Ingresos no operacionales</t>
        </is>
      </c>
      <c r="G47" t="inlineStr">
        <is>
          <t>Ingresos financieros</t>
        </is>
      </c>
      <c r="H47" t="inlineStr">
        <is>
          <t>Intereses</t>
        </is>
      </c>
      <c r="I47" t="inlineStr">
        <is>
          <t>MERCURY LLC</t>
        </is>
      </c>
      <c r="J47" s="41" t="n">
        <v>-77.59</v>
      </c>
      <c r="K47" s="41" t="n">
        <v>0</v>
      </c>
      <c r="L47" s="41" t="n">
        <v>51.18</v>
      </c>
      <c r="M47" s="41" t="n">
        <v>-128.77</v>
      </c>
      <c r="N47" s="41" t="n">
        <v>128.77</v>
      </c>
      <c r="O47" s="41" t="n">
        <v>51.18</v>
      </c>
      <c r="P47" t="inlineStr">
        <is>
          <t>Abril 2026 USA.xlsx</t>
        </is>
      </c>
      <c r="Q47" t="inlineStr">
        <is>
          <t>Fila 69</t>
        </is>
      </c>
      <c r="R47" t="inlineStr">
        <is>
          <t>Alta</t>
        </is>
      </c>
      <c r="S47" t="inlineStr">
        <is>
          <t>NO</t>
        </is>
      </c>
      <c r="T47" t="inlineStr">
        <is>
          <t>Ingreso financiero</t>
        </is>
      </c>
    </row>
    <row r="48">
      <c r="A48" t="inlineStr">
        <is>
          <t>2026-04</t>
        </is>
      </c>
      <c r="B48" t="inlineStr">
        <is>
          <t>Estados Unidos</t>
        </is>
      </c>
      <c r="C48" t="inlineStr">
        <is>
          <t>USA</t>
        </is>
      </c>
      <c r="D48" t="inlineStr">
        <is>
          <t>USD</t>
        </is>
      </c>
      <c r="E48" t="inlineStr">
        <is>
          <t>PL-O-010</t>
        </is>
      </c>
      <c r="F48" t="inlineStr">
        <is>
          <t>Gastos de administración</t>
        </is>
      </c>
      <c r="G48" t="inlineStr">
        <is>
          <t>Gastos de personal</t>
        </is>
      </c>
      <c r="H48" t="inlineStr">
        <is>
          <t>Sueldos</t>
        </is>
      </c>
      <c r="I48" t="inlineStr">
        <is>
          <t>Parada Zuluaga Robert Andres</t>
        </is>
      </c>
      <c r="J48" s="41" t="n">
        <v>7776.51</v>
      </c>
      <c r="K48" s="41" t="n">
        <v>2592.17</v>
      </c>
      <c r="L48" s="41" t="n">
        <v>0</v>
      </c>
      <c r="M48" s="41" t="n">
        <v>10368.68</v>
      </c>
      <c r="N48" s="41" t="n">
        <v>10368.68</v>
      </c>
      <c r="O48" s="41" t="n">
        <v>2592.17</v>
      </c>
      <c r="P48" t="inlineStr">
        <is>
          <t>Abril 2026 USA.xlsx</t>
        </is>
      </c>
      <c r="Q48" t="inlineStr">
        <is>
          <t>Fila 74</t>
        </is>
      </c>
      <c r="R48" t="inlineStr">
        <is>
          <t>Alta</t>
        </is>
      </c>
      <c r="S48" t="inlineStr">
        <is>
          <t>NO</t>
        </is>
      </c>
      <c r="T48" t="inlineStr">
        <is>
          <t>Remuneración laboral</t>
        </is>
      </c>
    </row>
    <row r="49">
      <c r="A49" t="inlineStr">
        <is>
          <t>2026-04</t>
        </is>
      </c>
      <c r="B49" t="inlineStr">
        <is>
          <t>Estados Unidos</t>
        </is>
      </c>
      <c r="C49" t="inlineStr">
        <is>
          <t>USA</t>
        </is>
      </c>
      <c r="D49" t="inlineStr">
        <is>
          <t>USD</t>
        </is>
      </c>
      <c r="E49" t="inlineStr">
        <is>
          <t>PL-O-090</t>
        </is>
      </c>
      <c r="F49" t="inlineStr">
        <is>
          <t>Gastos de administración</t>
        </is>
      </c>
      <c r="G49" t="inlineStr">
        <is>
          <t>Viajes y representación</t>
        </is>
      </c>
      <c r="H49" t="inlineStr">
        <is>
          <t>Viáticos</t>
        </is>
      </c>
      <c r="I49" t="inlineStr">
        <is>
          <t>Lyft</t>
        </is>
      </c>
      <c r="J49" s="41" t="n">
        <v>26.81</v>
      </c>
      <c r="K49" s="41" t="n">
        <v>37.98</v>
      </c>
      <c r="L49" s="41" t="n">
        <v>0</v>
      </c>
      <c r="M49" s="41" t="n">
        <v>64.79000000000001</v>
      </c>
      <c r="N49" s="41" t="n">
        <v>64.79000000000001</v>
      </c>
      <c r="O49" s="41" t="n">
        <v>37.98</v>
      </c>
      <c r="P49" t="inlineStr">
        <is>
          <t>Abril 2026 USA.xlsx</t>
        </is>
      </c>
      <c r="Q49" t="inlineStr">
        <is>
          <t>Fila 76</t>
        </is>
      </c>
      <c r="R49" t="inlineStr">
        <is>
          <t>Alta</t>
        </is>
      </c>
      <c r="S49" t="inlineStr">
        <is>
          <t>NO</t>
        </is>
      </c>
      <c r="T49" t="inlineStr">
        <is>
          <t>Viáticos administrativos</t>
        </is>
      </c>
    </row>
    <row r="50">
      <c r="A50" t="inlineStr">
        <is>
          <t>2026-04</t>
        </is>
      </c>
      <c r="B50" t="inlineStr">
        <is>
          <t>Estados Unidos</t>
        </is>
      </c>
      <c r="C50" t="inlineStr">
        <is>
          <t>USA</t>
        </is>
      </c>
      <c r="D50" t="inlineStr">
        <is>
          <t>USD</t>
        </is>
      </c>
      <c r="E50" t="inlineStr">
        <is>
          <t>PL-O-090</t>
        </is>
      </c>
      <c r="F50" t="inlineStr">
        <is>
          <t>Gastos de administración</t>
        </is>
      </c>
      <c r="G50" t="inlineStr">
        <is>
          <t>Viajes y representación</t>
        </is>
      </c>
      <c r="H50" t="inlineStr">
        <is>
          <t>Viáticos</t>
        </is>
      </c>
      <c r="I50" t="inlineStr">
        <is>
          <t>Chapola Cafe</t>
        </is>
      </c>
      <c r="J50" s="41" t="n">
        <v>35.04</v>
      </c>
      <c r="K50" s="41" t="n">
        <v>0</v>
      </c>
      <c r="L50" s="41" t="n">
        <v>0</v>
      </c>
      <c r="M50" s="41" t="n">
        <v>35.04</v>
      </c>
      <c r="N50" s="41" t="n">
        <v>35.04</v>
      </c>
      <c r="O50" s="41" t="n">
        <v>0</v>
      </c>
      <c r="P50" t="inlineStr">
        <is>
          <t>Abril 2026 USA.xlsx</t>
        </is>
      </c>
      <c r="Q50" t="inlineStr">
        <is>
          <t>Fila 77</t>
        </is>
      </c>
      <c r="R50" t="inlineStr">
        <is>
          <t>Alta</t>
        </is>
      </c>
      <c r="S50" t="inlineStr">
        <is>
          <t>NO</t>
        </is>
      </c>
      <c r="T50" t="inlineStr">
        <is>
          <t>Viáticos administrativos</t>
        </is>
      </c>
    </row>
    <row r="51">
      <c r="A51" t="inlineStr">
        <is>
          <t>2026-04</t>
        </is>
      </c>
      <c r="B51" t="inlineStr">
        <is>
          <t>Estados Unidos</t>
        </is>
      </c>
      <c r="C51" t="inlineStr">
        <is>
          <t>USA</t>
        </is>
      </c>
      <c r="D51" t="inlineStr">
        <is>
          <t>USD</t>
        </is>
      </c>
      <c r="E51" t="inlineStr">
        <is>
          <t>PL-O-090</t>
        </is>
      </c>
      <c r="F51" t="inlineStr">
        <is>
          <t>Gastos de administración</t>
        </is>
      </c>
      <c r="G51" t="inlineStr">
        <is>
          <t>Viajes y representación</t>
        </is>
      </c>
      <c r="H51" t="inlineStr">
        <is>
          <t>Viáticos</t>
        </is>
      </c>
      <c r="I51" t="inlineStr">
        <is>
          <t>Mestiza Cafe</t>
        </is>
      </c>
      <c r="J51" s="41" t="n">
        <v>0</v>
      </c>
      <c r="K51" s="41" t="n">
        <v>22.14</v>
      </c>
      <c r="L51" s="41" t="n">
        <v>0</v>
      </c>
      <c r="M51" s="41" t="n">
        <v>22.14</v>
      </c>
      <c r="N51" s="41" t="n">
        <v>22.14</v>
      </c>
      <c r="O51" s="41" t="n">
        <v>22.14</v>
      </c>
      <c r="P51" t="inlineStr">
        <is>
          <t>Abril 2026 USA.xlsx</t>
        </is>
      </c>
      <c r="Q51" t="inlineStr">
        <is>
          <t>Fila 78</t>
        </is>
      </c>
      <c r="R51" t="inlineStr">
        <is>
          <t>Alta</t>
        </is>
      </c>
      <c r="S51" t="inlineStr">
        <is>
          <t>NO</t>
        </is>
      </c>
      <c r="T51" t="inlineStr">
        <is>
          <t>Viáticos administrativos</t>
        </is>
      </c>
    </row>
    <row r="52">
      <c r="A52" t="inlineStr">
        <is>
          <t>2026-04</t>
        </is>
      </c>
      <c r="B52" t="inlineStr">
        <is>
          <t>Estados Unidos</t>
        </is>
      </c>
      <c r="C52" t="inlineStr">
        <is>
          <t>USA</t>
        </is>
      </c>
      <c r="D52" t="inlineStr">
        <is>
          <t>USD</t>
        </is>
      </c>
      <c r="E52" t="inlineStr">
        <is>
          <t>PL-O-090</t>
        </is>
      </c>
      <c r="F52" t="inlineStr">
        <is>
          <t>Gastos de administración</t>
        </is>
      </c>
      <c r="G52" t="inlineStr">
        <is>
          <t>Viajes y representación</t>
        </is>
      </c>
      <c r="H52" t="inlineStr">
        <is>
          <t>Viáticos</t>
        </is>
      </c>
      <c r="I52" t="inlineStr">
        <is>
          <t>Chapola Cafe</t>
        </is>
      </c>
      <c r="J52" s="41" t="n">
        <v>0</v>
      </c>
      <c r="K52" s="41" t="n">
        <v>13.54</v>
      </c>
      <c r="L52" s="41" t="n">
        <v>0</v>
      </c>
      <c r="M52" s="41" t="n">
        <v>13.54</v>
      </c>
      <c r="N52" s="41" t="n">
        <v>13.54</v>
      </c>
      <c r="O52" s="41" t="n">
        <v>13.54</v>
      </c>
      <c r="P52" t="inlineStr">
        <is>
          <t>Abril 2026 USA.xlsx</t>
        </is>
      </c>
      <c r="Q52" t="inlineStr">
        <is>
          <t>Fila 79</t>
        </is>
      </c>
      <c r="R52" t="inlineStr">
        <is>
          <t>Alta</t>
        </is>
      </c>
      <c r="S52" t="inlineStr">
        <is>
          <t>NO</t>
        </is>
      </c>
      <c r="T52" t="inlineStr">
        <is>
          <t>Viáticos administrativos</t>
        </is>
      </c>
    </row>
    <row r="53">
      <c r="A53" t="inlineStr">
        <is>
          <t>2026-04</t>
        </is>
      </c>
      <c r="B53" t="inlineStr">
        <is>
          <t>Estados Unidos</t>
        </is>
      </c>
      <c r="C53" t="inlineStr">
        <is>
          <t>USA</t>
        </is>
      </c>
      <c r="D53" t="inlineStr">
        <is>
          <t>USD</t>
        </is>
      </c>
      <c r="E53" t="inlineStr">
        <is>
          <t>PL-O-010</t>
        </is>
      </c>
      <c r="F53" t="inlineStr">
        <is>
          <t>Gastos de administración</t>
        </is>
      </c>
      <c r="G53" t="inlineStr">
        <is>
          <t>Gastos de personal</t>
        </is>
      </c>
      <c r="H53" t="inlineStr">
        <is>
          <t>Auxilios</t>
        </is>
      </c>
      <c r="I53" t="inlineStr">
        <is>
          <t>CAPOTE &amp; CAPOTE PA</t>
        </is>
      </c>
      <c r="J53" s="41" t="n">
        <v>7600</v>
      </c>
      <c r="K53" s="41" t="n">
        <v>0</v>
      </c>
      <c r="L53" s="41" t="n">
        <v>0</v>
      </c>
      <c r="M53" s="41" t="n">
        <v>7600</v>
      </c>
      <c r="N53" s="41" t="n">
        <v>7600</v>
      </c>
      <c r="O53" s="41" t="n">
        <v>0</v>
      </c>
      <c r="P53" t="inlineStr">
        <is>
          <t>Abril 2026 USA.xlsx</t>
        </is>
      </c>
      <c r="Q53" t="inlineStr">
        <is>
          <t>Fila 81</t>
        </is>
      </c>
      <c r="R53" t="inlineStr">
        <is>
          <t>Media</t>
        </is>
      </c>
      <c r="S53" t="inlineStr">
        <is>
          <t>SI</t>
        </is>
      </c>
      <c r="T53" t="inlineStr">
        <is>
          <t>Algunos terceros no parecen auxilios laborales; revisar soporte</t>
        </is>
      </c>
    </row>
    <row r="54">
      <c r="A54" t="inlineStr">
        <is>
          <t>2026-04</t>
        </is>
      </c>
      <c r="B54" t="inlineStr">
        <is>
          <t>Estados Unidos</t>
        </is>
      </c>
      <c r="C54" t="inlineStr">
        <is>
          <t>USA</t>
        </is>
      </c>
      <c r="D54" t="inlineStr">
        <is>
          <t>USD</t>
        </is>
      </c>
      <c r="E54" t="inlineStr">
        <is>
          <t>PL-O-010</t>
        </is>
      </c>
      <c r="F54" t="inlineStr">
        <is>
          <t>Gastos de administración</t>
        </is>
      </c>
      <c r="G54" t="inlineStr">
        <is>
          <t>Gastos de personal</t>
        </is>
      </c>
      <c r="H54" t="inlineStr">
        <is>
          <t>Dotación y suministros a trabajadores</t>
        </is>
      </c>
      <c r="I54" t="inlineStr">
        <is>
          <t>BEST BUY</t>
        </is>
      </c>
      <c r="J54" s="41" t="n">
        <v>276.06</v>
      </c>
      <c r="K54" s="41" t="n">
        <v>0</v>
      </c>
      <c r="L54" s="41" t="n">
        <v>0</v>
      </c>
      <c r="M54" s="41" t="n">
        <v>276.06</v>
      </c>
      <c r="N54" s="41" t="n">
        <v>276.06</v>
      </c>
      <c r="O54" s="41" t="n">
        <v>0</v>
      </c>
      <c r="P54" t="inlineStr">
        <is>
          <t>Abril 2026 USA.xlsx</t>
        </is>
      </c>
      <c r="Q54" t="inlineStr">
        <is>
          <t>Fila 83</t>
        </is>
      </c>
      <c r="R54" t="inlineStr">
        <is>
          <t>Alta</t>
        </is>
      </c>
      <c r="S54" t="inlineStr">
        <is>
          <t>NO</t>
        </is>
      </c>
      <c r="T54" t="inlineStr">
        <is>
          <t>Beneficios y dotación de personal</t>
        </is>
      </c>
    </row>
    <row r="55">
      <c r="A55" t="inlineStr">
        <is>
          <t>2026-04</t>
        </is>
      </c>
      <c r="B55" t="inlineStr">
        <is>
          <t>Estados Unidos</t>
        </is>
      </c>
      <c r="C55" t="inlineStr">
        <is>
          <t>USA</t>
        </is>
      </c>
      <c r="D55" t="inlineStr">
        <is>
          <t>USD</t>
        </is>
      </c>
      <c r="E55" t="inlineStr">
        <is>
          <t>PL-O-010</t>
        </is>
      </c>
      <c r="F55" t="inlineStr">
        <is>
          <t>Gastos de administración</t>
        </is>
      </c>
      <c r="G55" t="inlineStr">
        <is>
          <t>Gastos de personal</t>
        </is>
      </c>
      <c r="H55" t="inlineStr">
        <is>
          <t>Dotación y suministros a trabajadores</t>
        </is>
      </c>
      <c r="I55" t="inlineStr">
        <is>
          <t>Ross Dress for Less</t>
        </is>
      </c>
      <c r="J55" s="41" t="n">
        <v>0</v>
      </c>
      <c r="K55" s="41" t="n">
        <v>13.9</v>
      </c>
      <c r="L55" s="41" t="n">
        <v>0</v>
      </c>
      <c r="M55" s="41" t="n">
        <v>13.9</v>
      </c>
      <c r="N55" s="41" t="n">
        <v>13.9</v>
      </c>
      <c r="O55" s="41" t="n">
        <v>13.9</v>
      </c>
      <c r="P55" t="inlineStr">
        <is>
          <t>Abril 2026 USA.xlsx</t>
        </is>
      </c>
      <c r="Q55" t="inlineStr">
        <is>
          <t>Fila 84</t>
        </is>
      </c>
      <c r="R55" t="inlineStr">
        <is>
          <t>Alta</t>
        </is>
      </c>
      <c r="S55" t="inlineStr">
        <is>
          <t>NO</t>
        </is>
      </c>
      <c r="T55" t="inlineStr">
        <is>
          <t>Beneficios y dotación de personal</t>
        </is>
      </c>
    </row>
    <row r="56">
      <c r="A56" t="inlineStr">
        <is>
          <t>2026-04</t>
        </is>
      </c>
      <c r="B56" t="inlineStr">
        <is>
          <t>Estados Unidos</t>
        </is>
      </c>
      <c r="C56" t="inlineStr">
        <is>
          <t>USA</t>
        </is>
      </c>
      <c r="D56" t="inlineStr">
        <is>
          <t>USD</t>
        </is>
      </c>
      <c r="E56" t="inlineStr">
        <is>
          <t>PL-O-010</t>
        </is>
      </c>
      <c r="F56" t="inlineStr">
        <is>
          <t>Gastos de administración</t>
        </is>
      </c>
      <c r="G56" t="inlineStr">
        <is>
          <t>Gastos de personal</t>
        </is>
      </c>
      <c r="H56" t="inlineStr">
        <is>
          <t>Dotación y suministros a trabajadores</t>
        </is>
      </c>
      <c r="I56" t="inlineStr">
        <is>
          <t>Office Depot</t>
        </is>
      </c>
      <c r="J56" s="41" t="n">
        <v>0</v>
      </c>
      <c r="K56" s="41" t="n">
        <v>15.3</v>
      </c>
      <c r="L56" s="41" t="n">
        <v>0</v>
      </c>
      <c r="M56" s="41" t="n">
        <v>15.3</v>
      </c>
      <c r="N56" s="41" t="n">
        <v>15.3</v>
      </c>
      <c r="O56" s="41" t="n">
        <v>15.3</v>
      </c>
      <c r="P56" t="inlineStr">
        <is>
          <t>Abril 2026 USA.xlsx</t>
        </is>
      </c>
      <c r="Q56" t="inlineStr">
        <is>
          <t>Fila 85</t>
        </is>
      </c>
      <c r="R56" t="inlineStr">
        <is>
          <t>Alta</t>
        </is>
      </c>
      <c r="S56" t="inlineStr">
        <is>
          <t>NO</t>
        </is>
      </c>
      <c r="T56" t="inlineStr">
        <is>
          <t>Beneficios y dotación de personal</t>
        </is>
      </c>
    </row>
    <row r="57">
      <c r="A57" t="inlineStr">
        <is>
          <t>2026-04</t>
        </is>
      </c>
      <c r="B57" t="inlineStr">
        <is>
          <t>Estados Unidos</t>
        </is>
      </c>
      <c r="C57" t="inlineStr">
        <is>
          <t>USA</t>
        </is>
      </c>
      <c r="D57" t="inlineStr">
        <is>
          <t>USD</t>
        </is>
      </c>
      <c r="E57" t="inlineStr">
        <is>
          <t>PL-O-010</t>
        </is>
      </c>
      <c r="F57" t="inlineStr">
        <is>
          <t>Gastos de administración</t>
        </is>
      </c>
      <c r="G57" t="inlineStr">
        <is>
          <t>Gastos de personal</t>
        </is>
      </c>
      <c r="H57" t="inlineStr">
        <is>
          <t>Dotación y suministros a trabajadores</t>
        </is>
      </c>
      <c r="I57" t="inlineStr">
        <is>
          <t>Amazon Comp INC</t>
        </is>
      </c>
      <c r="J57" s="41" t="n">
        <v>132.38</v>
      </c>
      <c r="K57" s="41" t="n">
        <v>1374.9</v>
      </c>
      <c r="L57" s="41" t="n">
        <v>0</v>
      </c>
      <c r="M57" s="41" t="n">
        <v>1507.28</v>
      </c>
      <c r="N57" s="41" t="n">
        <v>1507.28</v>
      </c>
      <c r="O57" s="41" t="n">
        <v>1374.9</v>
      </c>
      <c r="P57" t="inlineStr">
        <is>
          <t>Abril 2026 USA.xlsx</t>
        </is>
      </c>
      <c r="Q57" t="inlineStr">
        <is>
          <t>Fila 86</t>
        </is>
      </c>
      <c r="R57" t="inlineStr">
        <is>
          <t>Alta</t>
        </is>
      </c>
      <c r="S57" t="inlineStr">
        <is>
          <t>NO</t>
        </is>
      </c>
      <c r="T57" t="inlineStr">
        <is>
          <t>Beneficios y dotación de personal</t>
        </is>
      </c>
    </row>
    <row r="58">
      <c r="A58" t="inlineStr">
        <is>
          <t>2026-04</t>
        </is>
      </c>
      <c r="B58" t="inlineStr">
        <is>
          <t>Estados Unidos</t>
        </is>
      </c>
      <c r="C58" t="inlineStr">
        <is>
          <t>USA</t>
        </is>
      </c>
      <c r="D58" t="inlineStr">
        <is>
          <t>USD</t>
        </is>
      </c>
      <c r="E58" t="inlineStr">
        <is>
          <t>PL-O-010</t>
        </is>
      </c>
      <c r="F58" t="inlineStr">
        <is>
          <t>Gastos de administración</t>
        </is>
      </c>
      <c r="G58" t="inlineStr">
        <is>
          <t>Gastos de personal</t>
        </is>
      </c>
      <c r="H58" t="inlineStr">
        <is>
          <t>Gastos médicos</t>
        </is>
      </c>
      <c r="I58" t="inlineStr">
        <is>
          <t>Oscar Insurance Company</t>
        </is>
      </c>
      <c r="J58" s="41" t="n">
        <v>122.93</v>
      </c>
      <c r="K58" s="41" t="n">
        <v>0</v>
      </c>
      <c r="L58" s="41" t="n">
        <v>0</v>
      </c>
      <c r="M58" s="41" t="n">
        <v>122.93</v>
      </c>
      <c r="N58" s="41" t="n">
        <v>122.93</v>
      </c>
      <c r="O58" s="41" t="n">
        <v>0</v>
      </c>
      <c r="P58" t="inlineStr">
        <is>
          <t>Abril 2026 USA.xlsx</t>
        </is>
      </c>
      <c r="Q58" t="inlineStr">
        <is>
          <t>Fila 88</t>
        </is>
      </c>
      <c r="R58" t="inlineStr">
        <is>
          <t>Alta</t>
        </is>
      </c>
      <c r="S58" t="inlineStr">
        <is>
          <t>NO</t>
        </is>
      </c>
      <c r="T58" t="inlineStr">
        <is>
          <t>Beneficios de salud</t>
        </is>
      </c>
    </row>
    <row r="59">
      <c r="A59" t="inlineStr">
        <is>
          <t>2026-04</t>
        </is>
      </c>
      <c r="B59" t="inlineStr">
        <is>
          <t>Estados Unidos</t>
        </is>
      </c>
      <c r="C59" t="inlineStr">
        <is>
          <t>USA</t>
        </is>
      </c>
      <c r="D59" t="inlineStr">
        <is>
          <t>USD</t>
        </is>
      </c>
      <c r="E59" t="inlineStr">
        <is>
          <t>PL-O-010</t>
        </is>
      </c>
      <c r="F59" t="inlineStr">
        <is>
          <t>Gastos de administración</t>
        </is>
      </c>
      <c r="G59" t="inlineStr">
        <is>
          <t>Gastos de personal</t>
        </is>
      </c>
      <c r="H59" t="inlineStr">
        <is>
          <t>Otros gastos de personal</t>
        </is>
      </c>
      <c r="I59" t="inlineStr">
        <is>
          <t>Parada Zuluaga Robert Andres</t>
        </is>
      </c>
      <c r="J59" s="41" t="n">
        <v>2241.99</v>
      </c>
      <c r="K59" s="41" t="n">
        <v>637.33</v>
      </c>
      <c r="L59" s="41" t="n">
        <v>0</v>
      </c>
      <c r="M59" s="41" t="n">
        <v>2879.32</v>
      </c>
      <c r="N59" s="41" t="n">
        <v>2879.32</v>
      </c>
      <c r="O59" s="41" t="n">
        <v>637.33</v>
      </c>
      <c r="P59" t="inlineStr">
        <is>
          <t>Abril 2026 USA.xlsx</t>
        </is>
      </c>
      <c r="Q59" t="inlineStr">
        <is>
          <t>Fila 90</t>
        </is>
      </c>
      <c r="R59" t="inlineStr">
        <is>
          <t>Media</t>
        </is>
      </c>
      <c r="S59" t="inlineStr">
        <is>
          <t>SI</t>
        </is>
      </c>
      <c r="T59" t="inlineStr">
        <is>
          <t>Cuenta genérica de personal</t>
        </is>
      </c>
    </row>
    <row r="60">
      <c r="A60" t="inlineStr">
        <is>
          <t>2026-04</t>
        </is>
      </c>
      <c r="B60" t="inlineStr">
        <is>
          <t>Estados Unidos</t>
        </is>
      </c>
      <c r="C60" t="inlineStr">
        <is>
          <t>USA</t>
        </is>
      </c>
      <c r="D60" t="inlineStr">
        <is>
          <t>USD</t>
        </is>
      </c>
      <c r="E60" t="inlineStr">
        <is>
          <t>PL-O-020</t>
        </is>
      </c>
      <c r="F60" t="inlineStr">
        <is>
          <t>Gastos de administración</t>
        </is>
      </c>
      <c r="G60" t="inlineStr">
        <is>
          <t>Honorarios y servicios profesionales</t>
        </is>
      </c>
      <c r="H60" t="inlineStr">
        <is>
          <t>Asesoría financiera</t>
        </is>
      </c>
      <c r="I60" t="inlineStr">
        <is>
          <t>Tenant Evaluation LLC</t>
        </is>
      </c>
      <c r="J60" s="41" t="n">
        <v>445</v>
      </c>
      <c r="K60" s="41" t="n">
        <v>0</v>
      </c>
      <c r="L60" s="41" t="n">
        <v>0</v>
      </c>
      <c r="M60" s="41" t="n">
        <v>445</v>
      </c>
      <c r="N60" s="41" t="n">
        <v>445</v>
      </c>
      <c r="O60" s="41" t="n">
        <v>0</v>
      </c>
      <c r="P60" t="inlineStr">
        <is>
          <t>Abril 2026 USA.xlsx</t>
        </is>
      </c>
      <c r="Q60" t="inlineStr">
        <is>
          <t>Fila 93</t>
        </is>
      </c>
      <c r="R60" t="inlineStr">
        <is>
          <t>Alta</t>
        </is>
      </c>
      <c r="S60" t="inlineStr">
        <is>
          <t>NO</t>
        </is>
      </c>
      <c r="T60" t="inlineStr">
        <is>
          <t>Servicio profesional financiero</t>
        </is>
      </c>
    </row>
    <row r="61">
      <c r="A61" t="inlineStr">
        <is>
          <t>2026-04</t>
        </is>
      </c>
      <c r="B61" t="inlineStr">
        <is>
          <t>Estados Unidos</t>
        </is>
      </c>
      <c r="C61" t="inlineStr">
        <is>
          <t>USA</t>
        </is>
      </c>
      <c r="D61" t="inlineStr">
        <is>
          <t>USD</t>
        </is>
      </c>
      <c r="E61" t="inlineStr">
        <is>
          <t>PL-O-030</t>
        </is>
      </c>
      <c r="F61" t="inlineStr">
        <is>
          <t>Gastos de administración</t>
        </is>
      </c>
      <c r="G61" t="inlineStr">
        <is>
          <t>Impuestos y contribuciones</t>
        </is>
      </c>
      <c r="H61" t="inlineStr">
        <is>
          <t>Industria, comercio y otros</t>
        </is>
      </c>
      <c r="I61" t="inlineStr">
        <is>
          <t>IRS IMPUESTO FEDERALES</t>
        </is>
      </c>
      <c r="J61" s="41" t="n">
        <v>4024.05</v>
      </c>
      <c r="K61" s="41" t="n">
        <v>0</v>
      </c>
      <c r="L61" s="41" t="n">
        <v>0</v>
      </c>
      <c r="M61" s="41" t="n">
        <v>4024.05</v>
      </c>
      <c r="N61" s="41" t="n">
        <v>4024.05</v>
      </c>
      <c r="O61" s="41" t="n">
        <v>0</v>
      </c>
      <c r="P61" t="inlineStr">
        <is>
          <t>Abril 2026 USA.xlsx</t>
        </is>
      </c>
      <c r="Q61" t="inlineStr">
        <is>
          <t>Fila 96</t>
        </is>
      </c>
      <c r="R61" t="inlineStr">
        <is>
          <t>Alta</t>
        </is>
      </c>
      <c r="S61" t="inlineStr">
        <is>
          <t>NO</t>
        </is>
      </c>
      <c r="T61" t="inlineStr">
        <is>
          <t>Impuestos no asociados a renta</t>
        </is>
      </c>
    </row>
    <row r="62">
      <c r="A62" t="inlineStr">
        <is>
          <t>2026-04</t>
        </is>
      </c>
      <c r="B62" t="inlineStr">
        <is>
          <t>Estados Unidos</t>
        </is>
      </c>
      <c r="C62" t="inlineStr">
        <is>
          <t>USA</t>
        </is>
      </c>
      <c r="D62" t="inlineStr">
        <is>
          <t>USD</t>
        </is>
      </c>
      <c r="E62" t="inlineStr">
        <is>
          <t>PL-O-060</t>
        </is>
      </c>
      <c r="F62" t="inlineStr">
        <is>
          <t>Gastos de administración</t>
        </is>
      </c>
      <c r="G62" t="inlineStr">
        <is>
          <t>Tecnología y procesamiento de datos</t>
        </is>
      </c>
      <c r="H62" t="inlineStr">
        <is>
          <t>Plataformas y software</t>
        </is>
      </c>
      <c r="I62" t="inlineStr">
        <is>
          <t>WIX INC</t>
        </is>
      </c>
      <c r="J62" s="41" t="n">
        <v>225.35</v>
      </c>
      <c r="K62" s="41" t="n">
        <v>0</v>
      </c>
      <c r="L62" s="41" t="n">
        <v>0</v>
      </c>
      <c r="M62" s="41" t="n">
        <v>225.35</v>
      </c>
      <c r="N62" s="41" t="n">
        <v>225.35</v>
      </c>
      <c r="O62" s="41" t="n">
        <v>0</v>
      </c>
      <c r="P62" t="inlineStr">
        <is>
          <t>Abril 2026 USA.xlsx</t>
        </is>
      </c>
      <c r="Q62" t="inlineStr">
        <is>
          <t>Fila 99</t>
        </is>
      </c>
      <c r="R62" t="inlineStr">
        <is>
          <t>Alta</t>
        </is>
      </c>
      <c r="S62" t="inlineStr">
        <is>
          <t>SI</t>
        </is>
      </c>
      <c r="T62" t="inlineStr">
        <is>
          <t>Revisar proveedores de telecomunicaciones registrados aquí</t>
        </is>
      </c>
    </row>
    <row r="63">
      <c r="A63" t="inlineStr">
        <is>
          <t>2026-04</t>
        </is>
      </c>
      <c r="B63" t="inlineStr">
        <is>
          <t>Estados Unidos</t>
        </is>
      </c>
      <c r="C63" t="inlineStr">
        <is>
          <t>USA</t>
        </is>
      </c>
      <c r="D63" t="inlineStr">
        <is>
          <t>USD</t>
        </is>
      </c>
      <c r="E63" t="inlineStr">
        <is>
          <t>PL-O-060</t>
        </is>
      </c>
      <c r="F63" t="inlineStr">
        <is>
          <t>Gastos de administración</t>
        </is>
      </c>
      <c r="G63" t="inlineStr">
        <is>
          <t>Tecnología y procesamiento de datos</t>
        </is>
      </c>
      <c r="H63" t="inlineStr">
        <is>
          <t>Plataformas y software</t>
        </is>
      </c>
      <c r="I63" t="inlineStr">
        <is>
          <t>Ahaslides</t>
        </is>
      </c>
      <c r="J63" s="41" t="n">
        <v>191.4</v>
      </c>
      <c r="K63" s="41" t="n">
        <v>0</v>
      </c>
      <c r="L63" s="41" t="n">
        <v>0</v>
      </c>
      <c r="M63" s="41" t="n">
        <v>191.4</v>
      </c>
      <c r="N63" s="41" t="n">
        <v>191.4</v>
      </c>
      <c r="O63" s="41" t="n">
        <v>0</v>
      </c>
      <c r="P63" t="inlineStr">
        <is>
          <t>Abril 2026 USA.xlsx</t>
        </is>
      </c>
      <c r="Q63" t="inlineStr">
        <is>
          <t>Fila 100</t>
        </is>
      </c>
      <c r="R63" t="inlineStr">
        <is>
          <t>Alta</t>
        </is>
      </c>
      <c r="S63" t="inlineStr">
        <is>
          <t>SI</t>
        </is>
      </c>
      <c r="T63" t="inlineStr">
        <is>
          <t>Revisar proveedores de telecomunicaciones registrados aquí</t>
        </is>
      </c>
    </row>
    <row r="64">
      <c r="A64" t="inlineStr">
        <is>
          <t>2026-04</t>
        </is>
      </c>
      <c r="B64" t="inlineStr">
        <is>
          <t>Estados Unidos</t>
        </is>
      </c>
      <c r="C64" t="inlineStr">
        <is>
          <t>USA</t>
        </is>
      </c>
      <c r="D64" t="inlineStr">
        <is>
          <t>USD</t>
        </is>
      </c>
      <c r="E64" t="inlineStr">
        <is>
          <t>PL-O-060</t>
        </is>
      </c>
      <c r="F64" t="inlineStr">
        <is>
          <t>Gastos de administración</t>
        </is>
      </c>
      <c r="G64" t="inlineStr">
        <is>
          <t>Tecnología y procesamiento de datos</t>
        </is>
      </c>
      <c r="H64" t="inlineStr">
        <is>
          <t>Plataformas y software</t>
        </is>
      </c>
      <c r="I64" t="inlineStr">
        <is>
          <t>T-Mobile</t>
        </is>
      </c>
      <c r="J64" s="41" t="n">
        <v>0</v>
      </c>
      <c r="K64" s="41" t="n">
        <v>32.1</v>
      </c>
      <c r="L64" s="41" t="n">
        <v>0</v>
      </c>
      <c r="M64" s="41" t="n">
        <v>32.1</v>
      </c>
      <c r="N64" s="41" t="n">
        <v>32.1</v>
      </c>
      <c r="O64" s="41" t="n">
        <v>32.1</v>
      </c>
      <c r="P64" t="inlineStr">
        <is>
          <t>Abril 2026 USA.xlsx</t>
        </is>
      </c>
      <c r="Q64" t="inlineStr">
        <is>
          <t>Fila 101</t>
        </is>
      </c>
      <c r="R64" t="inlineStr">
        <is>
          <t>Alta</t>
        </is>
      </c>
      <c r="S64" t="inlineStr">
        <is>
          <t>SI</t>
        </is>
      </c>
      <c r="T64" t="inlineStr">
        <is>
          <t>Revisar proveedores de telecomunicaciones registrados aquí</t>
        </is>
      </c>
    </row>
    <row r="65">
      <c r="A65" t="inlineStr">
        <is>
          <t>2026-04</t>
        </is>
      </c>
      <c r="B65" t="inlineStr">
        <is>
          <t>Estados Unidos</t>
        </is>
      </c>
      <c r="C65" t="inlineStr">
        <is>
          <t>USA</t>
        </is>
      </c>
      <c r="D65" t="inlineStr">
        <is>
          <t>USD</t>
        </is>
      </c>
      <c r="E65" t="inlineStr">
        <is>
          <t>PL-O-060</t>
        </is>
      </c>
      <c r="F65" t="inlineStr">
        <is>
          <t>Gastos de administración</t>
        </is>
      </c>
      <c r="G65" t="inlineStr">
        <is>
          <t>Tecnología y procesamiento de datos</t>
        </is>
      </c>
      <c r="H65" t="inlineStr">
        <is>
          <t>Plataformas y software</t>
        </is>
      </c>
      <c r="I65" t="inlineStr">
        <is>
          <t>Open AI</t>
        </is>
      </c>
      <c r="J65" s="41" t="n">
        <v>60</v>
      </c>
      <c r="K65" s="41" t="n">
        <v>20</v>
      </c>
      <c r="L65" s="41" t="n">
        <v>0</v>
      </c>
      <c r="M65" s="41" t="n">
        <v>80</v>
      </c>
      <c r="N65" s="41" t="n">
        <v>80</v>
      </c>
      <c r="O65" s="41" t="n">
        <v>20</v>
      </c>
      <c r="P65" t="inlineStr">
        <is>
          <t>Abril 2026 USA.xlsx</t>
        </is>
      </c>
      <c r="Q65" t="inlineStr">
        <is>
          <t>Fila 102</t>
        </is>
      </c>
      <c r="R65" t="inlineStr">
        <is>
          <t>Alta</t>
        </is>
      </c>
      <c r="S65" t="inlineStr">
        <is>
          <t>SI</t>
        </is>
      </c>
      <c r="T65" t="inlineStr">
        <is>
          <t>Revisar proveedores de telecomunicaciones registrados aquí</t>
        </is>
      </c>
    </row>
    <row r="66">
      <c r="A66" t="inlineStr">
        <is>
          <t>2026-04</t>
        </is>
      </c>
      <c r="B66" t="inlineStr">
        <is>
          <t>Estados Unidos</t>
        </is>
      </c>
      <c r="C66" t="inlineStr">
        <is>
          <t>USA</t>
        </is>
      </c>
      <c r="D66" t="inlineStr">
        <is>
          <t>USD</t>
        </is>
      </c>
      <c r="E66" t="inlineStr">
        <is>
          <t>PL-O-060</t>
        </is>
      </c>
      <c r="F66" t="inlineStr">
        <is>
          <t>Gastos de administración</t>
        </is>
      </c>
      <c r="G66" t="inlineStr">
        <is>
          <t>Tecnología y procesamiento de datos</t>
        </is>
      </c>
      <c r="H66" t="inlineStr">
        <is>
          <t>Plataformas y software</t>
        </is>
      </c>
      <c r="I66" t="inlineStr">
        <is>
          <t>Inverdoral 131 LLC</t>
        </is>
      </c>
      <c r="J66" s="41" t="n">
        <v>0</v>
      </c>
      <c r="K66" s="41" t="n">
        <v>957.65</v>
      </c>
      <c r="L66" s="41" t="n">
        <v>0</v>
      </c>
      <c r="M66" s="41" t="n">
        <v>957.65</v>
      </c>
      <c r="N66" s="41" t="n">
        <v>957.65</v>
      </c>
      <c r="O66" s="41" t="n">
        <v>957.65</v>
      </c>
      <c r="P66" t="inlineStr">
        <is>
          <t>Abril 2026 USA.xlsx</t>
        </is>
      </c>
      <c r="Q66" t="inlineStr">
        <is>
          <t>Fila 103</t>
        </is>
      </c>
      <c r="R66" t="inlineStr">
        <is>
          <t>Alta</t>
        </is>
      </c>
      <c r="S66" t="inlineStr">
        <is>
          <t>SI</t>
        </is>
      </c>
      <c r="T66" t="inlineStr">
        <is>
          <t>Revisar proveedores de telecomunicaciones registrados aquí</t>
        </is>
      </c>
    </row>
    <row r="67">
      <c r="A67" t="inlineStr">
        <is>
          <t>2026-04</t>
        </is>
      </c>
      <c r="B67" t="inlineStr">
        <is>
          <t>Estados Unidos</t>
        </is>
      </c>
      <c r="C67" t="inlineStr">
        <is>
          <t>USA</t>
        </is>
      </c>
      <c r="D67" t="inlineStr">
        <is>
          <t>USD</t>
        </is>
      </c>
      <c r="E67" t="inlineStr">
        <is>
          <t>PL-O-080</t>
        </is>
      </c>
      <c r="F67" t="inlineStr">
        <is>
          <t>Gastos de administración</t>
        </is>
      </c>
      <c r="G67" t="inlineStr">
        <is>
          <t>Correo y mensajería</t>
        </is>
      </c>
      <c r="H67" t="inlineStr">
        <is>
          <t>Correo, portes y telegramas</t>
        </is>
      </c>
      <c r="I67" t="inlineStr">
        <is>
          <t>Anytime Mailbox</t>
        </is>
      </c>
      <c r="J67" s="41" t="n">
        <v>34.29</v>
      </c>
      <c r="K67" s="41" t="n">
        <v>11.54</v>
      </c>
      <c r="L67" s="41" t="n">
        <v>0</v>
      </c>
      <c r="M67" s="41" t="n">
        <v>45.83</v>
      </c>
      <c r="N67" s="41" t="n">
        <v>45.83</v>
      </c>
      <c r="O67" s="41" t="n">
        <v>11.54</v>
      </c>
      <c r="P67" t="inlineStr">
        <is>
          <t>Abril 2026 USA.xlsx</t>
        </is>
      </c>
      <c r="Q67" t="inlineStr">
        <is>
          <t>Fila 105</t>
        </is>
      </c>
      <c r="R67" t="inlineStr">
        <is>
          <t>Alta</t>
        </is>
      </c>
      <c r="S67" t="inlineStr">
        <is>
          <t>NO</t>
        </is>
      </c>
      <c r="T67" t="inlineStr">
        <is>
          <t>Mensajería y correo</t>
        </is>
      </c>
    </row>
    <row r="68">
      <c r="A68" t="inlineStr">
        <is>
          <t>2026-04</t>
        </is>
      </c>
      <c r="B68" t="inlineStr">
        <is>
          <t>Estados Unidos</t>
        </is>
      </c>
      <c r="C68" t="inlineStr">
        <is>
          <t>USA</t>
        </is>
      </c>
      <c r="D68" t="inlineStr">
        <is>
          <t>USD</t>
        </is>
      </c>
      <c r="E68" t="inlineStr">
        <is>
          <t>PL-O-100</t>
        </is>
      </c>
      <c r="F68" t="inlineStr">
        <is>
          <t>Gastos de administración</t>
        </is>
      </c>
      <c r="G68" t="inlineStr">
        <is>
          <t>Otros servicios administrativos</t>
        </is>
      </c>
      <c r="H68" t="inlineStr">
        <is>
          <t>Otros</t>
        </is>
      </c>
      <c r="I68" t="inlineStr">
        <is>
          <t>AT&amp;T</t>
        </is>
      </c>
      <c r="J68" s="41" t="n">
        <v>578.27</v>
      </c>
      <c r="K68" s="41" t="n">
        <v>181.67</v>
      </c>
      <c r="L68" s="41" t="n">
        <v>0</v>
      </c>
      <c r="M68" s="41" t="n">
        <v>759.9400000000001</v>
      </c>
      <c r="N68" s="41" t="n">
        <v>759.9400000000001</v>
      </c>
      <c r="O68" s="41" t="n">
        <v>181.67</v>
      </c>
      <c r="P68" t="inlineStr">
        <is>
          <t>Abril 2026 USA.xlsx</t>
        </is>
      </c>
      <c r="Q68" t="inlineStr">
        <is>
          <t>Fila 107</t>
        </is>
      </c>
      <c r="R68" t="inlineStr">
        <is>
          <t>Media</t>
        </is>
      </c>
      <c r="S68" t="inlineStr">
        <is>
          <t>SI</t>
        </is>
      </c>
      <c r="T68" t="inlineStr">
        <is>
          <t>Cuenta genérica; revisar partidas materiales</t>
        </is>
      </c>
    </row>
    <row r="69">
      <c r="A69" t="inlineStr">
        <is>
          <t>2026-04</t>
        </is>
      </c>
      <c r="B69" t="inlineStr">
        <is>
          <t>Estados Unidos</t>
        </is>
      </c>
      <c r="C69" t="inlineStr">
        <is>
          <t>USA</t>
        </is>
      </c>
      <c r="D69" t="inlineStr">
        <is>
          <t>USD</t>
        </is>
      </c>
      <c r="E69" t="inlineStr">
        <is>
          <t>PL-O-110</t>
        </is>
      </c>
      <c r="F69" t="inlineStr">
        <is>
          <t>Gastos de administración</t>
        </is>
      </c>
      <c r="G69" t="inlineStr">
        <is>
          <t>Suministros y oficina</t>
        </is>
      </c>
      <c r="H69" t="inlineStr">
        <is>
          <t>Aseo y limpieza</t>
        </is>
      </c>
      <c r="I69" t="inlineStr">
        <is>
          <t>Chapola Cafe</t>
        </is>
      </c>
      <c r="J69" s="41" t="n">
        <v>35.1</v>
      </c>
      <c r="K69" s="41" t="n">
        <v>0</v>
      </c>
      <c r="L69" s="41" t="n">
        <v>0</v>
      </c>
      <c r="M69" s="41" t="n">
        <v>35.1</v>
      </c>
      <c r="N69" s="41" t="n">
        <v>35.1</v>
      </c>
      <c r="O69" s="41" t="n">
        <v>0</v>
      </c>
      <c r="P69" t="inlineStr">
        <is>
          <t>Abril 2026 USA.xlsx</t>
        </is>
      </c>
      <c r="Q69" t="inlineStr">
        <is>
          <t>Fila 110</t>
        </is>
      </c>
      <c r="R69" t="inlineStr">
        <is>
          <t>Alta</t>
        </is>
      </c>
      <c r="S69" t="inlineStr">
        <is>
          <t>SI</t>
        </is>
      </c>
      <c r="T69" t="inlineStr">
        <is>
          <t>Se detectaron comercios de alimentos; revisar clasificación</t>
        </is>
      </c>
    </row>
    <row r="70">
      <c r="A70" t="inlineStr">
        <is>
          <t>2026-04</t>
        </is>
      </c>
      <c r="B70" t="inlineStr">
        <is>
          <t>Estados Unidos</t>
        </is>
      </c>
      <c r="C70" t="inlineStr">
        <is>
          <t>USA</t>
        </is>
      </c>
      <c r="D70" t="inlineStr">
        <is>
          <t>USD</t>
        </is>
      </c>
      <c r="E70" t="inlineStr">
        <is>
          <t>PL-O-110</t>
        </is>
      </c>
      <c r="F70" t="inlineStr">
        <is>
          <t>Gastos de administración</t>
        </is>
      </c>
      <c r="G70" t="inlineStr">
        <is>
          <t>Suministros y oficina</t>
        </is>
      </c>
      <c r="H70" t="inlineStr">
        <is>
          <t>Aseo y limpieza</t>
        </is>
      </c>
      <c r="I70" t="inlineStr">
        <is>
          <t>Latin Cafe</t>
        </is>
      </c>
      <c r="J70" s="41" t="n">
        <v>82.58</v>
      </c>
      <c r="K70" s="41" t="n">
        <v>0</v>
      </c>
      <c r="L70" s="41" t="n">
        <v>0</v>
      </c>
      <c r="M70" s="41" t="n">
        <v>82.58</v>
      </c>
      <c r="N70" s="41" t="n">
        <v>82.58</v>
      </c>
      <c r="O70" s="41" t="n">
        <v>0</v>
      </c>
      <c r="P70" t="inlineStr">
        <is>
          <t>Abril 2026 USA.xlsx</t>
        </is>
      </c>
      <c r="Q70" t="inlineStr">
        <is>
          <t>Fila 111</t>
        </is>
      </c>
      <c r="R70" t="inlineStr">
        <is>
          <t>Alta</t>
        </is>
      </c>
      <c r="S70" t="inlineStr">
        <is>
          <t>SI</t>
        </is>
      </c>
      <c r="T70" t="inlineStr">
        <is>
          <t>Se detectaron comercios de alimentos; revisar clasificación</t>
        </is>
      </c>
    </row>
    <row r="71">
      <c r="A71" t="inlineStr">
        <is>
          <t>2026-04</t>
        </is>
      </c>
      <c r="B71" t="inlineStr">
        <is>
          <t>Estados Unidos</t>
        </is>
      </c>
      <c r="C71" t="inlineStr">
        <is>
          <t>USA</t>
        </is>
      </c>
      <c r="D71" t="inlineStr">
        <is>
          <t>USD</t>
        </is>
      </c>
      <c r="E71" t="inlineStr">
        <is>
          <t>PL-O-120</t>
        </is>
      </c>
      <c r="F71" t="inlineStr">
        <is>
          <t>Gastos de administración</t>
        </is>
      </c>
      <c r="G71" t="inlineStr">
        <is>
          <t>Alimentación y restaurante</t>
        </is>
      </c>
      <c r="H71" t="inlineStr">
        <is>
          <t>Casino y restaurante</t>
        </is>
      </c>
      <c r="I71" t="inlineStr">
        <is>
          <t>Pollos &amp; Jarras</t>
        </is>
      </c>
      <c r="J71" s="41" t="n">
        <v>125.13</v>
      </c>
      <c r="K71" s="41" t="n">
        <v>129.16</v>
      </c>
      <c r="L71" s="41" t="n">
        <v>0</v>
      </c>
      <c r="M71" s="41" t="n">
        <v>254.29</v>
      </c>
      <c r="N71" s="41" t="n">
        <v>254.29</v>
      </c>
      <c r="O71" s="41" t="n">
        <v>129.16</v>
      </c>
      <c r="P71" t="inlineStr">
        <is>
          <t>Abril 2026 USA.xlsx</t>
        </is>
      </c>
      <c r="Q71" t="inlineStr">
        <is>
          <t>Fila 113</t>
        </is>
      </c>
      <c r="R71" t="inlineStr">
        <is>
          <t>Alta</t>
        </is>
      </c>
      <c r="S71" t="inlineStr">
        <is>
          <t>SI</t>
        </is>
      </c>
      <c r="T71" t="inlineStr">
        <is>
          <t>Se detectó un comercio minorista; revisar esa partida</t>
        </is>
      </c>
    </row>
    <row r="72">
      <c r="A72" t="inlineStr">
        <is>
          <t>2026-04</t>
        </is>
      </c>
      <c r="B72" t="inlineStr">
        <is>
          <t>Estados Unidos</t>
        </is>
      </c>
      <c r="C72" t="inlineStr">
        <is>
          <t>USA</t>
        </is>
      </c>
      <c r="D72" t="inlineStr">
        <is>
          <t>USD</t>
        </is>
      </c>
      <c r="E72" t="inlineStr">
        <is>
          <t>PL-O-120</t>
        </is>
      </c>
      <c r="F72" t="inlineStr">
        <is>
          <t>Gastos de administración</t>
        </is>
      </c>
      <c r="G72" t="inlineStr">
        <is>
          <t>Alimentación y restaurante</t>
        </is>
      </c>
      <c r="H72" t="inlineStr">
        <is>
          <t>Casino y restaurante</t>
        </is>
      </c>
      <c r="I72" t="inlineStr">
        <is>
          <t>Rice House Of Kabob</t>
        </is>
      </c>
      <c r="J72" s="41" t="n">
        <v>63.15</v>
      </c>
      <c r="K72" s="41" t="n">
        <v>0</v>
      </c>
      <c r="L72" s="41" t="n">
        <v>0</v>
      </c>
      <c r="M72" s="41" t="n">
        <v>63.15</v>
      </c>
      <c r="N72" s="41" t="n">
        <v>63.15</v>
      </c>
      <c r="O72" s="41" t="n">
        <v>0</v>
      </c>
      <c r="P72" t="inlineStr">
        <is>
          <t>Abril 2026 USA.xlsx</t>
        </is>
      </c>
      <c r="Q72" t="inlineStr">
        <is>
          <t>Fila 114</t>
        </is>
      </c>
      <c r="R72" t="inlineStr">
        <is>
          <t>Alta</t>
        </is>
      </c>
      <c r="S72" t="inlineStr">
        <is>
          <t>SI</t>
        </is>
      </c>
      <c r="T72" t="inlineStr">
        <is>
          <t>Se detectó un comercio minorista; revisar esa partida</t>
        </is>
      </c>
    </row>
    <row r="73">
      <c r="A73" t="inlineStr">
        <is>
          <t>2026-04</t>
        </is>
      </c>
      <c r="B73" t="inlineStr">
        <is>
          <t>Estados Unidos</t>
        </is>
      </c>
      <c r="C73" t="inlineStr">
        <is>
          <t>USA</t>
        </is>
      </c>
      <c r="D73" t="inlineStr">
        <is>
          <t>USD</t>
        </is>
      </c>
      <c r="E73" t="inlineStr">
        <is>
          <t>PL-O-120</t>
        </is>
      </c>
      <c r="F73" t="inlineStr">
        <is>
          <t>Gastos de administración</t>
        </is>
      </c>
      <c r="G73" t="inlineStr">
        <is>
          <t>Alimentación y restaurante</t>
        </is>
      </c>
      <c r="H73" t="inlineStr">
        <is>
          <t>Casino y restaurante</t>
        </is>
      </c>
      <c r="I73" t="inlineStr">
        <is>
          <t>Rice House Of Kabob</t>
        </is>
      </c>
      <c r="J73" s="41" t="n">
        <v>0</v>
      </c>
      <c r="K73" s="41" t="n">
        <v>55.93</v>
      </c>
      <c r="L73" s="41" t="n">
        <v>0</v>
      </c>
      <c r="M73" s="41" t="n">
        <v>55.93</v>
      </c>
      <c r="N73" s="41" t="n">
        <v>55.93</v>
      </c>
      <c r="O73" s="41" t="n">
        <v>55.93</v>
      </c>
      <c r="P73" t="inlineStr">
        <is>
          <t>Abril 2026 USA.xlsx</t>
        </is>
      </c>
      <c r="Q73" t="inlineStr">
        <is>
          <t>Fila 115</t>
        </is>
      </c>
      <c r="R73" t="inlineStr">
        <is>
          <t>Alta</t>
        </is>
      </c>
      <c r="S73" t="inlineStr">
        <is>
          <t>SI</t>
        </is>
      </c>
      <c r="T73" t="inlineStr">
        <is>
          <t>Se detectó un comercio minorista; revisar esa partida</t>
        </is>
      </c>
    </row>
    <row r="74">
      <c r="A74" t="inlineStr">
        <is>
          <t>2026-04</t>
        </is>
      </c>
      <c r="B74" t="inlineStr">
        <is>
          <t>Estados Unidos</t>
        </is>
      </c>
      <c r="C74" t="inlineStr">
        <is>
          <t>USA</t>
        </is>
      </c>
      <c r="D74" t="inlineStr">
        <is>
          <t>USD</t>
        </is>
      </c>
      <c r="E74" t="inlineStr">
        <is>
          <t>PL-O-120</t>
        </is>
      </c>
      <c r="F74" t="inlineStr">
        <is>
          <t>Gastos de administración</t>
        </is>
      </c>
      <c r="G74" t="inlineStr">
        <is>
          <t>Alimentación y restaurante</t>
        </is>
      </c>
      <c r="H74" t="inlineStr">
        <is>
          <t>Casino y restaurante</t>
        </is>
      </c>
      <c r="I74" t="inlineStr">
        <is>
          <t>Ross Dress for Less</t>
        </is>
      </c>
      <c r="J74" s="41" t="n">
        <v>0</v>
      </c>
      <c r="K74" s="41" t="n">
        <v>145.96</v>
      </c>
      <c r="L74" s="41" t="n">
        <v>0</v>
      </c>
      <c r="M74" s="41" t="n">
        <v>145.96</v>
      </c>
      <c r="N74" s="41" t="n">
        <v>145.96</v>
      </c>
      <c r="O74" s="41" t="n">
        <v>145.96</v>
      </c>
      <c r="P74" t="inlineStr">
        <is>
          <t>Abril 2026 USA.xlsx</t>
        </is>
      </c>
      <c r="Q74" t="inlineStr">
        <is>
          <t>Fila 116</t>
        </is>
      </c>
      <c r="R74" t="inlineStr">
        <is>
          <t>Alta</t>
        </is>
      </c>
      <c r="S74" t="inlineStr">
        <is>
          <t>SI</t>
        </is>
      </c>
      <c r="T74" t="inlineStr">
        <is>
          <t>Se detectó un comercio minorista; revisar esa partida</t>
        </is>
      </c>
    </row>
    <row r="75">
      <c r="A75" t="inlineStr">
        <is>
          <t>2026-04</t>
        </is>
      </c>
      <c r="B75" t="inlineStr">
        <is>
          <t>Estados Unidos</t>
        </is>
      </c>
      <c r="C75" t="inlineStr">
        <is>
          <t>USA</t>
        </is>
      </c>
      <c r="D75" t="inlineStr">
        <is>
          <t>USD</t>
        </is>
      </c>
      <c r="E75" t="inlineStr">
        <is>
          <t>PL-O-120</t>
        </is>
      </c>
      <c r="F75" t="inlineStr">
        <is>
          <t>Gastos de administración</t>
        </is>
      </c>
      <c r="G75" t="inlineStr">
        <is>
          <t>Alimentación y restaurante</t>
        </is>
      </c>
      <c r="H75" t="inlineStr">
        <is>
          <t>Casino y restaurante</t>
        </is>
      </c>
      <c r="I75" t="inlineStr">
        <is>
          <t>Milanezza Kitchen Bar &amp; Market</t>
        </is>
      </c>
      <c r="J75" s="41" t="n">
        <v>0</v>
      </c>
      <c r="K75" s="41" t="n">
        <v>92.97</v>
      </c>
      <c r="L75" s="41" t="n">
        <v>0</v>
      </c>
      <c r="M75" s="41" t="n">
        <v>92.97</v>
      </c>
      <c r="N75" s="41" t="n">
        <v>92.97</v>
      </c>
      <c r="O75" s="41" t="n">
        <v>92.97</v>
      </c>
      <c r="P75" t="inlineStr">
        <is>
          <t>Abril 2026 USA.xlsx</t>
        </is>
      </c>
      <c r="Q75" t="inlineStr">
        <is>
          <t>Fila 117</t>
        </is>
      </c>
      <c r="R75" t="inlineStr">
        <is>
          <t>Alta</t>
        </is>
      </c>
      <c r="S75" t="inlineStr">
        <is>
          <t>SI</t>
        </is>
      </c>
      <c r="T75" t="inlineStr">
        <is>
          <t>Se detectó un comercio minorista; revisar esa partida</t>
        </is>
      </c>
    </row>
    <row r="76">
      <c r="A76" t="inlineStr">
        <is>
          <t>2026-04</t>
        </is>
      </c>
      <c r="B76" t="inlineStr">
        <is>
          <t>Estados Unidos</t>
        </is>
      </c>
      <c r="C76" t="inlineStr">
        <is>
          <t>USA</t>
        </is>
      </c>
      <c r="D76" t="inlineStr">
        <is>
          <t>USD</t>
        </is>
      </c>
      <c r="E76" t="inlineStr">
        <is>
          <t>PL-O-120</t>
        </is>
      </c>
      <c r="F76" t="inlineStr">
        <is>
          <t>Gastos de administración</t>
        </is>
      </c>
      <c r="G76" t="inlineStr">
        <is>
          <t>Alimentación y restaurante</t>
        </is>
      </c>
      <c r="H76" t="inlineStr">
        <is>
          <t>Casino y restaurante</t>
        </is>
      </c>
      <c r="I76" t="inlineStr">
        <is>
          <t>Sushi Club</t>
        </is>
      </c>
      <c r="J76" s="41" t="n">
        <v>0</v>
      </c>
      <c r="K76" s="41" t="n">
        <v>122.49</v>
      </c>
      <c r="L76" s="41" t="n">
        <v>0</v>
      </c>
      <c r="M76" s="41" t="n">
        <v>122.49</v>
      </c>
      <c r="N76" s="41" t="n">
        <v>122.49</v>
      </c>
      <c r="O76" s="41" t="n">
        <v>122.49</v>
      </c>
      <c r="P76" t="inlineStr">
        <is>
          <t>Abril 2026 USA.xlsx</t>
        </is>
      </c>
      <c r="Q76" t="inlineStr">
        <is>
          <t>Fila 118</t>
        </is>
      </c>
      <c r="R76" t="inlineStr">
        <is>
          <t>Alta</t>
        </is>
      </c>
      <c r="S76" t="inlineStr">
        <is>
          <t>SI</t>
        </is>
      </c>
      <c r="T76" t="inlineStr">
        <is>
          <t>Se detectó un comercio minorista; revisar esa partida</t>
        </is>
      </c>
    </row>
    <row r="77">
      <c r="A77" t="inlineStr">
        <is>
          <t>2026-04</t>
        </is>
      </c>
      <c r="B77" t="inlineStr">
        <is>
          <t>Estados Unidos</t>
        </is>
      </c>
      <c r="C77" t="inlineStr">
        <is>
          <t>USA</t>
        </is>
      </c>
      <c r="D77" t="inlineStr">
        <is>
          <t>USD</t>
        </is>
      </c>
      <c r="E77" t="inlineStr">
        <is>
          <t>PL-O-120</t>
        </is>
      </c>
      <c r="F77" t="inlineStr">
        <is>
          <t>Gastos de administración</t>
        </is>
      </c>
      <c r="G77" t="inlineStr">
        <is>
          <t>Alimentación y restaurante</t>
        </is>
      </c>
      <c r="H77" t="inlineStr">
        <is>
          <t>Casino y restaurante</t>
        </is>
      </c>
      <c r="I77" t="inlineStr">
        <is>
          <t>The Cheesecake Factory</t>
        </is>
      </c>
      <c r="J77" s="41" t="n">
        <v>0</v>
      </c>
      <c r="K77" s="41" t="n">
        <v>184.6</v>
      </c>
      <c r="L77" s="41" t="n">
        <v>0</v>
      </c>
      <c r="M77" s="41" t="n">
        <v>184.6</v>
      </c>
      <c r="N77" s="41" t="n">
        <v>184.6</v>
      </c>
      <c r="O77" s="41" t="n">
        <v>184.6</v>
      </c>
      <c r="P77" t="inlineStr">
        <is>
          <t>Abril 2026 USA.xlsx</t>
        </is>
      </c>
      <c r="Q77" t="inlineStr">
        <is>
          <t>Fila 119</t>
        </is>
      </c>
      <c r="R77" t="inlineStr">
        <is>
          <t>Alta</t>
        </is>
      </c>
      <c r="S77" t="inlineStr">
        <is>
          <t>SI</t>
        </is>
      </c>
      <c r="T77" t="inlineStr">
        <is>
          <t>Se detectó un comercio minorista; revisar esa partida</t>
        </is>
      </c>
    </row>
    <row r="78">
      <c r="A78" t="inlineStr">
        <is>
          <t>2026-04</t>
        </is>
      </c>
      <c r="B78" t="inlineStr">
        <is>
          <t>Estados Unidos</t>
        </is>
      </c>
      <c r="C78" t="inlineStr">
        <is>
          <t>USA</t>
        </is>
      </c>
      <c r="D78" t="inlineStr">
        <is>
          <t>USD</t>
        </is>
      </c>
      <c r="E78" t="inlineStr">
        <is>
          <t>PL-O-120</t>
        </is>
      </c>
      <c r="F78" t="inlineStr">
        <is>
          <t>Gastos de administración</t>
        </is>
      </c>
      <c r="G78" t="inlineStr">
        <is>
          <t>Alimentación y restaurante</t>
        </is>
      </c>
      <c r="H78" t="inlineStr">
        <is>
          <t>Casino y restaurante</t>
        </is>
      </c>
      <c r="I78" t="inlineStr">
        <is>
          <t>Ai Tallarin</t>
        </is>
      </c>
      <c r="J78" s="41" t="n">
        <v>0</v>
      </c>
      <c r="K78" s="41" t="n">
        <v>80.39</v>
      </c>
      <c r="L78" s="41" t="n">
        <v>0</v>
      </c>
      <c r="M78" s="41" t="n">
        <v>80.39</v>
      </c>
      <c r="N78" s="41" t="n">
        <v>80.39</v>
      </c>
      <c r="O78" s="41" t="n">
        <v>80.39</v>
      </c>
      <c r="P78" t="inlineStr">
        <is>
          <t>Abril 2026 USA.xlsx</t>
        </is>
      </c>
      <c r="Q78" t="inlineStr">
        <is>
          <t>Fila 120</t>
        </is>
      </c>
      <c r="R78" t="inlineStr">
        <is>
          <t>Alta</t>
        </is>
      </c>
      <c r="S78" t="inlineStr">
        <is>
          <t>SI</t>
        </is>
      </c>
      <c r="T78" t="inlineStr">
        <is>
          <t>Se detectó un comercio minorista; revisar esa partida</t>
        </is>
      </c>
    </row>
    <row r="79">
      <c r="A79" t="inlineStr">
        <is>
          <t>2026-04</t>
        </is>
      </c>
      <c r="B79" t="inlineStr">
        <is>
          <t>Estados Unidos</t>
        </is>
      </c>
      <c r="C79" t="inlineStr">
        <is>
          <t>USA</t>
        </is>
      </c>
      <c r="D79" t="inlineStr">
        <is>
          <t>USD</t>
        </is>
      </c>
      <c r="E79" t="inlineStr">
        <is>
          <t>PL-O-120</t>
        </is>
      </c>
      <c r="F79" t="inlineStr">
        <is>
          <t>Gastos de administración</t>
        </is>
      </c>
      <c r="G79" t="inlineStr">
        <is>
          <t>Alimentación y restaurante</t>
        </is>
      </c>
      <c r="H79" t="inlineStr">
        <is>
          <t>Casino y restaurante</t>
        </is>
      </c>
      <c r="I79" t="inlineStr">
        <is>
          <t>AGO Miami</t>
        </is>
      </c>
      <c r="J79" s="41" t="n">
        <v>0</v>
      </c>
      <c r="K79" s="41" t="n">
        <v>34.92</v>
      </c>
      <c r="L79" s="41" t="n">
        <v>0</v>
      </c>
      <c r="M79" s="41" t="n">
        <v>34.92</v>
      </c>
      <c r="N79" s="41" t="n">
        <v>34.92</v>
      </c>
      <c r="O79" s="41" t="n">
        <v>34.92</v>
      </c>
      <c r="P79" t="inlineStr">
        <is>
          <t>Abril 2026 USA.xlsx</t>
        </is>
      </c>
      <c r="Q79" t="inlineStr">
        <is>
          <t>Fila 121</t>
        </is>
      </c>
      <c r="R79" t="inlineStr">
        <is>
          <t>Alta</t>
        </is>
      </c>
      <c r="S79" t="inlineStr">
        <is>
          <t>SI</t>
        </is>
      </c>
      <c r="T79" t="inlineStr">
        <is>
          <t>Se detectó un comercio minorista; revisar esa partida</t>
        </is>
      </c>
    </row>
    <row r="80">
      <c r="A80" t="inlineStr">
        <is>
          <t>2026-04</t>
        </is>
      </c>
      <c r="B80" t="inlineStr">
        <is>
          <t>Estados Unidos</t>
        </is>
      </c>
      <c r="C80" t="inlineStr">
        <is>
          <t>USA</t>
        </is>
      </c>
      <c r="D80" t="inlineStr">
        <is>
          <t>USD</t>
        </is>
      </c>
      <c r="E80" t="inlineStr">
        <is>
          <t>PL-O-120</t>
        </is>
      </c>
      <c r="F80" t="inlineStr">
        <is>
          <t>Gastos de administración</t>
        </is>
      </c>
      <c r="G80" t="inlineStr">
        <is>
          <t>Alimentación y restaurante</t>
        </is>
      </c>
      <c r="H80" t="inlineStr">
        <is>
          <t>Casino y restaurante</t>
        </is>
      </c>
      <c r="I80" t="inlineStr">
        <is>
          <t>North Italia</t>
        </is>
      </c>
      <c r="J80" s="41" t="n">
        <v>177.68</v>
      </c>
      <c r="K80" s="41" t="n">
        <v>0</v>
      </c>
      <c r="L80" s="41" t="n">
        <v>0</v>
      </c>
      <c r="M80" s="41" t="n">
        <v>177.68</v>
      </c>
      <c r="N80" s="41" t="n">
        <v>177.68</v>
      </c>
      <c r="O80" s="41" t="n">
        <v>0</v>
      </c>
      <c r="P80" t="inlineStr">
        <is>
          <t>Abril 2026 USA.xlsx</t>
        </is>
      </c>
      <c r="Q80" t="inlineStr">
        <is>
          <t>Fila 122</t>
        </is>
      </c>
      <c r="R80" t="inlineStr">
        <is>
          <t>Alta</t>
        </is>
      </c>
      <c r="S80" t="inlineStr">
        <is>
          <t>SI</t>
        </is>
      </c>
      <c r="T80" t="inlineStr">
        <is>
          <t>Se detectó un comercio minorista; revisar esa partida</t>
        </is>
      </c>
    </row>
    <row r="81">
      <c r="A81" t="inlineStr">
        <is>
          <t>2026-04</t>
        </is>
      </c>
      <c r="B81" t="inlineStr">
        <is>
          <t>Estados Unidos</t>
        </is>
      </c>
      <c r="C81" t="inlineStr">
        <is>
          <t>USA</t>
        </is>
      </c>
      <c r="D81" t="inlineStr">
        <is>
          <t>USD</t>
        </is>
      </c>
      <c r="E81" t="inlineStr">
        <is>
          <t>PL-O-120</t>
        </is>
      </c>
      <c r="F81" t="inlineStr">
        <is>
          <t>Gastos de administración</t>
        </is>
      </c>
      <c r="G81" t="inlineStr">
        <is>
          <t>Alimentación y restaurante</t>
        </is>
      </c>
      <c r="H81" t="inlineStr">
        <is>
          <t>Casino y restaurante</t>
        </is>
      </c>
      <c r="I81" t="inlineStr">
        <is>
          <t>Fogo de Chão</t>
        </is>
      </c>
      <c r="J81" s="41" t="n">
        <v>248</v>
      </c>
      <c r="K81" s="41" t="n">
        <v>0</v>
      </c>
      <c r="L81" s="41" t="n">
        <v>0</v>
      </c>
      <c r="M81" s="41" t="n">
        <v>248</v>
      </c>
      <c r="N81" s="41" t="n">
        <v>248</v>
      </c>
      <c r="O81" s="41" t="n">
        <v>0</v>
      </c>
      <c r="P81" t="inlineStr">
        <is>
          <t>Abril 2026 USA.xlsx</t>
        </is>
      </c>
      <c r="Q81" t="inlineStr">
        <is>
          <t>Fila 123</t>
        </is>
      </c>
      <c r="R81" t="inlineStr">
        <is>
          <t>Alta</t>
        </is>
      </c>
      <c r="S81" t="inlineStr">
        <is>
          <t>SI</t>
        </is>
      </c>
      <c r="T81" t="inlineStr">
        <is>
          <t>Se detectó un comercio minorista; revisar esa partida</t>
        </is>
      </c>
    </row>
    <row r="82">
      <c r="A82" t="inlineStr">
        <is>
          <t>2026-04</t>
        </is>
      </c>
      <c r="B82" t="inlineStr">
        <is>
          <t>Estados Unidos</t>
        </is>
      </c>
      <c r="C82" t="inlineStr">
        <is>
          <t>USA</t>
        </is>
      </c>
      <c r="D82" t="inlineStr">
        <is>
          <t>USD</t>
        </is>
      </c>
      <c r="E82" t="inlineStr">
        <is>
          <t>PL-O-120</t>
        </is>
      </c>
      <c r="F82" t="inlineStr">
        <is>
          <t>Gastos de administración</t>
        </is>
      </c>
      <c r="G82" t="inlineStr">
        <is>
          <t>Alimentación y restaurante</t>
        </is>
      </c>
      <c r="H82" t="inlineStr">
        <is>
          <t>Casino y restaurante</t>
        </is>
      </c>
      <c r="I82" t="inlineStr">
        <is>
          <t>Crepes &amp; Waffles</t>
        </is>
      </c>
      <c r="J82" s="41" t="n">
        <v>30.09</v>
      </c>
      <c r="K82" s="41" t="n">
        <v>0</v>
      </c>
      <c r="L82" s="41" t="n">
        <v>0</v>
      </c>
      <c r="M82" s="41" t="n">
        <v>30.09</v>
      </c>
      <c r="N82" s="41" t="n">
        <v>30.09</v>
      </c>
      <c r="O82" s="41" t="n">
        <v>0</v>
      </c>
      <c r="P82" t="inlineStr">
        <is>
          <t>Abril 2026 USA.xlsx</t>
        </is>
      </c>
      <c r="Q82" t="inlineStr">
        <is>
          <t>Fila 124</t>
        </is>
      </c>
      <c r="R82" t="inlineStr">
        <is>
          <t>Alta</t>
        </is>
      </c>
      <c r="S82" t="inlineStr">
        <is>
          <t>SI</t>
        </is>
      </c>
      <c r="T82" t="inlineStr">
        <is>
          <t>Se detectó un comercio minorista; revisar esa partida</t>
        </is>
      </c>
    </row>
    <row r="83">
      <c r="A83" t="inlineStr">
        <is>
          <t>2026-04</t>
        </is>
      </c>
      <c r="B83" t="inlineStr">
        <is>
          <t>Estados Unidos</t>
        </is>
      </c>
      <c r="C83" t="inlineStr">
        <is>
          <t>USA</t>
        </is>
      </c>
      <c r="D83" t="inlineStr">
        <is>
          <t>USD</t>
        </is>
      </c>
      <c r="E83" t="inlineStr">
        <is>
          <t>PL-O-120</t>
        </is>
      </c>
      <c r="F83" t="inlineStr">
        <is>
          <t>Gastos de administración</t>
        </is>
      </c>
      <c r="G83" t="inlineStr">
        <is>
          <t>Alimentación y restaurante</t>
        </is>
      </c>
      <c r="H83" t="inlineStr">
        <is>
          <t>Casino y restaurante</t>
        </is>
      </c>
      <c r="I83" t="inlineStr">
        <is>
          <t>Sunny Side- Miami</t>
        </is>
      </c>
      <c r="J83" s="41" t="n">
        <v>0</v>
      </c>
      <c r="K83" s="41" t="n">
        <v>182.88</v>
      </c>
      <c r="L83" s="41" t="n">
        <v>0</v>
      </c>
      <c r="M83" s="41" t="n">
        <v>182.88</v>
      </c>
      <c r="N83" s="41" t="n">
        <v>182.88</v>
      </c>
      <c r="O83" s="41" t="n">
        <v>182.88</v>
      </c>
      <c r="P83" t="inlineStr">
        <is>
          <t>Abril 2026 USA.xlsx</t>
        </is>
      </c>
      <c r="Q83" t="inlineStr">
        <is>
          <t>Fila 125</t>
        </is>
      </c>
      <c r="R83" t="inlineStr">
        <is>
          <t>Alta</t>
        </is>
      </c>
      <c r="S83" t="inlineStr">
        <is>
          <t>SI</t>
        </is>
      </c>
      <c r="T83" t="inlineStr">
        <is>
          <t>Se detectó un comercio minorista; revisar esa partida</t>
        </is>
      </c>
    </row>
    <row r="84">
      <c r="A84" t="inlineStr">
        <is>
          <t>2026-04</t>
        </is>
      </c>
      <c r="B84" t="inlineStr">
        <is>
          <t>Estados Unidos</t>
        </is>
      </c>
      <c r="C84" t="inlineStr">
        <is>
          <t>USA</t>
        </is>
      </c>
      <c r="D84" t="inlineStr">
        <is>
          <t>USD</t>
        </is>
      </c>
      <c r="E84" t="inlineStr">
        <is>
          <t>PL-O-120</t>
        </is>
      </c>
      <c r="F84" t="inlineStr">
        <is>
          <t>Gastos de administración</t>
        </is>
      </c>
      <c r="G84" t="inlineStr">
        <is>
          <t>Alimentación y restaurante</t>
        </is>
      </c>
      <c r="H84" t="inlineStr">
        <is>
          <t>Casino y restaurante</t>
        </is>
      </c>
      <c r="I84" t="inlineStr">
        <is>
          <t>La Carretera</t>
        </is>
      </c>
      <c r="J84" s="41" t="n">
        <v>7.03</v>
      </c>
      <c r="K84" s="41" t="n">
        <v>0</v>
      </c>
      <c r="L84" s="41" t="n">
        <v>0</v>
      </c>
      <c r="M84" s="41" t="n">
        <v>7.03</v>
      </c>
      <c r="N84" s="41" t="n">
        <v>7.03</v>
      </c>
      <c r="O84" s="41" t="n">
        <v>0</v>
      </c>
      <c r="P84" t="inlineStr">
        <is>
          <t>Abril 2026 USA.xlsx</t>
        </is>
      </c>
      <c r="Q84" t="inlineStr">
        <is>
          <t>Fila 126</t>
        </is>
      </c>
      <c r="R84" t="inlineStr">
        <is>
          <t>Alta</t>
        </is>
      </c>
      <c r="S84" t="inlineStr">
        <is>
          <t>SI</t>
        </is>
      </c>
      <c r="T84" t="inlineStr">
        <is>
          <t>Se detectó un comercio minorista; revisar esa partida</t>
        </is>
      </c>
    </row>
    <row r="85">
      <c r="A85" t="inlineStr">
        <is>
          <t>2026-04</t>
        </is>
      </c>
      <c r="B85" t="inlineStr">
        <is>
          <t>Estados Unidos</t>
        </is>
      </c>
      <c r="C85" t="inlineStr">
        <is>
          <t>USA</t>
        </is>
      </c>
      <c r="D85" t="inlineStr">
        <is>
          <t>USD</t>
        </is>
      </c>
      <c r="E85" t="inlineStr">
        <is>
          <t>PL-O-120</t>
        </is>
      </c>
      <c r="F85" t="inlineStr">
        <is>
          <t>Gastos de administración</t>
        </is>
      </c>
      <c r="G85" t="inlineStr">
        <is>
          <t>Alimentación y restaurante</t>
        </is>
      </c>
      <c r="H85" t="inlineStr">
        <is>
          <t>Casino y restaurante</t>
        </is>
      </c>
      <c r="I85" t="inlineStr">
        <is>
          <t>Fiorito</t>
        </is>
      </c>
      <c r="J85" s="41" t="n">
        <v>0</v>
      </c>
      <c r="K85" s="41" t="n">
        <v>127.26</v>
      </c>
      <c r="L85" s="41" t="n">
        <v>0</v>
      </c>
      <c r="M85" s="41" t="n">
        <v>127.26</v>
      </c>
      <c r="N85" s="41" t="n">
        <v>127.26</v>
      </c>
      <c r="O85" s="41" t="n">
        <v>127.26</v>
      </c>
      <c r="P85" t="inlineStr">
        <is>
          <t>Abril 2026 USA.xlsx</t>
        </is>
      </c>
      <c r="Q85" t="inlineStr">
        <is>
          <t>Fila 127</t>
        </is>
      </c>
      <c r="R85" t="inlineStr">
        <is>
          <t>Alta</t>
        </is>
      </c>
      <c r="S85" t="inlineStr">
        <is>
          <t>SI</t>
        </is>
      </c>
      <c r="T85" t="inlineStr">
        <is>
          <t>Se detectó un comercio minorista; revisar esa partida</t>
        </is>
      </c>
    </row>
    <row r="86">
      <c r="A86" t="inlineStr">
        <is>
          <t>2026-04</t>
        </is>
      </c>
      <c r="B86" t="inlineStr">
        <is>
          <t>Estados Unidos</t>
        </is>
      </c>
      <c r="C86" t="inlineStr">
        <is>
          <t>USA</t>
        </is>
      </c>
      <c r="D86" t="inlineStr">
        <is>
          <t>USD</t>
        </is>
      </c>
      <c r="E86" t="inlineStr">
        <is>
          <t>PL-O-120</t>
        </is>
      </c>
      <c r="F86" t="inlineStr">
        <is>
          <t>Gastos de administración</t>
        </is>
      </c>
      <c r="G86" t="inlineStr">
        <is>
          <t>Alimentación y restaurante</t>
        </is>
      </c>
      <c r="H86" t="inlineStr">
        <is>
          <t>Casino y restaurante</t>
        </is>
      </c>
      <c r="I86" t="inlineStr">
        <is>
          <t>Door Dash</t>
        </is>
      </c>
      <c r="J86" s="41" t="n">
        <v>0</v>
      </c>
      <c r="K86" s="41" t="n">
        <v>27.93</v>
      </c>
      <c r="L86" s="41" t="n">
        <v>0</v>
      </c>
      <c r="M86" s="41" t="n">
        <v>27.93</v>
      </c>
      <c r="N86" s="41" t="n">
        <v>27.93</v>
      </c>
      <c r="O86" s="41" t="n">
        <v>27.93</v>
      </c>
      <c r="P86" t="inlineStr">
        <is>
          <t>Abril 2026 USA.xlsx</t>
        </is>
      </c>
      <c r="Q86" t="inlineStr">
        <is>
          <t>Fila 128</t>
        </is>
      </c>
      <c r="R86" t="inlineStr">
        <is>
          <t>Alta</t>
        </is>
      </c>
      <c r="S86" t="inlineStr">
        <is>
          <t>SI</t>
        </is>
      </c>
      <c r="T86" t="inlineStr">
        <is>
          <t>Se detectó un comercio minorista; revisar esa partida</t>
        </is>
      </c>
    </row>
    <row r="87">
      <c r="A87" t="inlineStr">
        <is>
          <t>2026-04</t>
        </is>
      </c>
      <c r="B87" t="inlineStr">
        <is>
          <t>Estados Unidos</t>
        </is>
      </c>
      <c r="C87" t="inlineStr">
        <is>
          <t>USA</t>
        </is>
      </c>
      <c r="D87" t="inlineStr">
        <is>
          <t>USD</t>
        </is>
      </c>
      <c r="E87" t="inlineStr">
        <is>
          <t>PL-O-120</t>
        </is>
      </c>
      <c r="F87" t="inlineStr">
        <is>
          <t>Gastos de administración</t>
        </is>
      </c>
      <c r="G87" t="inlineStr">
        <is>
          <t>Alimentación y restaurante</t>
        </is>
      </c>
      <c r="H87" t="inlineStr">
        <is>
          <t>Casino y restaurante</t>
        </is>
      </c>
      <c r="I87" t="inlineStr">
        <is>
          <t>Estadero y Asados Dona</t>
        </is>
      </c>
      <c r="J87" s="41" t="n">
        <v>72.54000000000001</v>
      </c>
      <c r="K87" s="41" t="n">
        <v>0</v>
      </c>
      <c r="L87" s="41" t="n">
        <v>0</v>
      </c>
      <c r="M87" s="41" t="n">
        <v>72.54000000000001</v>
      </c>
      <c r="N87" s="41" t="n">
        <v>72.54000000000001</v>
      </c>
      <c r="O87" s="41" t="n">
        <v>0</v>
      </c>
      <c r="P87" t="inlineStr">
        <is>
          <t>Abril 2026 USA.xlsx</t>
        </is>
      </c>
      <c r="Q87" t="inlineStr">
        <is>
          <t>Fila 129</t>
        </is>
      </c>
      <c r="R87" t="inlineStr">
        <is>
          <t>Alta</t>
        </is>
      </c>
      <c r="S87" t="inlineStr">
        <is>
          <t>SI</t>
        </is>
      </c>
      <c r="T87" t="inlineStr">
        <is>
          <t>Se detectó un comercio minorista; revisar esa partida</t>
        </is>
      </c>
    </row>
    <row r="88">
      <c r="A88" t="inlineStr">
        <is>
          <t>2026-04</t>
        </is>
      </c>
      <c r="B88" t="inlineStr">
        <is>
          <t>Estados Unidos</t>
        </is>
      </c>
      <c r="C88" t="inlineStr">
        <is>
          <t>USA</t>
        </is>
      </c>
      <c r="D88" t="inlineStr">
        <is>
          <t>USD</t>
        </is>
      </c>
      <c r="E88" t="inlineStr">
        <is>
          <t>PL-O-130</t>
        </is>
      </c>
      <c r="F88" t="inlineStr">
        <is>
          <t>Gastos de administración</t>
        </is>
      </c>
      <c r="G88" t="inlineStr">
        <is>
          <t>Transporte local y parqueaderos</t>
        </is>
      </c>
      <c r="H88" t="inlineStr">
        <is>
          <t>Parqueaderos</t>
        </is>
      </c>
      <c r="I88" t="inlineStr">
        <is>
          <t>LAZ Parking</t>
        </is>
      </c>
      <c r="J88" s="41" t="n">
        <v>0</v>
      </c>
      <c r="K88" s="41" t="n">
        <v>10</v>
      </c>
      <c r="L88" s="41" t="n">
        <v>0</v>
      </c>
      <c r="M88" s="41" t="n">
        <v>10</v>
      </c>
      <c r="N88" s="41" t="n">
        <v>10</v>
      </c>
      <c r="O88" s="41" t="n">
        <v>10</v>
      </c>
      <c r="P88" t="inlineStr">
        <is>
          <t>Abril 2026 USA.xlsx</t>
        </is>
      </c>
      <c r="Q88" t="inlineStr">
        <is>
          <t>Fila 131</t>
        </is>
      </c>
      <c r="R88" t="inlineStr">
        <is>
          <t>Alta</t>
        </is>
      </c>
      <c r="S88" t="inlineStr">
        <is>
          <t>NO</t>
        </is>
      </c>
      <c r="T88" t="inlineStr">
        <is>
          <t>Parqueaderos</t>
        </is>
      </c>
    </row>
    <row r="89">
      <c r="A89" t="inlineStr">
        <is>
          <t>2026-04</t>
        </is>
      </c>
      <c r="B89" t="inlineStr">
        <is>
          <t>Estados Unidos</t>
        </is>
      </c>
      <c r="C89" t="inlineStr">
        <is>
          <t>USA</t>
        </is>
      </c>
      <c r="D89" t="inlineStr">
        <is>
          <t>USD</t>
        </is>
      </c>
      <c r="E89" t="inlineStr">
        <is>
          <t>PL-O-130</t>
        </is>
      </c>
      <c r="F89" t="inlineStr">
        <is>
          <t>Gastos de administración</t>
        </is>
      </c>
      <c r="G89" t="inlineStr">
        <is>
          <t>Transporte local y parqueaderos</t>
        </is>
      </c>
      <c r="H89" t="inlineStr">
        <is>
          <t>Parqueaderos</t>
        </is>
      </c>
      <c r="I89" t="inlineStr">
        <is>
          <t>Southern Parking</t>
        </is>
      </c>
      <c r="J89" s="41" t="n">
        <v>0</v>
      </c>
      <c r="K89" s="41" t="n">
        <v>12.75</v>
      </c>
      <c r="L89" s="41" t="n">
        <v>0</v>
      </c>
      <c r="M89" s="41" t="n">
        <v>12.75</v>
      </c>
      <c r="N89" s="41" t="n">
        <v>12.75</v>
      </c>
      <c r="O89" s="41" t="n">
        <v>12.75</v>
      </c>
      <c r="P89" t="inlineStr">
        <is>
          <t>Abril 2026 USA.xlsx</t>
        </is>
      </c>
      <c r="Q89" t="inlineStr">
        <is>
          <t>Fila 132</t>
        </is>
      </c>
      <c r="R89" t="inlineStr">
        <is>
          <t>Alta</t>
        </is>
      </c>
      <c r="S89" t="inlineStr">
        <is>
          <t>NO</t>
        </is>
      </c>
      <c r="T89" t="inlineStr">
        <is>
          <t>Parqueaderos</t>
        </is>
      </c>
    </row>
    <row r="90">
      <c r="A90" t="inlineStr">
        <is>
          <t>2026-04</t>
        </is>
      </c>
      <c r="B90" t="inlineStr">
        <is>
          <t>Estados Unidos</t>
        </is>
      </c>
      <c r="C90" t="inlineStr">
        <is>
          <t>USA</t>
        </is>
      </c>
      <c r="D90" t="inlineStr">
        <is>
          <t>USD</t>
        </is>
      </c>
      <c r="E90" t="inlineStr">
        <is>
          <t>PL-O-020</t>
        </is>
      </c>
      <c r="F90" t="inlineStr">
        <is>
          <t>Gastos de administración</t>
        </is>
      </c>
      <c r="G90" t="inlineStr">
        <is>
          <t>Honorarios y servicios profesionales</t>
        </is>
      </c>
      <c r="H90" t="inlineStr">
        <is>
          <t>Revisoría fiscal</t>
        </is>
      </c>
      <c r="I90" t="inlineStr">
        <is>
          <t>Paba Serje Mauricio</t>
        </is>
      </c>
      <c r="J90" s="41" t="n">
        <v>2557.46</v>
      </c>
      <c r="K90" s="41" t="n">
        <v>0</v>
      </c>
      <c r="L90" s="41" t="n">
        <v>0</v>
      </c>
      <c r="M90" s="41" t="n">
        <v>2557.46</v>
      </c>
      <c r="N90" s="41" t="n">
        <v>2557.46</v>
      </c>
      <c r="O90" s="41" t="n">
        <v>0</v>
      </c>
      <c r="P90" t="inlineStr">
        <is>
          <t>Abril 2026 USA.xlsx</t>
        </is>
      </c>
      <c r="Q90" t="inlineStr">
        <is>
          <t>Fila 136</t>
        </is>
      </c>
      <c r="R90" t="inlineStr">
        <is>
          <t>Alta</t>
        </is>
      </c>
      <c r="S90" t="inlineStr">
        <is>
          <t>NO</t>
        </is>
      </c>
      <c r="T90" t="inlineStr">
        <is>
          <t>Reclasificado desde ventas por su naturaleza administrativa</t>
        </is>
      </c>
    </row>
    <row r="91">
      <c r="A91" t="inlineStr">
        <is>
          <t>2026-04</t>
        </is>
      </c>
      <c r="B91" t="inlineStr">
        <is>
          <t>Estados Unidos</t>
        </is>
      </c>
      <c r="C91" t="inlineStr">
        <is>
          <t>USA</t>
        </is>
      </c>
      <c r="D91" t="inlineStr">
        <is>
          <t>USD</t>
        </is>
      </c>
      <c r="E91" t="inlineStr">
        <is>
          <t>PL-O-020</t>
        </is>
      </c>
      <c r="F91" t="inlineStr">
        <is>
          <t>Gastos de administración</t>
        </is>
      </c>
      <c r="G91" t="inlineStr">
        <is>
          <t>Honorarios y servicios profesionales</t>
        </is>
      </c>
      <c r="H91" t="inlineStr">
        <is>
          <t>Revisoría fiscal</t>
        </is>
      </c>
      <c r="I91" t="inlineStr">
        <is>
          <t>Paba Serje Mauricio</t>
        </is>
      </c>
      <c r="J91" s="41" t="n">
        <v>1500</v>
      </c>
      <c r="K91" s="41" t="n">
        <v>0</v>
      </c>
      <c r="L91" s="41" t="n">
        <v>0</v>
      </c>
      <c r="M91" s="41" t="n">
        <v>1500</v>
      </c>
      <c r="N91" s="41" t="n">
        <v>1500</v>
      </c>
      <c r="O91" s="41" t="n">
        <v>0</v>
      </c>
      <c r="P91" t="inlineStr">
        <is>
          <t>Abril 2026 USA.xlsx</t>
        </is>
      </c>
      <c r="Q91" t="inlineStr">
        <is>
          <t>Fila 137</t>
        </is>
      </c>
      <c r="R91" t="inlineStr">
        <is>
          <t>Alta</t>
        </is>
      </c>
      <c r="S91" t="inlineStr">
        <is>
          <t>NO</t>
        </is>
      </c>
      <c r="T91" t="inlineStr">
        <is>
          <t>Reclasificado desde ventas por su naturaleza administrativa</t>
        </is>
      </c>
    </row>
    <row r="92">
      <c r="A92" t="inlineStr">
        <is>
          <t>2026-04</t>
        </is>
      </c>
      <c r="B92" t="inlineStr">
        <is>
          <t>Estados Unidos</t>
        </is>
      </c>
      <c r="C92" t="inlineStr">
        <is>
          <t>USA</t>
        </is>
      </c>
      <c r="D92" t="inlineStr">
        <is>
          <t>USD</t>
        </is>
      </c>
      <c r="E92" t="inlineStr">
        <is>
          <t>PL-S-020</t>
        </is>
      </c>
      <c r="F92" t="inlineStr">
        <is>
          <t>Gastos de ventas</t>
        </is>
      </c>
      <c r="G92" t="inlineStr">
        <is>
          <t>Mercadeo y publicidad</t>
        </is>
      </c>
      <c r="H92" t="inlineStr">
        <is>
          <t>Propaganda y publicidad</t>
        </is>
      </c>
      <c r="I92" t="inlineStr">
        <is>
          <t>Magnimindin</t>
        </is>
      </c>
      <c r="J92" s="41" t="n">
        <v>400</v>
      </c>
      <c r="K92" s="41" t="n">
        <v>0</v>
      </c>
      <c r="L92" s="41" t="n">
        <v>0</v>
      </c>
      <c r="M92" s="41" t="n">
        <v>400</v>
      </c>
      <c r="N92" s="41" t="n">
        <v>400</v>
      </c>
      <c r="O92" s="41" t="n">
        <v>0</v>
      </c>
      <c r="P92" t="inlineStr">
        <is>
          <t>Abril 2026 USA.xlsx</t>
        </is>
      </c>
      <c r="Q92" t="inlineStr">
        <is>
          <t>Fila 140</t>
        </is>
      </c>
      <c r="R92" t="inlineStr">
        <is>
          <t>Alta</t>
        </is>
      </c>
      <c r="S92" t="inlineStr">
        <is>
          <t>NO</t>
        </is>
      </c>
      <c r="T92" t="inlineStr">
        <is>
          <t>Gasto comercial de publicidad</t>
        </is>
      </c>
    </row>
    <row r="93">
      <c r="A93" t="inlineStr">
        <is>
          <t>2026-04</t>
        </is>
      </c>
      <c r="B93" t="inlineStr">
        <is>
          <t>Estados Unidos</t>
        </is>
      </c>
      <c r="C93" t="inlineStr">
        <is>
          <t>USA</t>
        </is>
      </c>
      <c r="D93" t="inlineStr">
        <is>
          <t>USD</t>
        </is>
      </c>
      <c r="E93" t="inlineStr">
        <is>
          <t>PL-S-030</t>
        </is>
      </c>
      <c r="F93" t="inlineStr">
        <is>
          <t>Gastos de ventas</t>
        </is>
      </c>
      <c r="G93" t="inlineStr">
        <is>
          <t>Otros servicios comerciales</t>
        </is>
      </c>
      <c r="H93" t="inlineStr">
        <is>
          <t>Otros</t>
        </is>
      </c>
      <c r="I93" t="inlineStr">
        <is>
          <t>Tech + Startups Community</t>
        </is>
      </c>
      <c r="J93" s="41" t="n">
        <v>648</v>
      </c>
      <c r="K93" s="41" t="n">
        <v>0</v>
      </c>
      <c r="L93" s="41" t="n">
        <v>0</v>
      </c>
      <c r="M93" s="41" t="n">
        <v>648</v>
      </c>
      <c r="N93" s="41" t="n">
        <v>648</v>
      </c>
      <c r="O93" s="41" t="n">
        <v>0</v>
      </c>
      <c r="P93" t="inlineStr">
        <is>
          <t>Abril 2026 USA.xlsx</t>
        </is>
      </c>
      <c r="Q93" t="inlineStr">
        <is>
          <t>Fila 142</t>
        </is>
      </c>
      <c r="R93" t="inlineStr">
        <is>
          <t>Media</t>
        </is>
      </c>
      <c r="S93" t="inlineStr">
        <is>
          <t>SI</t>
        </is>
      </c>
      <c r="T93" t="inlineStr">
        <is>
          <t>Cuenta genérica de servicios comerciales</t>
        </is>
      </c>
    </row>
    <row r="94">
      <c r="A94" t="inlineStr">
        <is>
          <t>2026-04</t>
        </is>
      </c>
      <c r="B94" t="inlineStr">
        <is>
          <t>Estados Unidos</t>
        </is>
      </c>
      <c r="C94" t="inlineStr">
        <is>
          <t>USA</t>
        </is>
      </c>
      <c r="D94" t="inlineStr">
        <is>
          <t>USD</t>
        </is>
      </c>
      <c r="E94" t="inlineStr">
        <is>
          <t>PL-F-010</t>
        </is>
      </c>
      <c r="F94" t="inlineStr">
        <is>
          <t>Gastos financieros</t>
        </is>
      </c>
      <c r="G94" t="inlineStr">
        <is>
          <t>Gastos financieros</t>
        </is>
      </c>
      <c r="H94" t="inlineStr">
        <is>
          <t>Gastos bancarios</t>
        </is>
      </c>
      <c r="I94" t="inlineStr">
        <is>
          <t>BANK OF AMERICA NA</t>
        </is>
      </c>
      <c r="J94" s="41" t="n">
        <v>0</v>
      </c>
      <c r="K94" s="41" t="n">
        <v>0.34</v>
      </c>
      <c r="L94" s="41" t="n">
        <v>0</v>
      </c>
      <c r="M94" s="41" t="n">
        <v>0.34</v>
      </c>
      <c r="N94" s="41" t="n">
        <v>0.34</v>
      </c>
      <c r="O94" s="41" t="n">
        <v>0.34</v>
      </c>
      <c r="P94" t="inlineStr">
        <is>
          <t>Abril 2026 USA.xlsx</t>
        </is>
      </c>
      <c r="Q94" t="inlineStr">
        <is>
          <t>Fila 146</t>
        </is>
      </c>
      <c r="R94" t="inlineStr">
        <is>
          <t>Alta</t>
        </is>
      </c>
      <c r="S94" t="inlineStr">
        <is>
          <t>NO</t>
        </is>
      </c>
      <c r="T94" t="inlineStr">
        <is>
          <t>Costo financiero bancario</t>
        </is>
      </c>
    </row>
    <row r="95">
      <c r="A95" t="inlineStr">
        <is>
          <t>2026-04</t>
        </is>
      </c>
      <c r="B95" t="inlineStr">
        <is>
          <t>Estados Unidos</t>
        </is>
      </c>
      <c r="C95" t="inlineStr">
        <is>
          <t>USA</t>
        </is>
      </c>
      <c r="D95" t="inlineStr">
        <is>
          <t>USD</t>
        </is>
      </c>
      <c r="E95" t="inlineStr">
        <is>
          <t>PL-F-010</t>
        </is>
      </c>
      <c r="F95" t="inlineStr">
        <is>
          <t>Gastos financieros</t>
        </is>
      </c>
      <c r="G95" t="inlineStr">
        <is>
          <t>Gastos financieros</t>
        </is>
      </c>
      <c r="H95" t="inlineStr">
        <is>
          <t>Gastos bancarios</t>
        </is>
      </c>
      <c r="I95" t="inlineStr">
        <is>
          <t>MERCURY LLC</t>
        </is>
      </c>
      <c r="J95" s="41" t="n">
        <v>0</v>
      </c>
      <c r="K95" s="41" t="n">
        <v>15</v>
      </c>
      <c r="L95" s="41" t="n">
        <v>0</v>
      </c>
      <c r="M95" s="41" t="n">
        <v>15</v>
      </c>
      <c r="N95" s="41" t="n">
        <v>15</v>
      </c>
      <c r="O95" s="41" t="n">
        <v>15</v>
      </c>
      <c r="P95" t="inlineStr">
        <is>
          <t>Abril 2026 USA.xlsx</t>
        </is>
      </c>
      <c r="Q95" t="inlineStr">
        <is>
          <t>Fila 147</t>
        </is>
      </c>
      <c r="R95" t="inlineStr">
        <is>
          <t>Alta</t>
        </is>
      </c>
      <c r="S95" t="inlineStr">
        <is>
          <t>NO</t>
        </is>
      </c>
      <c r="T95" t="inlineStr">
        <is>
          <t>Costo financiero bancario</t>
        </is>
      </c>
    </row>
    <row r="96">
      <c r="A96" t="inlineStr">
        <is>
          <t>2026-04</t>
        </is>
      </c>
      <c r="B96" t="inlineStr">
        <is>
          <t>Estados Unidos</t>
        </is>
      </c>
      <c r="C96" t="inlineStr">
        <is>
          <t>USA</t>
        </is>
      </c>
      <c r="D96" t="inlineStr">
        <is>
          <t>USD</t>
        </is>
      </c>
      <c r="E96" t="inlineStr">
        <is>
          <t>PL-F-010</t>
        </is>
      </c>
      <c r="F96" t="inlineStr">
        <is>
          <t>Gastos financieros</t>
        </is>
      </c>
      <c r="G96" t="inlineStr">
        <is>
          <t>Gastos financieros</t>
        </is>
      </c>
      <c r="H96" t="inlineStr">
        <is>
          <t>Comisiones</t>
        </is>
      </c>
      <c r="I96" t="inlineStr">
        <is>
          <t>STRIPE</t>
        </is>
      </c>
      <c r="J96" s="41" t="n">
        <v>10.44</v>
      </c>
      <c r="K96" s="41" t="n">
        <v>7.94</v>
      </c>
      <c r="L96" s="41" t="n">
        <v>0</v>
      </c>
      <c r="M96" s="41" t="n">
        <v>18.38</v>
      </c>
      <c r="N96" s="41" t="n">
        <v>18.38</v>
      </c>
      <c r="O96" s="41" t="n">
        <v>7.94</v>
      </c>
      <c r="P96" t="inlineStr">
        <is>
          <t>Abril 2026 USA.xlsx</t>
        </is>
      </c>
      <c r="Q96" t="inlineStr">
        <is>
          <t>Fila 149</t>
        </is>
      </c>
      <c r="R96" t="inlineStr">
        <is>
          <t>Alta</t>
        </is>
      </c>
      <c r="S96" t="inlineStr">
        <is>
          <t>NO</t>
        </is>
      </c>
      <c r="T96" t="inlineStr">
        <is>
          <t>Comisiones financieras</t>
        </is>
      </c>
    </row>
    <row r="97">
      <c r="A97" t="inlineStr">
        <is>
          <t>2026-04</t>
        </is>
      </c>
      <c r="B97" t="inlineStr">
        <is>
          <t>Estados Unidos</t>
        </is>
      </c>
      <c r="C97" t="inlineStr">
        <is>
          <t>USA</t>
        </is>
      </c>
      <c r="D97" t="inlineStr">
        <is>
          <t>USD</t>
        </is>
      </c>
      <c r="E97" t="inlineStr">
        <is>
          <t>PL-F-010</t>
        </is>
      </c>
      <c r="F97" t="inlineStr">
        <is>
          <t>Gastos financieros</t>
        </is>
      </c>
      <c r="G97" t="inlineStr">
        <is>
          <t>Gastos financieros</t>
        </is>
      </c>
      <c r="H97" t="inlineStr">
        <is>
          <t>Comisiones</t>
        </is>
      </c>
      <c r="I97" t="inlineStr">
        <is>
          <t>Fundacion para la Confianza</t>
        </is>
      </c>
      <c r="J97" s="41" t="n">
        <v>3.11</v>
      </c>
      <c r="K97" s="41" t="n">
        <v>0</v>
      </c>
      <c r="L97" s="41" t="n">
        <v>0</v>
      </c>
      <c r="M97" s="41" t="n">
        <v>3.11</v>
      </c>
      <c r="N97" s="41" t="n">
        <v>3.11</v>
      </c>
      <c r="O97" s="41" t="n">
        <v>0</v>
      </c>
      <c r="P97" t="inlineStr">
        <is>
          <t>Abril 2026 USA.xlsx</t>
        </is>
      </c>
      <c r="Q97" t="inlineStr">
        <is>
          <t>Fila 150</t>
        </is>
      </c>
      <c r="R97" t="inlineStr">
        <is>
          <t>Alta</t>
        </is>
      </c>
      <c r="S97" t="inlineStr">
        <is>
          <t>NO</t>
        </is>
      </c>
      <c r="T97" t="inlineStr">
        <is>
          <t>Comisiones financieras</t>
        </is>
      </c>
    </row>
    <row r="98">
      <c r="A98" t="inlineStr">
        <is>
          <t>2026-04</t>
        </is>
      </c>
      <c r="B98" t="inlineStr">
        <is>
          <t>Estados Unidos</t>
        </is>
      </c>
      <c r="C98" t="inlineStr">
        <is>
          <t>USA</t>
        </is>
      </c>
      <c r="D98" t="inlineStr">
        <is>
          <t>USD</t>
        </is>
      </c>
      <c r="E98" t="inlineStr">
        <is>
          <t>PL-F-010</t>
        </is>
      </c>
      <c r="F98" t="inlineStr">
        <is>
          <t>Gastos financieros</t>
        </is>
      </c>
      <c r="G98" t="inlineStr">
        <is>
          <t>Gastos financieros</t>
        </is>
      </c>
      <c r="H98" t="inlineStr">
        <is>
          <t>Comisiones</t>
        </is>
      </c>
      <c r="I98" t="inlineStr">
        <is>
          <t>ADP</t>
        </is>
      </c>
      <c r="J98" s="41" t="n">
        <v>152.85</v>
      </c>
      <c r="K98" s="41" t="n">
        <v>0</v>
      </c>
      <c r="L98" s="41" t="n">
        <v>0</v>
      </c>
      <c r="M98" s="41" t="n">
        <v>152.85</v>
      </c>
      <c r="N98" s="41" t="n">
        <v>152.85</v>
      </c>
      <c r="O98" s="41" t="n">
        <v>0</v>
      </c>
      <c r="P98" t="inlineStr">
        <is>
          <t>Abril 2026 USA.xlsx</t>
        </is>
      </c>
      <c r="Q98" t="inlineStr">
        <is>
          <t>Fila 151</t>
        </is>
      </c>
      <c r="R98" t="inlineStr">
        <is>
          <t>Alta</t>
        </is>
      </c>
      <c r="S98" t="inlineStr">
        <is>
          <t>NO</t>
        </is>
      </c>
      <c r="T98" t="inlineStr">
        <is>
          <t>Comisiones financieras</t>
        </is>
      </c>
    </row>
    <row r="99">
      <c r="A99" t="inlineStr">
        <is>
          <t>2026-04</t>
        </is>
      </c>
      <c r="B99" t="inlineStr">
        <is>
          <t>Estados Unidos</t>
        </is>
      </c>
      <c r="C99" t="inlineStr">
        <is>
          <t>USA</t>
        </is>
      </c>
      <c r="D99" t="inlineStr">
        <is>
          <t>USD</t>
        </is>
      </c>
      <c r="E99" t="inlineStr">
        <is>
          <t>PL-F-010</t>
        </is>
      </c>
      <c r="F99" t="inlineStr">
        <is>
          <t>Gastos financieros</t>
        </is>
      </c>
      <c r="G99" t="inlineStr">
        <is>
          <t>Gastos financieros</t>
        </is>
      </c>
      <c r="H99" t="inlineStr">
        <is>
          <t>Comisiones</t>
        </is>
      </c>
      <c r="I99" t="inlineStr">
        <is>
          <t>MERCURY LLC</t>
        </is>
      </c>
      <c r="J99" s="41" t="n">
        <v>0.9</v>
      </c>
      <c r="K99" s="41" t="n">
        <v>0</v>
      </c>
      <c r="L99" s="41" t="n">
        <v>0</v>
      </c>
      <c r="M99" s="41" t="n">
        <v>0.9</v>
      </c>
      <c r="N99" s="41" t="n">
        <v>0.9</v>
      </c>
      <c r="O99" s="41" t="n">
        <v>0</v>
      </c>
      <c r="P99" t="inlineStr">
        <is>
          <t>Abril 2026 USA.xlsx</t>
        </is>
      </c>
      <c r="Q99" t="inlineStr">
        <is>
          <t>Fila 152</t>
        </is>
      </c>
      <c r="R99" t="inlineStr">
        <is>
          <t>Alta</t>
        </is>
      </c>
      <c r="S99" t="inlineStr">
        <is>
          <t>NO</t>
        </is>
      </c>
      <c r="T99" t="inlineStr">
        <is>
          <t>Comisiones financieras</t>
        </is>
      </c>
    </row>
    <row r="100">
      <c r="A100" t="inlineStr">
        <is>
          <t>2026-01</t>
        </is>
      </c>
      <c r="B100" t="inlineStr">
        <is>
          <t>Costa Rica</t>
        </is>
      </c>
      <c r="C100" t="inlineStr">
        <is>
          <t>CR</t>
        </is>
      </c>
      <c r="D100" t="inlineStr">
        <is>
          <t>USD</t>
        </is>
      </c>
      <c r="E100" t="inlineStr">
        <is>
          <t>PL-O-010</t>
        </is>
      </c>
      <c r="F100" t="inlineStr">
        <is>
          <t>Gastos de administración</t>
        </is>
      </c>
      <c r="G100" t="inlineStr">
        <is>
          <t>Gastos de personal</t>
        </is>
      </c>
      <c r="H100" t="inlineStr">
        <is>
          <t>Sueldos</t>
        </is>
      </c>
      <c r="I100" t="inlineStr">
        <is>
          <t>NARANJO BUSTOS MARIAM</t>
        </is>
      </c>
      <c r="J100" s="41" t="n">
        <v>0</v>
      </c>
      <c r="K100" s="41" t="n">
        <v>1200</v>
      </c>
      <c r="L100" s="41" t="n">
        <v>0</v>
      </c>
      <c r="M100" s="41" t="n">
        <v>1200</v>
      </c>
      <c r="N100" s="41" t="n">
        <v>1200</v>
      </c>
      <c r="O100" s="41" t="n">
        <v>1200</v>
      </c>
      <c r="P100" t="inlineStr">
        <is>
          <t>Enero 2026 CR.xlsx</t>
        </is>
      </c>
      <c r="Q100" t="inlineStr">
        <is>
          <t>Fila 28</t>
        </is>
      </c>
      <c r="R100" t="inlineStr">
        <is>
          <t>Alta</t>
        </is>
      </c>
      <c r="S100" t="inlineStr">
        <is>
          <t>NO</t>
        </is>
      </c>
      <c r="T100" t="inlineStr">
        <is>
          <t>Remuneración laboral</t>
        </is>
      </c>
    </row>
    <row r="101">
      <c r="A101" t="inlineStr">
        <is>
          <t>2026-01</t>
        </is>
      </c>
      <c r="B101" t="inlineStr">
        <is>
          <t>Costa Rica</t>
        </is>
      </c>
      <c r="C101" t="inlineStr">
        <is>
          <t>CR</t>
        </is>
      </c>
      <c r="D101" t="inlineStr">
        <is>
          <t>USD</t>
        </is>
      </c>
      <c r="E101" t="inlineStr">
        <is>
          <t>PL-O-090</t>
        </is>
      </c>
      <c r="F101" t="inlineStr">
        <is>
          <t>Gastos de administración</t>
        </is>
      </c>
      <c r="G101" t="inlineStr">
        <is>
          <t>Viajes y representación</t>
        </is>
      </c>
      <c r="H101" t="inlineStr">
        <is>
          <t>Viáticos</t>
        </is>
      </c>
      <c r="J101" s="41" t="n">
        <v>0</v>
      </c>
      <c r="K101" s="41" t="n">
        <v>300</v>
      </c>
      <c r="L101" s="41" t="n">
        <v>0</v>
      </c>
      <c r="M101" s="41" t="n">
        <v>300</v>
      </c>
      <c r="N101" s="41" t="n">
        <v>300</v>
      </c>
      <c r="O101" s="41" t="n">
        <v>300</v>
      </c>
      <c r="P101" t="inlineStr">
        <is>
          <t>Enero 2026 CR.xlsx</t>
        </is>
      </c>
      <c r="Q101" t="inlineStr">
        <is>
          <t>Fila 30</t>
        </is>
      </c>
      <c r="R101" t="inlineStr">
        <is>
          <t>Alta</t>
        </is>
      </c>
      <c r="S101" t="inlineStr">
        <is>
          <t>NO</t>
        </is>
      </c>
      <c r="T101" t="inlineStr">
        <is>
          <t>Viáticos administrativos</t>
        </is>
      </c>
    </row>
    <row r="102">
      <c r="A102" t="inlineStr">
        <is>
          <t>2026-01</t>
        </is>
      </c>
      <c r="B102" t="inlineStr">
        <is>
          <t>Costa Rica</t>
        </is>
      </c>
      <c r="C102" t="inlineStr">
        <is>
          <t>CR</t>
        </is>
      </c>
      <c r="D102" t="inlineStr">
        <is>
          <t>USD</t>
        </is>
      </c>
      <c r="E102" t="inlineStr">
        <is>
          <t>PL-O-010</t>
        </is>
      </c>
      <c r="F102" t="inlineStr">
        <is>
          <t>Gastos de administración</t>
        </is>
      </c>
      <c r="G102" t="inlineStr">
        <is>
          <t>Gastos de personal</t>
        </is>
      </c>
      <c r="H102" t="inlineStr">
        <is>
          <t>Prestaciones sociales</t>
        </is>
      </c>
      <c r="I102" t="inlineStr">
        <is>
          <t>NARANJO BUSTOS MARIAM</t>
        </is>
      </c>
      <c r="J102" s="41" t="n">
        <v>0</v>
      </c>
      <c r="K102" s="41" t="n">
        <v>400</v>
      </c>
      <c r="L102" s="41" t="n">
        <v>0</v>
      </c>
      <c r="M102" s="41" t="n">
        <v>400</v>
      </c>
      <c r="N102" s="41" t="n">
        <v>400</v>
      </c>
      <c r="O102" s="41" t="n">
        <v>400</v>
      </c>
      <c r="P102" t="inlineStr">
        <is>
          <t>Enero 2026 CR.xlsx</t>
        </is>
      </c>
      <c r="Q102" t="inlineStr">
        <is>
          <t>Fila 32</t>
        </is>
      </c>
      <c r="R102" t="inlineStr">
        <is>
          <t>Alta</t>
        </is>
      </c>
      <c r="S102" t="inlineStr">
        <is>
          <t>NO</t>
        </is>
      </c>
      <c r="T102" t="inlineStr">
        <is>
          <t>Prestaciones laborales</t>
        </is>
      </c>
    </row>
    <row r="103">
      <c r="A103" t="inlineStr">
        <is>
          <t>2026-01</t>
        </is>
      </c>
      <c r="B103" t="inlineStr">
        <is>
          <t>Costa Rica</t>
        </is>
      </c>
      <c r="C103" t="inlineStr">
        <is>
          <t>CR</t>
        </is>
      </c>
      <c r="D103" t="inlineStr">
        <is>
          <t>USD</t>
        </is>
      </c>
      <c r="E103" t="inlineStr">
        <is>
          <t>PL-O-030</t>
        </is>
      </c>
      <c r="F103" t="inlineStr">
        <is>
          <t>Gastos de administración</t>
        </is>
      </c>
      <c r="G103" t="inlineStr">
        <is>
          <t>Impuestos y contribuciones</t>
        </is>
      </c>
      <c r="H103" t="inlineStr">
        <is>
          <t>Industria, comercio y otros</t>
        </is>
      </c>
      <c r="I103" t="inlineStr">
        <is>
          <t>MINISTERIO DE HACIENDA</t>
        </is>
      </c>
      <c r="J103" s="41" t="n">
        <v>0</v>
      </c>
      <c r="K103" s="41" t="n">
        <v>240.73</v>
      </c>
      <c r="L103" s="41" t="n">
        <v>0</v>
      </c>
      <c r="M103" s="41" t="n">
        <v>240.73</v>
      </c>
      <c r="N103" s="41" t="n">
        <v>240.73</v>
      </c>
      <c r="O103" s="41" t="n">
        <v>240.73</v>
      </c>
      <c r="P103" t="inlineStr">
        <is>
          <t>Enero 2026 CR.xlsx</t>
        </is>
      </c>
      <c r="Q103" t="inlineStr">
        <is>
          <t>Fila 35</t>
        </is>
      </c>
      <c r="R103" t="inlineStr">
        <is>
          <t>Alta</t>
        </is>
      </c>
      <c r="S103" t="inlineStr">
        <is>
          <t>NO</t>
        </is>
      </c>
      <c r="T103" t="inlineStr">
        <is>
          <t>Impuestos no asociados a renta</t>
        </is>
      </c>
    </row>
    <row r="104">
      <c r="A104" t="inlineStr">
        <is>
          <t>2026-01</t>
        </is>
      </c>
      <c r="B104" t="inlineStr">
        <is>
          <t>Costa Rica</t>
        </is>
      </c>
      <c r="C104" t="inlineStr">
        <is>
          <t>CR</t>
        </is>
      </c>
      <c r="D104" t="inlineStr">
        <is>
          <t>USD</t>
        </is>
      </c>
      <c r="E104" t="inlineStr">
        <is>
          <t>PL-O-110</t>
        </is>
      </c>
      <c r="F104" t="inlineStr">
        <is>
          <t>Gastos de administración</t>
        </is>
      </c>
      <c r="G104" t="inlineStr">
        <is>
          <t>Suministros y oficina</t>
        </is>
      </c>
      <c r="H104" t="inlineStr">
        <is>
          <t>Útiles, papelería y fotocopias</t>
        </is>
      </c>
      <c r="I104" t="inlineStr">
        <is>
          <t>MUNDO TECNOLOGIA</t>
        </is>
      </c>
      <c r="J104" s="41" t="n">
        <v>0</v>
      </c>
      <c r="K104" s="41" t="n">
        <v>15</v>
      </c>
      <c r="L104" s="41" t="n">
        <v>0</v>
      </c>
      <c r="M104" s="41" t="n">
        <v>15</v>
      </c>
      <c r="N104" s="41" t="n">
        <v>15</v>
      </c>
      <c r="O104" s="41" t="n">
        <v>15</v>
      </c>
      <c r="P104" t="inlineStr">
        <is>
          <t>Enero 2026 CR.xlsx</t>
        </is>
      </c>
      <c r="Q104" t="inlineStr">
        <is>
          <t>Fila 38</t>
        </is>
      </c>
      <c r="R104" t="inlineStr">
        <is>
          <t>Alta</t>
        </is>
      </c>
      <c r="S104" t="inlineStr">
        <is>
          <t>NO</t>
        </is>
      </c>
      <c r="T104" t="inlineStr">
        <is>
          <t>Suministros de oficina</t>
        </is>
      </c>
    </row>
    <row r="105">
      <c r="A105" t="inlineStr">
        <is>
          <t>2026-01</t>
        </is>
      </c>
      <c r="B105" t="inlineStr">
        <is>
          <t>Costa Rica</t>
        </is>
      </c>
      <c r="C105" t="inlineStr">
        <is>
          <t>CR</t>
        </is>
      </c>
      <c r="D105" t="inlineStr">
        <is>
          <t>USD</t>
        </is>
      </c>
      <c r="E105" t="inlineStr">
        <is>
          <t>PL-O-110</t>
        </is>
      </c>
      <c r="F105" t="inlineStr">
        <is>
          <t>Gastos de administración</t>
        </is>
      </c>
      <c r="G105" t="inlineStr">
        <is>
          <t>Suministros y oficina</t>
        </is>
      </c>
      <c r="H105" t="inlineStr">
        <is>
          <t>Útiles, papelería y fotocopias</t>
        </is>
      </c>
      <c r="I105" t="inlineStr">
        <is>
          <t>REGISTRO NACIONAL REPUBLICA DE COSTA RICA</t>
        </is>
      </c>
      <c r="J105" s="41" t="n">
        <v>0</v>
      </c>
      <c r="K105" s="41" t="n">
        <v>7</v>
      </c>
      <c r="L105" s="41" t="n">
        <v>0</v>
      </c>
      <c r="M105" s="41" t="n">
        <v>7</v>
      </c>
      <c r="N105" s="41" t="n">
        <v>7</v>
      </c>
      <c r="O105" s="41" t="n">
        <v>7</v>
      </c>
      <c r="P105" t="inlineStr">
        <is>
          <t>Enero 2026 CR.xlsx</t>
        </is>
      </c>
      <c r="Q105" t="inlineStr">
        <is>
          <t>Fila 39</t>
        </is>
      </c>
      <c r="R105" t="inlineStr">
        <is>
          <t>Alta</t>
        </is>
      </c>
      <c r="S105" t="inlineStr">
        <is>
          <t>NO</t>
        </is>
      </c>
      <c r="T105" t="inlineStr">
        <is>
          <t>Suministros de oficina</t>
        </is>
      </c>
    </row>
    <row r="106">
      <c r="A106" t="inlineStr">
        <is>
          <t>2026-01</t>
        </is>
      </c>
      <c r="B106" t="inlineStr">
        <is>
          <t>Costa Rica</t>
        </is>
      </c>
      <c r="C106" t="inlineStr">
        <is>
          <t>CR</t>
        </is>
      </c>
      <c r="D106" t="inlineStr">
        <is>
          <t>USD</t>
        </is>
      </c>
      <c r="E106" t="inlineStr">
        <is>
          <t>PL-F-010</t>
        </is>
      </c>
      <c r="F106" t="inlineStr">
        <is>
          <t>Gastos financieros</t>
        </is>
      </c>
      <c r="G106" t="inlineStr">
        <is>
          <t>Gastos financieros</t>
        </is>
      </c>
      <c r="H106" t="inlineStr">
        <is>
          <t>Gastos bancarios</t>
        </is>
      </c>
      <c r="I106" t="inlineStr">
        <is>
          <t>BAC CREDOMATIC</t>
        </is>
      </c>
      <c r="J106" s="41" t="n">
        <v>0</v>
      </c>
      <c r="K106" s="41" t="n">
        <v>20</v>
      </c>
      <c r="L106" s="41" t="n">
        <v>0</v>
      </c>
      <c r="M106" s="41" t="n">
        <v>20</v>
      </c>
      <c r="N106" s="41" t="n">
        <v>20</v>
      </c>
      <c r="O106" s="41" t="n">
        <v>20</v>
      </c>
      <c r="P106" t="inlineStr">
        <is>
          <t>Enero 2026 CR.xlsx</t>
        </is>
      </c>
      <c r="Q106" t="inlineStr">
        <is>
          <t>Fila 43</t>
        </is>
      </c>
      <c r="R106" t="inlineStr">
        <is>
          <t>Alta</t>
        </is>
      </c>
      <c r="S106" t="inlineStr">
        <is>
          <t>NO</t>
        </is>
      </c>
      <c r="T106" t="inlineStr">
        <is>
          <t>Costo financiero bancario</t>
        </is>
      </c>
    </row>
    <row r="107">
      <c r="A107" t="inlineStr">
        <is>
          <t>2026-01</t>
        </is>
      </c>
      <c r="B107" t="inlineStr">
        <is>
          <t>Peru</t>
        </is>
      </c>
      <c r="C107" t="inlineStr">
        <is>
          <t>PERU</t>
        </is>
      </c>
      <c r="D107" t="inlineStr">
        <is>
          <t>PEN</t>
        </is>
      </c>
      <c r="E107" t="inlineStr">
        <is>
          <t>PL-S-010</t>
        </is>
      </c>
      <c r="F107" t="inlineStr">
        <is>
          <t>Gastos de ventas</t>
        </is>
      </c>
      <c r="G107" t="inlineStr">
        <is>
          <t>Honorarios comerciales y técnicos</t>
        </is>
      </c>
      <c r="H107" t="inlineStr">
        <is>
          <t>Otros honorarios</t>
        </is>
      </c>
      <c r="I107" t="inlineStr">
        <is>
          <t>HONORARIOS OTROS CONCEPTOS</t>
        </is>
      </c>
      <c r="J107" s="41" t="n">
        <v>0</v>
      </c>
      <c r="K107" s="41" t="n">
        <v>2127</v>
      </c>
      <c r="L107" s="41" t="n">
        <v>0</v>
      </c>
      <c r="M107" s="41" t="n">
        <v>2127</v>
      </c>
      <c r="N107" s="41" t="n">
        <v>2127</v>
      </c>
      <c r="O107" s="41" t="n">
        <v>2127</v>
      </c>
      <c r="P107" t="inlineStr">
        <is>
          <t>Enero 2026 PERU.xlsx</t>
        </is>
      </c>
      <c r="Q107" t="inlineStr">
        <is>
          <t>Fila 34</t>
        </is>
      </c>
      <c r="R107" t="inlineStr">
        <is>
          <t>Media</t>
        </is>
      </c>
      <c r="S107" t="inlineStr">
        <is>
          <t>SI</t>
        </is>
      </c>
      <c r="T107" t="inlineStr">
        <is>
          <t>Cuenta genérica de honorarios de ventas</t>
        </is>
      </c>
    </row>
    <row r="108">
      <c r="A108" t="inlineStr">
        <is>
          <t>2026-01</t>
        </is>
      </c>
      <c r="B108" t="inlineStr">
        <is>
          <t>Peru</t>
        </is>
      </c>
      <c r="C108" t="inlineStr">
        <is>
          <t>PERU</t>
        </is>
      </c>
      <c r="D108" t="inlineStr">
        <is>
          <t>PEN</t>
        </is>
      </c>
      <c r="E108" t="inlineStr">
        <is>
          <t>PL-F-010</t>
        </is>
      </c>
      <c r="F108" t="inlineStr">
        <is>
          <t>Gastos financieros</t>
        </is>
      </c>
      <c r="G108" t="inlineStr">
        <is>
          <t>Gastos financieros</t>
        </is>
      </c>
      <c r="H108" t="inlineStr">
        <is>
          <t>Gastos bancarios</t>
        </is>
      </c>
      <c r="I108" t="inlineStr">
        <is>
          <t>GASTOS BANCARIOS</t>
        </is>
      </c>
      <c r="J108" s="41" t="n">
        <v>0</v>
      </c>
      <c r="K108" s="41" t="n">
        <v>11.06</v>
      </c>
      <c r="L108" s="41" t="n">
        <v>0</v>
      </c>
      <c r="M108" s="41" t="n">
        <v>11.06</v>
      </c>
      <c r="N108" s="41" t="n">
        <v>11.06</v>
      </c>
      <c r="O108" s="41" t="n">
        <v>11.06</v>
      </c>
      <c r="P108" t="inlineStr">
        <is>
          <t>Enero 2026 PERU.xlsx</t>
        </is>
      </c>
      <c r="Q108" t="inlineStr">
        <is>
          <t>Fila 37</t>
        </is>
      </c>
      <c r="R108" t="inlineStr">
        <is>
          <t>Alta</t>
        </is>
      </c>
      <c r="S108" t="inlineStr">
        <is>
          <t>NO</t>
        </is>
      </c>
      <c r="T108" t="inlineStr">
        <is>
          <t>Costo financiero bancario</t>
        </is>
      </c>
    </row>
    <row r="109">
      <c r="A109" t="inlineStr">
        <is>
          <t>2026-01</t>
        </is>
      </c>
      <c r="B109" t="inlineStr">
        <is>
          <t>Peru</t>
        </is>
      </c>
      <c r="C109" t="inlineStr">
        <is>
          <t>PERU</t>
        </is>
      </c>
      <c r="D109" t="inlineStr">
        <is>
          <t>PEN</t>
        </is>
      </c>
      <c r="E109" t="inlineStr">
        <is>
          <t>PL-F-010</t>
        </is>
      </c>
      <c r="F109" t="inlineStr">
        <is>
          <t>Gastos financieros</t>
        </is>
      </c>
      <c r="G109" t="inlineStr">
        <is>
          <t>Gastos financieros</t>
        </is>
      </c>
      <c r="H109" t="inlineStr">
        <is>
          <t>Gastos bancarios</t>
        </is>
      </c>
      <c r="I109" t="inlineStr">
        <is>
          <t>IVA</t>
        </is>
      </c>
      <c r="J109" s="41" t="n">
        <v>0</v>
      </c>
      <c r="K109" s="41" t="n">
        <v>1.65</v>
      </c>
      <c r="L109" s="41" t="n">
        <v>0</v>
      </c>
      <c r="M109" s="41" t="n">
        <v>1.65</v>
      </c>
      <c r="N109" s="41" t="n">
        <v>1.65</v>
      </c>
      <c r="O109" s="41" t="n">
        <v>1.65</v>
      </c>
      <c r="P109" t="inlineStr">
        <is>
          <t>Enero 2026 PERU.xlsx</t>
        </is>
      </c>
      <c r="Q109" t="inlineStr">
        <is>
          <t>Fila 38</t>
        </is>
      </c>
      <c r="R109" t="inlineStr">
        <is>
          <t>Alta</t>
        </is>
      </c>
      <c r="S109" t="inlineStr">
        <is>
          <t>NO</t>
        </is>
      </c>
      <c r="T109" t="inlineStr">
        <is>
          <t>Costo financiero bancario</t>
        </is>
      </c>
    </row>
    <row r="110">
      <c r="A110" t="inlineStr">
        <is>
          <t>2026-01</t>
        </is>
      </c>
      <c r="B110" t="inlineStr">
        <is>
          <t>Peru</t>
        </is>
      </c>
      <c r="C110" t="inlineStr">
        <is>
          <t>PERU</t>
        </is>
      </c>
      <c r="D110" t="inlineStr">
        <is>
          <t>PEN</t>
        </is>
      </c>
      <c r="E110" t="inlineStr">
        <is>
          <t>PL-F-010</t>
        </is>
      </c>
      <c r="F110" t="inlineStr">
        <is>
          <t>Gastos financieros</t>
        </is>
      </c>
      <c r="G110" t="inlineStr">
        <is>
          <t>Gastos financieros</t>
        </is>
      </c>
      <c r="H110" t="inlineStr">
        <is>
          <t>Gastos bancarios</t>
        </is>
      </c>
      <c r="I110" t="inlineStr">
        <is>
          <t>CUOTA MANEJO</t>
        </is>
      </c>
      <c r="J110" s="41" t="n">
        <v>0</v>
      </c>
      <c r="K110" s="41" t="n">
        <v>80</v>
      </c>
      <c r="L110" s="41" t="n">
        <v>0</v>
      </c>
      <c r="M110" s="41" t="n">
        <v>80</v>
      </c>
      <c r="N110" s="41" t="n">
        <v>80</v>
      </c>
      <c r="O110" s="41" t="n">
        <v>80</v>
      </c>
      <c r="P110" t="inlineStr">
        <is>
          <t>Enero 2026 PERU.xlsx</t>
        </is>
      </c>
      <c r="Q110" t="inlineStr">
        <is>
          <t>Fila 39</t>
        </is>
      </c>
      <c r="R110" t="inlineStr">
        <is>
          <t>Alta</t>
        </is>
      </c>
      <c r="S110" t="inlineStr">
        <is>
          <t>NO</t>
        </is>
      </c>
      <c r="T110" t="inlineStr">
        <is>
          <t>Costo financiero bancario</t>
        </is>
      </c>
    </row>
    <row r="111">
      <c r="A111" t="inlineStr">
        <is>
          <t>2026-01</t>
        </is>
      </c>
      <c r="B111" t="inlineStr">
        <is>
          <t>Estados Unidos</t>
        </is>
      </c>
      <c r="C111" t="inlineStr">
        <is>
          <t>USA</t>
        </is>
      </c>
      <c r="D111" t="inlineStr">
        <is>
          <t>USD</t>
        </is>
      </c>
      <c r="E111" t="inlineStr">
        <is>
          <t>PL-R-010</t>
        </is>
      </c>
      <c r="F111" t="inlineStr">
        <is>
          <t>Ingresos operacionales</t>
        </is>
      </c>
      <c r="G111" t="inlineStr">
        <is>
          <t>Ingresos por servicios</t>
        </is>
      </c>
      <c r="H111" t="inlineStr">
        <is>
          <t>Software y agendamiento</t>
        </is>
      </c>
      <c r="I111" t="inlineStr">
        <is>
          <t>PRESTADORA DE SERVICIOS DE SALUD PREVENTIS SA</t>
        </is>
      </c>
      <c r="J111" s="41" t="n">
        <v>0</v>
      </c>
      <c r="K111" s="41" t="n">
        <v>0</v>
      </c>
      <c r="L111" s="41" t="n">
        <v>2830.35</v>
      </c>
      <c r="M111" s="41" t="n">
        <v>-2830.35</v>
      </c>
      <c r="N111" s="41" t="n">
        <v>2830.35</v>
      </c>
      <c r="O111" s="41" t="n">
        <v>2830.35</v>
      </c>
      <c r="P111" t="inlineStr">
        <is>
          <t>Enero 2026 USA.xlsx</t>
        </is>
      </c>
      <c r="Q111" t="inlineStr">
        <is>
          <t>Fila 63</t>
        </is>
      </c>
      <c r="R111" t="inlineStr">
        <is>
          <t>Alta</t>
        </is>
      </c>
      <c r="S111" t="inlineStr">
        <is>
          <t>NO</t>
        </is>
      </c>
      <c r="T111" t="inlineStr">
        <is>
          <t>Ingreso operacional principal</t>
        </is>
      </c>
    </row>
    <row r="112">
      <c r="A112" t="inlineStr">
        <is>
          <t>2026-01</t>
        </is>
      </c>
      <c r="B112" t="inlineStr">
        <is>
          <t>Estados Unidos</t>
        </is>
      </c>
      <c r="C112" t="inlineStr">
        <is>
          <t>USA</t>
        </is>
      </c>
      <c r="D112" t="inlineStr">
        <is>
          <t>USD</t>
        </is>
      </c>
      <c r="E112" t="inlineStr">
        <is>
          <t>PL-R-010</t>
        </is>
      </c>
      <c r="F112" t="inlineStr">
        <is>
          <t>Ingresos operacionales</t>
        </is>
      </c>
      <c r="G112" t="inlineStr">
        <is>
          <t>Ingresos por servicios</t>
        </is>
      </c>
      <c r="H112" t="inlineStr">
        <is>
          <t>Software y agendamiento</t>
        </is>
      </c>
      <c r="I112" t="inlineStr">
        <is>
          <t>SERVICIOS HOSPITALARIOS BRISAS SA</t>
        </is>
      </c>
      <c r="J112" s="41" t="n">
        <v>0</v>
      </c>
      <c r="K112" s="41" t="n">
        <v>0</v>
      </c>
      <c r="L112" s="41" t="n">
        <v>300</v>
      </c>
      <c r="M112" s="41" t="n">
        <v>-300</v>
      </c>
      <c r="N112" s="41" t="n">
        <v>300</v>
      </c>
      <c r="O112" s="41" t="n">
        <v>300</v>
      </c>
      <c r="P112" t="inlineStr">
        <is>
          <t>Enero 2026 USA.xlsx</t>
        </is>
      </c>
      <c r="Q112" t="inlineStr">
        <is>
          <t>Fila 64</t>
        </is>
      </c>
      <c r="R112" t="inlineStr">
        <is>
          <t>Alta</t>
        </is>
      </c>
      <c r="S112" t="inlineStr">
        <is>
          <t>NO</t>
        </is>
      </c>
      <c r="T112" t="inlineStr">
        <is>
          <t>Ingreso operacional principal</t>
        </is>
      </c>
    </row>
    <row r="113">
      <c r="A113" t="inlineStr">
        <is>
          <t>2026-01</t>
        </is>
      </c>
      <c r="B113" t="inlineStr">
        <is>
          <t>Estados Unidos</t>
        </is>
      </c>
      <c r="C113" t="inlineStr">
        <is>
          <t>USA</t>
        </is>
      </c>
      <c r="D113" t="inlineStr">
        <is>
          <t>USD</t>
        </is>
      </c>
      <c r="E113" t="inlineStr">
        <is>
          <t>PL-R-010</t>
        </is>
      </c>
      <c r="F113" t="inlineStr">
        <is>
          <t>Ingresos operacionales</t>
        </is>
      </c>
      <c r="G113" t="inlineStr">
        <is>
          <t>Ingresos por servicios</t>
        </is>
      </c>
      <c r="H113" t="inlineStr">
        <is>
          <t>Software y agendamiento</t>
        </is>
      </c>
      <c r="I113" t="inlineStr">
        <is>
          <t>ACOSTA BORBON ALEJANDRO</t>
        </is>
      </c>
      <c r="J113" s="41" t="n">
        <v>0</v>
      </c>
      <c r="K113" s="41" t="n">
        <v>0</v>
      </c>
      <c r="L113" s="41" t="n">
        <v>217</v>
      </c>
      <c r="M113" s="41" t="n">
        <v>-217</v>
      </c>
      <c r="N113" s="41" t="n">
        <v>217</v>
      </c>
      <c r="O113" s="41" t="n">
        <v>217</v>
      </c>
      <c r="P113" t="inlineStr">
        <is>
          <t>Enero 2026 USA.xlsx</t>
        </is>
      </c>
      <c r="Q113" t="inlineStr">
        <is>
          <t>Fila 65</t>
        </is>
      </c>
      <c r="R113" t="inlineStr">
        <is>
          <t>Alta</t>
        </is>
      </c>
      <c r="S113" t="inlineStr">
        <is>
          <t>NO</t>
        </is>
      </c>
      <c r="T113" t="inlineStr">
        <is>
          <t>Ingreso operacional principal</t>
        </is>
      </c>
    </row>
    <row r="114">
      <c r="A114" t="inlineStr">
        <is>
          <t>2026-01</t>
        </is>
      </c>
      <c r="B114" t="inlineStr">
        <is>
          <t>Estados Unidos</t>
        </is>
      </c>
      <c r="C114" t="inlineStr">
        <is>
          <t>USA</t>
        </is>
      </c>
      <c r="D114" t="inlineStr">
        <is>
          <t>USD</t>
        </is>
      </c>
      <c r="E114" t="inlineStr">
        <is>
          <t>PL-R-010</t>
        </is>
      </c>
      <c r="F114" t="inlineStr">
        <is>
          <t>Ingresos operacionales</t>
        </is>
      </c>
      <c r="G114" t="inlineStr">
        <is>
          <t>Ingresos por servicios</t>
        </is>
      </c>
      <c r="H114" t="inlineStr">
        <is>
          <t>Software y agendamiento</t>
        </is>
      </c>
      <c r="I114" t="inlineStr">
        <is>
          <t>Emmely Esther Coronado Peguero</t>
        </is>
      </c>
      <c r="J114" s="41" t="n">
        <v>0</v>
      </c>
      <c r="K114" s="41" t="n">
        <v>0</v>
      </c>
      <c r="L114" s="41" t="n">
        <v>96.45</v>
      </c>
      <c r="M114" s="41" t="n">
        <v>-96.45</v>
      </c>
      <c r="N114" s="41" t="n">
        <v>96.45</v>
      </c>
      <c r="O114" s="41" t="n">
        <v>96.45</v>
      </c>
      <c r="P114" t="inlineStr">
        <is>
          <t>Enero 2026 USA.xlsx</t>
        </is>
      </c>
      <c r="Q114" t="inlineStr">
        <is>
          <t>Fila 66</t>
        </is>
      </c>
      <c r="R114" t="inlineStr">
        <is>
          <t>Alta</t>
        </is>
      </c>
      <c r="S114" t="inlineStr">
        <is>
          <t>NO</t>
        </is>
      </c>
      <c r="T114" t="inlineStr">
        <is>
          <t>Ingreso operacional principal</t>
        </is>
      </c>
    </row>
    <row r="115">
      <c r="A115" t="inlineStr">
        <is>
          <t>2026-01</t>
        </is>
      </c>
      <c r="B115" t="inlineStr">
        <is>
          <t>Estados Unidos</t>
        </is>
      </c>
      <c r="C115" t="inlineStr">
        <is>
          <t>USA</t>
        </is>
      </c>
      <c r="D115" t="inlineStr">
        <is>
          <t>USD</t>
        </is>
      </c>
      <c r="E115" t="inlineStr">
        <is>
          <t>PL-R-010</t>
        </is>
      </c>
      <c r="F115" t="inlineStr">
        <is>
          <t>Ingresos operacionales</t>
        </is>
      </c>
      <c r="G115" t="inlineStr">
        <is>
          <t>Ingresos por servicios</t>
        </is>
      </c>
      <c r="H115" t="inlineStr">
        <is>
          <t>Software y agendamiento</t>
        </is>
      </c>
      <c r="I115" t="inlineStr">
        <is>
          <t>Fundacion para la Confianza</t>
        </is>
      </c>
      <c r="J115" s="41" t="n">
        <v>0</v>
      </c>
      <c r="K115" s="41" t="n">
        <v>0</v>
      </c>
      <c r="L115" s="41" t="n">
        <v>55</v>
      </c>
      <c r="M115" s="41" t="n">
        <v>-55</v>
      </c>
      <c r="N115" s="41" t="n">
        <v>55</v>
      </c>
      <c r="O115" s="41" t="n">
        <v>55</v>
      </c>
      <c r="P115" t="inlineStr">
        <is>
          <t>Enero 2026 USA.xlsx</t>
        </is>
      </c>
      <c r="Q115" t="inlineStr">
        <is>
          <t>Fila 67</t>
        </is>
      </c>
      <c r="R115" t="inlineStr">
        <is>
          <t>Alta</t>
        </is>
      </c>
      <c r="S115" t="inlineStr">
        <is>
          <t>NO</t>
        </is>
      </c>
      <c r="T115" t="inlineStr">
        <is>
          <t>Ingreso operacional principal</t>
        </is>
      </c>
    </row>
    <row r="116">
      <c r="A116" t="inlineStr">
        <is>
          <t>2026-01</t>
        </is>
      </c>
      <c r="B116" t="inlineStr">
        <is>
          <t>Estados Unidos</t>
        </is>
      </c>
      <c r="C116" t="inlineStr">
        <is>
          <t>USA</t>
        </is>
      </c>
      <c r="D116" t="inlineStr">
        <is>
          <t>USD</t>
        </is>
      </c>
      <c r="E116" t="inlineStr">
        <is>
          <t>PL-NO-010</t>
        </is>
      </c>
      <c r="F116" t="inlineStr">
        <is>
          <t>Ingresos no operacionales</t>
        </is>
      </c>
      <c r="G116" t="inlineStr">
        <is>
          <t>Ingresos financieros</t>
        </is>
      </c>
      <c r="H116" t="inlineStr">
        <is>
          <t>Intereses</t>
        </is>
      </c>
      <c r="I116" t="inlineStr">
        <is>
          <t>SERVICIOS HOSPITALARIOS BRISAS SA</t>
        </is>
      </c>
      <c r="J116" s="41" t="n">
        <v>0</v>
      </c>
      <c r="K116" s="41" t="n">
        <v>0</v>
      </c>
      <c r="L116" s="41" t="n">
        <v>83</v>
      </c>
      <c r="M116" s="41" t="n">
        <v>-83</v>
      </c>
      <c r="N116" s="41" t="n">
        <v>83</v>
      </c>
      <c r="O116" s="41" t="n">
        <v>83</v>
      </c>
      <c r="P116" t="inlineStr">
        <is>
          <t>Enero 2026 USA.xlsx</t>
        </is>
      </c>
      <c r="Q116" t="inlineStr">
        <is>
          <t>Fila 71</t>
        </is>
      </c>
      <c r="R116" t="inlineStr">
        <is>
          <t>Alta</t>
        </is>
      </c>
      <c r="S116" t="inlineStr">
        <is>
          <t>NO</t>
        </is>
      </c>
      <c r="T116" t="inlineStr">
        <is>
          <t>Ingreso financiero</t>
        </is>
      </c>
    </row>
    <row r="117">
      <c r="A117" t="inlineStr">
        <is>
          <t>2026-01</t>
        </is>
      </c>
      <c r="B117" t="inlineStr">
        <is>
          <t>Estados Unidos</t>
        </is>
      </c>
      <c r="C117" t="inlineStr">
        <is>
          <t>USA</t>
        </is>
      </c>
      <c r="D117" t="inlineStr">
        <is>
          <t>USD</t>
        </is>
      </c>
      <c r="E117" t="inlineStr">
        <is>
          <t>PL-NO-010</t>
        </is>
      </c>
      <c r="F117" t="inlineStr">
        <is>
          <t>Ingresos no operacionales</t>
        </is>
      </c>
      <c r="G117" t="inlineStr">
        <is>
          <t>Ingresos financieros</t>
        </is>
      </c>
      <c r="H117" t="inlineStr">
        <is>
          <t>Intereses</t>
        </is>
      </c>
      <c r="I117" t="inlineStr">
        <is>
          <t>MERCURY LLC</t>
        </is>
      </c>
      <c r="J117" s="41" t="n">
        <v>0</v>
      </c>
      <c r="K117" s="41" t="n">
        <v>0</v>
      </c>
      <c r="L117" s="41" t="n">
        <v>41.57</v>
      </c>
      <c r="M117" s="41" t="n">
        <v>-41.57</v>
      </c>
      <c r="N117" s="41" t="n">
        <v>41.57</v>
      </c>
      <c r="O117" s="41" t="n">
        <v>41.57</v>
      </c>
      <c r="P117" t="inlineStr">
        <is>
          <t>Enero 2026 USA.xlsx</t>
        </is>
      </c>
      <c r="Q117" t="inlineStr">
        <is>
          <t>Fila 72</t>
        </is>
      </c>
      <c r="R117" t="inlineStr">
        <is>
          <t>Alta</t>
        </is>
      </c>
      <c r="S117" t="inlineStr">
        <is>
          <t>NO</t>
        </is>
      </c>
      <c r="T117" t="inlineStr">
        <is>
          <t>Ingreso financiero</t>
        </is>
      </c>
    </row>
    <row r="118">
      <c r="A118" t="inlineStr">
        <is>
          <t>2026-01</t>
        </is>
      </c>
      <c r="B118" t="inlineStr">
        <is>
          <t>Estados Unidos</t>
        </is>
      </c>
      <c r="C118" t="inlineStr">
        <is>
          <t>USA</t>
        </is>
      </c>
      <c r="D118" t="inlineStr">
        <is>
          <t>USD</t>
        </is>
      </c>
      <c r="E118" t="inlineStr">
        <is>
          <t>PL-O-010</t>
        </is>
      </c>
      <c r="F118" t="inlineStr">
        <is>
          <t>Gastos de administración</t>
        </is>
      </c>
      <c r="G118" t="inlineStr">
        <is>
          <t>Gastos de personal</t>
        </is>
      </c>
      <c r="H118" t="inlineStr">
        <is>
          <t>Sueldos</t>
        </is>
      </c>
      <c r="I118" t="inlineStr">
        <is>
          <t>Parada Zuluaga Robert Andres</t>
        </is>
      </c>
      <c r="J118" s="41" t="n">
        <v>0</v>
      </c>
      <c r="K118" s="41" t="n">
        <v>2592.17</v>
      </c>
      <c r="L118" s="41" t="n">
        <v>0</v>
      </c>
      <c r="M118" s="41" t="n">
        <v>2592.17</v>
      </c>
      <c r="N118" s="41" t="n">
        <v>2592.17</v>
      </c>
      <c r="O118" s="41" t="n">
        <v>2592.17</v>
      </c>
      <c r="P118" t="inlineStr">
        <is>
          <t>Enero 2026 USA.xlsx</t>
        </is>
      </c>
      <c r="Q118" t="inlineStr">
        <is>
          <t>Fila 77</t>
        </is>
      </c>
      <c r="R118" t="inlineStr">
        <is>
          <t>Alta</t>
        </is>
      </c>
      <c r="S118" t="inlineStr">
        <is>
          <t>NO</t>
        </is>
      </c>
      <c r="T118" t="inlineStr">
        <is>
          <t>Remuneración laboral</t>
        </is>
      </c>
    </row>
    <row r="119">
      <c r="A119" t="inlineStr">
        <is>
          <t>2026-01</t>
        </is>
      </c>
      <c r="B119" t="inlineStr">
        <is>
          <t>Estados Unidos</t>
        </is>
      </c>
      <c r="C119" t="inlineStr">
        <is>
          <t>USA</t>
        </is>
      </c>
      <c r="D119" t="inlineStr">
        <is>
          <t>USD</t>
        </is>
      </c>
      <c r="E119" t="inlineStr">
        <is>
          <t>PL-O-010</t>
        </is>
      </c>
      <c r="F119" t="inlineStr">
        <is>
          <t>Gastos de administración</t>
        </is>
      </c>
      <c r="G119" t="inlineStr">
        <is>
          <t>Gastos de personal</t>
        </is>
      </c>
      <c r="H119" t="inlineStr">
        <is>
          <t>Gastos médicos</t>
        </is>
      </c>
      <c r="I119" t="inlineStr">
        <is>
          <t>Oscar Insurance Company</t>
        </is>
      </c>
      <c r="J119" s="41" t="n">
        <v>0</v>
      </c>
      <c r="K119" s="41" t="n">
        <v>122.93</v>
      </c>
      <c r="L119" s="41" t="n">
        <v>0</v>
      </c>
      <c r="M119" s="41" t="n">
        <v>122.93</v>
      </c>
      <c r="N119" s="41" t="n">
        <v>122.93</v>
      </c>
      <c r="O119" s="41" t="n">
        <v>122.93</v>
      </c>
      <c r="P119" t="inlineStr">
        <is>
          <t>Enero 2026 USA.xlsx</t>
        </is>
      </c>
      <c r="Q119" t="inlineStr">
        <is>
          <t>Fila 79</t>
        </is>
      </c>
      <c r="R119" t="inlineStr">
        <is>
          <t>Alta</t>
        </is>
      </c>
      <c r="S119" t="inlineStr">
        <is>
          <t>NO</t>
        </is>
      </c>
      <c r="T119" t="inlineStr">
        <is>
          <t>Beneficios de salud</t>
        </is>
      </c>
    </row>
    <row r="120">
      <c r="A120" t="inlineStr">
        <is>
          <t>2026-01</t>
        </is>
      </c>
      <c r="B120" t="inlineStr">
        <is>
          <t>Estados Unidos</t>
        </is>
      </c>
      <c r="C120" t="inlineStr">
        <is>
          <t>USA</t>
        </is>
      </c>
      <c r="D120" t="inlineStr">
        <is>
          <t>USD</t>
        </is>
      </c>
      <c r="E120" t="inlineStr">
        <is>
          <t>PL-O-010</t>
        </is>
      </c>
      <c r="F120" t="inlineStr">
        <is>
          <t>Gastos de administración</t>
        </is>
      </c>
      <c r="G120" t="inlineStr">
        <is>
          <t>Gastos de personal</t>
        </is>
      </c>
      <c r="H120" t="inlineStr">
        <is>
          <t>Otros gastos de personal</t>
        </is>
      </c>
      <c r="I120" t="inlineStr">
        <is>
          <t>Parada Zuluaga Robert Andres</t>
        </is>
      </c>
      <c r="J120" s="41" t="n">
        <v>0</v>
      </c>
      <c r="K120" s="41" t="n">
        <v>835.33</v>
      </c>
      <c r="L120" s="41" t="n">
        <v>0</v>
      </c>
      <c r="M120" s="41" t="n">
        <v>835.33</v>
      </c>
      <c r="N120" s="41" t="n">
        <v>835.33</v>
      </c>
      <c r="O120" s="41" t="n">
        <v>835.33</v>
      </c>
      <c r="P120" t="inlineStr">
        <is>
          <t>Enero 2026 USA.xlsx</t>
        </is>
      </c>
      <c r="Q120" t="inlineStr">
        <is>
          <t>Fila 81</t>
        </is>
      </c>
      <c r="R120" t="inlineStr">
        <is>
          <t>Media</t>
        </is>
      </c>
      <c r="S120" t="inlineStr">
        <is>
          <t>SI</t>
        </is>
      </c>
      <c r="T120" t="inlineStr">
        <is>
          <t>Cuenta genérica de personal</t>
        </is>
      </c>
    </row>
    <row r="121">
      <c r="A121" t="inlineStr">
        <is>
          <t>2026-01</t>
        </is>
      </c>
      <c r="B121" t="inlineStr">
        <is>
          <t>Estados Unidos</t>
        </is>
      </c>
      <c r="C121" t="inlineStr">
        <is>
          <t>USA</t>
        </is>
      </c>
      <c r="D121" t="inlineStr">
        <is>
          <t>USD</t>
        </is>
      </c>
      <c r="E121" t="inlineStr">
        <is>
          <t>PL-O-060</t>
        </is>
      </c>
      <c r="F121" t="inlineStr">
        <is>
          <t>Gastos de administración</t>
        </is>
      </c>
      <c r="G121" t="inlineStr">
        <is>
          <t>Tecnología y procesamiento de datos</t>
        </is>
      </c>
      <c r="H121" t="inlineStr">
        <is>
          <t>Plataformas y software</t>
        </is>
      </c>
      <c r="I121" t="inlineStr">
        <is>
          <t>WIX INC</t>
        </is>
      </c>
      <c r="J121" s="41" t="n">
        <v>0</v>
      </c>
      <c r="K121" s="41" t="n">
        <v>21.35</v>
      </c>
      <c r="L121" s="41" t="n">
        <v>0</v>
      </c>
      <c r="M121" s="41" t="n">
        <v>21.35</v>
      </c>
      <c r="N121" s="41" t="n">
        <v>21.35</v>
      </c>
      <c r="O121" s="41" t="n">
        <v>21.35</v>
      </c>
      <c r="P121" t="inlineStr">
        <is>
          <t>Enero 2026 USA.xlsx</t>
        </is>
      </c>
      <c r="Q121" t="inlineStr">
        <is>
          <t>Fila 84</t>
        </is>
      </c>
      <c r="R121" t="inlineStr">
        <is>
          <t>Alta</t>
        </is>
      </c>
      <c r="S121" t="inlineStr">
        <is>
          <t>SI</t>
        </is>
      </c>
      <c r="T121" t="inlineStr">
        <is>
          <t>Revisar proveedores de telecomunicaciones registrados aquí</t>
        </is>
      </c>
    </row>
    <row r="122">
      <c r="A122" t="inlineStr">
        <is>
          <t>2026-01</t>
        </is>
      </c>
      <c r="B122" t="inlineStr">
        <is>
          <t>Estados Unidos</t>
        </is>
      </c>
      <c r="C122" t="inlineStr">
        <is>
          <t>USA</t>
        </is>
      </c>
      <c r="D122" t="inlineStr">
        <is>
          <t>USD</t>
        </is>
      </c>
      <c r="E122" t="inlineStr">
        <is>
          <t>PL-O-060</t>
        </is>
      </c>
      <c r="F122" t="inlineStr">
        <is>
          <t>Gastos de administración</t>
        </is>
      </c>
      <c r="G122" t="inlineStr">
        <is>
          <t>Tecnología y procesamiento de datos</t>
        </is>
      </c>
      <c r="H122" t="inlineStr">
        <is>
          <t>Plataformas y software</t>
        </is>
      </c>
      <c r="I122" t="inlineStr">
        <is>
          <t>Open AI</t>
        </is>
      </c>
      <c r="J122" s="41" t="n">
        <v>0</v>
      </c>
      <c r="K122" s="41" t="n">
        <v>20</v>
      </c>
      <c r="L122" s="41" t="n">
        <v>0</v>
      </c>
      <c r="M122" s="41" t="n">
        <v>20</v>
      </c>
      <c r="N122" s="41" t="n">
        <v>20</v>
      </c>
      <c r="O122" s="41" t="n">
        <v>20</v>
      </c>
      <c r="P122" t="inlineStr">
        <is>
          <t>Enero 2026 USA.xlsx</t>
        </is>
      </c>
      <c r="Q122" t="inlineStr">
        <is>
          <t>Fila 85</t>
        </is>
      </c>
      <c r="R122" t="inlineStr">
        <is>
          <t>Alta</t>
        </is>
      </c>
      <c r="S122" t="inlineStr">
        <is>
          <t>SI</t>
        </is>
      </c>
      <c r="T122" t="inlineStr">
        <is>
          <t>Revisar proveedores de telecomunicaciones registrados aquí</t>
        </is>
      </c>
    </row>
    <row r="123">
      <c r="A123" t="inlineStr">
        <is>
          <t>2026-01</t>
        </is>
      </c>
      <c r="B123" t="inlineStr">
        <is>
          <t>Estados Unidos</t>
        </is>
      </c>
      <c r="C123" t="inlineStr">
        <is>
          <t>USA</t>
        </is>
      </c>
      <c r="D123" t="inlineStr">
        <is>
          <t>USD</t>
        </is>
      </c>
      <c r="E123" t="inlineStr">
        <is>
          <t>PL-O-080</t>
        </is>
      </c>
      <c r="F123" t="inlineStr">
        <is>
          <t>Gastos de administración</t>
        </is>
      </c>
      <c r="G123" t="inlineStr">
        <is>
          <t>Correo y mensajería</t>
        </is>
      </c>
      <c r="H123" t="inlineStr">
        <is>
          <t>Correo, portes y telegramas</t>
        </is>
      </c>
      <c r="I123" t="inlineStr">
        <is>
          <t>Anytime Mailbox</t>
        </is>
      </c>
      <c r="J123" s="41" t="n">
        <v>0</v>
      </c>
      <c r="K123" s="41" t="n">
        <v>11.36</v>
      </c>
      <c r="L123" s="41" t="n">
        <v>0</v>
      </c>
      <c r="M123" s="41" t="n">
        <v>11.36</v>
      </c>
      <c r="N123" s="41" t="n">
        <v>11.36</v>
      </c>
      <c r="O123" s="41" t="n">
        <v>11.36</v>
      </c>
      <c r="P123" t="inlineStr">
        <is>
          <t>Enero 2026 USA.xlsx</t>
        </is>
      </c>
      <c r="Q123" t="inlineStr">
        <is>
          <t>Fila 87</t>
        </is>
      </c>
      <c r="R123" t="inlineStr">
        <is>
          <t>Alta</t>
        </is>
      </c>
      <c r="S123" t="inlineStr">
        <is>
          <t>NO</t>
        </is>
      </c>
      <c r="T123" t="inlineStr">
        <is>
          <t>Mensajería y correo</t>
        </is>
      </c>
    </row>
    <row r="124">
      <c r="A124" t="inlineStr">
        <is>
          <t>2026-01</t>
        </is>
      </c>
      <c r="B124" t="inlineStr">
        <is>
          <t>Estados Unidos</t>
        </is>
      </c>
      <c r="C124" t="inlineStr">
        <is>
          <t>USA</t>
        </is>
      </c>
      <c r="D124" t="inlineStr">
        <is>
          <t>USD</t>
        </is>
      </c>
      <c r="E124" t="inlineStr">
        <is>
          <t>PL-O-100</t>
        </is>
      </c>
      <c r="F124" t="inlineStr">
        <is>
          <t>Gastos de administración</t>
        </is>
      </c>
      <c r="G124" t="inlineStr">
        <is>
          <t>Otros servicios administrativos</t>
        </is>
      </c>
      <c r="H124" t="inlineStr">
        <is>
          <t>Otros</t>
        </is>
      </c>
      <c r="I124" t="inlineStr">
        <is>
          <t>AT&amp;T</t>
        </is>
      </c>
      <c r="J124" s="41" t="n">
        <v>0</v>
      </c>
      <c r="K124" s="41" t="n">
        <v>228.63</v>
      </c>
      <c r="L124" s="41" t="n">
        <v>0</v>
      </c>
      <c r="M124" s="41" t="n">
        <v>228.63</v>
      </c>
      <c r="N124" s="41" t="n">
        <v>228.63</v>
      </c>
      <c r="O124" s="41" t="n">
        <v>228.63</v>
      </c>
      <c r="P124" t="inlineStr">
        <is>
          <t>Enero 2026 USA.xlsx</t>
        </is>
      </c>
      <c r="Q124" t="inlineStr">
        <is>
          <t>Fila 89</t>
        </is>
      </c>
      <c r="R124" t="inlineStr">
        <is>
          <t>Media</t>
        </is>
      </c>
      <c r="S124" t="inlineStr">
        <is>
          <t>SI</t>
        </is>
      </c>
      <c r="T124" t="inlineStr">
        <is>
          <t>Cuenta genérica; revisar partidas materiales</t>
        </is>
      </c>
    </row>
    <row r="125">
      <c r="A125" t="inlineStr">
        <is>
          <t>2026-01</t>
        </is>
      </c>
      <c r="B125" t="inlineStr">
        <is>
          <t>Estados Unidos</t>
        </is>
      </c>
      <c r="C125" t="inlineStr">
        <is>
          <t>USA</t>
        </is>
      </c>
      <c r="D125" t="inlineStr">
        <is>
          <t>USD</t>
        </is>
      </c>
      <c r="E125" t="inlineStr">
        <is>
          <t>PL-O-110</t>
        </is>
      </c>
      <c r="F125" t="inlineStr">
        <is>
          <t>Gastos de administración</t>
        </is>
      </c>
      <c r="G125" t="inlineStr">
        <is>
          <t>Suministros y oficina</t>
        </is>
      </c>
      <c r="H125" t="inlineStr">
        <is>
          <t>Aseo y limpieza</t>
        </is>
      </c>
      <c r="I125" t="inlineStr">
        <is>
          <t>Latin Cafe</t>
        </is>
      </c>
      <c r="J125" s="41" t="n">
        <v>0</v>
      </c>
      <c r="K125" s="41" t="n">
        <v>50.73</v>
      </c>
      <c r="L125" s="41" t="n">
        <v>0</v>
      </c>
      <c r="M125" s="41" t="n">
        <v>50.73</v>
      </c>
      <c r="N125" s="41" t="n">
        <v>50.73</v>
      </c>
      <c r="O125" s="41" t="n">
        <v>50.73</v>
      </c>
      <c r="P125" t="inlineStr">
        <is>
          <t>Enero 2026 USA.xlsx</t>
        </is>
      </c>
      <c r="Q125" t="inlineStr">
        <is>
          <t>Fila 92</t>
        </is>
      </c>
      <c r="R125" t="inlineStr">
        <is>
          <t>Alta</t>
        </is>
      </c>
      <c r="S125" t="inlineStr">
        <is>
          <t>SI</t>
        </is>
      </c>
      <c r="T125" t="inlineStr">
        <is>
          <t>Se detectaron comercios de alimentos; revisar clasificación</t>
        </is>
      </c>
    </row>
    <row r="126">
      <c r="A126" t="inlineStr">
        <is>
          <t>2026-01</t>
        </is>
      </c>
      <c r="B126" t="inlineStr">
        <is>
          <t>Estados Unidos</t>
        </is>
      </c>
      <c r="C126" t="inlineStr">
        <is>
          <t>USA</t>
        </is>
      </c>
      <c r="D126" t="inlineStr">
        <is>
          <t>USD</t>
        </is>
      </c>
      <c r="E126" t="inlineStr">
        <is>
          <t>PL-O-120</t>
        </is>
      </c>
      <c r="F126" t="inlineStr">
        <is>
          <t>Gastos de administración</t>
        </is>
      </c>
      <c r="G126" t="inlineStr">
        <is>
          <t>Alimentación y restaurante</t>
        </is>
      </c>
      <c r="H126" t="inlineStr">
        <is>
          <t>Casino y restaurante</t>
        </is>
      </c>
      <c r="I126" t="inlineStr">
        <is>
          <t>North Italia</t>
        </is>
      </c>
      <c r="J126" s="41" t="n">
        <v>0</v>
      </c>
      <c r="K126" s="41" t="n">
        <v>177.68</v>
      </c>
      <c r="L126" s="41" t="n">
        <v>0</v>
      </c>
      <c r="M126" s="41" t="n">
        <v>177.68</v>
      </c>
      <c r="N126" s="41" t="n">
        <v>177.68</v>
      </c>
      <c r="O126" s="41" t="n">
        <v>177.68</v>
      </c>
      <c r="P126" t="inlineStr">
        <is>
          <t>Enero 2026 USA.xlsx</t>
        </is>
      </c>
      <c r="Q126" t="inlineStr">
        <is>
          <t>Fila 94</t>
        </is>
      </c>
      <c r="R126" t="inlineStr">
        <is>
          <t>Alta</t>
        </is>
      </c>
      <c r="S126" t="inlineStr">
        <is>
          <t>SI</t>
        </is>
      </c>
      <c r="T126" t="inlineStr">
        <is>
          <t>Se detectó un comercio minorista; revisar esa partida</t>
        </is>
      </c>
    </row>
    <row r="127">
      <c r="A127" t="inlineStr">
        <is>
          <t>2026-01</t>
        </is>
      </c>
      <c r="B127" t="inlineStr">
        <is>
          <t>Estados Unidos</t>
        </is>
      </c>
      <c r="C127" t="inlineStr">
        <is>
          <t>USA</t>
        </is>
      </c>
      <c r="D127" t="inlineStr">
        <is>
          <t>USD</t>
        </is>
      </c>
      <c r="E127" t="inlineStr">
        <is>
          <t>PL-O-120</t>
        </is>
      </c>
      <c r="F127" t="inlineStr">
        <is>
          <t>Gastos de administración</t>
        </is>
      </c>
      <c r="G127" t="inlineStr">
        <is>
          <t>Alimentación y restaurante</t>
        </is>
      </c>
      <c r="H127" t="inlineStr">
        <is>
          <t>Casino y restaurante</t>
        </is>
      </c>
      <c r="I127" t="inlineStr">
        <is>
          <t>Fogo de Chão</t>
        </is>
      </c>
      <c r="J127" s="41" t="n">
        <v>0</v>
      </c>
      <c r="K127" s="41" t="n">
        <v>248</v>
      </c>
      <c r="L127" s="41" t="n">
        <v>0</v>
      </c>
      <c r="M127" s="41" t="n">
        <v>248</v>
      </c>
      <c r="N127" s="41" t="n">
        <v>248</v>
      </c>
      <c r="O127" s="41" t="n">
        <v>248</v>
      </c>
      <c r="P127" t="inlineStr">
        <is>
          <t>Enero 2026 USA.xlsx</t>
        </is>
      </c>
      <c r="Q127" t="inlineStr">
        <is>
          <t>Fila 95</t>
        </is>
      </c>
      <c r="R127" t="inlineStr">
        <is>
          <t>Alta</t>
        </is>
      </c>
      <c r="S127" t="inlineStr">
        <is>
          <t>SI</t>
        </is>
      </c>
      <c r="T127" t="inlineStr">
        <is>
          <t>Se detectó un comercio minorista; revisar esa partida</t>
        </is>
      </c>
    </row>
    <row r="128">
      <c r="A128" t="inlineStr">
        <is>
          <t>2026-01</t>
        </is>
      </c>
      <c r="B128" t="inlineStr">
        <is>
          <t>Estados Unidos</t>
        </is>
      </c>
      <c r="C128" t="inlineStr">
        <is>
          <t>USA</t>
        </is>
      </c>
      <c r="D128" t="inlineStr">
        <is>
          <t>USD</t>
        </is>
      </c>
      <c r="E128" t="inlineStr">
        <is>
          <t>PL-O-120</t>
        </is>
      </c>
      <c r="F128" t="inlineStr">
        <is>
          <t>Gastos de administración</t>
        </is>
      </c>
      <c r="G128" t="inlineStr">
        <is>
          <t>Alimentación y restaurante</t>
        </is>
      </c>
      <c r="H128" t="inlineStr">
        <is>
          <t>Casino y restaurante</t>
        </is>
      </c>
      <c r="I128" t="inlineStr">
        <is>
          <t>Crepes &amp; Waffles</t>
        </is>
      </c>
      <c r="J128" s="41" t="n">
        <v>0</v>
      </c>
      <c r="K128" s="41" t="n">
        <v>30.09</v>
      </c>
      <c r="L128" s="41" t="n">
        <v>0</v>
      </c>
      <c r="M128" s="41" t="n">
        <v>30.09</v>
      </c>
      <c r="N128" s="41" t="n">
        <v>30.09</v>
      </c>
      <c r="O128" s="41" t="n">
        <v>30.09</v>
      </c>
      <c r="P128" t="inlineStr">
        <is>
          <t>Enero 2026 USA.xlsx</t>
        </is>
      </c>
      <c r="Q128" t="inlineStr">
        <is>
          <t>Fila 96</t>
        </is>
      </c>
      <c r="R128" t="inlineStr">
        <is>
          <t>Alta</t>
        </is>
      </c>
      <c r="S128" t="inlineStr">
        <is>
          <t>SI</t>
        </is>
      </c>
      <c r="T128" t="inlineStr">
        <is>
          <t>Se detectó un comercio minorista; revisar esa partida</t>
        </is>
      </c>
    </row>
    <row r="129">
      <c r="A129" t="inlineStr">
        <is>
          <t>2026-01</t>
        </is>
      </c>
      <c r="B129" t="inlineStr">
        <is>
          <t>Estados Unidos</t>
        </is>
      </c>
      <c r="C129" t="inlineStr">
        <is>
          <t>USA</t>
        </is>
      </c>
      <c r="D129" t="inlineStr">
        <is>
          <t>USD</t>
        </is>
      </c>
      <c r="E129" t="inlineStr">
        <is>
          <t>PL-O-020</t>
        </is>
      </c>
      <c r="F129" t="inlineStr">
        <is>
          <t>Gastos de administración</t>
        </is>
      </c>
      <c r="G129" t="inlineStr">
        <is>
          <t>Honorarios y servicios profesionales</t>
        </is>
      </c>
      <c r="H129" t="inlineStr">
        <is>
          <t>Revisoría fiscal</t>
        </is>
      </c>
      <c r="I129" t="inlineStr">
        <is>
          <t>Paba Serje Mauricio</t>
        </is>
      </c>
      <c r="J129" s="41" t="n">
        <v>0</v>
      </c>
      <c r="K129" s="41" t="n">
        <v>1500</v>
      </c>
      <c r="L129" s="41" t="n">
        <v>0</v>
      </c>
      <c r="M129" s="41" t="n">
        <v>1500</v>
      </c>
      <c r="N129" s="41" t="n">
        <v>1500</v>
      </c>
      <c r="O129" s="41" t="n">
        <v>1500</v>
      </c>
      <c r="P129" t="inlineStr">
        <is>
          <t>Enero 2026 USA.xlsx</t>
        </is>
      </c>
      <c r="Q129" t="inlineStr">
        <is>
          <t>Fila 100</t>
        </is>
      </c>
      <c r="R129" t="inlineStr">
        <is>
          <t>Alta</t>
        </is>
      </c>
      <c r="S129" t="inlineStr">
        <is>
          <t>NO</t>
        </is>
      </c>
      <c r="T129" t="inlineStr">
        <is>
          <t>Reclasificado desde ventas por su naturaleza administrativa</t>
        </is>
      </c>
    </row>
    <row r="130">
      <c r="A130" t="inlineStr">
        <is>
          <t>2026-01</t>
        </is>
      </c>
      <c r="B130" t="inlineStr">
        <is>
          <t>Estados Unidos</t>
        </is>
      </c>
      <c r="C130" t="inlineStr">
        <is>
          <t>USA</t>
        </is>
      </c>
      <c r="D130" t="inlineStr">
        <is>
          <t>USD</t>
        </is>
      </c>
      <c r="E130" t="inlineStr">
        <is>
          <t>PL-S-030</t>
        </is>
      </c>
      <c r="F130" t="inlineStr">
        <is>
          <t>Gastos de ventas</t>
        </is>
      </c>
      <c r="G130" t="inlineStr">
        <is>
          <t>Otros servicios comerciales</t>
        </is>
      </c>
      <c r="H130" t="inlineStr">
        <is>
          <t>Otros</t>
        </is>
      </c>
      <c r="I130" t="inlineStr">
        <is>
          <t>Tech + Startups Community</t>
        </is>
      </c>
      <c r="J130" s="41" t="n">
        <v>0</v>
      </c>
      <c r="K130" s="41" t="n">
        <v>648</v>
      </c>
      <c r="L130" s="41" t="n">
        <v>0</v>
      </c>
      <c r="M130" s="41" t="n">
        <v>648</v>
      </c>
      <c r="N130" s="41" t="n">
        <v>648</v>
      </c>
      <c r="O130" s="41" t="n">
        <v>648</v>
      </c>
      <c r="P130" t="inlineStr">
        <is>
          <t>Enero 2026 USA.xlsx</t>
        </is>
      </c>
      <c r="Q130" t="inlineStr">
        <is>
          <t>Fila 103</t>
        </is>
      </c>
      <c r="R130" t="inlineStr">
        <is>
          <t>Media</t>
        </is>
      </c>
      <c r="S130" t="inlineStr">
        <is>
          <t>SI</t>
        </is>
      </c>
      <c r="T130" t="inlineStr">
        <is>
          <t>Cuenta genérica de servicios comerciales</t>
        </is>
      </c>
    </row>
    <row r="131">
      <c r="A131" t="inlineStr">
        <is>
          <t>2026-01</t>
        </is>
      </c>
      <c r="B131" t="inlineStr">
        <is>
          <t>Estados Unidos</t>
        </is>
      </c>
      <c r="C131" t="inlineStr">
        <is>
          <t>USA</t>
        </is>
      </c>
      <c r="D131" t="inlineStr">
        <is>
          <t>USD</t>
        </is>
      </c>
      <c r="E131" t="inlineStr">
        <is>
          <t>PL-F-010</t>
        </is>
      </c>
      <c r="F131" t="inlineStr">
        <is>
          <t>Gastos financieros</t>
        </is>
      </c>
      <c r="G131" t="inlineStr">
        <is>
          <t>Gastos financieros</t>
        </is>
      </c>
      <c r="H131" t="inlineStr">
        <is>
          <t>Comisiones</t>
        </is>
      </c>
      <c r="I131" t="inlineStr">
        <is>
          <t>ADP</t>
        </is>
      </c>
      <c r="J131" s="41" t="n">
        <v>0</v>
      </c>
      <c r="K131" s="41" t="n">
        <v>75</v>
      </c>
      <c r="L131" s="41" t="n">
        <v>0</v>
      </c>
      <c r="M131" s="41" t="n">
        <v>75</v>
      </c>
      <c r="N131" s="41" t="n">
        <v>75</v>
      </c>
      <c r="O131" s="41" t="n">
        <v>75</v>
      </c>
      <c r="P131" t="inlineStr">
        <is>
          <t>Enero 2026 USA.xlsx</t>
        </is>
      </c>
      <c r="Q131" t="inlineStr">
        <is>
          <t>Fila 107</t>
        </is>
      </c>
      <c r="R131" t="inlineStr">
        <is>
          <t>Alta</t>
        </is>
      </c>
      <c r="S131" t="inlineStr">
        <is>
          <t>NO</t>
        </is>
      </c>
      <c r="T131" t="inlineStr">
        <is>
          <t>Comisiones financieras</t>
        </is>
      </c>
    </row>
    <row r="132">
      <c r="A132" t="inlineStr">
        <is>
          <t>2026-01</t>
        </is>
      </c>
      <c r="B132" t="inlineStr">
        <is>
          <t>Estados Unidos</t>
        </is>
      </c>
      <c r="C132" t="inlineStr">
        <is>
          <t>USA</t>
        </is>
      </c>
      <c r="D132" t="inlineStr">
        <is>
          <t>USD</t>
        </is>
      </c>
      <c r="E132" t="inlineStr">
        <is>
          <t>PL-F-010</t>
        </is>
      </c>
      <c r="F132" t="inlineStr">
        <is>
          <t>Gastos financieros</t>
        </is>
      </c>
      <c r="G132" t="inlineStr">
        <is>
          <t>Gastos financieros</t>
        </is>
      </c>
      <c r="H132" t="inlineStr">
        <is>
          <t>Comisiones</t>
        </is>
      </c>
      <c r="I132" t="inlineStr">
        <is>
          <t>MERCURY LLC</t>
        </is>
      </c>
      <c r="J132" s="41" t="n">
        <v>0</v>
      </c>
      <c r="K132" s="41" t="n">
        <v>0.9</v>
      </c>
      <c r="L132" s="41" t="n">
        <v>0</v>
      </c>
      <c r="M132" s="41" t="n">
        <v>0.9</v>
      </c>
      <c r="N132" s="41" t="n">
        <v>0.9</v>
      </c>
      <c r="O132" s="41" t="n">
        <v>0.9</v>
      </c>
      <c r="P132" t="inlineStr">
        <is>
          <t>Enero 2026 USA.xlsx</t>
        </is>
      </c>
      <c r="Q132" t="inlineStr">
        <is>
          <t>Fila 108</t>
        </is>
      </c>
      <c r="R132" t="inlineStr">
        <is>
          <t>Alta</t>
        </is>
      </c>
      <c r="S132" t="inlineStr">
        <is>
          <t>NO</t>
        </is>
      </c>
      <c r="T132" t="inlineStr">
        <is>
          <t>Comisiones financieras</t>
        </is>
      </c>
    </row>
    <row r="133">
      <c r="A133" t="inlineStr">
        <is>
          <t>2026-02</t>
        </is>
      </c>
      <c r="B133" t="inlineStr">
        <is>
          <t>Costa Rica</t>
        </is>
      </c>
      <c r="C133" t="inlineStr">
        <is>
          <t>CR</t>
        </is>
      </c>
      <c r="D133" t="inlineStr">
        <is>
          <t>USD</t>
        </is>
      </c>
      <c r="E133" t="inlineStr">
        <is>
          <t>PL-O-010</t>
        </is>
      </c>
      <c r="F133" t="inlineStr">
        <is>
          <t>Gastos de administración</t>
        </is>
      </c>
      <c r="G133" t="inlineStr">
        <is>
          <t>Gastos de personal</t>
        </is>
      </c>
      <c r="H133" t="inlineStr">
        <is>
          <t>Sueldos</t>
        </is>
      </c>
      <c r="I133" t="inlineStr">
        <is>
          <t>NARANJO BUSTOS MARIAM</t>
        </is>
      </c>
      <c r="J133" s="41" t="n">
        <v>2400</v>
      </c>
      <c r="K133" s="41" t="n">
        <v>1200</v>
      </c>
      <c r="L133" s="41" t="n">
        <v>0</v>
      </c>
      <c r="M133" s="41" t="n">
        <v>3600</v>
      </c>
      <c r="N133" s="41" t="n">
        <v>3600</v>
      </c>
      <c r="O133" s="41" t="n">
        <v>1200</v>
      </c>
      <c r="P133" t="inlineStr">
        <is>
          <t>Febrero 2026 CR.xlsx</t>
        </is>
      </c>
      <c r="Q133" t="inlineStr">
        <is>
          <t>Fila 28</t>
        </is>
      </c>
      <c r="R133" t="inlineStr">
        <is>
          <t>Alta</t>
        </is>
      </c>
      <c r="S133" t="inlineStr">
        <is>
          <t>NO</t>
        </is>
      </c>
      <c r="T133" t="inlineStr">
        <is>
          <t>Remuneración laboral</t>
        </is>
      </c>
    </row>
    <row r="134">
      <c r="A134" t="inlineStr">
        <is>
          <t>2026-02</t>
        </is>
      </c>
      <c r="B134" t="inlineStr">
        <is>
          <t>Costa Rica</t>
        </is>
      </c>
      <c r="C134" t="inlineStr">
        <is>
          <t>CR</t>
        </is>
      </c>
      <c r="D134" t="inlineStr">
        <is>
          <t>USD</t>
        </is>
      </c>
      <c r="E134" t="inlineStr">
        <is>
          <t>PL-O-090</t>
        </is>
      </c>
      <c r="F134" t="inlineStr">
        <is>
          <t>Gastos de administración</t>
        </is>
      </c>
      <c r="G134" t="inlineStr">
        <is>
          <t>Viajes y representación</t>
        </is>
      </c>
      <c r="H134" t="inlineStr">
        <is>
          <t>Viáticos</t>
        </is>
      </c>
      <c r="J134" s="41" t="n">
        <v>600</v>
      </c>
      <c r="K134" s="41" t="n">
        <v>300</v>
      </c>
      <c r="L134" s="41" t="n">
        <v>0</v>
      </c>
      <c r="M134" s="41" t="n">
        <v>900</v>
      </c>
      <c r="N134" s="41" t="n">
        <v>900</v>
      </c>
      <c r="O134" s="41" t="n">
        <v>300</v>
      </c>
      <c r="P134" t="inlineStr">
        <is>
          <t>Febrero 2026 CR.xlsx</t>
        </is>
      </c>
      <c r="Q134" t="inlineStr">
        <is>
          <t>Fila 30</t>
        </is>
      </c>
      <c r="R134" t="inlineStr">
        <is>
          <t>Alta</t>
        </is>
      </c>
      <c r="S134" t="inlineStr">
        <is>
          <t>NO</t>
        </is>
      </c>
      <c r="T134" t="inlineStr">
        <is>
          <t>Viáticos administrativos</t>
        </is>
      </c>
    </row>
    <row r="135">
      <c r="A135" t="inlineStr">
        <is>
          <t>2026-02</t>
        </is>
      </c>
      <c r="B135" t="inlineStr">
        <is>
          <t>Costa Rica</t>
        </is>
      </c>
      <c r="C135" t="inlineStr">
        <is>
          <t>CR</t>
        </is>
      </c>
      <c r="D135" t="inlineStr">
        <is>
          <t>USD</t>
        </is>
      </c>
      <c r="E135" t="inlineStr">
        <is>
          <t>PL-O-010</t>
        </is>
      </c>
      <c r="F135" t="inlineStr">
        <is>
          <t>Gastos de administración</t>
        </is>
      </c>
      <c r="G135" t="inlineStr">
        <is>
          <t>Gastos de personal</t>
        </is>
      </c>
      <c r="H135" t="inlineStr">
        <is>
          <t>Prestaciones sociales</t>
        </is>
      </c>
      <c r="I135" t="inlineStr">
        <is>
          <t>NARANJO BUSTOS MARIAM</t>
        </is>
      </c>
      <c r="J135" s="41" t="n">
        <v>812.37</v>
      </c>
      <c r="K135" s="41" t="n">
        <v>400</v>
      </c>
      <c r="L135" s="41" t="n">
        <v>0</v>
      </c>
      <c r="M135" s="41" t="n">
        <v>1212.37</v>
      </c>
      <c r="N135" s="41" t="n">
        <v>1212.37</v>
      </c>
      <c r="O135" s="41" t="n">
        <v>400</v>
      </c>
      <c r="P135" t="inlineStr">
        <is>
          <t>Febrero 2026 CR.xlsx</t>
        </is>
      </c>
      <c r="Q135" t="inlineStr">
        <is>
          <t>Fila 32</t>
        </is>
      </c>
      <c r="R135" t="inlineStr">
        <is>
          <t>Alta</t>
        </is>
      </c>
      <c r="S135" t="inlineStr">
        <is>
          <t>NO</t>
        </is>
      </c>
      <c r="T135" t="inlineStr">
        <is>
          <t>Prestaciones laborales</t>
        </is>
      </c>
    </row>
    <row r="136">
      <c r="A136" t="inlineStr">
        <is>
          <t>2026-02</t>
        </is>
      </c>
      <c r="B136" t="inlineStr">
        <is>
          <t>Costa Rica</t>
        </is>
      </c>
      <c r="C136" t="inlineStr">
        <is>
          <t>CR</t>
        </is>
      </c>
      <c r="D136" t="inlineStr">
        <is>
          <t>USD</t>
        </is>
      </c>
      <c r="E136" t="inlineStr">
        <is>
          <t>PL-O-020</t>
        </is>
      </c>
      <c r="F136" t="inlineStr">
        <is>
          <t>Gastos de administración</t>
        </is>
      </c>
      <c r="G136" t="inlineStr">
        <is>
          <t>Honorarios y servicios profesionales</t>
        </is>
      </c>
      <c r="H136" t="inlineStr">
        <is>
          <t>Asesoría jurídica</t>
        </is>
      </c>
      <c r="I136" t="inlineStr">
        <is>
          <t>MUÑOZ CHACON FRANCISCO JAVIER</t>
        </is>
      </c>
      <c r="J136" s="41" t="n">
        <v>222.59</v>
      </c>
      <c r="K136" s="41" t="n">
        <v>47.76</v>
      </c>
      <c r="L136" s="41" t="n">
        <v>0</v>
      </c>
      <c r="M136" s="41" t="n">
        <v>270.35</v>
      </c>
      <c r="N136" s="41" t="n">
        <v>270.35</v>
      </c>
      <c r="O136" s="41" t="n">
        <v>47.76</v>
      </c>
      <c r="P136" t="inlineStr">
        <is>
          <t>Febrero 2026 CR.xlsx</t>
        </is>
      </c>
      <c r="Q136" t="inlineStr">
        <is>
          <t>Fila 35</t>
        </is>
      </c>
      <c r="R136" t="inlineStr">
        <is>
          <t>Alta</t>
        </is>
      </c>
      <c r="S136" t="inlineStr">
        <is>
          <t>NO</t>
        </is>
      </c>
      <c r="T136" t="inlineStr">
        <is>
          <t>Servicio profesional jurídico</t>
        </is>
      </c>
    </row>
    <row r="137">
      <c r="A137" t="inlineStr">
        <is>
          <t>2026-02</t>
        </is>
      </c>
      <c r="B137" t="inlineStr">
        <is>
          <t>Costa Rica</t>
        </is>
      </c>
      <c r="C137" t="inlineStr">
        <is>
          <t>CR</t>
        </is>
      </c>
      <c r="D137" t="inlineStr">
        <is>
          <t>USD</t>
        </is>
      </c>
      <c r="E137" t="inlineStr">
        <is>
          <t>PL-O-030</t>
        </is>
      </c>
      <c r="F137" t="inlineStr">
        <is>
          <t>Gastos de administración</t>
        </is>
      </c>
      <c r="G137" t="inlineStr">
        <is>
          <t>Impuestos y contribuciones</t>
        </is>
      </c>
      <c r="H137" t="inlineStr">
        <is>
          <t>Industria, comercio y otros</t>
        </is>
      </c>
      <c r="I137" t="inlineStr">
        <is>
          <t>MINISTERIO DE HACIENDA</t>
        </is>
      </c>
      <c r="J137" s="41" t="n">
        <v>240.73</v>
      </c>
      <c r="K137" s="41" t="n">
        <v>12</v>
      </c>
      <c r="L137" s="41" t="n">
        <v>0</v>
      </c>
      <c r="M137" s="41" t="n">
        <v>252.73</v>
      </c>
      <c r="N137" s="41" t="n">
        <v>252.73</v>
      </c>
      <c r="O137" s="41" t="n">
        <v>12</v>
      </c>
      <c r="P137" t="inlineStr">
        <is>
          <t>Febrero 2026 CR.xlsx</t>
        </is>
      </c>
      <c r="Q137" t="inlineStr">
        <is>
          <t>Fila 38</t>
        </is>
      </c>
      <c r="R137" t="inlineStr">
        <is>
          <t>Alta</t>
        </is>
      </c>
      <c r="S137" t="inlineStr">
        <is>
          <t>NO</t>
        </is>
      </c>
      <c r="T137" t="inlineStr">
        <is>
          <t>Impuestos no asociados a renta</t>
        </is>
      </c>
    </row>
    <row r="138">
      <c r="A138" t="inlineStr">
        <is>
          <t>2026-02</t>
        </is>
      </c>
      <c r="B138" t="inlineStr">
        <is>
          <t>Costa Rica</t>
        </is>
      </c>
      <c r="C138" t="inlineStr">
        <is>
          <t>CR</t>
        </is>
      </c>
      <c r="D138" t="inlineStr">
        <is>
          <t>USD</t>
        </is>
      </c>
      <c r="E138" t="inlineStr">
        <is>
          <t>PL-O-030</t>
        </is>
      </c>
      <c r="F138" t="inlineStr">
        <is>
          <t>Gastos de administración</t>
        </is>
      </c>
      <c r="G138" t="inlineStr">
        <is>
          <t>Impuestos y contribuciones</t>
        </is>
      </c>
      <c r="H138" t="inlineStr">
        <is>
          <t>Industria, comercio y otros</t>
        </is>
      </c>
      <c r="I138" t="inlineStr">
        <is>
          <t>MINISTERIO DE HACIENDA</t>
        </is>
      </c>
      <c r="J138" s="41" t="n">
        <v>0</v>
      </c>
      <c r="K138" s="41" t="n">
        <v>26.55</v>
      </c>
      <c r="L138" s="41" t="n">
        <v>0</v>
      </c>
      <c r="M138" s="41" t="n">
        <v>26.55</v>
      </c>
      <c r="N138" s="41" t="n">
        <v>26.55</v>
      </c>
      <c r="O138" s="41" t="n">
        <v>26.55</v>
      </c>
      <c r="P138" t="inlineStr">
        <is>
          <t>Febrero 2026 CR.xlsx</t>
        </is>
      </c>
      <c r="Q138" t="inlineStr">
        <is>
          <t>Fila 39</t>
        </is>
      </c>
      <c r="R138" t="inlineStr">
        <is>
          <t>Alta</t>
        </is>
      </c>
      <c r="S138" t="inlineStr">
        <is>
          <t>NO</t>
        </is>
      </c>
      <c r="T138" t="inlineStr">
        <is>
          <t>Impuestos no asociados a renta</t>
        </is>
      </c>
    </row>
    <row r="139">
      <c r="A139" t="inlineStr">
        <is>
          <t>2026-02</t>
        </is>
      </c>
      <c r="B139" t="inlineStr">
        <is>
          <t>Costa Rica</t>
        </is>
      </c>
      <c r="C139" t="inlineStr">
        <is>
          <t>CR</t>
        </is>
      </c>
      <c r="D139" t="inlineStr">
        <is>
          <t>USD</t>
        </is>
      </c>
      <c r="E139" t="inlineStr">
        <is>
          <t>PL-O-030</t>
        </is>
      </c>
      <c r="F139" t="inlineStr">
        <is>
          <t>Gastos de administración</t>
        </is>
      </c>
      <c r="G139" t="inlineStr">
        <is>
          <t>Impuestos y contribuciones</t>
        </is>
      </c>
      <c r="H139" t="inlineStr">
        <is>
          <t>Contribuciones y afiliaciones</t>
        </is>
      </c>
      <c r="I139" t="inlineStr">
        <is>
          <t>MINISTERIO DE SALUD</t>
        </is>
      </c>
      <c r="J139" s="41" t="n">
        <v>0</v>
      </c>
      <c r="K139" s="41" t="n">
        <v>64.79000000000001</v>
      </c>
      <c r="L139" s="41" t="n">
        <v>0</v>
      </c>
      <c r="M139" s="41" t="n">
        <v>64.79000000000001</v>
      </c>
      <c r="N139" s="41" t="n">
        <v>64.79000000000001</v>
      </c>
      <c r="O139" s="41" t="n">
        <v>64.79000000000001</v>
      </c>
      <c r="P139" t="inlineStr">
        <is>
          <t>Febrero 2026 CR.xlsx</t>
        </is>
      </c>
      <c r="Q139" t="inlineStr">
        <is>
          <t>Fila 42</t>
        </is>
      </c>
      <c r="R139" t="inlineStr">
        <is>
          <t>Alta</t>
        </is>
      </c>
      <c r="S139" t="inlineStr">
        <is>
          <t>NO</t>
        </is>
      </c>
      <c r="T139" t="inlineStr">
        <is>
          <t>Contribuciones</t>
        </is>
      </c>
    </row>
    <row r="140">
      <c r="A140" t="inlineStr">
        <is>
          <t>2026-02</t>
        </is>
      </c>
      <c r="B140" t="inlineStr">
        <is>
          <t>Costa Rica</t>
        </is>
      </c>
      <c r="C140" t="inlineStr">
        <is>
          <t>CR</t>
        </is>
      </c>
      <c r="D140" t="inlineStr">
        <is>
          <t>USD</t>
        </is>
      </c>
      <c r="E140" t="inlineStr">
        <is>
          <t>PL-O-050</t>
        </is>
      </c>
      <c r="F140" t="inlineStr">
        <is>
          <t>Gastos de administración</t>
        </is>
      </c>
      <c r="G140" t="inlineStr">
        <is>
          <t>Seguros</t>
        </is>
      </c>
      <c r="H140" t="inlineStr">
        <is>
          <t>Otros seguros</t>
        </is>
      </c>
      <c r="I140" t="inlineStr">
        <is>
          <t>SEGUROS INS</t>
        </is>
      </c>
      <c r="J140" s="41" t="n">
        <v>0</v>
      </c>
      <c r="K140" s="41" t="n">
        <v>70.81</v>
      </c>
      <c r="L140" s="41" t="n">
        <v>0</v>
      </c>
      <c r="M140" s="41" t="n">
        <v>70.81</v>
      </c>
      <c r="N140" s="41" t="n">
        <v>70.81</v>
      </c>
      <c r="O140" s="41" t="n">
        <v>70.81</v>
      </c>
      <c r="P140" t="inlineStr">
        <is>
          <t>Febrero 2026 CR.xlsx</t>
        </is>
      </c>
      <c r="Q140" t="inlineStr">
        <is>
          <t>Fila 45</t>
        </is>
      </c>
      <c r="R140" t="inlineStr">
        <is>
          <t>Media</t>
        </is>
      </c>
      <c r="S140" t="inlineStr">
        <is>
          <t>SI</t>
        </is>
      </c>
      <c r="T140" t="inlineStr">
        <is>
          <t>Cuenta fuente de seguros con descripción genérica</t>
        </is>
      </c>
    </row>
    <row r="141">
      <c r="A141" t="inlineStr">
        <is>
          <t>2026-02</t>
        </is>
      </c>
      <c r="B141" t="inlineStr">
        <is>
          <t>Costa Rica</t>
        </is>
      </c>
      <c r="C141" t="inlineStr">
        <is>
          <t>CR</t>
        </is>
      </c>
      <c r="D141" t="inlineStr">
        <is>
          <t>USD</t>
        </is>
      </c>
      <c r="E141" t="inlineStr">
        <is>
          <t>PL-O-110</t>
        </is>
      </c>
      <c r="F141" t="inlineStr">
        <is>
          <t>Gastos de administración</t>
        </is>
      </c>
      <c r="G141" t="inlineStr">
        <is>
          <t>Suministros y oficina</t>
        </is>
      </c>
      <c r="H141" t="inlineStr">
        <is>
          <t>Útiles, papelería y fotocopias</t>
        </is>
      </c>
      <c r="I141" t="inlineStr">
        <is>
          <t>FERRETERIA EPA S.A.</t>
        </is>
      </c>
      <c r="J141" s="41" t="n">
        <v>0</v>
      </c>
      <c r="K141" s="41" t="n">
        <v>39.61</v>
      </c>
      <c r="L141" s="41" t="n">
        <v>0</v>
      </c>
      <c r="M141" s="41" t="n">
        <v>39.61</v>
      </c>
      <c r="N141" s="41" t="n">
        <v>39.61</v>
      </c>
      <c r="O141" s="41" t="n">
        <v>39.61</v>
      </c>
      <c r="P141" t="inlineStr">
        <is>
          <t>Febrero 2026 CR.xlsx</t>
        </is>
      </c>
      <c r="Q141" t="inlineStr">
        <is>
          <t>Fila 48</t>
        </is>
      </c>
      <c r="R141" t="inlineStr">
        <is>
          <t>Alta</t>
        </is>
      </c>
      <c r="S141" t="inlineStr">
        <is>
          <t>NO</t>
        </is>
      </c>
      <c r="T141" t="inlineStr">
        <is>
          <t>Suministros de oficina</t>
        </is>
      </c>
    </row>
    <row r="142">
      <c r="A142" t="inlineStr">
        <is>
          <t>2026-02</t>
        </is>
      </c>
      <c r="B142" t="inlineStr">
        <is>
          <t>Costa Rica</t>
        </is>
      </c>
      <c r="C142" t="inlineStr">
        <is>
          <t>CR</t>
        </is>
      </c>
      <c r="D142" t="inlineStr">
        <is>
          <t>USD</t>
        </is>
      </c>
      <c r="E142" t="inlineStr">
        <is>
          <t>PL-O-110</t>
        </is>
      </c>
      <c r="F142" t="inlineStr">
        <is>
          <t>Gastos de administración</t>
        </is>
      </c>
      <c r="G142" t="inlineStr">
        <is>
          <t>Suministros y oficina</t>
        </is>
      </c>
      <c r="H142" t="inlineStr">
        <is>
          <t>Útiles, papelería y fotocopias</t>
        </is>
      </c>
      <c r="I142" t="inlineStr">
        <is>
          <t>ISTORE SAN PEDRO</t>
        </is>
      </c>
      <c r="J142" s="41" t="n">
        <v>0</v>
      </c>
      <c r="K142" s="41" t="n">
        <v>74.31</v>
      </c>
      <c r="L142" s="41" t="n">
        <v>0</v>
      </c>
      <c r="M142" s="41" t="n">
        <v>74.31</v>
      </c>
      <c r="N142" s="41" t="n">
        <v>74.31</v>
      </c>
      <c r="O142" s="41" t="n">
        <v>74.31</v>
      </c>
      <c r="P142" t="inlineStr">
        <is>
          <t>Febrero 2026 CR.xlsx</t>
        </is>
      </c>
      <c r="Q142" t="inlineStr">
        <is>
          <t>Fila 49</t>
        </is>
      </c>
      <c r="R142" t="inlineStr">
        <is>
          <t>Alta</t>
        </is>
      </c>
      <c r="S142" t="inlineStr">
        <is>
          <t>NO</t>
        </is>
      </c>
      <c r="T142" t="inlineStr">
        <is>
          <t>Suministros de oficina</t>
        </is>
      </c>
    </row>
    <row r="143">
      <c r="A143" t="inlineStr">
        <is>
          <t>2026-02</t>
        </is>
      </c>
      <c r="B143" t="inlineStr">
        <is>
          <t>Costa Rica</t>
        </is>
      </c>
      <c r="C143" t="inlineStr">
        <is>
          <t>CR</t>
        </is>
      </c>
      <c r="D143" t="inlineStr">
        <is>
          <t>USD</t>
        </is>
      </c>
      <c r="E143" t="inlineStr">
        <is>
          <t>PL-O-110</t>
        </is>
      </c>
      <c r="F143" t="inlineStr">
        <is>
          <t>Gastos de administración</t>
        </is>
      </c>
      <c r="G143" t="inlineStr">
        <is>
          <t>Suministros y oficina</t>
        </is>
      </c>
      <c r="H143" t="inlineStr">
        <is>
          <t>Útiles, papelería y fotocopias</t>
        </is>
      </c>
      <c r="I143" t="inlineStr">
        <is>
          <t>MUNDO TECNOLOGIA</t>
        </is>
      </c>
      <c r="J143" s="41" t="n">
        <v>15</v>
      </c>
      <c r="K143" s="41" t="n">
        <v>0</v>
      </c>
      <c r="L143" s="41" t="n">
        <v>0</v>
      </c>
      <c r="M143" s="41" t="n">
        <v>15</v>
      </c>
      <c r="N143" s="41" t="n">
        <v>15</v>
      </c>
      <c r="O143" s="41" t="n">
        <v>0</v>
      </c>
      <c r="P143" t="inlineStr">
        <is>
          <t>Febrero 2026 CR.xlsx</t>
        </is>
      </c>
      <c r="Q143" t="inlineStr">
        <is>
          <t>Fila 50</t>
        </is>
      </c>
      <c r="R143" t="inlineStr">
        <is>
          <t>Alta</t>
        </is>
      </c>
      <c r="S143" t="inlineStr">
        <is>
          <t>NO</t>
        </is>
      </c>
      <c r="T143" t="inlineStr">
        <is>
          <t>Suministros de oficina</t>
        </is>
      </c>
    </row>
    <row r="144">
      <c r="A144" t="inlineStr">
        <is>
          <t>2026-02</t>
        </is>
      </c>
      <c r="B144" t="inlineStr">
        <is>
          <t>Costa Rica</t>
        </is>
      </c>
      <c r="C144" t="inlineStr">
        <is>
          <t>CR</t>
        </is>
      </c>
      <c r="D144" t="inlineStr">
        <is>
          <t>USD</t>
        </is>
      </c>
      <c r="E144" t="inlineStr">
        <is>
          <t>PL-O-110</t>
        </is>
      </c>
      <c r="F144" t="inlineStr">
        <is>
          <t>Gastos de administración</t>
        </is>
      </c>
      <c r="G144" t="inlineStr">
        <is>
          <t>Suministros y oficina</t>
        </is>
      </c>
      <c r="H144" t="inlineStr">
        <is>
          <t>Útiles, papelería y fotocopias</t>
        </is>
      </c>
      <c r="I144" t="inlineStr">
        <is>
          <t>REGISTRO NACIONAL REPUBLICA DE COSTA RICA</t>
        </is>
      </c>
      <c r="J144" s="41" t="n">
        <v>7</v>
      </c>
      <c r="K144" s="41" t="n">
        <v>0</v>
      </c>
      <c r="L144" s="41" t="n">
        <v>0</v>
      </c>
      <c r="M144" s="41" t="n">
        <v>7</v>
      </c>
      <c r="N144" s="41" t="n">
        <v>7</v>
      </c>
      <c r="O144" s="41" t="n">
        <v>0</v>
      </c>
      <c r="P144" t="inlineStr">
        <is>
          <t>Febrero 2026 CR.xlsx</t>
        </is>
      </c>
      <c r="Q144" t="inlineStr">
        <is>
          <t>Fila 51</t>
        </is>
      </c>
      <c r="R144" t="inlineStr">
        <is>
          <t>Alta</t>
        </is>
      </c>
      <c r="S144" t="inlineStr">
        <is>
          <t>NO</t>
        </is>
      </c>
      <c r="T144" t="inlineStr">
        <is>
          <t>Suministros de oficina</t>
        </is>
      </c>
    </row>
    <row r="145">
      <c r="A145" t="inlineStr">
        <is>
          <t>2026-02</t>
        </is>
      </c>
      <c r="B145" t="inlineStr">
        <is>
          <t>Costa Rica</t>
        </is>
      </c>
      <c r="C145" t="inlineStr">
        <is>
          <t>CR</t>
        </is>
      </c>
      <c r="D145" t="inlineStr">
        <is>
          <t>USD</t>
        </is>
      </c>
      <c r="E145" t="inlineStr">
        <is>
          <t>PL-F-010</t>
        </is>
      </c>
      <c r="F145" t="inlineStr">
        <is>
          <t>Gastos financieros</t>
        </is>
      </c>
      <c r="G145" t="inlineStr">
        <is>
          <t>Gastos financieros</t>
        </is>
      </c>
      <c r="H145" t="inlineStr">
        <is>
          <t>Gastos bancarios</t>
        </is>
      </c>
      <c r="I145" t="inlineStr">
        <is>
          <t>BAC CREDOMATIC</t>
        </is>
      </c>
      <c r="J145" s="41" t="n">
        <v>50</v>
      </c>
      <c r="K145" s="41" t="n">
        <v>30</v>
      </c>
      <c r="L145" s="41" t="n">
        <v>0</v>
      </c>
      <c r="M145" s="41" t="n">
        <v>80</v>
      </c>
      <c r="N145" s="41" t="n">
        <v>80</v>
      </c>
      <c r="O145" s="41" t="n">
        <v>30</v>
      </c>
      <c r="P145" t="inlineStr">
        <is>
          <t>Febrero 2026 CR.xlsx</t>
        </is>
      </c>
      <c r="Q145" t="inlineStr">
        <is>
          <t>Fila 55</t>
        </is>
      </c>
      <c r="R145" t="inlineStr">
        <is>
          <t>Alta</t>
        </is>
      </c>
      <c r="S145" t="inlineStr">
        <is>
          <t>NO</t>
        </is>
      </c>
      <c r="T145" t="inlineStr">
        <is>
          <t>Costo financiero bancario</t>
        </is>
      </c>
    </row>
    <row r="146">
      <c r="A146" t="inlineStr">
        <is>
          <t>2026-02</t>
        </is>
      </c>
      <c r="B146" t="inlineStr">
        <is>
          <t>Peru</t>
        </is>
      </c>
      <c r="C146" t="inlineStr">
        <is>
          <t>PERU</t>
        </is>
      </c>
      <c r="D146" t="inlineStr">
        <is>
          <t>PEN</t>
        </is>
      </c>
      <c r="E146" t="inlineStr">
        <is>
          <t>PL-R-010</t>
        </is>
      </c>
      <c r="F146" t="inlineStr">
        <is>
          <t>Ingresos operacionales</t>
        </is>
      </c>
      <c r="G146" t="inlineStr">
        <is>
          <t>Ingresos por servicios</t>
        </is>
      </c>
      <c r="H146" t="inlineStr">
        <is>
          <t>Software y agendamiento</t>
        </is>
      </c>
      <c r="I146" t="inlineStr">
        <is>
          <t>AGENDAMIENTO EN LA NUBE</t>
        </is>
      </c>
      <c r="J146" s="41" t="n">
        <v>0</v>
      </c>
      <c r="K146" s="41" t="n">
        <v>0</v>
      </c>
      <c r="L146" s="41" t="n">
        <v>2784.7</v>
      </c>
      <c r="M146" s="41" t="n">
        <v>-2784.7</v>
      </c>
      <c r="N146" s="41" t="n">
        <v>2784.7</v>
      </c>
      <c r="O146" s="41" t="n">
        <v>2784.7</v>
      </c>
      <c r="P146" t="inlineStr">
        <is>
          <t>Febrero 2026 PERU.xlsx</t>
        </is>
      </c>
      <c r="Q146" t="inlineStr">
        <is>
          <t>Fila 40</t>
        </is>
      </c>
      <c r="R146" t="inlineStr">
        <is>
          <t>Alta</t>
        </is>
      </c>
      <c r="S146" t="inlineStr">
        <is>
          <t>NO</t>
        </is>
      </c>
      <c r="T146" t="inlineStr">
        <is>
          <t>Ingreso operacional principal</t>
        </is>
      </c>
    </row>
    <row r="147">
      <c r="A147" t="inlineStr">
        <is>
          <t>2026-02</t>
        </is>
      </c>
      <c r="B147" t="inlineStr">
        <is>
          <t>Peru</t>
        </is>
      </c>
      <c r="C147" t="inlineStr">
        <is>
          <t>PERU</t>
        </is>
      </c>
      <c r="D147" t="inlineStr">
        <is>
          <t>PEN</t>
        </is>
      </c>
      <c r="E147" t="inlineStr">
        <is>
          <t>PL-NO-020</t>
        </is>
      </c>
      <c r="F147" t="inlineStr">
        <is>
          <t>Ingresos no operacionales</t>
        </is>
      </c>
      <c r="G147" t="inlineStr">
        <is>
          <t>Otros ingresos</t>
        </is>
      </c>
      <c r="H147" t="inlineStr">
        <is>
          <t>Otros ingresos</t>
        </is>
      </c>
      <c r="I147" t="inlineStr">
        <is>
          <t>OTROS INGRESOS</t>
        </is>
      </c>
      <c r="J147" s="41" t="n">
        <v>0</v>
      </c>
      <c r="K147" s="41" t="n">
        <v>0</v>
      </c>
      <c r="L147" s="41" t="n">
        <v>64960.94</v>
      </c>
      <c r="M147" s="41" t="n">
        <v>-64960.94</v>
      </c>
      <c r="N147" s="41" t="n">
        <v>64960.94</v>
      </c>
      <c r="O147" s="41" t="n">
        <v>64960.94</v>
      </c>
      <c r="P147" t="inlineStr">
        <is>
          <t>Febrero 2026 PERU.xlsx</t>
        </is>
      </c>
      <c r="Q147" t="inlineStr">
        <is>
          <t>Fila 43</t>
        </is>
      </c>
      <c r="R147" t="inlineStr">
        <is>
          <t>Media</t>
        </is>
      </c>
      <c r="S147" t="inlineStr">
        <is>
          <t>SI</t>
        </is>
      </c>
      <c r="T147" t="inlineStr">
        <is>
          <t>Cuenta genérica y material en Perú; validar naturaleza</t>
        </is>
      </c>
    </row>
    <row r="148">
      <c r="A148" t="inlineStr">
        <is>
          <t>2026-02</t>
        </is>
      </c>
      <c r="B148" t="inlineStr">
        <is>
          <t>Peru</t>
        </is>
      </c>
      <c r="C148" t="inlineStr">
        <is>
          <t>PERU</t>
        </is>
      </c>
      <c r="D148" t="inlineStr">
        <is>
          <t>PEN</t>
        </is>
      </c>
      <c r="E148" t="inlineStr">
        <is>
          <t>PL-O-020</t>
        </is>
      </c>
      <c r="F148" t="inlineStr">
        <is>
          <t>Gastos de administración</t>
        </is>
      </c>
      <c r="G148" t="inlineStr">
        <is>
          <t>Honorarios y servicios profesionales</t>
        </is>
      </c>
      <c r="H148" t="inlineStr">
        <is>
          <t>Asesoría jurídica</t>
        </is>
      </c>
      <c r="I148" t="inlineStr">
        <is>
          <t>HONORARIOS ASESORIA JURIDICA</t>
        </is>
      </c>
      <c r="J148" s="41" t="n">
        <v>0</v>
      </c>
      <c r="K148" s="41" t="n">
        <v>505.35</v>
      </c>
      <c r="L148" s="41" t="n">
        <v>0</v>
      </c>
      <c r="M148" s="41" t="n">
        <v>505.35</v>
      </c>
      <c r="N148" s="41" t="n">
        <v>505.35</v>
      </c>
      <c r="O148" s="41" t="n">
        <v>505.35</v>
      </c>
      <c r="P148" t="inlineStr">
        <is>
          <t>Febrero 2026 PERU.xlsx</t>
        </is>
      </c>
      <c r="Q148" t="inlineStr">
        <is>
          <t>Fila 47</t>
        </is>
      </c>
      <c r="R148" t="inlineStr">
        <is>
          <t>Alta</t>
        </is>
      </c>
      <c r="S148" t="inlineStr">
        <is>
          <t>NO</t>
        </is>
      </c>
      <c r="T148" t="inlineStr">
        <is>
          <t>Servicio profesional jurídico</t>
        </is>
      </c>
    </row>
    <row r="149">
      <c r="A149" t="inlineStr">
        <is>
          <t>2026-02</t>
        </is>
      </c>
      <c r="B149" t="inlineStr">
        <is>
          <t>Peru</t>
        </is>
      </c>
      <c r="C149" t="inlineStr">
        <is>
          <t>PERU</t>
        </is>
      </c>
      <c r="D149" t="inlineStr">
        <is>
          <t>PEN</t>
        </is>
      </c>
      <c r="E149" t="inlineStr">
        <is>
          <t>PL-O-020</t>
        </is>
      </c>
      <c r="F149" t="inlineStr">
        <is>
          <t>Gastos de administración</t>
        </is>
      </c>
      <c r="G149" t="inlineStr">
        <is>
          <t>Honorarios y servicios profesionales</t>
        </is>
      </c>
      <c r="H149" t="inlineStr">
        <is>
          <t>Asesoría financiera</t>
        </is>
      </c>
      <c r="I149" t="inlineStr">
        <is>
          <t>HONORARIOS ASESORIA FINANCIERA</t>
        </is>
      </c>
      <c r="J149" s="41" t="n">
        <v>0</v>
      </c>
      <c r="K149" s="41" t="n">
        <v>350</v>
      </c>
      <c r="L149" s="41" t="n">
        <v>0</v>
      </c>
      <c r="M149" s="41" t="n">
        <v>350</v>
      </c>
      <c r="N149" s="41" t="n">
        <v>350</v>
      </c>
      <c r="O149" s="41" t="n">
        <v>350</v>
      </c>
      <c r="P149" t="inlineStr">
        <is>
          <t>Febrero 2026 PERU.xlsx</t>
        </is>
      </c>
      <c r="Q149" t="inlineStr">
        <is>
          <t>Fila 49</t>
        </is>
      </c>
      <c r="R149" t="inlineStr">
        <is>
          <t>Alta</t>
        </is>
      </c>
      <c r="S149" t="inlineStr">
        <is>
          <t>NO</t>
        </is>
      </c>
      <c r="T149" t="inlineStr">
        <is>
          <t>Servicio profesional financiero</t>
        </is>
      </c>
    </row>
    <row r="150">
      <c r="A150" t="inlineStr">
        <is>
          <t>2026-02</t>
        </is>
      </c>
      <c r="B150" t="inlineStr">
        <is>
          <t>Peru</t>
        </is>
      </c>
      <c r="C150" t="inlineStr">
        <is>
          <t>PERU</t>
        </is>
      </c>
      <c r="D150" t="inlineStr">
        <is>
          <t>PEN</t>
        </is>
      </c>
      <c r="E150" t="inlineStr">
        <is>
          <t>PL-S-010</t>
        </is>
      </c>
      <c r="F150" t="inlineStr">
        <is>
          <t>Gastos de ventas</t>
        </is>
      </c>
      <c r="G150" t="inlineStr">
        <is>
          <t>Honorarios comerciales y técnicos</t>
        </is>
      </c>
      <c r="H150" t="inlineStr">
        <is>
          <t>Otros honorarios</t>
        </is>
      </c>
      <c r="I150" t="inlineStr">
        <is>
          <t>HONORARIOS OTROS CONCEPTOS</t>
        </is>
      </c>
      <c r="J150" s="41" t="n">
        <v>2127</v>
      </c>
      <c r="K150" s="41" t="n">
        <v>0</v>
      </c>
      <c r="L150" s="41" t="n">
        <v>0</v>
      </c>
      <c r="M150" s="41" t="n">
        <v>2127</v>
      </c>
      <c r="N150" s="41" t="n">
        <v>2127</v>
      </c>
      <c r="O150" s="41" t="n">
        <v>0</v>
      </c>
      <c r="P150" t="inlineStr">
        <is>
          <t>Febrero 2026 PERU.xlsx</t>
        </is>
      </c>
      <c r="Q150" t="inlineStr">
        <is>
          <t>Fila 52</t>
        </is>
      </c>
      <c r="R150" t="inlineStr">
        <is>
          <t>Media</t>
        </is>
      </c>
      <c r="S150" t="inlineStr">
        <is>
          <t>SI</t>
        </is>
      </c>
      <c r="T150" t="inlineStr">
        <is>
          <t>Cuenta genérica de honorarios de ventas</t>
        </is>
      </c>
    </row>
    <row r="151">
      <c r="A151" t="inlineStr">
        <is>
          <t>2026-02</t>
        </is>
      </c>
      <c r="B151" t="inlineStr">
        <is>
          <t>Peru</t>
        </is>
      </c>
      <c r="C151" t="inlineStr">
        <is>
          <t>PERU</t>
        </is>
      </c>
      <c r="D151" t="inlineStr">
        <is>
          <t>PEN</t>
        </is>
      </c>
      <c r="E151" t="inlineStr">
        <is>
          <t>PL-F-010</t>
        </is>
      </c>
      <c r="F151" t="inlineStr">
        <is>
          <t>Gastos financieros</t>
        </is>
      </c>
      <c r="G151" t="inlineStr">
        <is>
          <t>Gastos financieros</t>
        </is>
      </c>
      <c r="H151" t="inlineStr">
        <is>
          <t>Gastos bancarios</t>
        </is>
      </c>
      <c r="I151" t="inlineStr">
        <is>
          <t>GASTOS BANCARIOS</t>
        </is>
      </c>
      <c r="J151" s="41" t="n">
        <v>11.06</v>
      </c>
      <c r="K151" s="41" t="n">
        <v>11</v>
      </c>
      <c r="L151" s="41" t="n">
        <v>0</v>
      </c>
      <c r="M151" s="41" t="n">
        <v>22.06</v>
      </c>
      <c r="N151" s="41" t="n">
        <v>22.06</v>
      </c>
      <c r="O151" s="41" t="n">
        <v>11</v>
      </c>
      <c r="P151" t="inlineStr">
        <is>
          <t>Febrero 2026 PERU.xlsx</t>
        </is>
      </c>
      <c r="Q151" t="inlineStr">
        <is>
          <t>Fila 55</t>
        </is>
      </c>
      <c r="R151" t="inlineStr">
        <is>
          <t>Alta</t>
        </is>
      </c>
      <c r="S151" t="inlineStr">
        <is>
          <t>NO</t>
        </is>
      </c>
      <c r="T151" t="inlineStr">
        <is>
          <t>Costo financiero bancario</t>
        </is>
      </c>
    </row>
    <row r="152">
      <c r="A152" t="inlineStr">
        <is>
          <t>2026-02</t>
        </is>
      </c>
      <c r="B152" t="inlineStr">
        <is>
          <t>Peru</t>
        </is>
      </c>
      <c r="C152" t="inlineStr">
        <is>
          <t>PERU</t>
        </is>
      </c>
      <c r="D152" t="inlineStr">
        <is>
          <t>PEN</t>
        </is>
      </c>
      <c r="E152" t="inlineStr">
        <is>
          <t>PL-F-010</t>
        </is>
      </c>
      <c r="F152" t="inlineStr">
        <is>
          <t>Gastos financieros</t>
        </is>
      </c>
      <c r="G152" t="inlineStr">
        <is>
          <t>Gastos financieros</t>
        </is>
      </c>
      <c r="H152" t="inlineStr">
        <is>
          <t>Gastos bancarios</t>
        </is>
      </c>
      <c r="I152" t="inlineStr">
        <is>
          <t>IVA</t>
        </is>
      </c>
      <c r="J152" s="41" t="n">
        <v>1.65</v>
      </c>
      <c r="K152" s="41" t="n">
        <v>3.4</v>
      </c>
      <c r="L152" s="41" t="n">
        <v>0</v>
      </c>
      <c r="M152" s="41" t="n">
        <v>5.05</v>
      </c>
      <c r="N152" s="41" t="n">
        <v>5.05</v>
      </c>
      <c r="O152" s="41" t="n">
        <v>3.4</v>
      </c>
      <c r="P152" t="inlineStr">
        <is>
          <t>Febrero 2026 PERU.xlsx</t>
        </is>
      </c>
      <c r="Q152" t="inlineStr">
        <is>
          <t>Fila 56</t>
        </is>
      </c>
      <c r="R152" t="inlineStr">
        <is>
          <t>Alta</t>
        </is>
      </c>
      <c r="S152" t="inlineStr">
        <is>
          <t>NO</t>
        </is>
      </c>
      <c r="T152" t="inlineStr">
        <is>
          <t>Costo financiero bancario</t>
        </is>
      </c>
    </row>
    <row r="153">
      <c r="A153" t="inlineStr">
        <is>
          <t>2026-02</t>
        </is>
      </c>
      <c r="B153" t="inlineStr">
        <is>
          <t>Peru</t>
        </is>
      </c>
      <c r="C153" t="inlineStr">
        <is>
          <t>PERU</t>
        </is>
      </c>
      <c r="D153" t="inlineStr">
        <is>
          <t>PEN</t>
        </is>
      </c>
      <c r="E153" t="inlineStr">
        <is>
          <t>PL-F-010</t>
        </is>
      </c>
      <c r="F153" t="inlineStr">
        <is>
          <t>Gastos financieros</t>
        </is>
      </c>
      <c r="G153" t="inlineStr">
        <is>
          <t>Gastos financieros</t>
        </is>
      </c>
      <c r="H153" t="inlineStr">
        <is>
          <t>Gastos bancarios</t>
        </is>
      </c>
      <c r="I153" t="inlineStr">
        <is>
          <t>CUOTA MANEJO</t>
        </is>
      </c>
      <c r="J153" s="41" t="n">
        <v>80</v>
      </c>
      <c r="K153" s="41" t="n">
        <v>80</v>
      </c>
      <c r="L153" s="41" t="n">
        <v>0</v>
      </c>
      <c r="M153" s="41" t="n">
        <v>160</v>
      </c>
      <c r="N153" s="41" t="n">
        <v>160</v>
      </c>
      <c r="O153" s="41" t="n">
        <v>80</v>
      </c>
      <c r="P153" t="inlineStr">
        <is>
          <t>Febrero 2026 PERU.xlsx</t>
        </is>
      </c>
      <c r="Q153" t="inlineStr">
        <is>
          <t>Fila 57</t>
        </is>
      </c>
      <c r="R153" t="inlineStr">
        <is>
          <t>Alta</t>
        </is>
      </c>
      <c r="S153" t="inlineStr">
        <is>
          <t>NO</t>
        </is>
      </c>
      <c r="T153" t="inlineStr">
        <is>
          <t>Costo financiero bancario</t>
        </is>
      </c>
    </row>
    <row r="154">
      <c r="A154" t="inlineStr">
        <is>
          <t>2026-02</t>
        </is>
      </c>
      <c r="B154" t="inlineStr">
        <is>
          <t>Estados Unidos</t>
        </is>
      </c>
      <c r="C154" t="inlineStr">
        <is>
          <t>USA</t>
        </is>
      </c>
      <c r="D154" t="inlineStr">
        <is>
          <t>USD</t>
        </is>
      </c>
      <c r="E154" t="inlineStr">
        <is>
          <t>PL-R-010</t>
        </is>
      </c>
      <c r="F154" t="inlineStr">
        <is>
          <t>Ingresos operacionales</t>
        </is>
      </c>
      <c r="G154" t="inlineStr">
        <is>
          <t>Ingresos por servicios</t>
        </is>
      </c>
      <c r="H154" t="inlineStr">
        <is>
          <t>Software y agendamiento</t>
        </is>
      </c>
      <c r="I154" t="inlineStr">
        <is>
          <t>PRESTADORA DE SERVICIOS DE SALUD PREVENTIS SA</t>
        </is>
      </c>
      <c r="J154" s="41" t="n">
        <v>-2830.35</v>
      </c>
      <c r="K154" s="41" t="n">
        <v>0</v>
      </c>
      <c r="L154" s="41" t="n">
        <v>3900</v>
      </c>
      <c r="M154" s="41" t="n">
        <v>-6730.35</v>
      </c>
      <c r="N154" s="41" t="n">
        <v>6730.35</v>
      </c>
      <c r="O154" s="41" t="n">
        <v>3900</v>
      </c>
      <c r="P154" t="inlineStr">
        <is>
          <t>Febrero 2026 USA.xlsx</t>
        </is>
      </c>
      <c r="Q154" t="inlineStr">
        <is>
          <t>Fila 55</t>
        </is>
      </c>
      <c r="R154" t="inlineStr">
        <is>
          <t>Alta</t>
        </is>
      </c>
      <c r="S154" t="inlineStr">
        <is>
          <t>NO</t>
        </is>
      </c>
      <c r="T154" t="inlineStr">
        <is>
          <t>Ingreso operacional principal</t>
        </is>
      </c>
    </row>
    <row r="155">
      <c r="A155" t="inlineStr">
        <is>
          <t>2026-02</t>
        </is>
      </c>
      <c r="B155" t="inlineStr">
        <is>
          <t>Estados Unidos</t>
        </is>
      </c>
      <c r="C155" t="inlineStr">
        <is>
          <t>USA</t>
        </is>
      </c>
      <c r="D155" t="inlineStr">
        <is>
          <t>USD</t>
        </is>
      </c>
      <c r="E155" t="inlineStr">
        <is>
          <t>PL-R-010</t>
        </is>
      </c>
      <c r="F155" t="inlineStr">
        <is>
          <t>Ingresos operacionales</t>
        </is>
      </c>
      <c r="G155" t="inlineStr">
        <is>
          <t>Ingresos por servicios</t>
        </is>
      </c>
      <c r="H155" t="inlineStr">
        <is>
          <t>Software y agendamiento</t>
        </is>
      </c>
      <c r="I155" t="inlineStr">
        <is>
          <t>SERVICIOS HOSPITALARIOS BRISAS SA</t>
        </is>
      </c>
      <c r="J155" s="41" t="n">
        <v>-300</v>
      </c>
      <c r="K155" s="41" t="n">
        <v>0</v>
      </c>
      <c r="L155" s="41" t="n">
        <v>0</v>
      </c>
      <c r="M155" s="41" t="n">
        <v>-300</v>
      </c>
      <c r="N155" s="41" t="n">
        <v>300</v>
      </c>
      <c r="O155" s="41" t="n">
        <v>0</v>
      </c>
      <c r="P155" t="inlineStr">
        <is>
          <t>Febrero 2026 USA.xlsx</t>
        </is>
      </c>
      <c r="Q155" t="inlineStr">
        <is>
          <t>Fila 56</t>
        </is>
      </c>
      <c r="R155" t="inlineStr">
        <is>
          <t>Alta</t>
        </is>
      </c>
      <c r="S155" t="inlineStr">
        <is>
          <t>NO</t>
        </is>
      </c>
      <c r="T155" t="inlineStr">
        <is>
          <t>Ingreso operacional principal</t>
        </is>
      </c>
    </row>
    <row r="156">
      <c r="A156" t="inlineStr">
        <is>
          <t>2026-02</t>
        </is>
      </c>
      <c r="B156" t="inlineStr">
        <is>
          <t>Estados Unidos</t>
        </is>
      </c>
      <c r="C156" t="inlineStr">
        <is>
          <t>USA</t>
        </is>
      </c>
      <c r="D156" t="inlineStr">
        <is>
          <t>USD</t>
        </is>
      </c>
      <c r="E156" t="inlineStr">
        <is>
          <t>PL-R-010</t>
        </is>
      </c>
      <c r="F156" t="inlineStr">
        <is>
          <t>Ingresos operacionales</t>
        </is>
      </c>
      <c r="G156" t="inlineStr">
        <is>
          <t>Ingresos por servicios</t>
        </is>
      </c>
      <c r="H156" t="inlineStr">
        <is>
          <t>Software y agendamiento</t>
        </is>
      </c>
      <c r="I156" t="inlineStr">
        <is>
          <t>ACOSTA BORBON ALEJANDRO</t>
        </is>
      </c>
      <c r="J156" s="41" t="n">
        <v>-217</v>
      </c>
      <c r="K156" s="41" t="n">
        <v>0</v>
      </c>
      <c r="L156" s="41" t="n">
        <v>0</v>
      </c>
      <c r="M156" s="41" t="n">
        <v>-217</v>
      </c>
      <c r="N156" s="41" t="n">
        <v>217</v>
      </c>
      <c r="O156" s="41" t="n">
        <v>0</v>
      </c>
      <c r="P156" t="inlineStr">
        <is>
          <t>Febrero 2026 USA.xlsx</t>
        </is>
      </c>
      <c r="Q156" t="inlineStr">
        <is>
          <t>Fila 57</t>
        </is>
      </c>
      <c r="R156" t="inlineStr">
        <is>
          <t>Alta</t>
        </is>
      </c>
      <c r="S156" t="inlineStr">
        <is>
          <t>NO</t>
        </is>
      </c>
      <c r="T156" t="inlineStr">
        <is>
          <t>Ingreso operacional principal</t>
        </is>
      </c>
    </row>
    <row r="157">
      <c r="A157" t="inlineStr">
        <is>
          <t>2026-02</t>
        </is>
      </c>
      <c r="B157" t="inlineStr">
        <is>
          <t>Estados Unidos</t>
        </is>
      </c>
      <c r="C157" t="inlineStr">
        <is>
          <t>USA</t>
        </is>
      </c>
      <c r="D157" t="inlineStr">
        <is>
          <t>USD</t>
        </is>
      </c>
      <c r="E157" t="inlineStr">
        <is>
          <t>PL-R-010</t>
        </is>
      </c>
      <c r="F157" t="inlineStr">
        <is>
          <t>Ingresos operacionales</t>
        </is>
      </c>
      <c r="G157" t="inlineStr">
        <is>
          <t>Ingresos por servicios</t>
        </is>
      </c>
      <c r="H157" t="inlineStr">
        <is>
          <t>Software y agendamiento</t>
        </is>
      </c>
      <c r="I157" t="inlineStr">
        <is>
          <t>Emmely Esther Coronado Peguero</t>
        </is>
      </c>
      <c r="J157" s="41" t="n">
        <v>-96.45</v>
      </c>
      <c r="K157" s="41" t="n">
        <v>0</v>
      </c>
      <c r="L157" s="41" t="n">
        <v>96.45</v>
      </c>
      <c r="M157" s="41" t="n">
        <v>-192.9</v>
      </c>
      <c r="N157" s="41" t="n">
        <v>192.9</v>
      </c>
      <c r="O157" s="41" t="n">
        <v>96.45</v>
      </c>
      <c r="P157" t="inlineStr">
        <is>
          <t>Febrero 2026 USA.xlsx</t>
        </is>
      </c>
      <c r="Q157" t="inlineStr">
        <is>
          <t>Fila 58</t>
        </is>
      </c>
      <c r="R157" t="inlineStr">
        <is>
          <t>Alta</t>
        </is>
      </c>
      <c r="S157" t="inlineStr">
        <is>
          <t>NO</t>
        </is>
      </c>
      <c r="T157" t="inlineStr">
        <is>
          <t>Ingreso operacional principal</t>
        </is>
      </c>
    </row>
    <row r="158">
      <c r="A158" t="inlineStr">
        <is>
          <t>2026-02</t>
        </is>
      </c>
      <c r="B158" t="inlineStr">
        <is>
          <t>Estados Unidos</t>
        </is>
      </c>
      <c r="C158" t="inlineStr">
        <is>
          <t>USA</t>
        </is>
      </c>
      <c r="D158" t="inlineStr">
        <is>
          <t>USD</t>
        </is>
      </c>
      <c r="E158" t="inlineStr">
        <is>
          <t>PL-R-010</t>
        </is>
      </c>
      <c r="F158" t="inlineStr">
        <is>
          <t>Ingresos operacionales</t>
        </is>
      </c>
      <c r="G158" t="inlineStr">
        <is>
          <t>Ingresos por servicios</t>
        </is>
      </c>
      <c r="H158" t="inlineStr">
        <is>
          <t>Software y agendamiento</t>
        </is>
      </c>
      <c r="I158" t="inlineStr">
        <is>
          <t>Fundacion para la Confianza</t>
        </is>
      </c>
      <c r="J158" s="41" t="n">
        <v>-55</v>
      </c>
      <c r="K158" s="41" t="n">
        <v>0</v>
      </c>
      <c r="L158" s="41" t="n">
        <v>55</v>
      </c>
      <c r="M158" s="41" t="n">
        <v>-110</v>
      </c>
      <c r="N158" s="41" t="n">
        <v>110</v>
      </c>
      <c r="O158" s="41" t="n">
        <v>55</v>
      </c>
      <c r="P158" t="inlineStr">
        <is>
          <t>Febrero 2026 USA.xlsx</t>
        </is>
      </c>
      <c r="Q158" t="inlineStr">
        <is>
          <t>Fila 59</t>
        </is>
      </c>
      <c r="R158" t="inlineStr">
        <is>
          <t>Alta</t>
        </is>
      </c>
      <c r="S158" t="inlineStr">
        <is>
          <t>NO</t>
        </is>
      </c>
      <c r="T158" t="inlineStr">
        <is>
          <t>Ingreso operacional principal</t>
        </is>
      </c>
    </row>
    <row r="159">
      <c r="A159" t="inlineStr">
        <is>
          <t>2026-02</t>
        </is>
      </c>
      <c r="B159" t="inlineStr">
        <is>
          <t>Estados Unidos</t>
        </is>
      </c>
      <c r="C159" t="inlineStr">
        <is>
          <t>USA</t>
        </is>
      </c>
      <c r="D159" t="inlineStr">
        <is>
          <t>USD</t>
        </is>
      </c>
      <c r="E159" t="inlineStr">
        <is>
          <t>PL-NO-010</t>
        </is>
      </c>
      <c r="F159" t="inlineStr">
        <is>
          <t>Ingresos no operacionales</t>
        </is>
      </c>
      <c r="G159" t="inlineStr">
        <is>
          <t>Ingresos financieros</t>
        </is>
      </c>
      <c r="H159" t="inlineStr">
        <is>
          <t>Intereses</t>
        </is>
      </c>
      <c r="I159" t="inlineStr">
        <is>
          <t>PRESTADORA DE SERVICIOS DE SALUD PREVENTIS SA</t>
        </is>
      </c>
      <c r="J159" s="41" t="n">
        <v>0</v>
      </c>
      <c r="K159" s="41" t="n">
        <v>0</v>
      </c>
      <c r="L159" s="41" t="n">
        <v>0.35</v>
      </c>
      <c r="M159" s="41" t="n">
        <v>-0.35</v>
      </c>
      <c r="N159" s="41" t="n">
        <v>0.35</v>
      </c>
      <c r="O159" s="41" t="n">
        <v>0.35</v>
      </c>
      <c r="P159" t="inlineStr">
        <is>
          <t>Febrero 2026 USA.xlsx</t>
        </is>
      </c>
      <c r="Q159" t="inlineStr">
        <is>
          <t>Fila 63</t>
        </is>
      </c>
      <c r="R159" t="inlineStr">
        <is>
          <t>Alta</t>
        </is>
      </c>
      <c r="S159" t="inlineStr">
        <is>
          <t>NO</t>
        </is>
      </c>
      <c r="T159" t="inlineStr">
        <is>
          <t>Ingreso financiero</t>
        </is>
      </c>
    </row>
    <row r="160">
      <c r="A160" t="inlineStr">
        <is>
          <t>2026-02</t>
        </is>
      </c>
      <c r="B160" t="inlineStr">
        <is>
          <t>Estados Unidos</t>
        </is>
      </c>
      <c r="C160" t="inlineStr">
        <is>
          <t>USA</t>
        </is>
      </c>
      <c r="D160" t="inlineStr">
        <is>
          <t>USD</t>
        </is>
      </c>
      <c r="E160" t="inlineStr">
        <is>
          <t>PL-NO-010</t>
        </is>
      </c>
      <c r="F160" t="inlineStr">
        <is>
          <t>Ingresos no operacionales</t>
        </is>
      </c>
      <c r="G160" t="inlineStr">
        <is>
          <t>Ingresos financieros</t>
        </is>
      </c>
      <c r="H160" t="inlineStr">
        <is>
          <t>Intereses</t>
        </is>
      </c>
      <c r="I160" t="inlineStr">
        <is>
          <t>SERVICIOS HOSPITALARIOS BRISAS SA</t>
        </is>
      </c>
      <c r="J160" s="41" t="n">
        <v>-83</v>
      </c>
      <c r="K160" s="41" t="n">
        <v>0</v>
      </c>
      <c r="L160" s="41" t="n">
        <v>0</v>
      </c>
      <c r="M160" s="41" t="n">
        <v>-83</v>
      </c>
      <c r="N160" s="41" t="n">
        <v>83</v>
      </c>
      <c r="O160" s="41" t="n">
        <v>0</v>
      </c>
      <c r="P160" t="inlineStr">
        <is>
          <t>Febrero 2026 USA.xlsx</t>
        </is>
      </c>
      <c r="Q160" t="inlineStr">
        <is>
          <t>Fila 64</t>
        </is>
      </c>
      <c r="R160" t="inlineStr">
        <is>
          <t>Alta</t>
        </is>
      </c>
      <c r="S160" t="inlineStr">
        <is>
          <t>NO</t>
        </is>
      </c>
      <c r="T160" t="inlineStr">
        <is>
          <t>Ingreso financiero</t>
        </is>
      </c>
    </row>
    <row r="161">
      <c r="A161" t="inlineStr">
        <is>
          <t>2026-02</t>
        </is>
      </c>
      <c r="B161" t="inlineStr">
        <is>
          <t>Estados Unidos</t>
        </is>
      </c>
      <c r="C161" t="inlineStr">
        <is>
          <t>USA</t>
        </is>
      </c>
      <c r="D161" t="inlineStr">
        <is>
          <t>USD</t>
        </is>
      </c>
      <c r="E161" t="inlineStr">
        <is>
          <t>PL-NO-010</t>
        </is>
      </c>
      <c r="F161" t="inlineStr">
        <is>
          <t>Ingresos no operacionales</t>
        </is>
      </c>
      <c r="G161" t="inlineStr">
        <is>
          <t>Ingresos financieros</t>
        </is>
      </c>
      <c r="H161" t="inlineStr">
        <is>
          <t>Intereses</t>
        </is>
      </c>
      <c r="I161" t="inlineStr">
        <is>
          <t>MERCURY LLC</t>
        </is>
      </c>
      <c r="J161" s="41" t="n">
        <v>-41.57</v>
      </c>
      <c r="K161" s="41" t="n">
        <v>0</v>
      </c>
      <c r="L161" s="41" t="n">
        <v>13.06</v>
      </c>
      <c r="M161" s="41" t="n">
        <v>-54.63</v>
      </c>
      <c r="N161" s="41" t="n">
        <v>54.63</v>
      </c>
      <c r="O161" s="41" t="n">
        <v>13.06</v>
      </c>
      <c r="P161" t="inlineStr">
        <is>
          <t>Febrero 2026 USA.xlsx</t>
        </is>
      </c>
      <c r="Q161" t="inlineStr">
        <is>
          <t>Fila 65</t>
        </is>
      </c>
      <c r="R161" t="inlineStr">
        <is>
          <t>Alta</t>
        </is>
      </c>
      <c r="S161" t="inlineStr">
        <is>
          <t>NO</t>
        </is>
      </c>
      <c r="T161" t="inlineStr">
        <is>
          <t>Ingreso financiero</t>
        </is>
      </c>
    </row>
    <row r="162">
      <c r="A162" t="inlineStr">
        <is>
          <t>2026-02</t>
        </is>
      </c>
      <c r="B162" t="inlineStr">
        <is>
          <t>Estados Unidos</t>
        </is>
      </c>
      <c r="C162" t="inlineStr">
        <is>
          <t>USA</t>
        </is>
      </c>
      <c r="D162" t="inlineStr">
        <is>
          <t>USD</t>
        </is>
      </c>
      <c r="E162" t="inlineStr">
        <is>
          <t>PL-O-010</t>
        </is>
      </c>
      <c r="F162" t="inlineStr">
        <is>
          <t>Gastos de administración</t>
        </is>
      </c>
      <c r="G162" t="inlineStr">
        <is>
          <t>Gastos de personal</t>
        </is>
      </c>
      <c r="H162" t="inlineStr">
        <is>
          <t>Sueldos</t>
        </is>
      </c>
      <c r="I162" t="inlineStr">
        <is>
          <t>Parada Zuluaga Robert Andres</t>
        </is>
      </c>
      <c r="J162" s="41" t="n">
        <v>2592.17</v>
      </c>
      <c r="K162" s="41" t="n">
        <v>2592.17</v>
      </c>
      <c r="L162" s="41" t="n">
        <v>0</v>
      </c>
      <c r="M162" s="41" t="n">
        <v>5184.34</v>
      </c>
      <c r="N162" s="41" t="n">
        <v>5184.34</v>
      </c>
      <c r="O162" s="41" t="n">
        <v>2592.17</v>
      </c>
      <c r="P162" t="inlineStr">
        <is>
          <t>Febrero 2026 USA.xlsx</t>
        </is>
      </c>
      <c r="Q162" t="inlineStr">
        <is>
          <t>Fila 70</t>
        </is>
      </c>
      <c r="R162" t="inlineStr">
        <is>
          <t>Alta</t>
        </is>
      </c>
      <c r="S162" t="inlineStr">
        <is>
          <t>NO</t>
        </is>
      </c>
      <c r="T162" t="inlineStr">
        <is>
          <t>Remuneración laboral</t>
        </is>
      </c>
    </row>
    <row r="163">
      <c r="A163" t="inlineStr">
        <is>
          <t>2026-02</t>
        </is>
      </c>
      <c r="B163" t="inlineStr">
        <is>
          <t>Estados Unidos</t>
        </is>
      </c>
      <c r="C163" t="inlineStr">
        <is>
          <t>USA</t>
        </is>
      </c>
      <c r="D163" t="inlineStr">
        <is>
          <t>USD</t>
        </is>
      </c>
      <c r="E163" t="inlineStr">
        <is>
          <t>PL-O-090</t>
        </is>
      </c>
      <c r="F163" t="inlineStr">
        <is>
          <t>Gastos de administración</t>
        </is>
      </c>
      <c r="G163" t="inlineStr">
        <is>
          <t>Viajes y representación</t>
        </is>
      </c>
      <c r="H163" t="inlineStr">
        <is>
          <t>Viáticos</t>
        </is>
      </c>
      <c r="I163" t="inlineStr">
        <is>
          <t>Lyft</t>
        </is>
      </c>
      <c r="J163" s="41" t="n">
        <v>0</v>
      </c>
      <c r="K163" s="41" t="n">
        <v>9.91</v>
      </c>
      <c r="L163" s="41" t="n">
        <v>0</v>
      </c>
      <c r="M163" s="41" t="n">
        <v>9.91</v>
      </c>
      <c r="N163" s="41" t="n">
        <v>9.91</v>
      </c>
      <c r="O163" s="41" t="n">
        <v>9.91</v>
      </c>
      <c r="P163" t="inlineStr">
        <is>
          <t>Febrero 2026 USA.xlsx</t>
        </is>
      </c>
      <c r="Q163" t="inlineStr">
        <is>
          <t>Fila 72</t>
        </is>
      </c>
      <c r="R163" t="inlineStr">
        <is>
          <t>Alta</t>
        </is>
      </c>
      <c r="S163" t="inlineStr">
        <is>
          <t>NO</t>
        </is>
      </c>
      <c r="T163" t="inlineStr">
        <is>
          <t>Viáticos administrativos</t>
        </is>
      </c>
    </row>
    <row r="164">
      <c r="A164" t="inlineStr">
        <is>
          <t>2026-02</t>
        </is>
      </c>
      <c r="B164" t="inlineStr">
        <is>
          <t>Estados Unidos</t>
        </is>
      </c>
      <c r="C164" t="inlineStr">
        <is>
          <t>USA</t>
        </is>
      </c>
      <c r="D164" t="inlineStr">
        <is>
          <t>USD</t>
        </is>
      </c>
      <c r="E164" t="inlineStr">
        <is>
          <t>PL-O-010</t>
        </is>
      </c>
      <c r="F164" t="inlineStr">
        <is>
          <t>Gastos de administración</t>
        </is>
      </c>
      <c r="G164" t="inlineStr">
        <is>
          <t>Gastos de personal</t>
        </is>
      </c>
      <c r="H164" t="inlineStr">
        <is>
          <t>Auxilios</t>
        </is>
      </c>
      <c r="I164" t="inlineStr">
        <is>
          <t>CAPOTE &amp; CAPOTE PA</t>
        </is>
      </c>
      <c r="J164" s="41" t="n">
        <v>0</v>
      </c>
      <c r="K164" s="41" t="n">
        <v>7600</v>
      </c>
      <c r="L164" s="41" t="n">
        <v>0</v>
      </c>
      <c r="M164" s="41" t="n">
        <v>7600</v>
      </c>
      <c r="N164" s="41" t="n">
        <v>7600</v>
      </c>
      <c r="O164" s="41" t="n">
        <v>7600</v>
      </c>
      <c r="P164" t="inlineStr">
        <is>
          <t>Febrero 2026 USA.xlsx</t>
        </is>
      </c>
      <c r="Q164" t="inlineStr">
        <is>
          <t>Fila 74</t>
        </is>
      </c>
      <c r="R164" t="inlineStr">
        <is>
          <t>Media</t>
        </is>
      </c>
      <c r="S164" t="inlineStr">
        <is>
          <t>SI</t>
        </is>
      </c>
      <c r="T164" t="inlineStr">
        <is>
          <t>Algunos terceros no parecen auxilios laborales; revisar soporte</t>
        </is>
      </c>
    </row>
    <row r="165">
      <c r="A165" t="inlineStr">
        <is>
          <t>2026-02</t>
        </is>
      </c>
      <c r="B165" t="inlineStr">
        <is>
          <t>Estados Unidos</t>
        </is>
      </c>
      <c r="C165" t="inlineStr">
        <is>
          <t>USA</t>
        </is>
      </c>
      <c r="D165" t="inlineStr">
        <is>
          <t>USD</t>
        </is>
      </c>
      <c r="E165" t="inlineStr">
        <is>
          <t>PL-O-010</t>
        </is>
      </c>
      <c r="F165" t="inlineStr">
        <is>
          <t>Gastos de administración</t>
        </is>
      </c>
      <c r="G165" t="inlineStr">
        <is>
          <t>Gastos de personal</t>
        </is>
      </c>
      <c r="H165" t="inlineStr">
        <is>
          <t>Gastos médicos</t>
        </is>
      </c>
      <c r="I165" t="inlineStr">
        <is>
          <t>Oscar Insurance Company</t>
        </is>
      </c>
      <c r="J165" s="41" t="n">
        <v>122.93</v>
      </c>
      <c r="K165" s="41" t="n">
        <v>0</v>
      </c>
      <c r="L165" s="41" t="n">
        <v>0</v>
      </c>
      <c r="M165" s="41" t="n">
        <v>122.93</v>
      </c>
      <c r="N165" s="41" t="n">
        <v>122.93</v>
      </c>
      <c r="O165" s="41" t="n">
        <v>0</v>
      </c>
      <c r="P165" t="inlineStr">
        <is>
          <t>Febrero 2026 USA.xlsx</t>
        </is>
      </c>
      <c r="Q165" t="inlineStr">
        <is>
          <t>Fila 76</t>
        </is>
      </c>
      <c r="R165" t="inlineStr">
        <is>
          <t>Alta</t>
        </is>
      </c>
      <c r="S165" t="inlineStr">
        <is>
          <t>NO</t>
        </is>
      </c>
      <c r="T165" t="inlineStr">
        <is>
          <t>Beneficios de salud</t>
        </is>
      </c>
    </row>
    <row r="166">
      <c r="A166" t="inlineStr">
        <is>
          <t>2026-02</t>
        </is>
      </c>
      <c r="B166" t="inlineStr">
        <is>
          <t>Estados Unidos</t>
        </is>
      </c>
      <c r="C166" t="inlineStr">
        <is>
          <t>USA</t>
        </is>
      </c>
      <c r="D166" t="inlineStr">
        <is>
          <t>USD</t>
        </is>
      </c>
      <c r="E166" t="inlineStr">
        <is>
          <t>PL-O-010</t>
        </is>
      </c>
      <c r="F166" t="inlineStr">
        <is>
          <t>Gastos de administración</t>
        </is>
      </c>
      <c r="G166" t="inlineStr">
        <is>
          <t>Gastos de personal</t>
        </is>
      </c>
      <c r="H166" t="inlineStr">
        <is>
          <t>Otros gastos de personal</t>
        </is>
      </c>
      <c r="I166" t="inlineStr">
        <is>
          <t>Parada Zuluaga Robert Andres</t>
        </is>
      </c>
      <c r="J166" s="41" t="n">
        <v>835.33</v>
      </c>
      <c r="K166" s="41" t="n">
        <v>736.33</v>
      </c>
      <c r="L166" s="41" t="n">
        <v>0</v>
      </c>
      <c r="M166" s="41" t="n">
        <v>1571.66</v>
      </c>
      <c r="N166" s="41" t="n">
        <v>1571.66</v>
      </c>
      <c r="O166" s="41" t="n">
        <v>736.33</v>
      </c>
      <c r="P166" t="inlineStr">
        <is>
          <t>Febrero 2026 USA.xlsx</t>
        </is>
      </c>
      <c r="Q166" t="inlineStr">
        <is>
          <t>Fila 78</t>
        </is>
      </c>
      <c r="R166" t="inlineStr">
        <is>
          <t>Media</t>
        </is>
      </c>
      <c r="S166" t="inlineStr">
        <is>
          <t>SI</t>
        </is>
      </c>
      <c r="T166" t="inlineStr">
        <is>
          <t>Cuenta genérica de personal</t>
        </is>
      </c>
    </row>
    <row r="167">
      <c r="A167" t="inlineStr">
        <is>
          <t>2026-02</t>
        </is>
      </c>
      <c r="B167" t="inlineStr">
        <is>
          <t>Estados Unidos</t>
        </is>
      </c>
      <c r="C167" t="inlineStr">
        <is>
          <t>USA</t>
        </is>
      </c>
      <c r="D167" t="inlineStr">
        <is>
          <t>USD</t>
        </is>
      </c>
      <c r="E167" t="inlineStr">
        <is>
          <t>PL-O-020</t>
        </is>
      </c>
      <c r="F167" t="inlineStr">
        <is>
          <t>Gastos de administración</t>
        </is>
      </c>
      <c r="G167" t="inlineStr">
        <is>
          <t>Honorarios y servicios profesionales</t>
        </is>
      </c>
      <c r="H167" t="inlineStr">
        <is>
          <t>Asesoría financiera</t>
        </is>
      </c>
      <c r="I167" t="inlineStr">
        <is>
          <t>Tenant Evaluation LLC</t>
        </is>
      </c>
      <c r="J167" s="41" t="n">
        <v>0</v>
      </c>
      <c r="K167" s="41" t="n">
        <v>445</v>
      </c>
      <c r="L167" s="41" t="n">
        <v>0</v>
      </c>
      <c r="M167" s="41" t="n">
        <v>445</v>
      </c>
      <c r="N167" s="41" t="n">
        <v>445</v>
      </c>
      <c r="O167" s="41" t="n">
        <v>445</v>
      </c>
      <c r="P167" t="inlineStr">
        <is>
          <t>Febrero 2026 USA.xlsx</t>
        </is>
      </c>
      <c r="Q167" t="inlineStr">
        <is>
          <t>Fila 81</t>
        </is>
      </c>
      <c r="R167" t="inlineStr">
        <is>
          <t>Alta</t>
        </is>
      </c>
      <c r="S167" t="inlineStr">
        <is>
          <t>NO</t>
        </is>
      </c>
      <c r="T167" t="inlineStr">
        <is>
          <t>Servicio profesional financiero</t>
        </is>
      </c>
    </row>
    <row r="168">
      <c r="A168" t="inlineStr">
        <is>
          <t>2026-02</t>
        </is>
      </c>
      <c r="B168" t="inlineStr">
        <is>
          <t>Estados Unidos</t>
        </is>
      </c>
      <c r="C168" t="inlineStr">
        <is>
          <t>USA</t>
        </is>
      </c>
      <c r="D168" t="inlineStr">
        <is>
          <t>USD</t>
        </is>
      </c>
      <c r="E168" t="inlineStr">
        <is>
          <t>PL-O-030</t>
        </is>
      </c>
      <c r="F168" t="inlineStr">
        <is>
          <t>Gastos de administración</t>
        </is>
      </c>
      <c r="G168" t="inlineStr">
        <is>
          <t>Impuestos y contribuciones</t>
        </is>
      </c>
      <c r="H168" t="inlineStr">
        <is>
          <t>Industria, comercio y otros</t>
        </is>
      </c>
      <c r="I168" t="inlineStr">
        <is>
          <t>IRS IMPUESTO FEDERALES</t>
        </is>
      </c>
      <c r="J168" s="41" t="n">
        <v>0</v>
      </c>
      <c r="K168" s="41" t="n">
        <v>4021.87</v>
      </c>
      <c r="L168" s="41" t="n">
        <v>0</v>
      </c>
      <c r="M168" s="41" t="n">
        <v>4021.87</v>
      </c>
      <c r="N168" s="41" t="n">
        <v>4021.87</v>
      </c>
      <c r="O168" s="41" t="n">
        <v>4021.87</v>
      </c>
      <c r="P168" t="inlineStr">
        <is>
          <t>Febrero 2026 USA.xlsx</t>
        </is>
      </c>
      <c r="Q168" t="inlineStr">
        <is>
          <t>Fila 84</t>
        </is>
      </c>
      <c r="R168" t="inlineStr">
        <is>
          <t>Alta</t>
        </is>
      </c>
      <c r="S168" t="inlineStr">
        <is>
          <t>NO</t>
        </is>
      </c>
      <c r="T168" t="inlineStr">
        <is>
          <t>Impuestos no asociados a renta</t>
        </is>
      </c>
    </row>
    <row r="169">
      <c r="A169" t="inlineStr">
        <is>
          <t>2026-02</t>
        </is>
      </c>
      <c r="B169" t="inlineStr">
        <is>
          <t>Estados Unidos</t>
        </is>
      </c>
      <c r="C169" t="inlineStr">
        <is>
          <t>USA</t>
        </is>
      </c>
      <c r="D169" t="inlineStr">
        <is>
          <t>USD</t>
        </is>
      </c>
      <c r="E169" t="inlineStr">
        <is>
          <t>PL-O-060</t>
        </is>
      </c>
      <c r="F169" t="inlineStr">
        <is>
          <t>Gastos de administración</t>
        </is>
      </c>
      <c r="G169" t="inlineStr">
        <is>
          <t>Tecnología y procesamiento de datos</t>
        </is>
      </c>
      <c r="H169" t="inlineStr">
        <is>
          <t>Plataformas y software</t>
        </is>
      </c>
      <c r="I169" t="inlineStr">
        <is>
          <t>WIX INC</t>
        </is>
      </c>
      <c r="J169" s="41" t="n">
        <v>21.35</v>
      </c>
      <c r="K169" s="41" t="n">
        <v>204</v>
      </c>
      <c r="L169" s="41" t="n">
        <v>0</v>
      </c>
      <c r="M169" s="41" t="n">
        <v>225.35</v>
      </c>
      <c r="N169" s="41" t="n">
        <v>225.35</v>
      </c>
      <c r="O169" s="41" t="n">
        <v>204</v>
      </c>
      <c r="P169" t="inlineStr">
        <is>
          <t>Febrero 2026 USA.xlsx</t>
        </is>
      </c>
      <c r="Q169" t="inlineStr">
        <is>
          <t>Fila 87</t>
        </is>
      </c>
      <c r="R169" t="inlineStr">
        <is>
          <t>Alta</t>
        </is>
      </c>
      <c r="S169" t="inlineStr">
        <is>
          <t>SI</t>
        </is>
      </c>
      <c r="T169" t="inlineStr">
        <is>
          <t>Revisar proveedores de telecomunicaciones registrados aquí</t>
        </is>
      </c>
    </row>
    <row r="170">
      <c r="A170" t="inlineStr">
        <is>
          <t>2026-02</t>
        </is>
      </c>
      <c r="B170" t="inlineStr">
        <is>
          <t>Estados Unidos</t>
        </is>
      </c>
      <c r="C170" t="inlineStr">
        <is>
          <t>USA</t>
        </is>
      </c>
      <c r="D170" t="inlineStr">
        <is>
          <t>USD</t>
        </is>
      </c>
      <c r="E170" t="inlineStr">
        <is>
          <t>PL-O-060</t>
        </is>
      </c>
      <c r="F170" t="inlineStr">
        <is>
          <t>Gastos de administración</t>
        </is>
      </c>
      <c r="G170" t="inlineStr">
        <is>
          <t>Tecnología y procesamiento de datos</t>
        </is>
      </c>
      <c r="H170" t="inlineStr">
        <is>
          <t>Plataformas y software</t>
        </is>
      </c>
      <c r="I170" t="inlineStr">
        <is>
          <t>Ahaslides</t>
        </is>
      </c>
      <c r="J170" s="41" t="n">
        <v>0</v>
      </c>
      <c r="K170" s="41" t="n">
        <v>191.4</v>
      </c>
      <c r="L170" s="41" t="n">
        <v>0</v>
      </c>
      <c r="M170" s="41" t="n">
        <v>191.4</v>
      </c>
      <c r="N170" s="41" t="n">
        <v>191.4</v>
      </c>
      <c r="O170" s="41" t="n">
        <v>191.4</v>
      </c>
      <c r="P170" t="inlineStr">
        <is>
          <t>Febrero 2026 USA.xlsx</t>
        </is>
      </c>
      <c r="Q170" t="inlineStr">
        <is>
          <t>Fila 88</t>
        </is>
      </c>
      <c r="R170" t="inlineStr">
        <is>
          <t>Alta</t>
        </is>
      </c>
      <c r="S170" t="inlineStr">
        <is>
          <t>SI</t>
        </is>
      </c>
      <c r="T170" t="inlineStr">
        <is>
          <t>Revisar proveedores de telecomunicaciones registrados aquí</t>
        </is>
      </c>
    </row>
    <row r="171">
      <c r="A171" t="inlineStr">
        <is>
          <t>2026-02</t>
        </is>
      </c>
      <c r="B171" t="inlineStr">
        <is>
          <t>Estados Unidos</t>
        </is>
      </c>
      <c r="C171" t="inlineStr">
        <is>
          <t>USA</t>
        </is>
      </c>
      <c r="D171" t="inlineStr">
        <is>
          <t>USD</t>
        </is>
      </c>
      <c r="E171" t="inlineStr">
        <is>
          <t>PL-O-060</t>
        </is>
      </c>
      <c r="F171" t="inlineStr">
        <is>
          <t>Gastos de administración</t>
        </is>
      </c>
      <c r="G171" t="inlineStr">
        <is>
          <t>Tecnología y procesamiento de datos</t>
        </is>
      </c>
      <c r="H171" t="inlineStr">
        <is>
          <t>Plataformas y software</t>
        </is>
      </c>
      <c r="I171" t="inlineStr">
        <is>
          <t>Open AI</t>
        </is>
      </c>
      <c r="J171" s="41" t="n">
        <v>20</v>
      </c>
      <c r="K171" s="41" t="n">
        <v>20</v>
      </c>
      <c r="L171" s="41" t="n">
        <v>0</v>
      </c>
      <c r="M171" s="41" t="n">
        <v>40</v>
      </c>
      <c r="N171" s="41" t="n">
        <v>40</v>
      </c>
      <c r="O171" s="41" t="n">
        <v>20</v>
      </c>
      <c r="P171" t="inlineStr">
        <is>
          <t>Febrero 2026 USA.xlsx</t>
        </is>
      </c>
      <c r="Q171" t="inlineStr">
        <is>
          <t>Fila 89</t>
        </is>
      </c>
      <c r="R171" t="inlineStr">
        <is>
          <t>Alta</t>
        </is>
      </c>
      <c r="S171" t="inlineStr">
        <is>
          <t>SI</t>
        </is>
      </c>
      <c r="T171" t="inlineStr">
        <is>
          <t>Revisar proveedores de telecomunicaciones registrados aquí</t>
        </is>
      </c>
    </row>
    <row r="172">
      <c r="A172" t="inlineStr">
        <is>
          <t>2026-02</t>
        </is>
      </c>
      <c r="B172" t="inlineStr">
        <is>
          <t>Estados Unidos</t>
        </is>
      </c>
      <c r="C172" t="inlineStr">
        <is>
          <t>USA</t>
        </is>
      </c>
      <c r="D172" t="inlineStr">
        <is>
          <t>USD</t>
        </is>
      </c>
      <c r="E172" t="inlineStr">
        <is>
          <t>PL-O-080</t>
        </is>
      </c>
      <c r="F172" t="inlineStr">
        <is>
          <t>Gastos de administración</t>
        </is>
      </c>
      <c r="G172" t="inlineStr">
        <is>
          <t>Correo y mensajería</t>
        </is>
      </c>
      <c r="H172" t="inlineStr">
        <is>
          <t>Correo, portes y telegramas</t>
        </is>
      </c>
      <c r="I172" t="inlineStr">
        <is>
          <t>Anytime Mailbox</t>
        </is>
      </c>
      <c r="J172" s="41" t="n">
        <v>11.36</v>
      </c>
      <c r="K172" s="41" t="n">
        <v>11.54</v>
      </c>
      <c r="L172" s="41" t="n">
        <v>0</v>
      </c>
      <c r="M172" s="41" t="n">
        <v>22.9</v>
      </c>
      <c r="N172" s="41" t="n">
        <v>22.9</v>
      </c>
      <c r="O172" s="41" t="n">
        <v>11.54</v>
      </c>
      <c r="P172" t="inlineStr">
        <is>
          <t>Febrero 2026 USA.xlsx</t>
        </is>
      </c>
      <c r="Q172" t="inlineStr">
        <is>
          <t>Fila 91</t>
        </is>
      </c>
      <c r="R172" t="inlineStr">
        <is>
          <t>Alta</t>
        </is>
      </c>
      <c r="S172" t="inlineStr">
        <is>
          <t>NO</t>
        </is>
      </c>
      <c r="T172" t="inlineStr">
        <is>
          <t>Mensajería y correo</t>
        </is>
      </c>
    </row>
    <row r="173">
      <c r="A173" t="inlineStr">
        <is>
          <t>2026-02</t>
        </is>
      </c>
      <c r="B173" t="inlineStr">
        <is>
          <t>Estados Unidos</t>
        </is>
      </c>
      <c r="C173" t="inlineStr">
        <is>
          <t>USA</t>
        </is>
      </c>
      <c r="D173" t="inlineStr">
        <is>
          <t>USD</t>
        </is>
      </c>
      <c r="E173" t="inlineStr">
        <is>
          <t>PL-O-100</t>
        </is>
      </c>
      <c r="F173" t="inlineStr">
        <is>
          <t>Gastos de administración</t>
        </is>
      </c>
      <c r="G173" t="inlineStr">
        <is>
          <t>Otros servicios administrativos</t>
        </is>
      </c>
      <c r="H173" t="inlineStr">
        <is>
          <t>Otros</t>
        </is>
      </c>
      <c r="I173" t="inlineStr">
        <is>
          <t>AT&amp;T</t>
        </is>
      </c>
      <c r="J173" s="41" t="n">
        <v>228.63</v>
      </c>
      <c r="K173" s="41" t="n">
        <v>177.24</v>
      </c>
      <c r="L173" s="41" t="n">
        <v>0</v>
      </c>
      <c r="M173" s="41" t="n">
        <v>405.87</v>
      </c>
      <c r="N173" s="41" t="n">
        <v>405.87</v>
      </c>
      <c r="O173" s="41" t="n">
        <v>177.24</v>
      </c>
      <c r="P173" t="inlineStr">
        <is>
          <t>Febrero 2026 USA.xlsx</t>
        </is>
      </c>
      <c r="Q173" t="inlineStr">
        <is>
          <t>Fila 93</t>
        </is>
      </c>
      <c r="R173" t="inlineStr">
        <is>
          <t>Media</t>
        </is>
      </c>
      <c r="S173" t="inlineStr">
        <is>
          <t>SI</t>
        </is>
      </c>
      <c r="T173" t="inlineStr">
        <is>
          <t>Cuenta genérica; revisar partidas materiales</t>
        </is>
      </c>
    </row>
    <row r="174">
      <c r="A174" t="inlineStr">
        <is>
          <t>2026-02</t>
        </is>
      </c>
      <c r="B174" t="inlineStr">
        <is>
          <t>Estados Unidos</t>
        </is>
      </c>
      <c r="C174" t="inlineStr">
        <is>
          <t>USA</t>
        </is>
      </c>
      <c r="D174" t="inlineStr">
        <is>
          <t>USD</t>
        </is>
      </c>
      <c r="E174" t="inlineStr">
        <is>
          <t>PL-O-110</t>
        </is>
      </c>
      <c r="F174" t="inlineStr">
        <is>
          <t>Gastos de administración</t>
        </is>
      </c>
      <c r="G174" t="inlineStr">
        <is>
          <t>Suministros y oficina</t>
        </is>
      </c>
      <c r="H174" t="inlineStr">
        <is>
          <t>Aseo y limpieza</t>
        </is>
      </c>
      <c r="I174" t="inlineStr">
        <is>
          <t>Latin Cafe</t>
        </is>
      </c>
      <c r="J174" s="41" t="n">
        <v>50.73</v>
      </c>
      <c r="K174" s="41" t="n">
        <v>0</v>
      </c>
      <c r="L174" s="41" t="n">
        <v>0</v>
      </c>
      <c r="M174" s="41" t="n">
        <v>50.73</v>
      </c>
      <c r="N174" s="41" t="n">
        <v>50.73</v>
      </c>
      <c r="O174" s="41" t="n">
        <v>0</v>
      </c>
      <c r="P174" t="inlineStr">
        <is>
          <t>Febrero 2026 USA.xlsx</t>
        </is>
      </c>
      <c r="Q174" t="inlineStr">
        <is>
          <t>Fila 96</t>
        </is>
      </c>
      <c r="R174" t="inlineStr">
        <is>
          <t>Alta</t>
        </is>
      </c>
      <c r="S174" t="inlineStr">
        <is>
          <t>SI</t>
        </is>
      </c>
      <c r="T174" t="inlineStr">
        <is>
          <t>Se detectaron comercios de alimentos; revisar clasificación</t>
        </is>
      </c>
    </row>
    <row r="175">
      <c r="A175" t="inlineStr">
        <is>
          <t>2026-02</t>
        </is>
      </c>
      <c r="B175" t="inlineStr">
        <is>
          <t>Estados Unidos</t>
        </is>
      </c>
      <c r="C175" t="inlineStr">
        <is>
          <t>USA</t>
        </is>
      </c>
      <c r="D175" t="inlineStr">
        <is>
          <t>USD</t>
        </is>
      </c>
      <c r="E175" t="inlineStr">
        <is>
          <t>PL-O-120</t>
        </is>
      </c>
      <c r="F175" t="inlineStr">
        <is>
          <t>Gastos de administración</t>
        </is>
      </c>
      <c r="G175" t="inlineStr">
        <is>
          <t>Alimentación y restaurante</t>
        </is>
      </c>
      <c r="H175" t="inlineStr">
        <is>
          <t>Casino y restaurante</t>
        </is>
      </c>
      <c r="I175" t="inlineStr">
        <is>
          <t>North Italia</t>
        </is>
      </c>
      <c r="J175" s="41" t="n">
        <v>177.68</v>
      </c>
      <c r="K175" s="41" t="n">
        <v>0</v>
      </c>
      <c r="L175" s="41" t="n">
        <v>0</v>
      </c>
      <c r="M175" s="41" t="n">
        <v>177.68</v>
      </c>
      <c r="N175" s="41" t="n">
        <v>177.68</v>
      </c>
      <c r="O175" s="41" t="n">
        <v>0</v>
      </c>
      <c r="P175" t="inlineStr">
        <is>
          <t>Febrero 2026 USA.xlsx</t>
        </is>
      </c>
      <c r="Q175" t="inlineStr">
        <is>
          <t>Fila 98</t>
        </is>
      </c>
      <c r="R175" t="inlineStr">
        <is>
          <t>Alta</t>
        </is>
      </c>
      <c r="S175" t="inlineStr">
        <is>
          <t>SI</t>
        </is>
      </c>
      <c r="T175" t="inlineStr">
        <is>
          <t>Se detectó un comercio minorista; revisar esa partida</t>
        </is>
      </c>
    </row>
    <row r="176">
      <c r="A176" t="inlineStr">
        <is>
          <t>2026-02</t>
        </is>
      </c>
      <c r="B176" t="inlineStr">
        <is>
          <t>Estados Unidos</t>
        </is>
      </c>
      <c r="C176" t="inlineStr">
        <is>
          <t>USA</t>
        </is>
      </c>
      <c r="D176" t="inlineStr">
        <is>
          <t>USD</t>
        </is>
      </c>
      <c r="E176" t="inlineStr">
        <is>
          <t>PL-O-120</t>
        </is>
      </c>
      <c r="F176" t="inlineStr">
        <is>
          <t>Gastos de administración</t>
        </is>
      </c>
      <c r="G176" t="inlineStr">
        <is>
          <t>Alimentación y restaurante</t>
        </is>
      </c>
      <c r="H176" t="inlineStr">
        <is>
          <t>Casino y restaurante</t>
        </is>
      </c>
      <c r="I176" t="inlineStr">
        <is>
          <t>Fogo de Chão</t>
        </is>
      </c>
      <c r="J176" s="41" t="n">
        <v>248</v>
      </c>
      <c r="K176" s="41" t="n">
        <v>0</v>
      </c>
      <c r="L176" s="41" t="n">
        <v>0</v>
      </c>
      <c r="M176" s="41" t="n">
        <v>248</v>
      </c>
      <c r="N176" s="41" t="n">
        <v>248</v>
      </c>
      <c r="O176" s="41" t="n">
        <v>0</v>
      </c>
      <c r="P176" t="inlineStr">
        <is>
          <t>Febrero 2026 USA.xlsx</t>
        </is>
      </c>
      <c r="Q176" t="inlineStr">
        <is>
          <t>Fila 99</t>
        </is>
      </c>
      <c r="R176" t="inlineStr">
        <is>
          <t>Alta</t>
        </is>
      </c>
      <c r="S176" t="inlineStr">
        <is>
          <t>SI</t>
        </is>
      </c>
      <c r="T176" t="inlineStr">
        <is>
          <t>Se detectó un comercio minorista; revisar esa partida</t>
        </is>
      </c>
    </row>
    <row r="177">
      <c r="A177" t="inlineStr">
        <is>
          <t>2026-02</t>
        </is>
      </c>
      <c r="B177" t="inlineStr">
        <is>
          <t>Estados Unidos</t>
        </is>
      </c>
      <c r="C177" t="inlineStr">
        <is>
          <t>USA</t>
        </is>
      </c>
      <c r="D177" t="inlineStr">
        <is>
          <t>USD</t>
        </is>
      </c>
      <c r="E177" t="inlineStr">
        <is>
          <t>PL-O-120</t>
        </is>
      </c>
      <c r="F177" t="inlineStr">
        <is>
          <t>Gastos de administración</t>
        </is>
      </c>
      <c r="G177" t="inlineStr">
        <is>
          <t>Alimentación y restaurante</t>
        </is>
      </c>
      <c r="H177" t="inlineStr">
        <is>
          <t>Casino y restaurante</t>
        </is>
      </c>
      <c r="I177" t="inlineStr">
        <is>
          <t>Crepes &amp; Waffles</t>
        </is>
      </c>
      <c r="J177" s="41" t="n">
        <v>30.09</v>
      </c>
      <c r="K177" s="41" t="n">
        <v>0</v>
      </c>
      <c r="L177" s="41" t="n">
        <v>0</v>
      </c>
      <c r="M177" s="41" t="n">
        <v>30.09</v>
      </c>
      <c r="N177" s="41" t="n">
        <v>30.09</v>
      </c>
      <c r="O177" s="41" t="n">
        <v>0</v>
      </c>
      <c r="P177" t="inlineStr">
        <is>
          <t>Febrero 2026 USA.xlsx</t>
        </is>
      </c>
      <c r="Q177" t="inlineStr">
        <is>
          <t>Fila 100</t>
        </is>
      </c>
      <c r="R177" t="inlineStr">
        <is>
          <t>Alta</t>
        </is>
      </c>
      <c r="S177" t="inlineStr">
        <is>
          <t>SI</t>
        </is>
      </c>
      <c r="T177" t="inlineStr">
        <is>
          <t>Se detectó un comercio minorista; revisar esa partida</t>
        </is>
      </c>
    </row>
    <row r="178">
      <c r="A178" t="inlineStr">
        <is>
          <t>2026-02</t>
        </is>
      </c>
      <c r="B178" t="inlineStr">
        <is>
          <t>Estados Unidos</t>
        </is>
      </c>
      <c r="C178" t="inlineStr">
        <is>
          <t>USA</t>
        </is>
      </c>
      <c r="D178" t="inlineStr">
        <is>
          <t>USD</t>
        </is>
      </c>
      <c r="E178" t="inlineStr">
        <is>
          <t>PL-O-020</t>
        </is>
      </c>
      <c r="F178" t="inlineStr">
        <is>
          <t>Gastos de administración</t>
        </is>
      </c>
      <c r="G178" t="inlineStr">
        <is>
          <t>Honorarios y servicios profesionales</t>
        </is>
      </c>
      <c r="H178" t="inlineStr">
        <is>
          <t>Revisoría fiscal</t>
        </is>
      </c>
      <c r="I178" t="inlineStr">
        <is>
          <t>Paba Serje Mauricio</t>
        </is>
      </c>
      <c r="J178" s="41" t="n">
        <v>1500</v>
      </c>
      <c r="K178" s="41" t="n">
        <v>0</v>
      </c>
      <c r="L178" s="41" t="n">
        <v>0</v>
      </c>
      <c r="M178" s="41" t="n">
        <v>1500</v>
      </c>
      <c r="N178" s="41" t="n">
        <v>1500</v>
      </c>
      <c r="O178" s="41" t="n">
        <v>0</v>
      </c>
      <c r="P178" t="inlineStr">
        <is>
          <t>Febrero 2026 USA.xlsx</t>
        </is>
      </c>
      <c r="Q178" t="inlineStr">
        <is>
          <t>Fila 104</t>
        </is>
      </c>
      <c r="R178" t="inlineStr">
        <is>
          <t>Alta</t>
        </is>
      </c>
      <c r="S178" t="inlineStr">
        <is>
          <t>NO</t>
        </is>
      </c>
      <c r="T178" t="inlineStr">
        <is>
          <t>Reclasificado desde ventas por su naturaleza administrativa</t>
        </is>
      </c>
    </row>
    <row r="179">
      <c r="A179" t="inlineStr">
        <is>
          <t>2026-02</t>
        </is>
      </c>
      <c r="B179" t="inlineStr">
        <is>
          <t>Estados Unidos</t>
        </is>
      </c>
      <c r="C179" t="inlineStr">
        <is>
          <t>USA</t>
        </is>
      </c>
      <c r="D179" t="inlineStr">
        <is>
          <t>USD</t>
        </is>
      </c>
      <c r="E179" t="inlineStr">
        <is>
          <t>PL-S-030</t>
        </is>
      </c>
      <c r="F179" t="inlineStr">
        <is>
          <t>Gastos de ventas</t>
        </is>
      </c>
      <c r="G179" t="inlineStr">
        <is>
          <t>Otros servicios comerciales</t>
        </is>
      </c>
      <c r="H179" t="inlineStr">
        <is>
          <t>Otros</t>
        </is>
      </c>
      <c r="I179" t="inlineStr">
        <is>
          <t>Tech + Startups Community</t>
        </is>
      </c>
      <c r="J179" s="41" t="n">
        <v>648</v>
      </c>
      <c r="K179" s="41" t="n">
        <v>0</v>
      </c>
      <c r="L179" s="41" t="n">
        <v>0</v>
      </c>
      <c r="M179" s="41" t="n">
        <v>648</v>
      </c>
      <c r="N179" s="41" t="n">
        <v>648</v>
      </c>
      <c r="O179" s="41" t="n">
        <v>0</v>
      </c>
      <c r="P179" t="inlineStr">
        <is>
          <t>Febrero 2026 USA.xlsx</t>
        </is>
      </c>
      <c r="Q179" t="inlineStr">
        <is>
          <t>Fila 107</t>
        </is>
      </c>
      <c r="R179" t="inlineStr">
        <is>
          <t>Media</t>
        </is>
      </c>
      <c r="S179" t="inlineStr">
        <is>
          <t>SI</t>
        </is>
      </c>
      <c r="T179" t="inlineStr">
        <is>
          <t>Cuenta genérica de servicios comerciales</t>
        </is>
      </c>
    </row>
    <row r="180">
      <c r="A180" t="inlineStr">
        <is>
          <t>2026-02</t>
        </is>
      </c>
      <c r="B180" t="inlineStr">
        <is>
          <t>Estados Unidos</t>
        </is>
      </c>
      <c r="C180" t="inlineStr">
        <is>
          <t>USA</t>
        </is>
      </c>
      <c r="D180" t="inlineStr">
        <is>
          <t>USD</t>
        </is>
      </c>
      <c r="E180" t="inlineStr">
        <is>
          <t>PL-F-010</t>
        </is>
      </c>
      <c r="F180" t="inlineStr">
        <is>
          <t>Gastos financieros</t>
        </is>
      </c>
      <c r="G180" t="inlineStr">
        <is>
          <t>Gastos financieros</t>
        </is>
      </c>
      <c r="H180" t="inlineStr">
        <is>
          <t>Comisiones</t>
        </is>
      </c>
      <c r="I180" t="inlineStr">
        <is>
          <t>STRIPE</t>
        </is>
      </c>
      <c r="J180" s="41" t="n">
        <v>0</v>
      </c>
      <c r="K180" s="41" t="n">
        <v>5.22</v>
      </c>
      <c r="L180" s="41" t="n">
        <v>0</v>
      </c>
      <c r="M180" s="41" t="n">
        <v>5.22</v>
      </c>
      <c r="N180" s="41" t="n">
        <v>5.22</v>
      </c>
      <c r="O180" s="41" t="n">
        <v>5.22</v>
      </c>
      <c r="P180" t="inlineStr">
        <is>
          <t>Febrero 2026 USA.xlsx</t>
        </is>
      </c>
      <c r="Q180" t="inlineStr">
        <is>
          <t>Fila 111</t>
        </is>
      </c>
      <c r="R180" t="inlineStr">
        <is>
          <t>Alta</t>
        </is>
      </c>
      <c r="S180" t="inlineStr">
        <is>
          <t>NO</t>
        </is>
      </c>
      <c r="T180" t="inlineStr">
        <is>
          <t>Comisiones financieras</t>
        </is>
      </c>
    </row>
    <row r="181">
      <c r="A181" t="inlineStr">
        <is>
          <t>2026-02</t>
        </is>
      </c>
      <c r="B181" t="inlineStr">
        <is>
          <t>Estados Unidos</t>
        </is>
      </c>
      <c r="C181" t="inlineStr">
        <is>
          <t>USA</t>
        </is>
      </c>
      <c r="D181" t="inlineStr">
        <is>
          <t>USD</t>
        </is>
      </c>
      <c r="E181" t="inlineStr">
        <is>
          <t>PL-F-010</t>
        </is>
      </c>
      <c r="F181" t="inlineStr">
        <is>
          <t>Gastos financieros</t>
        </is>
      </c>
      <c r="G181" t="inlineStr">
        <is>
          <t>Gastos financieros</t>
        </is>
      </c>
      <c r="H181" t="inlineStr">
        <is>
          <t>Comisiones</t>
        </is>
      </c>
      <c r="I181" t="inlineStr">
        <is>
          <t>ADP</t>
        </is>
      </c>
      <c r="J181" s="41" t="n">
        <v>75</v>
      </c>
      <c r="K181" s="41" t="n">
        <v>77.84999999999999</v>
      </c>
      <c r="L181" s="41" t="n">
        <v>0</v>
      </c>
      <c r="M181" s="41" t="n">
        <v>152.85</v>
      </c>
      <c r="N181" s="41" t="n">
        <v>152.85</v>
      </c>
      <c r="O181" s="41" t="n">
        <v>77.84999999999999</v>
      </c>
      <c r="P181" t="inlineStr">
        <is>
          <t>Febrero 2026 USA.xlsx</t>
        </is>
      </c>
      <c r="Q181" t="inlineStr">
        <is>
          <t>Fila 112</t>
        </is>
      </c>
      <c r="R181" t="inlineStr">
        <is>
          <t>Alta</t>
        </is>
      </c>
      <c r="S181" t="inlineStr">
        <is>
          <t>NO</t>
        </is>
      </c>
      <c r="T181" t="inlineStr">
        <is>
          <t>Comisiones financieras</t>
        </is>
      </c>
    </row>
    <row r="182">
      <c r="A182" t="inlineStr">
        <is>
          <t>2026-02</t>
        </is>
      </c>
      <c r="B182" t="inlineStr">
        <is>
          <t>Estados Unidos</t>
        </is>
      </c>
      <c r="C182" t="inlineStr">
        <is>
          <t>USA</t>
        </is>
      </c>
      <c r="D182" t="inlineStr">
        <is>
          <t>USD</t>
        </is>
      </c>
      <c r="E182" t="inlineStr">
        <is>
          <t>PL-F-010</t>
        </is>
      </c>
      <c r="F182" t="inlineStr">
        <is>
          <t>Gastos financieros</t>
        </is>
      </c>
      <c r="G182" t="inlineStr">
        <is>
          <t>Gastos financieros</t>
        </is>
      </c>
      <c r="H182" t="inlineStr">
        <is>
          <t>Comisiones</t>
        </is>
      </c>
      <c r="I182" t="inlineStr">
        <is>
          <t>MERCURY LLC</t>
        </is>
      </c>
      <c r="J182" s="41" t="n">
        <v>0.9</v>
      </c>
      <c r="K182" s="41" t="n">
        <v>0</v>
      </c>
      <c r="L182" s="41" t="n">
        <v>0</v>
      </c>
      <c r="M182" s="41" t="n">
        <v>0.9</v>
      </c>
      <c r="N182" s="41" t="n">
        <v>0.9</v>
      </c>
      <c r="O182" s="41" t="n">
        <v>0</v>
      </c>
      <c r="P182" t="inlineStr">
        <is>
          <t>Febrero 2026 USA.xlsx</t>
        </is>
      </c>
      <c r="Q182" t="inlineStr">
        <is>
          <t>Fila 113</t>
        </is>
      </c>
      <c r="R182" t="inlineStr">
        <is>
          <t>Alta</t>
        </is>
      </c>
      <c r="S182" t="inlineStr">
        <is>
          <t>NO</t>
        </is>
      </c>
      <c r="T182" t="inlineStr">
        <is>
          <t>Comisiones financieras</t>
        </is>
      </c>
    </row>
    <row r="183">
      <c r="A183" t="inlineStr">
        <is>
          <t>2026-07</t>
        </is>
      </c>
      <c r="B183" t="inlineStr">
        <is>
          <t>Peru</t>
        </is>
      </c>
      <c r="C183" t="inlineStr">
        <is>
          <t>PERU</t>
        </is>
      </c>
      <c r="D183" t="inlineStr">
        <is>
          <t>PEN</t>
        </is>
      </c>
      <c r="E183" t="inlineStr">
        <is>
          <t>PL-R-010</t>
        </is>
      </c>
      <c r="F183" t="inlineStr">
        <is>
          <t>Ingresos operacionales</t>
        </is>
      </c>
      <c r="G183" t="inlineStr">
        <is>
          <t>Ingresos por servicios</t>
        </is>
      </c>
      <c r="H183" t="inlineStr">
        <is>
          <t>Software y agendamiento</t>
        </is>
      </c>
      <c r="I183" t="inlineStr">
        <is>
          <t>IMPLEMENTACION- EXCLUIDA</t>
        </is>
      </c>
      <c r="J183" s="41" t="n">
        <v>-1808.92</v>
      </c>
      <c r="K183" s="41" t="n">
        <v>0</v>
      </c>
      <c r="L183" s="41" t="n">
        <v>3376.69</v>
      </c>
      <c r="M183" s="41" t="n">
        <v>-5185.61</v>
      </c>
      <c r="N183" s="41" t="n">
        <v>5185.61</v>
      </c>
      <c r="O183" s="41" t="n">
        <v>3376.69</v>
      </c>
      <c r="P183" t="inlineStr">
        <is>
          <t>Julio 2026 PERU.xlsx</t>
        </is>
      </c>
      <c r="Q183" t="inlineStr">
        <is>
          <t>Fila 43</t>
        </is>
      </c>
      <c r="R183" t="inlineStr">
        <is>
          <t>Alta</t>
        </is>
      </c>
      <c r="S183" t="inlineStr">
        <is>
          <t>NO</t>
        </is>
      </c>
      <c r="T183" t="inlineStr">
        <is>
          <t>Ingreso operacional principal</t>
        </is>
      </c>
    </row>
    <row r="184">
      <c r="A184" t="inlineStr">
        <is>
          <t>2026-07</t>
        </is>
      </c>
      <c r="B184" t="inlineStr">
        <is>
          <t>Peru</t>
        </is>
      </c>
      <c r="C184" t="inlineStr">
        <is>
          <t>PERU</t>
        </is>
      </c>
      <c r="D184" t="inlineStr">
        <is>
          <t>PEN</t>
        </is>
      </c>
      <c r="E184" t="inlineStr">
        <is>
          <t>PL-R-010</t>
        </is>
      </c>
      <c r="F184" t="inlineStr">
        <is>
          <t>Ingresos operacionales</t>
        </is>
      </c>
      <c r="G184" t="inlineStr">
        <is>
          <t>Ingresos por servicios</t>
        </is>
      </c>
      <c r="H184" t="inlineStr">
        <is>
          <t>Software y agendamiento</t>
        </is>
      </c>
      <c r="I184" t="inlineStr">
        <is>
          <t>AGENDAMIENTO EN LA NUBE</t>
        </is>
      </c>
      <c r="J184" s="41" t="n">
        <v>-11296.09</v>
      </c>
      <c r="K184" s="41" t="n">
        <v>0</v>
      </c>
      <c r="L184" s="41" t="n">
        <v>2825.56</v>
      </c>
      <c r="M184" s="41" t="n">
        <v>-14121.65</v>
      </c>
      <c r="N184" s="41" t="n">
        <v>14121.65</v>
      </c>
      <c r="O184" s="41" t="n">
        <v>2825.56</v>
      </c>
      <c r="P184" t="inlineStr">
        <is>
          <t>Julio 2026 PERU.xlsx</t>
        </is>
      </c>
      <c r="Q184" t="inlineStr">
        <is>
          <t>Fila 44</t>
        </is>
      </c>
      <c r="R184" t="inlineStr">
        <is>
          <t>Alta</t>
        </is>
      </c>
      <c r="S184" t="inlineStr">
        <is>
          <t>NO</t>
        </is>
      </c>
      <c r="T184" t="inlineStr">
        <is>
          <t>Ingreso operacional principal</t>
        </is>
      </c>
    </row>
    <row r="185">
      <c r="A185" t="inlineStr">
        <is>
          <t>2026-07</t>
        </is>
      </c>
      <c r="B185" t="inlineStr">
        <is>
          <t>Peru</t>
        </is>
      </c>
      <c r="C185" t="inlineStr">
        <is>
          <t>PERU</t>
        </is>
      </c>
      <c r="D185" t="inlineStr">
        <is>
          <t>PEN</t>
        </is>
      </c>
      <c r="E185" t="inlineStr">
        <is>
          <t>PL-NO-020</t>
        </is>
      </c>
      <c r="F185" t="inlineStr">
        <is>
          <t>Ingresos no operacionales</t>
        </is>
      </c>
      <c r="G185" t="inlineStr">
        <is>
          <t>Otros ingresos</t>
        </is>
      </c>
      <c r="H185" t="inlineStr">
        <is>
          <t>Otros ingresos</t>
        </is>
      </c>
      <c r="I185" t="inlineStr">
        <is>
          <t>OTROS INGRESOS</t>
        </is>
      </c>
      <c r="J185" s="41" t="n">
        <v>-64960.94</v>
      </c>
      <c r="K185" s="41" t="n">
        <v>0</v>
      </c>
      <c r="L185" s="41" t="n">
        <v>0</v>
      </c>
      <c r="M185" s="41" t="n">
        <v>-64960.94</v>
      </c>
      <c r="N185" s="41" t="n">
        <v>64960.94</v>
      </c>
      <c r="O185" s="41" t="n">
        <v>0</v>
      </c>
      <c r="P185" t="inlineStr">
        <is>
          <t>Julio 2026 PERU.xlsx</t>
        </is>
      </c>
      <c r="Q185" t="inlineStr">
        <is>
          <t>Fila 47</t>
        </is>
      </c>
      <c r="R185" t="inlineStr">
        <is>
          <t>Media</t>
        </is>
      </c>
      <c r="S185" t="inlineStr">
        <is>
          <t>SI</t>
        </is>
      </c>
      <c r="T185" t="inlineStr">
        <is>
          <t>Cuenta genérica y material en Perú; validar naturaleza</t>
        </is>
      </c>
    </row>
    <row r="186">
      <c r="A186" t="inlineStr">
        <is>
          <t>2026-07</t>
        </is>
      </c>
      <c r="B186" t="inlineStr">
        <is>
          <t>Peru</t>
        </is>
      </c>
      <c r="C186" t="inlineStr">
        <is>
          <t>PERU</t>
        </is>
      </c>
      <c r="D186" t="inlineStr">
        <is>
          <t>PEN</t>
        </is>
      </c>
      <c r="E186" t="inlineStr">
        <is>
          <t>PL-O-020</t>
        </is>
      </c>
      <c r="F186" t="inlineStr">
        <is>
          <t>Gastos de administración</t>
        </is>
      </c>
      <c r="G186" t="inlineStr">
        <is>
          <t>Honorarios y servicios profesionales</t>
        </is>
      </c>
      <c r="H186" t="inlineStr">
        <is>
          <t>Asesoría jurídica</t>
        </is>
      </c>
      <c r="I186" t="inlineStr">
        <is>
          <t>HONORARIOS ASESORIA JURIDICA</t>
        </is>
      </c>
      <c r="J186" s="41" t="n">
        <v>2068.95</v>
      </c>
      <c r="K186" s="41" t="n">
        <v>528</v>
      </c>
      <c r="L186" s="41" t="n">
        <v>0</v>
      </c>
      <c r="M186" s="41" t="n">
        <v>2596.95</v>
      </c>
      <c r="N186" s="41" t="n">
        <v>2596.95</v>
      </c>
      <c r="O186" s="41" t="n">
        <v>528</v>
      </c>
      <c r="P186" t="inlineStr">
        <is>
          <t>Julio 2026 PERU.xlsx</t>
        </is>
      </c>
      <c r="Q186" t="inlineStr">
        <is>
          <t>Fila 51</t>
        </is>
      </c>
      <c r="R186" t="inlineStr">
        <is>
          <t>Alta</t>
        </is>
      </c>
      <c r="S186" t="inlineStr">
        <is>
          <t>NO</t>
        </is>
      </c>
      <c r="T186" t="inlineStr">
        <is>
          <t>Servicio profesional jurídico</t>
        </is>
      </c>
    </row>
    <row r="187">
      <c r="A187" t="inlineStr">
        <is>
          <t>2026-07</t>
        </is>
      </c>
      <c r="B187" t="inlineStr">
        <is>
          <t>Peru</t>
        </is>
      </c>
      <c r="C187" t="inlineStr">
        <is>
          <t>PERU</t>
        </is>
      </c>
      <c r="D187" t="inlineStr">
        <is>
          <t>PEN</t>
        </is>
      </c>
      <c r="E187" t="inlineStr">
        <is>
          <t>PL-O-020</t>
        </is>
      </c>
      <c r="F187" t="inlineStr">
        <is>
          <t>Gastos de administración</t>
        </is>
      </c>
      <c r="G187" t="inlineStr">
        <is>
          <t>Honorarios y servicios profesionales</t>
        </is>
      </c>
      <c r="H187" t="inlineStr">
        <is>
          <t>Asesoría financiera</t>
        </is>
      </c>
      <c r="I187" t="inlineStr">
        <is>
          <t>HONORARIOS ASESORIA FINANCIERA</t>
        </is>
      </c>
      <c r="J187" s="41" t="n">
        <v>2500</v>
      </c>
      <c r="K187" s="41" t="n">
        <v>350</v>
      </c>
      <c r="L187" s="41" t="n">
        <v>0</v>
      </c>
      <c r="M187" s="41" t="n">
        <v>2850</v>
      </c>
      <c r="N187" s="41" t="n">
        <v>2850</v>
      </c>
      <c r="O187" s="41" t="n">
        <v>350</v>
      </c>
      <c r="P187" t="inlineStr">
        <is>
          <t>Julio 2026 PERU.xlsx</t>
        </is>
      </c>
      <c r="Q187" t="inlineStr">
        <is>
          <t>Fila 53</t>
        </is>
      </c>
      <c r="R187" t="inlineStr">
        <is>
          <t>Alta</t>
        </is>
      </c>
      <c r="S187" t="inlineStr">
        <is>
          <t>NO</t>
        </is>
      </c>
      <c r="T187" t="inlineStr">
        <is>
          <t>Servicio profesional financiero</t>
        </is>
      </c>
    </row>
    <row r="188">
      <c r="A188" t="inlineStr">
        <is>
          <t>2026-07</t>
        </is>
      </c>
      <c r="B188" t="inlineStr">
        <is>
          <t>Peru</t>
        </is>
      </c>
      <c r="C188" t="inlineStr">
        <is>
          <t>PERU</t>
        </is>
      </c>
      <c r="D188" t="inlineStr">
        <is>
          <t>PEN</t>
        </is>
      </c>
      <c r="E188" t="inlineStr">
        <is>
          <t>PL-S-010</t>
        </is>
      </c>
      <c r="F188" t="inlineStr">
        <is>
          <t>Gastos de ventas</t>
        </is>
      </c>
      <c r="G188" t="inlineStr">
        <is>
          <t>Honorarios comerciales y técnicos</t>
        </is>
      </c>
      <c r="H188" t="inlineStr">
        <is>
          <t>Asesoría técnica</t>
        </is>
      </c>
      <c r="I188" t="inlineStr">
        <is>
          <t>HONORARIOS ASESORIA</t>
        </is>
      </c>
      <c r="J188" s="41" t="n">
        <v>7400.3</v>
      </c>
      <c r="K188" s="41" t="n">
        <v>0</v>
      </c>
      <c r="L188" s="41" t="n">
        <v>0</v>
      </c>
      <c r="M188" s="41" t="n">
        <v>7400.3</v>
      </c>
      <c r="N188" s="41" t="n">
        <v>7400.3</v>
      </c>
      <c r="O188" s="41" t="n">
        <v>0</v>
      </c>
      <c r="P188" t="inlineStr">
        <is>
          <t>Julio 2026 PERU.xlsx</t>
        </is>
      </c>
      <c r="Q188" t="inlineStr">
        <is>
          <t>Fila 56</t>
        </is>
      </c>
      <c r="R188" t="inlineStr">
        <is>
          <t>Media</t>
        </is>
      </c>
      <c r="S188" t="inlineStr">
        <is>
          <t>SI</t>
        </is>
      </c>
      <c r="T188" t="inlineStr">
        <is>
          <t>Confirmar si el servicio apoya ventas o administración</t>
        </is>
      </c>
    </row>
    <row r="189">
      <c r="A189" t="inlineStr">
        <is>
          <t>2026-07</t>
        </is>
      </c>
      <c r="B189" t="inlineStr">
        <is>
          <t>Peru</t>
        </is>
      </c>
      <c r="C189" t="inlineStr">
        <is>
          <t>PERU</t>
        </is>
      </c>
      <c r="D189" t="inlineStr">
        <is>
          <t>PEN</t>
        </is>
      </c>
      <c r="E189" t="inlineStr">
        <is>
          <t>PL-S-010</t>
        </is>
      </c>
      <c r="F189" t="inlineStr">
        <is>
          <t>Gastos de ventas</t>
        </is>
      </c>
      <c r="G189" t="inlineStr">
        <is>
          <t>Honorarios comerciales y técnicos</t>
        </is>
      </c>
      <c r="H189" t="inlineStr">
        <is>
          <t>Asesoría técnica</t>
        </is>
      </c>
      <c r="I189" t="inlineStr">
        <is>
          <t>HONORARIOS ASESORIA</t>
        </is>
      </c>
      <c r="J189" s="41" t="n">
        <v>15383.22</v>
      </c>
      <c r="K189" s="41" t="n">
        <v>0</v>
      </c>
      <c r="L189" s="41" t="n">
        <v>0</v>
      </c>
      <c r="M189" s="41" t="n">
        <v>15383.22</v>
      </c>
      <c r="N189" s="41" t="n">
        <v>15383.22</v>
      </c>
      <c r="O189" s="41" t="n">
        <v>0</v>
      </c>
      <c r="P189" t="inlineStr">
        <is>
          <t>Julio 2026 PERU.xlsx</t>
        </is>
      </c>
      <c r="Q189" t="inlineStr">
        <is>
          <t>Fila 57</t>
        </is>
      </c>
      <c r="R189" t="inlineStr">
        <is>
          <t>Media</t>
        </is>
      </c>
      <c r="S189" t="inlineStr">
        <is>
          <t>SI</t>
        </is>
      </c>
      <c r="T189" t="inlineStr">
        <is>
          <t>Confirmar si el servicio apoya ventas o administración</t>
        </is>
      </c>
    </row>
    <row r="190">
      <c r="A190" t="inlineStr">
        <is>
          <t>2026-07</t>
        </is>
      </c>
      <c r="B190" t="inlineStr">
        <is>
          <t>Peru</t>
        </is>
      </c>
      <c r="C190" t="inlineStr">
        <is>
          <t>PERU</t>
        </is>
      </c>
      <c r="D190" t="inlineStr">
        <is>
          <t>PEN</t>
        </is>
      </c>
      <c r="E190" t="inlineStr">
        <is>
          <t>PL-S-010</t>
        </is>
      </c>
      <c r="F190" t="inlineStr">
        <is>
          <t>Gastos de ventas</t>
        </is>
      </c>
      <c r="G190" t="inlineStr">
        <is>
          <t>Honorarios comerciales y técnicos</t>
        </is>
      </c>
      <c r="H190" t="inlineStr">
        <is>
          <t>Asesoría técnica</t>
        </is>
      </c>
      <c r="I190" t="inlineStr">
        <is>
          <t>HONORARIOS ASESORIA</t>
        </is>
      </c>
      <c r="J190" s="41" t="n">
        <v>7400.3</v>
      </c>
      <c r="K190" s="41" t="n">
        <v>0</v>
      </c>
      <c r="L190" s="41" t="n">
        <v>0</v>
      </c>
      <c r="M190" s="41" t="n">
        <v>7400.3</v>
      </c>
      <c r="N190" s="41" t="n">
        <v>7400.3</v>
      </c>
      <c r="O190" s="41" t="n">
        <v>0</v>
      </c>
      <c r="P190" t="inlineStr">
        <is>
          <t>Julio 2026 PERU.xlsx</t>
        </is>
      </c>
      <c r="Q190" t="inlineStr">
        <is>
          <t>Fila 58</t>
        </is>
      </c>
      <c r="R190" t="inlineStr">
        <is>
          <t>Media</t>
        </is>
      </c>
      <c r="S190" t="inlineStr">
        <is>
          <t>SI</t>
        </is>
      </c>
      <c r="T190" t="inlineStr">
        <is>
          <t>Confirmar si el servicio apoya ventas o administración</t>
        </is>
      </c>
    </row>
    <row r="191">
      <c r="A191" t="inlineStr">
        <is>
          <t>2026-07</t>
        </is>
      </c>
      <c r="B191" t="inlineStr">
        <is>
          <t>Peru</t>
        </is>
      </c>
      <c r="C191" t="inlineStr">
        <is>
          <t>PERU</t>
        </is>
      </c>
      <c r="D191" t="inlineStr">
        <is>
          <t>PEN</t>
        </is>
      </c>
      <c r="E191" t="inlineStr">
        <is>
          <t>PL-S-010</t>
        </is>
      </c>
      <c r="F191" t="inlineStr">
        <is>
          <t>Gastos de ventas</t>
        </is>
      </c>
      <c r="G191" t="inlineStr">
        <is>
          <t>Honorarios comerciales y técnicos</t>
        </is>
      </c>
      <c r="H191" t="inlineStr">
        <is>
          <t>Otros honorarios</t>
        </is>
      </c>
      <c r="I191" t="inlineStr">
        <is>
          <t>HONORARIOS OTROS CONCEPTOS</t>
        </is>
      </c>
      <c r="J191" s="41" t="n">
        <v>2127</v>
      </c>
      <c r="K191" s="41" t="n">
        <v>0</v>
      </c>
      <c r="L191" s="41" t="n">
        <v>0</v>
      </c>
      <c r="M191" s="41" t="n">
        <v>2127</v>
      </c>
      <c r="N191" s="41" t="n">
        <v>2127</v>
      </c>
      <c r="O191" s="41" t="n">
        <v>0</v>
      </c>
      <c r="P191" t="inlineStr">
        <is>
          <t>Julio 2026 PERU.xlsx</t>
        </is>
      </c>
      <c r="Q191" t="inlineStr">
        <is>
          <t>Fila 60</t>
        </is>
      </c>
      <c r="R191" t="inlineStr">
        <is>
          <t>Media</t>
        </is>
      </c>
      <c r="S191" t="inlineStr">
        <is>
          <t>SI</t>
        </is>
      </c>
      <c r="T191" t="inlineStr">
        <is>
          <t>Cuenta genérica de honorarios de ventas</t>
        </is>
      </c>
    </row>
    <row r="192">
      <c r="A192" t="inlineStr">
        <is>
          <t>2026-07</t>
        </is>
      </c>
      <c r="B192" t="inlineStr">
        <is>
          <t>Peru</t>
        </is>
      </c>
      <c r="C192" t="inlineStr">
        <is>
          <t>PERU</t>
        </is>
      </c>
      <c r="D192" t="inlineStr">
        <is>
          <t>PEN</t>
        </is>
      </c>
      <c r="E192" t="inlineStr">
        <is>
          <t>PL-S-020</t>
        </is>
      </c>
      <c r="F192" t="inlineStr">
        <is>
          <t>Gastos de ventas</t>
        </is>
      </c>
      <c r="G192" t="inlineStr">
        <is>
          <t>Mercadeo y publicidad</t>
        </is>
      </c>
      <c r="H192" t="inlineStr">
        <is>
          <t>Propaganda y publicidad</t>
        </is>
      </c>
      <c r="I192" t="inlineStr">
        <is>
          <t>PROPAGANDA Y PUBLICIDAD</t>
        </is>
      </c>
      <c r="J192" s="41" t="n">
        <v>1706.19</v>
      </c>
      <c r="K192" s="41" t="n">
        <v>0</v>
      </c>
      <c r="L192" s="41" t="n">
        <v>0</v>
      </c>
      <c r="M192" s="41" t="n">
        <v>1706.19</v>
      </c>
      <c r="N192" s="41" t="n">
        <v>1706.19</v>
      </c>
      <c r="O192" s="41" t="n">
        <v>0</v>
      </c>
      <c r="P192" t="inlineStr">
        <is>
          <t>Julio 2026 PERU.xlsx</t>
        </is>
      </c>
      <c r="Q192" t="inlineStr">
        <is>
          <t>Fila 63</t>
        </is>
      </c>
      <c r="R192" t="inlineStr">
        <is>
          <t>Alta</t>
        </is>
      </c>
      <c r="S192" t="inlineStr">
        <is>
          <t>NO</t>
        </is>
      </c>
      <c r="T192" t="inlineStr">
        <is>
          <t>Gasto comercial de publicidad</t>
        </is>
      </c>
    </row>
    <row r="193">
      <c r="A193" t="inlineStr">
        <is>
          <t>2026-07</t>
        </is>
      </c>
      <c r="B193" t="inlineStr">
        <is>
          <t>Peru</t>
        </is>
      </c>
      <c r="C193" t="inlineStr">
        <is>
          <t>PERU</t>
        </is>
      </c>
      <c r="D193" t="inlineStr">
        <is>
          <t>PEN</t>
        </is>
      </c>
      <c r="E193" t="inlineStr">
        <is>
          <t>PL-S-040</t>
        </is>
      </c>
      <c r="F193" t="inlineStr">
        <is>
          <t>Gastos de ventas</t>
        </is>
      </c>
      <c r="G193" t="inlineStr">
        <is>
          <t>Viajes comerciales</t>
        </is>
      </c>
      <c r="H193" t="inlineStr">
        <is>
          <t>Alojamiento y manutención</t>
        </is>
      </c>
      <c r="I193" t="inlineStr">
        <is>
          <t>SERVICIO ALOJAMIENTO</t>
        </is>
      </c>
      <c r="J193" s="41" t="n">
        <v>0</v>
      </c>
      <c r="K193" s="41" t="n">
        <v>2822.19</v>
      </c>
      <c r="L193" s="41" t="n">
        <v>0</v>
      </c>
      <c r="M193" s="41" t="n">
        <v>2822.19</v>
      </c>
      <c r="N193" s="41" t="n">
        <v>2822.19</v>
      </c>
      <c r="O193" s="41" t="n">
        <v>2822.19</v>
      </c>
      <c r="P193" t="inlineStr">
        <is>
          <t>Julio 2026 PERU.xlsx</t>
        </is>
      </c>
      <c r="Q193" t="inlineStr">
        <is>
          <t>Fila 66</t>
        </is>
      </c>
      <c r="R193" t="inlineStr">
        <is>
          <t>Alta</t>
        </is>
      </c>
      <c r="S193" t="inlineStr">
        <is>
          <t>NO</t>
        </is>
      </c>
      <c r="T193" t="inlineStr">
        <is>
          <t>Viajes y alimentación comercial</t>
        </is>
      </c>
    </row>
    <row r="194">
      <c r="A194" t="inlineStr">
        <is>
          <t>2026-07</t>
        </is>
      </c>
      <c r="B194" t="inlineStr">
        <is>
          <t>Peru</t>
        </is>
      </c>
      <c r="C194" t="inlineStr">
        <is>
          <t>PERU</t>
        </is>
      </c>
      <c r="D194" t="inlineStr">
        <is>
          <t>PEN</t>
        </is>
      </c>
      <c r="E194" t="inlineStr">
        <is>
          <t>PL-S-040</t>
        </is>
      </c>
      <c r="F194" t="inlineStr">
        <is>
          <t>Gastos de ventas</t>
        </is>
      </c>
      <c r="G194" t="inlineStr">
        <is>
          <t>Viajes comerciales</t>
        </is>
      </c>
      <c r="H194" t="inlineStr">
        <is>
          <t>Alojamiento y manutención</t>
        </is>
      </c>
      <c r="I194" t="inlineStr">
        <is>
          <t>SERVICIO ALOJAMIENTO</t>
        </is>
      </c>
      <c r="J194" s="41" t="n">
        <v>267.26</v>
      </c>
      <c r="K194" s="41" t="n">
        <v>0</v>
      </c>
      <c r="L194" s="41" t="n">
        <v>0</v>
      </c>
      <c r="M194" s="41" t="n">
        <v>267.26</v>
      </c>
      <c r="N194" s="41" t="n">
        <v>267.26</v>
      </c>
      <c r="O194" s="41" t="n">
        <v>0</v>
      </c>
      <c r="P194" t="inlineStr">
        <is>
          <t>Julio 2026 PERU.xlsx</t>
        </is>
      </c>
      <c r="Q194" t="inlineStr">
        <is>
          <t>Fila 67</t>
        </is>
      </c>
      <c r="R194" t="inlineStr">
        <is>
          <t>Alta</t>
        </is>
      </c>
      <c r="S194" t="inlineStr">
        <is>
          <t>NO</t>
        </is>
      </c>
      <c r="T194" t="inlineStr">
        <is>
          <t>Viajes y alimentación comercial</t>
        </is>
      </c>
    </row>
    <row r="195">
      <c r="A195" t="inlineStr">
        <is>
          <t>2026-07</t>
        </is>
      </c>
      <c r="B195" t="inlineStr">
        <is>
          <t>Peru</t>
        </is>
      </c>
      <c r="C195" t="inlineStr">
        <is>
          <t>PERU</t>
        </is>
      </c>
      <c r="D195" t="inlineStr">
        <is>
          <t>PEN</t>
        </is>
      </c>
      <c r="E195" t="inlineStr">
        <is>
          <t>PL-S-040</t>
        </is>
      </c>
      <c r="F195" t="inlineStr">
        <is>
          <t>Gastos de ventas</t>
        </is>
      </c>
      <c r="G195" t="inlineStr">
        <is>
          <t>Viajes comerciales</t>
        </is>
      </c>
      <c r="H195" t="inlineStr">
        <is>
          <t>Alojamiento y manutención</t>
        </is>
      </c>
      <c r="I195" t="inlineStr">
        <is>
          <t>SERVICIO DE RESTAURANTE</t>
        </is>
      </c>
      <c r="J195" s="41" t="n">
        <v>0</v>
      </c>
      <c r="K195" s="41" t="n">
        <v>1183</v>
      </c>
      <c r="L195" s="41" t="n">
        <v>0</v>
      </c>
      <c r="M195" s="41" t="n">
        <v>1183</v>
      </c>
      <c r="N195" s="41" t="n">
        <v>1183</v>
      </c>
      <c r="O195" s="41" t="n">
        <v>1183</v>
      </c>
      <c r="P195" t="inlineStr">
        <is>
          <t>Julio 2026 PERU.xlsx</t>
        </is>
      </c>
      <c r="Q195" t="inlineStr">
        <is>
          <t>Fila 68</t>
        </is>
      </c>
      <c r="R195" t="inlineStr">
        <is>
          <t>Alta</t>
        </is>
      </c>
      <c r="S195" t="inlineStr">
        <is>
          <t>NO</t>
        </is>
      </c>
      <c r="T195" t="inlineStr">
        <is>
          <t>Viajes y alimentación comercial</t>
        </is>
      </c>
    </row>
    <row r="196">
      <c r="A196" t="inlineStr">
        <is>
          <t>2026-07</t>
        </is>
      </c>
      <c r="B196" t="inlineStr">
        <is>
          <t>Peru</t>
        </is>
      </c>
      <c r="C196" t="inlineStr">
        <is>
          <t>PERU</t>
        </is>
      </c>
      <c r="D196" t="inlineStr">
        <is>
          <t>PEN</t>
        </is>
      </c>
      <c r="E196" t="inlineStr">
        <is>
          <t>PL-S-040</t>
        </is>
      </c>
      <c r="F196" t="inlineStr">
        <is>
          <t>Gastos de ventas</t>
        </is>
      </c>
      <c r="G196" t="inlineStr">
        <is>
          <t>Viajes comerciales</t>
        </is>
      </c>
      <c r="H196" t="inlineStr">
        <is>
          <t>Alojamiento y manutención</t>
        </is>
      </c>
      <c r="I196" t="inlineStr">
        <is>
          <t>SERVICIO DE RESTAURANTE</t>
        </is>
      </c>
      <c r="J196" s="41" t="n">
        <v>80.8</v>
      </c>
      <c r="K196" s="41" t="n">
        <v>0</v>
      </c>
      <c r="L196" s="41" t="n">
        <v>0</v>
      </c>
      <c r="M196" s="41" t="n">
        <v>80.8</v>
      </c>
      <c r="N196" s="41" t="n">
        <v>80.8</v>
      </c>
      <c r="O196" s="41" t="n">
        <v>0</v>
      </c>
      <c r="P196" t="inlineStr">
        <is>
          <t>Julio 2026 PERU.xlsx</t>
        </is>
      </c>
      <c r="Q196" t="inlineStr">
        <is>
          <t>Fila 69</t>
        </is>
      </c>
      <c r="R196" t="inlineStr">
        <is>
          <t>Alta</t>
        </is>
      </c>
      <c r="S196" t="inlineStr">
        <is>
          <t>NO</t>
        </is>
      </c>
      <c r="T196" t="inlineStr">
        <is>
          <t>Viajes y alimentación comercial</t>
        </is>
      </c>
    </row>
    <row r="197">
      <c r="A197" t="inlineStr">
        <is>
          <t>2026-07</t>
        </is>
      </c>
      <c r="B197" t="inlineStr">
        <is>
          <t>Peru</t>
        </is>
      </c>
      <c r="C197" t="inlineStr">
        <is>
          <t>PERU</t>
        </is>
      </c>
      <c r="D197" t="inlineStr">
        <is>
          <t>PEN</t>
        </is>
      </c>
      <c r="E197" t="inlineStr">
        <is>
          <t>PL-S-040</t>
        </is>
      </c>
      <c r="F197" t="inlineStr">
        <is>
          <t>Gastos de ventas</t>
        </is>
      </c>
      <c r="G197" t="inlineStr">
        <is>
          <t>Viajes comerciales</t>
        </is>
      </c>
      <c r="H197" t="inlineStr">
        <is>
          <t>Alojamiento y manutención</t>
        </is>
      </c>
      <c r="I197" t="inlineStr">
        <is>
          <t>SERVICIO DE RESTAURANTE</t>
        </is>
      </c>
      <c r="J197" s="41" t="n">
        <v>20.68</v>
      </c>
      <c r="K197" s="41" t="n">
        <v>0</v>
      </c>
      <c r="L197" s="41" t="n">
        <v>0</v>
      </c>
      <c r="M197" s="41" t="n">
        <v>20.68</v>
      </c>
      <c r="N197" s="41" t="n">
        <v>20.68</v>
      </c>
      <c r="O197" s="41" t="n">
        <v>0</v>
      </c>
      <c r="P197" t="inlineStr">
        <is>
          <t>Julio 2026 PERU.xlsx</t>
        </is>
      </c>
      <c r="Q197" t="inlineStr">
        <is>
          <t>Fila 70</t>
        </is>
      </c>
      <c r="R197" t="inlineStr">
        <is>
          <t>Alta</t>
        </is>
      </c>
      <c r="S197" t="inlineStr">
        <is>
          <t>NO</t>
        </is>
      </c>
      <c r="T197" t="inlineStr">
        <is>
          <t>Viajes y alimentación comercial</t>
        </is>
      </c>
    </row>
    <row r="198">
      <c r="A198" t="inlineStr">
        <is>
          <t>2026-07</t>
        </is>
      </c>
      <c r="B198" t="inlineStr">
        <is>
          <t>Peru</t>
        </is>
      </c>
      <c r="C198" t="inlineStr">
        <is>
          <t>PERU</t>
        </is>
      </c>
      <c r="D198" t="inlineStr">
        <is>
          <t>PEN</t>
        </is>
      </c>
      <c r="E198" t="inlineStr">
        <is>
          <t>PL-S-040</t>
        </is>
      </c>
      <c r="F198" t="inlineStr">
        <is>
          <t>Gastos de ventas</t>
        </is>
      </c>
      <c r="G198" t="inlineStr">
        <is>
          <t>Viajes comerciales</t>
        </is>
      </c>
      <c r="H198" t="inlineStr">
        <is>
          <t>Alojamiento y manutención</t>
        </is>
      </c>
      <c r="I198" t="inlineStr">
        <is>
          <t>SERVICIO DE RESTAURANTE</t>
        </is>
      </c>
      <c r="J198" s="41" t="n">
        <v>0</v>
      </c>
      <c r="K198" s="41" t="n">
        <v>471.49</v>
      </c>
      <c r="L198" s="41" t="n">
        <v>0</v>
      </c>
      <c r="M198" s="41" t="n">
        <v>471.49</v>
      </c>
      <c r="N198" s="41" t="n">
        <v>471.49</v>
      </c>
      <c r="O198" s="41" t="n">
        <v>471.49</v>
      </c>
      <c r="P198" t="inlineStr">
        <is>
          <t>Julio 2026 PERU.xlsx</t>
        </is>
      </c>
      <c r="Q198" t="inlineStr">
        <is>
          <t>Fila 71</t>
        </is>
      </c>
      <c r="R198" t="inlineStr">
        <is>
          <t>Alta</t>
        </is>
      </c>
      <c r="S198" t="inlineStr">
        <is>
          <t>NO</t>
        </is>
      </c>
      <c r="T198" t="inlineStr">
        <is>
          <t>Viajes y alimentación comercial</t>
        </is>
      </c>
    </row>
    <row r="199">
      <c r="A199" t="inlineStr">
        <is>
          <t>2026-07</t>
        </is>
      </c>
      <c r="B199" t="inlineStr">
        <is>
          <t>Peru</t>
        </is>
      </c>
      <c r="C199" t="inlineStr">
        <is>
          <t>PERU</t>
        </is>
      </c>
      <c r="D199" t="inlineStr">
        <is>
          <t>PEN</t>
        </is>
      </c>
      <c r="E199" t="inlineStr">
        <is>
          <t>PL-S-040</t>
        </is>
      </c>
      <c r="F199" t="inlineStr">
        <is>
          <t>Gastos de ventas</t>
        </is>
      </c>
      <c r="G199" t="inlineStr">
        <is>
          <t>Viajes comerciales</t>
        </is>
      </c>
      <c r="H199" t="inlineStr">
        <is>
          <t>Alojamiento y manutención</t>
        </is>
      </c>
      <c r="I199" t="inlineStr">
        <is>
          <t>SERVICIO DE RESTAURANTE</t>
        </is>
      </c>
      <c r="J199" s="41" t="n">
        <v>0</v>
      </c>
      <c r="K199" s="41" t="n">
        <v>256</v>
      </c>
      <c r="L199" s="41" t="n">
        <v>0</v>
      </c>
      <c r="M199" s="41" t="n">
        <v>256</v>
      </c>
      <c r="N199" s="41" t="n">
        <v>256</v>
      </c>
      <c r="O199" s="41" t="n">
        <v>256</v>
      </c>
      <c r="P199" t="inlineStr">
        <is>
          <t>Julio 2026 PERU.xlsx</t>
        </is>
      </c>
      <c r="Q199" t="inlineStr">
        <is>
          <t>Fila 72</t>
        </is>
      </c>
      <c r="R199" t="inlineStr">
        <is>
          <t>Alta</t>
        </is>
      </c>
      <c r="S199" t="inlineStr">
        <is>
          <t>NO</t>
        </is>
      </c>
      <c r="T199" t="inlineStr">
        <is>
          <t>Viajes y alimentación comercial</t>
        </is>
      </c>
    </row>
    <row r="200">
      <c r="A200" t="inlineStr">
        <is>
          <t>2026-07</t>
        </is>
      </c>
      <c r="B200" t="inlineStr">
        <is>
          <t>Peru</t>
        </is>
      </c>
      <c r="C200" t="inlineStr">
        <is>
          <t>PERU</t>
        </is>
      </c>
      <c r="D200" t="inlineStr">
        <is>
          <t>PEN</t>
        </is>
      </c>
      <c r="E200" t="inlineStr">
        <is>
          <t>PL-S-040</t>
        </is>
      </c>
      <c r="F200" t="inlineStr">
        <is>
          <t>Gastos de ventas</t>
        </is>
      </c>
      <c r="G200" t="inlineStr">
        <is>
          <t>Viajes comerciales</t>
        </is>
      </c>
      <c r="H200" t="inlineStr">
        <is>
          <t>Alojamiento y manutención</t>
        </is>
      </c>
      <c r="I200" t="inlineStr">
        <is>
          <t>SERVICIO DE RESTAURANTE</t>
        </is>
      </c>
      <c r="J200" s="41" t="n">
        <v>0</v>
      </c>
      <c r="K200" s="41" t="n">
        <v>269</v>
      </c>
      <c r="L200" s="41" t="n">
        <v>0</v>
      </c>
      <c r="M200" s="41" t="n">
        <v>269</v>
      </c>
      <c r="N200" s="41" t="n">
        <v>269</v>
      </c>
      <c r="O200" s="41" t="n">
        <v>269</v>
      </c>
      <c r="P200" t="inlineStr">
        <is>
          <t>Julio 2026 PERU.xlsx</t>
        </is>
      </c>
      <c r="Q200" t="inlineStr">
        <is>
          <t>Fila 73</t>
        </is>
      </c>
      <c r="R200" t="inlineStr">
        <is>
          <t>Alta</t>
        </is>
      </c>
      <c r="S200" t="inlineStr">
        <is>
          <t>NO</t>
        </is>
      </c>
      <c r="T200" t="inlineStr">
        <is>
          <t>Viajes y alimentación comercial</t>
        </is>
      </c>
    </row>
    <row r="201">
      <c r="A201" t="inlineStr">
        <is>
          <t>2026-07</t>
        </is>
      </c>
      <c r="B201" t="inlineStr">
        <is>
          <t>Peru</t>
        </is>
      </c>
      <c r="C201" t="inlineStr">
        <is>
          <t>PERU</t>
        </is>
      </c>
      <c r="D201" t="inlineStr">
        <is>
          <t>PEN</t>
        </is>
      </c>
      <c r="E201" t="inlineStr">
        <is>
          <t>PL-S-040</t>
        </is>
      </c>
      <c r="F201" t="inlineStr">
        <is>
          <t>Gastos de ventas</t>
        </is>
      </c>
      <c r="G201" t="inlineStr">
        <is>
          <t>Viajes comerciales</t>
        </is>
      </c>
      <c r="H201" t="inlineStr">
        <is>
          <t>Alojamiento y manutención</t>
        </is>
      </c>
      <c r="I201" t="inlineStr">
        <is>
          <t>SERVICIO DE RESTAURANTE</t>
        </is>
      </c>
      <c r="J201" s="41" t="n">
        <v>114</v>
      </c>
      <c r="K201" s="41" t="n">
        <v>0</v>
      </c>
      <c r="L201" s="41" t="n">
        <v>0</v>
      </c>
      <c r="M201" s="41" t="n">
        <v>114</v>
      </c>
      <c r="N201" s="41" t="n">
        <v>114</v>
      </c>
      <c r="O201" s="41" t="n">
        <v>0</v>
      </c>
      <c r="P201" t="inlineStr">
        <is>
          <t>Julio 2026 PERU.xlsx</t>
        </is>
      </c>
      <c r="Q201" t="inlineStr">
        <is>
          <t>Fila 74</t>
        </is>
      </c>
      <c r="R201" t="inlineStr">
        <is>
          <t>Alta</t>
        </is>
      </c>
      <c r="S201" t="inlineStr">
        <is>
          <t>NO</t>
        </is>
      </c>
      <c r="T201" t="inlineStr">
        <is>
          <t>Viajes y alimentación comercial</t>
        </is>
      </c>
    </row>
    <row r="202">
      <c r="A202" t="inlineStr">
        <is>
          <t>2026-07</t>
        </is>
      </c>
      <c r="B202" t="inlineStr">
        <is>
          <t>Peru</t>
        </is>
      </c>
      <c r="C202" t="inlineStr">
        <is>
          <t>PERU</t>
        </is>
      </c>
      <c r="D202" t="inlineStr">
        <is>
          <t>PEN</t>
        </is>
      </c>
      <c r="E202" t="inlineStr">
        <is>
          <t>PL-S-040</t>
        </is>
      </c>
      <c r="F202" t="inlineStr">
        <is>
          <t>Gastos de ventas</t>
        </is>
      </c>
      <c r="G202" t="inlineStr">
        <is>
          <t>Viajes comerciales</t>
        </is>
      </c>
      <c r="H202" t="inlineStr">
        <is>
          <t>Alojamiento y manutención</t>
        </is>
      </c>
      <c r="I202" t="inlineStr">
        <is>
          <t>SERVICIO DE RESTAURANTE</t>
        </is>
      </c>
      <c r="J202" s="41" t="n">
        <v>0</v>
      </c>
      <c r="K202" s="41" t="n">
        <v>124.6</v>
      </c>
      <c r="L202" s="41" t="n">
        <v>0</v>
      </c>
      <c r="M202" s="41" t="n">
        <v>124.6</v>
      </c>
      <c r="N202" s="41" t="n">
        <v>124.6</v>
      </c>
      <c r="O202" s="41" t="n">
        <v>124.6</v>
      </c>
      <c r="P202" t="inlineStr">
        <is>
          <t>Julio 2026 PERU.xlsx</t>
        </is>
      </c>
      <c r="Q202" t="inlineStr">
        <is>
          <t>Fila 75</t>
        </is>
      </c>
      <c r="R202" t="inlineStr">
        <is>
          <t>Alta</t>
        </is>
      </c>
      <c r="S202" t="inlineStr">
        <is>
          <t>NO</t>
        </is>
      </c>
      <c r="T202" t="inlineStr">
        <is>
          <t>Viajes y alimentación comercial</t>
        </is>
      </c>
    </row>
    <row r="203">
      <c r="A203" t="inlineStr">
        <is>
          <t>2026-07</t>
        </is>
      </c>
      <c r="B203" t="inlineStr">
        <is>
          <t>Peru</t>
        </is>
      </c>
      <c r="C203" t="inlineStr">
        <is>
          <t>PERU</t>
        </is>
      </c>
      <c r="D203" t="inlineStr">
        <is>
          <t>PEN</t>
        </is>
      </c>
      <c r="E203" t="inlineStr">
        <is>
          <t>PL-S-040</t>
        </is>
      </c>
      <c r="F203" t="inlineStr">
        <is>
          <t>Gastos de ventas</t>
        </is>
      </c>
      <c r="G203" t="inlineStr">
        <is>
          <t>Viajes comerciales</t>
        </is>
      </c>
      <c r="H203" t="inlineStr">
        <is>
          <t>Alojamiento y manutención</t>
        </is>
      </c>
      <c r="I203" t="inlineStr">
        <is>
          <t>SERVICIO DE RESTAURANTE</t>
        </is>
      </c>
      <c r="J203" s="41" t="n">
        <v>0</v>
      </c>
      <c r="K203" s="41" t="n">
        <v>19.5</v>
      </c>
      <c r="L203" s="41" t="n">
        <v>0</v>
      </c>
      <c r="M203" s="41" t="n">
        <v>19.5</v>
      </c>
      <c r="N203" s="41" t="n">
        <v>19.5</v>
      </c>
      <c r="O203" s="41" t="n">
        <v>19.5</v>
      </c>
      <c r="P203" t="inlineStr">
        <is>
          <t>Julio 2026 PERU.xlsx</t>
        </is>
      </c>
      <c r="Q203" t="inlineStr">
        <is>
          <t>Fila 76</t>
        </is>
      </c>
      <c r="R203" t="inlineStr">
        <is>
          <t>Alta</t>
        </is>
      </c>
      <c r="S203" t="inlineStr">
        <is>
          <t>NO</t>
        </is>
      </c>
      <c r="T203" t="inlineStr">
        <is>
          <t>Viajes y alimentación comercial</t>
        </is>
      </c>
    </row>
    <row r="204">
      <c r="A204" t="inlineStr">
        <is>
          <t>2026-07</t>
        </is>
      </c>
      <c r="B204" t="inlineStr">
        <is>
          <t>Peru</t>
        </is>
      </c>
      <c r="C204" t="inlineStr">
        <is>
          <t>PERU</t>
        </is>
      </c>
      <c r="D204" t="inlineStr">
        <is>
          <t>PEN</t>
        </is>
      </c>
      <c r="E204" t="inlineStr">
        <is>
          <t>PL-S-040</t>
        </is>
      </c>
      <c r="F204" t="inlineStr">
        <is>
          <t>Gastos de ventas</t>
        </is>
      </c>
      <c r="G204" t="inlineStr">
        <is>
          <t>Viajes comerciales</t>
        </is>
      </c>
      <c r="H204" t="inlineStr">
        <is>
          <t>Alojamiento y manutención</t>
        </is>
      </c>
      <c r="I204" t="inlineStr">
        <is>
          <t>SERVICIO DE RESTAURANTE</t>
        </is>
      </c>
      <c r="J204" s="41" t="n">
        <v>520</v>
      </c>
      <c r="K204" s="41" t="n">
        <v>0</v>
      </c>
      <c r="L204" s="41" t="n">
        <v>0</v>
      </c>
      <c r="M204" s="41" t="n">
        <v>520</v>
      </c>
      <c r="N204" s="41" t="n">
        <v>520</v>
      </c>
      <c r="O204" s="41" t="n">
        <v>0</v>
      </c>
      <c r="P204" t="inlineStr">
        <is>
          <t>Julio 2026 PERU.xlsx</t>
        </is>
      </c>
      <c r="Q204" t="inlineStr">
        <is>
          <t>Fila 77</t>
        </is>
      </c>
      <c r="R204" t="inlineStr">
        <is>
          <t>Alta</t>
        </is>
      </c>
      <c r="S204" t="inlineStr">
        <is>
          <t>NO</t>
        </is>
      </c>
      <c r="T204" t="inlineStr">
        <is>
          <t>Viajes y alimentación comercial</t>
        </is>
      </c>
    </row>
    <row r="205">
      <c r="A205" t="inlineStr">
        <is>
          <t>2026-07</t>
        </is>
      </c>
      <c r="B205" t="inlineStr">
        <is>
          <t>Peru</t>
        </is>
      </c>
      <c r="C205" t="inlineStr">
        <is>
          <t>PERU</t>
        </is>
      </c>
      <c r="D205" t="inlineStr">
        <is>
          <t>PEN</t>
        </is>
      </c>
      <c r="E205" t="inlineStr">
        <is>
          <t>PL-S-040</t>
        </is>
      </c>
      <c r="F205" t="inlineStr">
        <is>
          <t>Gastos de ventas</t>
        </is>
      </c>
      <c r="G205" t="inlineStr">
        <is>
          <t>Viajes comerciales</t>
        </is>
      </c>
      <c r="H205" t="inlineStr">
        <is>
          <t>Alojamiento y manutención</t>
        </is>
      </c>
      <c r="I205" t="inlineStr">
        <is>
          <t>SERVICIO DE RESTAURANTE</t>
        </is>
      </c>
      <c r="J205" s="41" t="n">
        <v>6</v>
      </c>
      <c r="K205" s="41" t="n">
        <v>0</v>
      </c>
      <c r="L205" s="41" t="n">
        <v>0</v>
      </c>
      <c r="M205" s="41" t="n">
        <v>6</v>
      </c>
      <c r="N205" s="41" t="n">
        <v>6</v>
      </c>
      <c r="O205" s="41" t="n">
        <v>0</v>
      </c>
      <c r="P205" t="inlineStr">
        <is>
          <t>Julio 2026 PERU.xlsx</t>
        </is>
      </c>
      <c r="Q205" t="inlineStr">
        <is>
          <t>Fila 78</t>
        </is>
      </c>
      <c r="R205" t="inlineStr">
        <is>
          <t>Alta</t>
        </is>
      </c>
      <c r="S205" t="inlineStr">
        <is>
          <t>NO</t>
        </is>
      </c>
      <c r="T205" t="inlineStr">
        <is>
          <t>Viajes y alimentación comercial</t>
        </is>
      </c>
    </row>
    <row r="206">
      <c r="A206" t="inlineStr">
        <is>
          <t>2026-07</t>
        </is>
      </c>
      <c r="B206" t="inlineStr">
        <is>
          <t>Peru</t>
        </is>
      </c>
      <c r="C206" t="inlineStr">
        <is>
          <t>PERU</t>
        </is>
      </c>
      <c r="D206" t="inlineStr">
        <is>
          <t>PEN</t>
        </is>
      </c>
      <c r="E206" t="inlineStr">
        <is>
          <t>PL-S-040</t>
        </is>
      </c>
      <c r="F206" t="inlineStr">
        <is>
          <t>Gastos de ventas</t>
        </is>
      </c>
      <c r="G206" t="inlineStr">
        <is>
          <t>Viajes comerciales</t>
        </is>
      </c>
      <c r="H206" t="inlineStr">
        <is>
          <t>Alojamiento y manutención</t>
        </is>
      </c>
      <c r="I206" t="inlineStr">
        <is>
          <t>SERVICIO DE RESTAURANTE</t>
        </is>
      </c>
      <c r="J206" s="41" t="n">
        <v>226.33</v>
      </c>
      <c r="K206" s="41" t="n">
        <v>0</v>
      </c>
      <c r="L206" s="41" t="n">
        <v>0</v>
      </c>
      <c r="M206" s="41" t="n">
        <v>226.33</v>
      </c>
      <c r="N206" s="41" t="n">
        <v>226.33</v>
      </c>
      <c r="O206" s="41" t="n">
        <v>0</v>
      </c>
      <c r="P206" t="inlineStr">
        <is>
          <t>Julio 2026 PERU.xlsx</t>
        </is>
      </c>
      <c r="Q206" t="inlineStr">
        <is>
          <t>Fila 79</t>
        </is>
      </c>
      <c r="R206" t="inlineStr">
        <is>
          <t>Alta</t>
        </is>
      </c>
      <c r="S206" t="inlineStr">
        <is>
          <t>NO</t>
        </is>
      </c>
      <c r="T206" t="inlineStr">
        <is>
          <t>Viajes y alimentación comercial</t>
        </is>
      </c>
    </row>
    <row r="207">
      <c r="A207" t="inlineStr">
        <is>
          <t>2026-07</t>
        </is>
      </c>
      <c r="B207" t="inlineStr">
        <is>
          <t>Peru</t>
        </is>
      </c>
      <c r="C207" t="inlineStr">
        <is>
          <t>PERU</t>
        </is>
      </c>
      <c r="D207" t="inlineStr">
        <is>
          <t>PEN</t>
        </is>
      </c>
      <c r="E207" t="inlineStr">
        <is>
          <t>PL-S-040</t>
        </is>
      </c>
      <c r="F207" t="inlineStr">
        <is>
          <t>Gastos de ventas</t>
        </is>
      </c>
      <c r="G207" t="inlineStr">
        <is>
          <t>Viajes comerciales</t>
        </is>
      </c>
      <c r="H207" t="inlineStr">
        <is>
          <t>Alojamiento y manutención</t>
        </is>
      </c>
      <c r="I207" t="inlineStr">
        <is>
          <t>SERVICIO DE RESTAURANTE</t>
        </is>
      </c>
      <c r="J207" s="41" t="n">
        <v>386.7</v>
      </c>
      <c r="K207" s="41" t="n">
        <v>0</v>
      </c>
      <c r="L207" s="41" t="n">
        <v>0</v>
      </c>
      <c r="M207" s="41" t="n">
        <v>386.7</v>
      </c>
      <c r="N207" s="41" t="n">
        <v>386.7</v>
      </c>
      <c r="O207" s="41" t="n">
        <v>0</v>
      </c>
      <c r="P207" t="inlineStr">
        <is>
          <t>Julio 2026 PERU.xlsx</t>
        </is>
      </c>
      <c r="Q207" t="inlineStr">
        <is>
          <t>Fila 80</t>
        </is>
      </c>
      <c r="R207" t="inlineStr">
        <is>
          <t>Alta</t>
        </is>
      </c>
      <c r="S207" t="inlineStr">
        <is>
          <t>NO</t>
        </is>
      </c>
      <c r="T207" t="inlineStr">
        <is>
          <t>Viajes y alimentación comercial</t>
        </is>
      </c>
    </row>
    <row r="208">
      <c r="A208" t="inlineStr">
        <is>
          <t>2026-07</t>
        </is>
      </c>
      <c r="B208" t="inlineStr">
        <is>
          <t>Peru</t>
        </is>
      </c>
      <c r="C208" t="inlineStr">
        <is>
          <t>PERU</t>
        </is>
      </c>
      <c r="D208" t="inlineStr">
        <is>
          <t>PEN</t>
        </is>
      </c>
      <c r="E208" t="inlineStr">
        <is>
          <t>PL-S-040</t>
        </is>
      </c>
      <c r="F208" t="inlineStr">
        <is>
          <t>Gastos de ventas</t>
        </is>
      </c>
      <c r="G208" t="inlineStr">
        <is>
          <t>Viajes comerciales</t>
        </is>
      </c>
      <c r="H208" t="inlineStr">
        <is>
          <t>Alojamiento y manutención</t>
        </is>
      </c>
      <c r="I208" t="inlineStr">
        <is>
          <t>SERVICIO DE RESTAURANTE</t>
        </is>
      </c>
      <c r="J208" s="41" t="n">
        <v>150.72</v>
      </c>
      <c r="K208" s="41" t="n">
        <v>0</v>
      </c>
      <c r="L208" s="41" t="n">
        <v>0</v>
      </c>
      <c r="M208" s="41" t="n">
        <v>150.72</v>
      </c>
      <c r="N208" s="41" t="n">
        <v>150.72</v>
      </c>
      <c r="O208" s="41" t="n">
        <v>0</v>
      </c>
      <c r="P208" t="inlineStr">
        <is>
          <t>Julio 2026 PERU.xlsx</t>
        </is>
      </c>
      <c r="Q208" t="inlineStr">
        <is>
          <t>Fila 81</t>
        </is>
      </c>
      <c r="R208" t="inlineStr">
        <is>
          <t>Alta</t>
        </is>
      </c>
      <c r="S208" t="inlineStr">
        <is>
          <t>NO</t>
        </is>
      </c>
      <c r="T208" t="inlineStr">
        <is>
          <t>Viajes y alimentación comercial</t>
        </is>
      </c>
    </row>
    <row r="209">
      <c r="A209" t="inlineStr">
        <is>
          <t>2026-07</t>
        </is>
      </c>
      <c r="B209" t="inlineStr">
        <is>
          <t>Peru</t>
        </is>
      </c>
      <c r="C209" t="inlineStr">
        <is>
          <t>PERU</t>
        </is>
      </c>
      <c r="D209" t="inlineStr">
        <is>
          <t>PEN</t>
        </is>
      </c>
      <c r="E209" t="inlineStr">
        <is>
          <t>PL-S-040</t>
        </is>
      </c>
      <c r="F209" t="inlineStr">
        <is>
          <t>Gastos de ventas</t>
        </is>
      </c>
      <c r="G209" t="inlineStr">
        <is>
          <t>Viajes comerciales</t>
        </is>
      </c>
      <c r="H209" t="inlineStr">
        <is>
          <t>Alojamiento y manutención</t>
        </is>
      </c>
      <c r="I209" t="inlineStr">
        <is>
          <t>SERVICIO DE RESTAURANTE</t>
        </is>
      </c>
      <c r="J209" s="41" t="n">
        <v>24</v>
      </c>
      <c r="K209" s="41" t="n">
        <v>0</v>
      </c>
      <c r="L209" s="41" t="n">
        <v>0</v>
      </c>
      <c r="M209" s="41" t="n">
        <v>24</v>
      </c>
      <c r="N209" s="41" t="n">
        <v>24</v>
      </c>
      <c r="O209" s="41" t="n">
        <v>0</v>
      </c>
      <c r="P209" t="inlineStr">
        <is>
          <t>Julio 2026 PERU.xlsx</t>
        </is>
      </c>
      <c r="Q209" t="inlineStr">
        <is>
          <t>Fila 82</t>
        </is>
      </c>
      <c r="R209" t="inlineStr">
        <is>
          <t>Alta</t>
        </is>
      </c>
      <c r="S209" t="inlineStr">
        <is>
          <t>NO</t>
        </is>
      </c>
      <c r="T209" t="inlineStr">
        <is>
          <t>Viajes y alimentación comercial</t>
        </is>
      </c>
    </row>
    <row r="210">
      <c r="A210" t="inlineStr">
        <is>
          <t>2026-07</t>
        </is>
      </c>
      <c r="B210" t="inlineStr">
        <is>
          <t>Peru</t>
        </is>
      </c>
      <c r="C210" t="inlineStr">
        <is>
          <t>PERU</t>
        </is>
      </c>
      <c r="D210" t="inlineStr">
        <is>
          <t>PEN</t>
        </is>
      </c>
      <c r="E210" t="inlineStr">
        <is>
          <t>PL-S-040</t>
        </is>
      </c>
      <c r="F210" t="inlineStr">
        <is>
          <t>Gastos de ventas</t>
        </is>
      </c>
      <c r="G210" t="inlineStr">
        <is>
          <t>Viajes comerciales</t>
        </is>
      </c>
      <c r="H210" t="inlineStr">
        <is>
          <t>Alojamiento y manutención</t>
        </is>
      </c>
      <c r="I210" t="inlineStr">
        <is>
          <t>SERVICIO DE RESTAURANTE</t>
        </is>
      </c>
      <c r="J210" s="41" t="n">
        <v>24</v>
      </c>
      <c r="K210" s="41" t="n">
        <v>0</v>
      </c>
      <c r="L210" s="41" t="n">
        <v>0</v>
      </c>
      <c r="M210" s="41" t="n">
        <v>24</v>
      </c>
      <c r="N210" s="41" t="n">
        <v>24</v>
      </c>
      <c r="O210" s="41" t="n">
        <v>0</v>
      </c>
      <c r="P210" t="inlineStr">
        <is>
          <t>Julio 2026 PERU.xlsx</t>
        </is>
      </c>
      <c r="Q210" t="inlineStr">
        <is>
          <t>Fila 83</t>
        </is>
      </c>
      <c r="R210" t="inlineStr">
        <is>
          <t>Alta</t>
        </is>
      </c>
      <c r="S210" t="inlineStr">
        <is>
          <t>NO</t>
        </is>
      </c>
      <c r="T210" t="inlineStr">
        <is>
          <t>Viajes y alimentación comercial</t>
        </is>
      </c>
    </row>
    <row r="211">
      <c r="A211" t="inlineStr">
        <is>
          <t>2026-07</t>
        </is>
      </c>
      <c r="B211" t="inlineStr">
        <is>
          <t>Peru</t>
        </is>
      </c>
      <c r="C211" t="inlineStr">
        <is>
          <t>PERU</t>
        </is>
      </c>
      <c r="D211" t="inlineStr">
        <is>
          <t>PEN</t>
        </is>
      </c>
      <c r="E211" t="inlineStr">
        <is>
          <t>PL-S-040</t>
        </is>
      </c>
      <c r="F211" t="inlineStr">
        <is>
          <t>Gastos de ventas</t>
        </is>
      </c>
      <c r="G211" t="inlineStr">
        <is>
          <t>Viajes comerciales</t>
        </is>
      </c>
      <c r="H211" t="inlineStr">
        <is>
          <t>Pasajes aéreos</t>
        </is>
      </c>
      <c r="I211" t="inlineStr">
        <is>
          <t>PASAJE AEREO</t>
        </is>
      </c>
      <c r="J211" s="41" t="n">
        <v>0</v>
      </c>
      <c r="K211" s="41" t="n">
        <v>1450.64</v>
      </c>
      <c r="L211" s="41" t="n">
        <v>0</v>
      </c>
      <c r="M211" s="41" t="n">
        <v>1450.64</v>
      </c>
      <c r="N211" s="41" t="n">
        <v>1450.64</v>
      </c>
      <c r="O211" s="41" t="n">
        <v>1450.64</v>
      </c>
      <c r="P211" t="inlineStr">
        <is>
          <t>Julio 2026 PERU.xlsx</t>
        </is>
      </c>
      <c r="Q211" t="inlineStr">
        <is>
          <t>Fila 85</t>
        </is>
      </c>
      <c r="R211" t="inlineStr">
        <is>
          <t>Alta</t>
        </is>
      </c>
      <c r="S211" t="inlineStr">
        <is>
          <t>NO</t>
        </is>
      </c>
      <c r="T211" t="inlineStr">
        <is>
          <t>Viajes comerciales</t>
        </is>
      </c>
    </row>
    <row r="212">
      <c r="A212" t="inlineStr">
        <is>
          <t>2026-07</t>
        </is>
      </c>
      <c r="B212" t="inlineStr">
        <is>
          <t>Peru</t>
        </is>
      </c>
      <c r="C212" t="inlineStr">
        <is>
          <t>PERU</t>
        </is>
      </c>
      <c r="D212" t="inlineStr">
        <is>
          <t>PEN</t>
        </is>
      </c>
      <c r="E212" t="inlineStr">
        <is>
          <t>PL-S-040</t>
        </is>
      </c>
      <c r="F212" t="inlineStr">
        <is>
          <t>Gastos de ventas</t>
        </is>
      </c>
      <c r="G212" t="inlineStr">
        <is>
          <t>Viajes comerciales</t>
        </is>
      </c>
      <c r="H212" t="inlineStr">
        <is>
          <t>Pasajes aéreos</t>
        </is>
      </c>
      <c r="I212" t="inlineStr">
        <is>
          <t>PASAJE AEREO</t>
        </is>
      </c>
      <c r="J212" s="41" t="n">
        <v>5146.2</v>
      </c>
      <c r="K212" s="41" t="n">
        <v>0</v>
      </c>
      <c r="L212" s="41" t="n">
        <v>0</v>
      </c>
      <c r="M212" s="41" t="n">
        <v>5146.2</v>
      </c>
      <c r="N212" s="41" t="n">
        <v>5146.2</v>
      </c>
      <c r="O212" s="41" t="n">
        <v>0</v>
      </c>
      <c r="P212" t="inlineStr">
        <is>
          <t>Julio 2026 PERU.xlsx</t>
        </is>
      </c>
      <c r="Q212" t="inlineStr">
        <is>
          <t>Fila 86</t>
        </is>
      </c>
      <c r="R212" t="inlineStr">
        <is>
          <t>Alta</t>
        </is>
      </c>
      <c r="S212" t="inlineStr">
        <is>
          <t>NO</t>
        </is>
      </c>
      <c r="T212" t="inlineStr">
        <is>
          <t>Viajes comerciales</t>
        </is>
      </c>
    </row>
    <row r="213">
      <c r="A213" t="inlineStr">
        <is>
          <t>2026-07</t>
        </is>
      </c>
      <c r="B213" t="inlineStr">
        <is>
          <t>Peru</t>
        </is>
      </c>
      <c r="C213" t="inlineStr">
        <is>
          <t>PERU</t>
        </is>
      </c>
      <c r="D213" t="inlineStr">
        <is>
          <t>PEN</t>
        </is>
      </c>
      <c r="E213" t="inlineStr">
        <is>
          <t>PL-S-040</t>
        </is>
      </c>
      <c r="F213" t="inlineStr">
        <is>
          <t>Gastos de ventas</t>
        </is>
      </c>
      <c r="G213" t="inlineStr">
        <is>
          <t>Viajes comerciales</t>
        </is>
      </c>
      <c r="H213" t="inlineStr">
        <is>
          <t>Otros viajes</t>
        </is>
      </c>
      <c r="I213" t="inlineStr">
        <is>
          <t>PROPINA</t>
        </is>
      </c>
      <c r="J213" s="41" t="n">
        <v>0</v>
      </c>
      <c r="K213" s="41" t="n">
        <v>50</v>
      </c>
      <c r="L213" s="41" t="n">
        <v>0</v>
      </c>
      <c r="M213" s="41" t="n">
        <v>50</v>
      </c>
      <c r="N213" s="41" t="n">
        <v>50</v>
      </c>
      <c r="O213" s="41" t="n">
        <v>50</v>
      </c>
      <c r="P213" t="inlineStr">
        <is>
          <t>Julio 2026 PERU.xlsx</t>
        </is>
      </c>
      <c r="Q213" t="inlineStr">
        <is>
          <t>Fila 88</t>
        </is>
      </c>
      <c r="R213" t="inlineStr">
        <is>
          <t>Media</t>
        </is>
      </c>
      <c r="S213" t="inlineStr">
        <is>
          <t>SI</t>
        </is>
      </c>
      <c r="T213" t="inlineStr">
        <is>
          <t>Otros gastos de viaje</t>
        </is>
      </c>
    </row>
    <row r="214">
      <c r="A214" t="inlineStr">
        <is>
          <t>2026-07</t>
        </is>
      </c>
      <c r="B214" t="inlineStr">
        <is>
          <t>Peru</t>
        </is>
      </c>
      <c r="C214" t="inlineStr">
        <is>
          <t>PERU</t>
        </is>
      </c>
      <c r="D214" t="inlineStr">
        <is>
          <t>PEN</t>
        </is>
      </c>
      <c r="E214" t="inlineStr">
        <is>
          <t>PL-S-040</t>
        </is>
      </c>
      <c r="F214" t="inlineStr">
        <is>
          <t>Gastos de ventas</t>
        </is>
      </c>
      <c r="G214" t="inlineStr">
        <is>
          <t>Viajes comerciales</t>
        </is>
      </c>
      <c r="H214" t="inlineStr">
        <is>
          <t>Otros viajes</t>
        </is>
      </c>
      <c r="I214" t="inlineStr">
        <is>
          <t>PROPINA</t>
        </is>
      </c>
      <c r="J214" s="41" t="n">
        <v>0</v>
      </c>
      <c r="K214" s="41" t="n">
        <v>30</v>
      </c>
      <c r="L214" s="41" t="n">
        <v>0</v>
      </c>
      <c r="M214" s="41" t="n">
        <v>30</v>
      </c>
      <c r="N214" s="41" t="n">
        <v>30</v>
      </c>
      <c r="O214" s="41" t="n">
        <v>30</v>
      </c>
      <c r="P214" t="inlineStr">
        <is>
          <t>Julio 2026 PERU.xlsx</t>
        </is>
      </c>
      <c r="Q214" t="inlineStr">
        <is>
          <t>Fila 89</t>
        </is>
      </c>
      <c r="R214" t="inlineStr">
        <is>
          <t>Media</t>
        </is>
      </c>
      <c r="S214" t="inlineStr">
        <is>
          <t>SI</t>
        </is>
      </c>
      <c r="T214" t="inlineStr">
        <is>
          <t>Otros gastos de viaje</t>
        </is>
      </c>
    </row>
    <row r="215">
      <c r="A215" t="inlineStr">
        <is>
          <t>2026-07</t>
        </is>
      </c>
      <c r="B215" t="inlineStr">
        <is>
          <t>Peru</t>
        </is>
      </c>
      <c r="C215" t="inlineStr">
        <is>
          <t>PERU</t>
        </is>
      </c>
      <c r="D215" t="inlineStr">
        <is>
          <t>PEN</t>
        </is>
      </c>
      <c r="E215" t="inlineStr">
        <is>
          <t>PL-S-050</t>
        </is>
      </c>
      <c r="F215" t="inlineStr">
        <is>
          <t>Gastos de ventas</t>
        </is>
      </c>
      <c r="G215" t="inlineStr">
        <is>
          <t>Transporte comercial</t>
        </is>
      </c>
      <c r="H215" t="inlineStr">
        <is>
          <t>Taxis y buses</t>
        </is>
      </c>
      <c r="I215" t="inlineStr">
        <is>
          <t>TAXIS Y BUSES</t>
        </is>
      </c>
      <c r="J215" s="41" t="n">
        <v>78</v>
      </c>
      <c r="K215" s="41" t="n">
        <v>78</v>
      </c>
      <c r="L215" s="41" t="n">
        <v>0</v>
      </c>
      <c r="M215" s="41" t="n">
        <v>156</v>
      </c>
      <c r="N215" s="41" t="n">
        <v>156</v>
      </c>
      <c r="O215" s="41" t="n">
        <v>78</v>
      </c>
      <c r="P215" t="inlineStr">
        <is>
          <t>Julio 2026 PERU.xlsx</t>
        </is>
      </c>
      <c r="Q215" t="inlineStr">
        <is>
          <t>Fila 92</t>
        </is>
      </c>
      <c r="R215" t="inlineStr">
        <is>
          <t>Alta</t>
        </is>
      </c>
      <c r="S215" t="inlineStr">
        <is>
          <t>NO</t>
        </is>
      </c>
      <c r="T215" t="inlineStr">
        <is>
          <t>Transporte local comercial</t>
        </is>
      </c>
    </row>
    <row r="216">
      <c r="A216" t="inlineStr">
        <is>
          <t>2026-07</t>
        </is>
      </c>
      <c r="B216" t="inlineStr">
        <is>
          <t>Peru</t>
        </is>
      </c>
      <c r="C216" t="inlineStr">
        <is>
          <t>PERU</t>
        </is>
      </c>
      <c r="D216" t="inlineStr">
        <is>
          <t>PEN</t>
        </is>
      </c>
      <c r="E216" t="inlineStr">
        <is>
          <t>PL-S-050</t>
        </is>
      </c>
      <c r="F216" t="inlineStr">
        <is>
          <t>Gastos de ventas</t>
        </is>
      </c>
      <c r="G216" t="inlineStr">
        <is>
          <t>Transporte comercial</t>
        </is>
      </c>
      <c r="H216" t="inlineStr">
        <is>
          <t>Taxis y buses</t>
        </is>
      </c>
      <c r="I216" t="inlineStr">
        <is>
          <t>TAXIS Y BUSES</t>
        </is>
      </c>
      <c r="J216" s="41" t="n">
        <v>0</v>
      </c>
      <c r="K216" s="41" t="n">
        <v>389.37</v>
      </c>
      <c r="L216" s="41" t="n">
        <v>0</v>
      </c>
      <c r="M216" s="41" t="n">
        <v>389.37</v>
      </c>
      <c r="N216" s="41" t="n">
        <v>389.37</v>
      </c>
      <c r="O216" s="41" t="n">
        <v>389.37</v>
      </c>
      <c r="P216" t="inlineStr">
        <is>
          <t>Julio 2026 PERU.xlsx</t>
        </is>
      </c>
      <c r="Q216" t="inlineStr">
        <is>
          <t>Fila 93</t>
        </is>
      </c>
      <c r="R216" t="inlineStr">
        <is>
          <t>Alta</t>
        </is>
      </c>
      <c r="S216" t="inlineStr">
        <is>
          <t>NO</t>
        </is>
      </c>
      <c r="T216" t="inlineStr">
        <is>
          <t>Transporte local comercial</t>
        </is>
      </c>
    </row>
    <row r="217">
      <c r="A217" t="inlineStr">
        <is>
          <t>2026-07</t>
        </is>
      </c>
      <c r="B217" t="inlineStr">
        <is>
          <t>Peru</t>
        </is>
      </c>
      <c r="C217" t="inlineStr">
        <is>
          <t>PERU</t>
        </is>
      </c>
      <c r="D217" t="inlineStr">
        <is>
          <t>PEN</t>
        </is>
      </c>
      <c r="E217" t="inlineStr">
        <is>
          <t>PL-S-060</t>
        </is>
      </c>
      <c r="F217" t="inlineStr">
        <is>
          <t>Gastos de ventas</t>
        </is>
      </c>
      <c r="G217" t="inlineStr">
        <is>
          <t>Otros gastos comerciales</t>
        </is>
      </c>
      <c r="H217" t="inlineStr">
        <is>
          <t>Otros</t>
        </is>
      </c>
      <c r="I217" t="inlineStr">
        <is>
          <t>SUMINISTROS</t>
        </is>
      </c>
      <c r="J217" s="41" t="n">
        <v>0</v>
      </c>
      <c r="K217" s="41" t="n">
        <v>79.90000000000001</v>
      </c>
      <c r="L217" s="41" t="n">
        <v>0</v>
      </c>
      <c r="M217" s="41" t="n">
        <v>79.90000000000001</v>
      </c>
      <c r="N217" s="41" t="n">
        <v>79.90000000000001</v>
      </c>
      <c r="O217" s="41" t="n">
        <v>79.90000000000001</v>
      </c>
      <c r="P217" t="inlineStr">
        <is>
          <t>Julio 2026 PERU.xlsx</t>
        </is>
      </c>
      <c r="Q217" t="inlineStr">
        <is>
          <t>Fila 95</t>
        </is>
      </c>
      <c r="R217" t="inlineStr">
        <is>
          <t>Media</t>
        </is>
      </c>
      <c r="S217" t="inlineStr">
        <is>
          <t>SI</t>
        </is>
      </c>
      <c r="T217" t="inlineStr">
        <is>
          <t>Cuenta genérica de ventas</t>
        </is>
      </c>
    </row>
    <row r="218">
      <c r="A218" t="inlineStr">
        <is>
          <t>2026-07</t>
        </is>
      </c>
      <c r="B218" t="inlineStr">
        <is>
          <t>Peru</t>
        </is>
      </c>
      <c r="C218" t="inlineStr">
        <is>
          <t>PERU</t>
        </is>
      </c>
      <c r="D218" t="inlineStr">
        <is>
          <t>PEN</t>
        </is>
      </c>
      <c r="E218" t="inlineStr">
        <is>
          <t>PL-S-060</t>
        </is>
      </c>
      <c r="F218" t="inlineStr">
        <is>
          <t>Gastos de ventas</t>
        </is>
      </c>
      <c r="G218" t="inlineStr">
        <is>
          <t>Otros gastos comerciales</t>
        </is>
      </c>
      <c r="H218" t="inlineStr">
        <is>
          <t>Otros</t>
        </is>
      </c>
      <c r="I218" t="inlineStr">
        <is>
          <t>SUMINISTROS</t>
        </is>
      </c>
      <c r="J218" s="41" t="n">
        <v>0</v>
      </c>
      <c r="K218" s="41" t="n">
        <v>40.62</v>
      </c>
      <c r="L218" s="41" t="n">
        <v>0</v>
      </c>
      <c r="M218" s="41" t="n">
        <v>40.62</v>
      </c>
      <c r="N218" s="41" t="n">
        <v>40.62</v>
      </c>
      <c r="O218" s="41" t="n">
        <v>40.62</v>
      </c>
      <c r="P218" t="inlineStr">
        <is>
          <t>Julio 2026 PERU.xlsx</t>
        </is>
      </c>
      <c r="Q218" t="inlineStr">
        <is>
          <t>Fila 96</t>
        </is>
      </c>
      <c r="R218" t="inlineStr">
        <is>
          <t>Media</t>
        </is>
      </c>
      <c r="S218" t="inlineStr">
        <is>
          <t>SI</t>
        </is>
      </c>
      <c r="T218" t="inlineStr">
        <is>
          <t>Cuenta genérica de ventas</t>
        </is>
      </c>
    </row>
    <row r="219">
      <c r="A219" t="inlineStr">
        <is>
          <t>2026-07</t>
        </is>
      </c>
      <c r="B219" t="inlineStr">
        <is>
          <t>Peru</t>
        </is>
      </c>
      <c r="C219" t="inlineStr">
        <is>
          <t>PERU</t>
        </is>
      </c>
      <c r="D219" t="inlineStr">
        <is>
          <t>PEN</t>
        </is>
      </c>
      <c r="E219" t="inlineStr">
        <is>
          <t>PL-S-060</t>
        </is>
      </c>
      <c r="F219" t="inlineStr">
        <is>
          <t>Gastos de ventas</t>
        </is>
      </c>
      <c r="G219" t="inlineStr">
        <is>
          <t>Otros gastos comerciales</t>
        </is>
      </c>
      <c r="H219" t="inlineStr">
        <is>
          <t>Otros</t>
        </is>
      </c>
      <c r="I219" t="inlineStr">
        <is>
          <t>FERIAS Y EVENTOS</t>
        </is>
      </c>
      <c r="J219" s="41" t="n">
        <v>0</v>
      </c>
      <c r="K219" s="41" t="n">
        <v>3954</v>
      </c>
      <c r="L219" s="41" t="n">
        <v>0</v>
      </c>
      <c r="M219" s="41" t="n">
        <v>3954</v>
      </c>
      <c r="N219" s="41" t="n">
        <v>3954</v>
      </c>
      <c r="O219" s="41" t="n">
        <v>3954</v>
      </c>
      <c r="P219" t="inlineStr">
        <is>
          <t>Julio 2026 PERU.xlsx</t>
        </is>
      </c>
      <c r="Q219" t="inlineStr">
        <is>
          <t>Fila 97</t>
        </is>
      </c>
      <c r="R219" t="inlineStr">
        <is>
          <t>Media</t>
        </is>
      </c>
      <c r="S219" t="inlineStr">
        <is>
          <t>SI</t>
        </is>
      </c>
      <c r="T219" t="inlineStr">
        <is>
          <t>Cuenta genérica de ventas</t>
        </is>
      </c>
    </row>
    <row r="220">
      <c r="A220" t="inlineStr">
        <is>
          <t>2026-07</t>
        </is>
      </c>
      <c r="B220" t="inlineStr">
        <is>
          <t>Peru</t>
        </is>
      </c>
      <c r="C220" t="inlineStr">
        <is>
          <t>PERU</t>
        </is>
      </c>
      <c r="D220" t="inlineStr">
        <is>
          <t>PEN</t>
        </is>
      </c>
      <c r="E220" t="inlineStr">
        <is>
          <t>PL-S-060</t>
        </is>
      </c>
      <c r="F220" t="inlineStr">
        <is>
          <t>Gastos de ventas</t>
        </is>
      </c>
      <c r="G220" t="inlineStr">
        <is>
          <t>Otros gastos comerciales</t>
        </is>
      </c>
      <c r="H220" t="inlineStr">
        <is>
          <t>Otros</t>
        </is>
      </c>
      <c r="I220" t="inlineStr">
        <is>
          <t>MEDICAMENTOS</t>
        </is>
      </c>
      <c r="J220" s="41" t="n">
        <v>1.9</v>
      </c>
      <c r="K220" s="41" t="n">
        <v>0</v>
      </c>
      <c r="L220" s="41" t="n">
        <v>0</v>
      </c>
      <c r="M220" s="41" t="n">
        <v>1.9</v>
      </c>
      <c r="N220" s="41" t="n">
        <v>1.9</v>
      </c>
      <c r="O220" s="41" t="n">
        <v>0</v>
      </c>
      <c r="P220" t="inlineStr">
        <is>
          <t>Julio 2026 PERU.xlsx</t>
        </is>
      </c>
      <c r="Q220" t="inlineStr">
        <is>
          <t>Fila 98</t>
        </is>
      </c>
      <c r="R220" t="inlineStr">
        <is>
          <t>Media</t>
        </is>
      </c>
      <c r="S220" t="inlineStr">
        <is>
          <t>SI</t>
        </is>
      </c>
      <c r="T220" t="inlineStr">
        <is>
          <t>Cuenta genérica de ventas</t>
        </is>
      </c>
    </row>
    <row r="221">
      <c r="A221" t="inlineStr">
        <is>
          <t>2026-07</t>
        </is>
      </c>
      <c r="B221" t="inlineStr">
        <is>
          <t>Peru</t>
        </is>
      </c>
      <c r="C221" t="inlineStr">
        <is>
          <t>PERU</t>
        </is>
      </c>
      <c r="D221" t="inlineStr">
        <is>
          <t>PEN</t>
        </is>
      </c>
      <c r="E221" t="inlineStr">
        <is>
          <t>PL-F-010</t>
        </is>
      </c>
      <c r="F221" t="inlineStr">
        <is>
          <t>Gastos financieros</t>
        </is>
      </c>
      <c r="G221" t="inlineStr">
        <is>
          <t>Gastos financieros</t>
        </is>
      </c>
      <c r="H221" t="inlineStr">
        <is>
          <t>Gastos bancarios</t>
        </is>
      </c>
      <c r="I221" t="inlineStr">
        <is>
          <t>GASTOS BANCARIOS</t>
        </is>
      </c>
      <c r="J221" s="41" t="n">
        <v>227.16</v>
      </c>
      <c r="K221" s="41" t="n">
        <v>233.65</v>
      </c>
      <c r="L221" s="41" t="n">
        <v>0</v>
      </c>
      <c r="M221" s="41" t="n">
        <v>460.81</v>
      </c>
      <c r="N221" s="41" t="n">
        <v>460.81</v>
      </c>
      <c r="O221" s="41" t="n">
        <v>233.65</v>
      </c>
      <c r="P221" t="inlineStr">
        <is>
          <t>Julio 2026 PERU.xlsx</t>
        </is>
      </c>
      <c r="Q221" t="inlineStr">
        <is>
          <t>Fila 101</t>
        </is>
      </c>
      <c r="R221" t="inlineStr">
        <is>
          <t>Alta</t>
        </is>
      </c>
      <c r="S221" t="inlineStr">
        <is>
          <t>NO</t>
        </is>
      </c>
      <c r="T221" t="inlineStr">
        <is>
          <t>Costo financiero bancario</t>
        </is>
      </c>
    </row>
    <row r="222">
      <c r="A222" t="inlineStr">
        <is>
          <t>2026-07</t>
        </is>
      </c>
      <c r="B222" t="inlineStr">
        <is>
          <t>Peru</t>
        </is>
      </c>
      <c r="C222" t="inlineStr">
        <is>
          <t>PERU</t>
        </is>
      </c>
      <c r="D222" t="inlineStr">
        <is>
          <t>PEN</t>
        </is>
      </c>
      <c r="E222" t="inlineStr">
        <is>
          <t>PL-F-010</t>
        </is>
      </c>
      <c r="F222" t="inlineStr">
        <is>
          <t>Gastos financieros</t>
        </is>
      </c>
      <c r="G222" t="inlineStr">
        <is>
          <t>Gastos financieros</t>
        </is>
      </c>
      <c r="H222" t="inlineStr">
        <is>
          <t>Gastos bancarios</t>
        </is>
      </c>
      <c r="I222" t="inlineStr">
        <is>
          <t>GASTOS BANCARIOS</t>
        </is>
      </c>
      <c r="J222" s="41" t="n">
        <v>4.29</v>
      </c>
      <c r="K222" s="41" t="n">
        <v>0</v>
      </c>
      <c r="L222" s="41" t="n">
        <v>0</v>
      </c>
      <c r="M222" s="41" t="n">
        <v>4.29</v>
      </c>
      <c r="N222" s="41" t="n">
        <v>4.29</v>
      </c>
      <c r="O222" s="41" t="n">
        <v>0</v>
      </c>
      <c r="P222" t="inlineStr">
        <is>
          <t>Julio 2026 PERU.xlsx</t>
        </is>
      </c>
      <c r="Q222" t="inlineStr">
        <is>
          <t>Fila 102</t>
        </is>
      </c>
      <c r="R222" t="inlineStr">
        <is>
          <t>Alta</t>
        </is>
      </c>
      <c r="S222" t="inlineStr">
        <is>
          <t>NO</t>
        </is>
      </c>
      <c r="T222" t="inlineStr">
        <is>
          <t>Costo financiero bancario</t>
        </is>
      </c>
    </row>
    <row r="223">
      <c r="A223" t="inlineStr">
        <is>
          <t>2026-07</t>
        </is>
      </c>
      <c r="B223" t="inlineStr">
        <is>
          <t>Peru</t>
        </is>
      </c>
      <c r="C223" t="inlineStr">
        <is>
          <t>PERU</t>
        </is>
      </c>
      <c r="D223" t="inlineStr">
        <is>
          <t>PEN</t>
        </is>
      </c>
      <c r="E223" t="inlineStr">
        <is>
          <t>PL-F-010</t>
        </is>
      </c>
      <c r="F223" t="inlineStr">
        <is>
          <t>Gastos financieros</t>
        </is>
      </c>
      <c r="G223" t="inlineStr">
        <is>
          <t>Gastos financieros</t>
        </is>
      </c>
      <c r="H223" t="inlineStr">
        <is>
          <t>Gastos bancarios</t>
        </is>
      </c>
      <c r="I223" t="inlineStr">
        <is>
          <t>GASTOS BANCARIOS</t>
        </is>
      </c>
      <c r="J223" s="41" t="n">
        <v>172.1</v>
      </c>
      <c r="K223" s="41" t="n">
        <v>0</v>
      </c>
      <c r="L223" s="41" t="n">
        <v>0</v>
      </c>
      <c r="M223" s="41" t="n">
        <v>172.1</v>
      </c>
      <c r="N223" s="41" t="n">
        <v>172.1</v>
      </c>
      <c r="O223" s="41" t="n">
        <v>0</v>
      </c>
      <c r="P223" t="inlineStr">
        <is>
          <t>Julio 2026 PERU.xlsx</t>
        </is>
      </c>
      <c r="Q223" t="inlineStr">
        <is>
          <t>Fila 103</t>
        </is>
      </c>
      <c r="R223" t="inlineStr">
        <is>
          <t>Alta</t>
        </is>
      </c>
      <c r="S223" t="inlineStr">
        <is>
          <t>NO</t>
        </is>
      </c>
      <c r="T223" t="inlineStr">
        <is>
          <t>Costo financiero bancario</t>
        </is>
      </c>
    </row>
    <row r="224">
      <c r="A224" t="inlineStr">
        <is>
          <t>2026-07</t>
        </is>
      </c>
      <c r="B224" t="inlineStr">
        <is>
          <t>Peru</t>
        </is>
      </c>
      <c r="C224" t="inlineStr">
        <is>
          <t>PERU</t>
        </is>
      </c>
      <c r="D224" t="inlineStr">
        <is>
          <t>PEN</t>
        </is>
      </c>
      <c r="E224" t="inlineStr">
        <is>
          <t>PL-F-010</t>
        </is>
      </c>
      <c r="F224" t="inlineStr">
        <is>
          <t>Gastos financieros</t>
        </is>
      </c>
      <c r="G224" t="inlineStr">
        <is>
          <t>Gastos financieros</t>
        </is>
      </c>
      <c r="H224" t="inlineStr">
        <is>
          <t>Gastos bancarios</t>
        </is>
      </c>
      <c r="I224" t="inlineStr">
        <is>
          <t>IVA</t>
        </is>
      </c>
      <c r="J224" s="41" t="n">
        <v>7.4</v>
      </c>
      <c r="K224" s="41" t="n">
        <v>0.5</v>
      </c>
      <c r="L224" s="41" t="n">
        <v>0</v>
      </c>
      <c r="M224" s="41" t="n">
        <v>7.9</v>
      </c>
      <c r="N224" s="41" t="n">
        <v>7.9</v>
      </c>
      <c r="O224" s="41" t="n">
        <v>0.5</v>
      </c>
      <c r="P224" t="inlineStr">
        <is>
          <t>Julio 2026 PERU.xlsx</t>
        </is>
      </c>
      <c r="Q224" t="inlineStr">
        <is>
          <t>Fila 104</t>
        </is>
      </c>
      <c r="R224" t="inlineStr">
        <is>
          <t>Alta</t>
        </is>
      </c>
      <c r="S224" t="inlineStr">
        <is>
          <t>NO</t>
        </is>
      </c>
      <c r="T224" t="inlineStr">
        <is>
          <t>Costo financiero bancario</t>
        </is>
      </c>
    </row>
    <row r="225">
      <c r="A225" t="inlineStr">
        <is>
          <t>2026-07</t>
        </is>
      </c>
      <c r="B225" t="inlineStr">
        <is>
          <t>Peru</t>
        </is>
      </c>
      <c r="C225" t="inlineStr">
        <is>
          <t>PERU</t>
        </is>
      </c>
      <c r="D225" t="inlineStr">
        <is>
          <t>PEN</t>
        </is>
      </c>
      <c r="E225" t="inlineStr">
        <is>
          <t>PL-F-010</t>
        </is>
      </c>
      <c r="F225" t="inlineStr">
        <is>
          <t>Gastos financieros</t>
        </is>
      </c>
      <c r="G225" t="inlineStr">
        <is>
          <t>Gastos financieros</t>
        </is>
      </c>
      <c r="H225" t="inlineStr">
        <is>
          <t>Gastos bancarios</t>
        </is>
      </c>
      <c r="I225" t="inlineStr">
        <is>
          <t>CUOTA MANEJO</t>
        </is>
      </c>
      <c r="J225" s="41" t="n">
        <v>441.87</v>
      </c>
      <c r="K225" s="41" t="n">
        <v>80</v>
      </c>
      <c r="L225" s="41" t="n">
        <v>0</v>
      </c>
      <c r="M225" s="41" t="n">
        <v>521.87</v>
      </c>
      <c r="N225" s="41" t="n">
        <v>521.87</v>
      </c>
      <c r="O225" s="41" t="n">
        <v>80</v>
      </c>
      <c r="P225" t="inlineStr">
        <is>
          <t>Julio 2026 PERU.xlsx</t>
        </is>
      </c>
      <c r="Q225" t="inlineStr">
        <is>
          <t>Fila 105</t>
        </is>
      </c>
      <c r="R225" t="inlineStr">
        <is>
          <t>Alta</t>
        </is>
      </c>
      <c r="S225" t="inlineStr">
        <is>
          <t>NO</t>
        </is>
      </c>
      <c r="T225" t="inlineStr">
        <is>
          <t>Costo financiero bancario</t>
        </is>
      </c>
    </row>
    <row r="226">
      <c r="A226" t="inlineStr">
        <is>
          <t>2026-07</t>
        </is>
      </c>
      <c r="B226" t="inlineStr">
        <is>
          <t>Peru</t>
        </is>
      </c>
      <c r="C226" t="inlineStr">
        <is>
          <t>PERU</t>
        </is>
      </c>
      <c r="D226" t="inlineStr">
        <is>
          <t>PEN</t>
        </is>
      </c>
      <c r="E226" t="inlineStr">
        <is>
          <t>PL-F-010</t>
        </is>
      </c>
      <c r="F226" t="inlineStr">
        <is>
          <t>Gastos financieros</t>
        </is>
      </c>
      <c r="G226" t="inlineStr">
        <is>
          <t>Gastos financieros</t>
        </is>
      </c>
      <c r="H226" t="inlineStr">
        <is>
          <t>Comisiones</t>
        </is>
      </c>
      <c r="I226" t="inlineStr">
        <is>
          <t>COMISIONES BANCARIAS</t>
        </is>
      </c>
      <c r="J226" s="41" t="n">
        <v>4.29</v>
      </c>
      <c r="K226" s="41" t="n">
        <v>0</v>
      </c>
      <c r="L226" s="41" t="n">
        <v>0</v>
      </c>
      <c r="M226" s="41" t="n">
        <v>4.29</v>
      </c>
      <c r="N226" s="41" t="n">
        <v>4.29</v>
      </c>
      <c r="O226" s="41" t="n">
        <v>0</v>
      </c>
      <c r="P226" t="inlineStr">
        <is>
          <t>Julio 2026 PERU.xlsx</t>
        </is>
      </c>
      <c r="Q226" t="inlineStr">
        <is>
          <t>Fila 107</t>
        </is>
      </c>
      <c r="R226" t="inlineStr">
        <is>
          <t>Alta</t>
        </is>
      </c>
      <c r="S226" t="inlineStr">
        <is>
          <t>NO</t>
        </is>
      </c>
      <c r="T226" t="inlineStr">
        <is>
          <t>Comisiones financieras</t>
        </is>
      </c>
    </row>
    <row r="227">
      <c r="A227" t="inlineStr">
        <is>
          <t>2026-07</t>
        </is>
      </c>
      <c r="B227" t="inlineStr">
        <is>
          <t>Peru</t>
        </is>
      </c>
      <c r="C227" t="inlineStr">
        <is>
          <t>PERU</t>
        </is>
      </c>
      <c r="D227" t="inlineStr">
        <is>
          <t>PEN</t>
        </is>
      </c>
      <c r="E227" t="inlineStr">
        <is>
          <t>PL-F-010</t>
        </is>
      </c>
      <c r="F227" t="inlineStr">
        <is>
          <t>Gastos financieros</t>
        </is>
      </c>
      <c r="G227" t="inlineStr">
        <is>
          <t>Gastos financieros</t>
        </is>
      </c>
      <c r="H227" t="inlineStr">
        <is>
          <t>Comisiones</t>
        </is>
      </c>
      <c r="I227" t="inlineStr">
        <is>
          <t>COMISIONES BANCARIAS</t>
        </is>
      </c>
      <c r="J227" s="41" t="n">
        <v>-4.29</v>
      </c>
      <c r="K227" s="41" t="n">
        <v>0</v>
      </c>
      <c r="L227" s="41" t="n">
        <v>0</v>
      </c>
      <c r="M227" s="41" t="n">
        <v>-4.29</v>
      </c>
      <c r="N227" s="41" t="n">
        <v>-4.29</v>
      </c>
      <c r="O227" s="41" t="n">
        <v>0</v>
      </c>
      <c r="P227" t="inlineStr">
        <is>
          <t>Julio 2026 PERU.xlsx</t>
        </is>
      </c>
      <c r="Q227" t="inlineStr">
        <is>
          <t>Fila 108</t>
        </is>
      </c>
      <c r="R227" t="inlineStr">
        <is>
          <t>Alta</t>
        </is>
      </c>
      <c r="S227" t="inlineStr">
        <is>
          <t>NO</t>
        </is>
      </c>
      <c r="T227" t="inlineStr">
        <is>
          <t>Comisiones financieras</t>
        </is>
      </c>
    </row>
    <row r="228">
      <c r="A228" t="inlineStr">
        <is>
          <t>2026-07</t>
        </is>
      </c>
      <c r="B228" t="inlineStr">
        <is>
          <t>Estados Unidos</t>
        </is>
      </c>
      <c r="C228" t="inlineStr">
        <is>
          <t>USA</t>
        </is>
      </c>
      <c r="D228" t="inlineStr">
        <is>
          <t>USD</t>
        </is>
      </c>
      <c r="E228" t="inlineStr">
        <is>
          <t>PL-R-010</t>
        </is>
      </c>
      <c r="F228" t="inlineStr">
        <is>
          <t>Ingresos operacionales</t>
        </is>
      </c>
      <c r="G228" t="inlineStr">
        <is>
          <t>Ingresos por servicios</t>
        </is>
      </c>
      <c r="H228" t="inlineStr">
        <is>
          <t>Software y agendamiento</t>
        </is>
      </c>
      <c r="I228" t="inlineStr">
        <is>
          <t>PRESTADORA DE SERVICIOS DE SALUD PREVENTIS SA</t>
        </is>
      </c>
      <c r="J228" s="41" t="n">
        <v>-26661.35</v>
      </c>
      <c r="K228" s="41" t="n">
        <v>0</v>
      </c>
      <c r="L228" s="41" t="n">
        <v>5862</v>
      </c>
      <c r="M228" s="41" t="n">
        <v>-32523.35</v>
      </c>
      <c r="N228" s="41" t="n">
        <v>32523.35</v>
      </c>
      <c r="O228" s="41" t="n">
        <v>5862</v>
      </c>
      <c r="P228" t="inlineStr">
        <is>
          <t>Julio 2026 USA.xlsx</t>
        </is>
      </c>
      <c r="Q228" t="inlineStr">
        <is>
          <t>Fila 58</t>
        </is>
      </c>
      <c r="R228" t="inlineStr">
        <is>
          <t>Alta</t>
        </is>
      </c>
      <c r="S228" t="inlineStr">
        <is>
          <t>NO</t>
        </is>
      </c>
      <c r="T228" t="inlineStr">
        <is>
          <t>Ingreso operacional principal</t>
        </is>
      </c>
    </row>
    <row r="229">
      <c r="A229" t="inlineStr">
        <is>
          <t>2026-07</t>
        </is>
      </c>
      <c r="B229" t="inlineStr">
        <is>
          <t>Estados Unidos</t>
        </is>
      </c>
      <c r="C229" t="inlineStr">
        <is>
          <t>USA</t>
        </is>
      </c>
      <c r="D229" t="inlineStr">
        <is>
          <t>USD</t>
        </is>
      </c>
      <c r="E229" t="inlineStr">
        <is>
          <t>PL-R-010</t>
        </is>
      </c>
      <c r="F229" t="inlineStr">
        <is>
          <t>Ingresos operacionales</t>
        </is>
      </c>
      <c r="G229" t="inlineStr">
        <is>
          <t>Ingresos por servicios</t>
        </is>
      </c>
      <c r="H229" t="inlineStr">
        <is>
          <t>Software y agendamiento</t>
        </is>
      </c>
      <c r="I229" t="inlineStr">
        <is>
          <t>SERVICIOS HOSPITALARIOS BRISAS SA</t>
        </is>
      </c>
      <c r="J229" s="41" t="n">
        <v>-1200</v>
      </c>
      <c r="K229" s="41" t="n">
        <v>0</v>
      </c>
      <c r="L229" s="41" t="n">
        <v>0</v>
      </c>
      <c r="M229" s="41" t="n">
        <v>-1200</v>
      </c>
      <c r="N229" s="41" t="n">
        <v>1200</v>
      </c>
      <c r="O229" s="41" t="n">
        <v>0</v>
      </c>
      <c r="P229" t="inlineStr">
        <is>
          <t>Julio 2026 USA.xlsx</t>
        </is>
      </c>
      <c r="Q229" t="inlineStr">
        <is>
          <t>Fila 59</t>
        </is>
      </c>
      <c r="R229" t="inlineStr">
        <is>
          <t>Alta</t>
        </is>
      </c>
      <c r="S229" t="inlineStr">
        <is>
          <t>NO</t>
        </is>
      </c>
      <c r="T229" t="inlineStr">
        <is>
          <t>Ingreso operacional principal</t>
        </is>
      </c>
    </row>
    <row r="230">
      <c r="A230" t="inlineStr">
        <is>
          <t>2026-07</t>
        </is>
      </c>
      <c r="B230" t="inlineStr">
        <is>
          <t>Estados Unidos</t>
        </is>
      </c>
      <c r="C230" t="inlineStr">
        <is>
          <t>USA</t>
        </is>
      </c>
      <c r="D230" t="inlineStr">
        <is>
          <t>USD</t>
        </is>
      </c>
      <c r="E230" t="inlineStr">
        <is>
          <t>PL-R-010</t>
        </is>
      </c>
      <c r="F230" t="inlineStr">
        <is>
          <t>Ingresos operacionales</t>
        </is>
      </c>
      <c r="G230" t="inlineStr">
        <is>
          <t>Ingresos por servicios</t>
        </is>
      </c>
      <c r="H230" t="inlineStr">
        <is>
          <t>Software y agendamiento</t>
        </is>
      </c>
      <c r="I230" t="inlineStr">
        <is>
          <t>COCO TECH AI PERU S.A.C.</t>
        </is>
      </c>
      <c r="J230" s="41" t="n">
        <v>-4010</v>
      </c>
      <c r="K230" s="41" t="n">
        <v>0</v>
      </c>
      <c r="L230" s="41" t="n">
        <v>0</v>
      </c>
      <c r="M230" s="41" t="n">
        <v>-4010</v>
      </c>
      <c r="N230" s="41" t="n">
        <v>4010</v>
      </c>
      <c r="O230" s="41" t="n">
        <v>0</v>
      </c>
      <c r="P230" t="inlineStr">
        <is>
          <t>Julio 2026 USA.xlsx</t>
        </is>
      </c>
      <c r="Q230" t="inlineStr">
        <is>
          <t>Fila 60</t>
        </is>
      </c>
      <c r="R230" t="inlineStr">
        <is>
          <t>Alta</t>
        </is>
      </c>
      <c r="S230" t="inlineStr">
        <is>
          <t>NO</t>
        </is>
      </c>
      <c r="T230" t="inlineStr">
        <is>
          <t>Ingreso operacional principal</t>
        </is>
      </c>
    </row>
    <row r="231">
      <c r="A231" t="inlineStr">
        <is>
          <t>2026-07</t>
        </is>
      </c>
      <c r="B231" t="inlineStr">
        <is>
          <t>Estados Unidos</t>
        </is>
      </c>
      <c r="C231" t="inlineStr">
        <is>
          <t>USA</t>
        </is>
      </c>
      <c r="D231" t="inlineStr">
        <is>
          <t>USD</t>
        </is>
      </c>
      <c r="E231" t="inlineStr">
        <is>
          <t>PL-R-010</t>
        </is>
      </c>
      <c r="F231" t="inlineStr">
        <is>
          <t>Ingresos operacionales</t>
        </is>
      </c>
      <c r="G231" t="inlineStr">
        <is>
          <t>Ingresos por servicios</t>
        </is>
      </c>
      <c r="H231" t="inlineStr">
        <is>
          <t>Software y agendamiento</t>
        </is>
      </c>
      <c r="I231" t="inlineStr">
        <is>
          <t>ACOSTA BORBON ALEJANDRO</t>
        </is>
      </c>
      <c r="J231" s="41" t="n">
        <v>-217</v>
      </c>
      <c r="K231" s="41" t="n">
        <v>0</v>
      </c>
      <c r="L231" s="41" t="n">
        <v>0</v>
      </c>
      <c r="M231" s="41" t="n">
        <v>-217</v>
      </c>
      <c r="N231" s="41" t="n">
        <v>217</v>
      </c>
      <c r="O231" s="41" t="n">
        <v>0</v>
      </c>
      <c r="P231" t="inlineStr">
        <is>
          <t>Julio 2026 USA.xlsx</t>
        </is>
      </c>
      <c r="Q231" t="inlineStr">
        <is>
          <t>Fila 61</t>
        </is>
      </c>
      <c r="R231" t="inlineStr">
        <is>
          <t>Alta</t>
        </is>
      </c>
      <c r="S231" t="inlineStr">
        <is>
          <t>NO</t>
        </is>
      </c>
      <c r="T231" t="inlineStr">
        <is>
          <t>Ingreso operacional principal</t>
        </is>
      </c>
    </row>
    <row r="232">
      <c r="A232" t="inlineStr">
        <is>
          <t>2026-07</t>
        </is>
      </c>
      <c r="B232" t="inlineStr">
        <is>
          <t>Estados Unidos</t>
        </is>
      </c>
      <c r="C232" t="inlineStr">
        <is>
          <t>USA</t>
        </is>
      </c>
      <c r="D232" t="inlineStr">
        <is>
          <t>USD</t>
        </is>
      </c>
      <c r="E232" t="inlineStr">
        <is>
          <t>PL-R-010</t>
        </is>
      </c>
      <c r="F232" t="inlineStr">
        <is>
          <t>Ingresos operacionales</t>
        </is>
      </c>
      <c r="G232" t="inlineStr">
        <is>
          <t>Ingresos por servicios</t>
        </is>
      </c>
      <c r="H232" t="inlineStr">
        <is>
          <t>Software y agendamiento</t>
        </is>
      </c>
      <c r="I232" t="inlineStr">
        <is>
          <t>Emmely Esther Coronado Peguero</t>
        </is>
      </c>
      <c r="J232" s="41" t="n">
        <v>-578.7</v>
      </c>
      <c r="K232" s="41" t="n">
        <v>0</v>
      </c>
      <c r="L232" s="41" t="n">
        <v>96.45</v>
      </c>
      <c r="M232" s="41" t="n">
        <v>-675.15</v>
      </c>
      <c r="N232" s="41" t="n">
        <v>675.15</v>
      </c>
      <c r="O232" s="41" t="n">
        <v>96.45</v>
      </c>
      <c r="P232" t="inlineStr">
        <is>
          <t>Julio 2026 USA.xlsx</t>
        </is>
      </c>
      <c r="Q232" t="inlineStr">
        <is>
          <t>Fila 62</t>
        </is>
      </c>
      <c r="R232" t="inlineStr">
        <is>
          <t>Alta</t>
        </is>
      </c>
      <c r="S232" t="inlineStr">
        <is>
          <t>NO</t>
        </is>
      </c>
      <c r="T232" t="inlineStr">
        <is>
          <t>Ingreso operacional principal</t>
        </is>
      </c>
    </row>
    <row r="233">
      <c r="A233" t="inlineStr">
        <is>
          <t>2026-07</t>
        </is>
      </c>
      <c r="B233" t="inlineStr">
        <is>
          <t>Estados Unidos</t>
        </is>
      </c>
      <c r="C233" t="inlineStr">
        <is>
          <t>USA</t>
        </is>
      </c>
      <c r="D233" t="inlineStr">
        <is>
          <t>USD</t>
        </is>
      </c>
      <c r="E233" t="inlineStr">
        <is>
          <t>PL-R-010</t>
        </is>
      </c>
      <c r="F233" t="inlineStr">
        <is>
          <t>Ingresos operacionales</t>
        </is>
      </c>
      <c r="G233" t="inlineStr">
        <is>
          <t>Ingresos por servicios</t>
        </is>
      </c>
      <c r="H233" t="inlineStr">
        <is>
          <t>Software y agendamiento</t>
        </is>
      </c>
      <c r="I233" t="inlineStr">
        <is>
          <t>Fundacion para la Confianza</t>
        </is>
      </c>
      <c r="J233" s="41" t="n">
        <v>-330</v>
      </c>
      <c r="K233" s="41" t="n">
        <v>0</v>
      </c>
      <c r="L233" s="41" t="n">
        <v>55</v>
      </c>
      <c r="M233" s="41" t="n">
        <v>-385</v>
      </c>
      <c r="N233" s="41" t="n">
        <v>385</v>
      </c>
      <c r="O233" s="41" t="n">
        <v>55</v>
      </c>
      <c r="P233" t="inlineStr">
        <is>
          <t>Julio 2026 USA.xlsx</t>
        </is>
      </c>
      <c r="Q233" t="inlineStr">
        <is>
          <t>Fila 63</t>
        </is>
      </c>
      <c r="R233" t="inlineStr">
        <is>
          <t>Alta</t>
        </is>
      </c>
      <c r="S233" t="inlineStr">
        <is>
          <t>NO</t>
        </is>
      </c>
      <c r="T233" t="inlineStr">
        <is>
          <t>Ingreso operacional principal</t>
        </is>
      </c>
    </row>
    <row r="234">
      <c r="A234" t="inlineStr">
        <is>
          <t>2026-07</t>
        </is>
      </c>
      <c r="B234" t="inlineStr">
        <is>
          <t>Estados Unidos</t>
        </is>
      </c>
      <c r="C234" t="inlineStr">
        <is>
          <t>USA</t>
        </is>
      </c>
      <c r="D234" t="inlineStr">
        <is>
          <t>USD</t>
        </is>
      </c>
      <c r="E234" t="inlineStr">
        <is>
          <t>PL-NO-010</t>
        </is>
      </c>
      <c r="F234" t="inlineStr">
        <is>
          <t>Ingresos no operacionales</t>
        </is>
      </c>
      <c r="G234" t="inlineStr">
        <is>
          <t>Ingresos financieros</t>
        </is>
      </c>
      <c r="H234" t="inlineStr">
        <is>
          <t>Intereses</t>
        </is>
      </c>
      <c r="I234" t="inlineStr">
        <is>
          <t>PRESTADORA DE SERVICIOS DE SALUD PREVENTIS SA</t>
        </is>
      </c>
      <c r="J234" s="41" t="n">
        <v>-0.35</v>
      </c>
      <c r="K234" s="41" t="n">
        <v>0</v>
      </c>
      <c r="L234" s="41" t="n">
        <v>0</v>
      </c>
      <c r="M234" s="41" t="n">
        <v>-0.35</v>
      </c>
      <c r="N234" s="41" t="n">
        <v>0.35</v>
      </c>
      <c r="O234" s="41" t="n">
        <v>0</v>
      </c>
      <c r="P234" t="inlineStr">
        <is>
          <t>Julio 2026 USA.xlsx</t>
        </is>
      </c>
      <c r="Q234" t="inlineStr">
        <is>
          <t>Fila 67</t>
        </is>
      </c>
      <c r="R234" t="inlineStr">
        <is>
          <t>Alta</t>
        </is>
      </c>
      <c r="S234" t="inlineStr">
        <is>
          <t>NO</t>
        </is>
      </c>
      <c r="T234" t="inlineStr">
        <is>
          <t>Ingreso financiero</t>
        </is>
      </c>
    </row>
    <row r="235">
      <c r="A235" t="inlineStr">
        <is>
          <t>2026-07</t>
        </is>
      </c>
      <c r="B235" t="inlineStr">
        <is>
          <t>Estados Unidos</t>
        </is>
      </c>
      <c r="C235" t="inlineStr">
        <is>
          <t>USA</t>
        </is>
      </c>
      <c r="D235" t="inlineStr">
        <is>
          <t>USD</t>
        </is>
      </c>
      <c r="E235" t="inlineStr">
        <is>
          <t>PL-NO-010</t>
        </is>
      </c>
      <c r="F235" t="inlineStr">
        <is>
          <t>Ingresos no operacionales</t>
        </is>
      </c>
      <c r="G235" t="inlineStr">
        <is>
          <t>Ingresos financieros</t>
        </is>
      </c>
      <c r="H235" t="inlineStr">
        <is>
          <t>Intereses</t>
        </is>
      </c>
      <c r="I235" t="inlineStr">
        <is>
          <t>SERVICIOS HOSPITALARIOS BRISAS SA</t>
        </is>
      </c>
      <c r="J235" s="41" t="n">
        <v>-83</v>
      </c>
      <c r="K235" s="41" t="n">
        <v>0</v>
      </c>
      <c r="L235" s="41" t="n">
        <v>0</v>
      </c>
      <c r="M235" s="41" t="n">
        <v>-83</v>
      </c>
      <c r="N235" s="41" t="n">
        <v>83</v>
      </c>
      <c r="O235" s="41" t="n">
        <v>0</v>
      </c>
      <c r="P235" t="inlineStr">
        <is>
          <t>Julio 2026 USA.xlsx</t>
        </is>
      </c>
      <c r="Q235" t="inlineStr">
        <is>
          <t>Fila 68</t>
        </is>
      </c>
      <c r="R235" t="inlineStr">
        <is>
          <t>Alta</t>
        </is>
      </c>
      <c r="S235" t="inlineStr">
        <is>
          <t>NO</t>
        </is>
      </c>
      <c r="T235" t="inlineStr">
        <is>
          <t>Ingreso financiero</t>
        </is>
      </c>
    </row>
    <row r="236">
      <c r="A236" t="inlineStr">
        <is>
          <t>2026-07</t>
        </is>
      </c>
      <c r="B236" t="inlineStr">
        <is>
          <t>Estados Unidos</t>
        </is>
      </c>
      <c r="C236" t="inlineStr">
        <is>
          <t>USA</t>
        </is>
      </c>
      <c r="D236" t="inlineStr">
        <is>
          <t>USD</t>
        </is>
      </c>
      <c r="E236" t="inlineStr">
        <is>
          <t>PL-NO-010</t>
        </is>
      </c>
      <c r="F236" t="inlineStr">
        <is>
          <t>Ingresos no operacionales</t>
        </is>
      </c>
      <c r="G236" t="inlineStr">
        <is>
          <t>Ingresos financieros</t>
        </is>
      </c>
      <c r="H236" t="inlineStr">
        <is>
          <t>Intereses</t>
        </is>
      </c>
      <c r="I236" t="inlineStr">
        <is>
          <t>MERCURY LLC</t>
        </is>
      </c>
      <c r="J236" s="41" t="n">
        <v>-482.03</v>
      </c>
      <c r="K236" s="41" t="n">
        <v>0</v>
      </c>
      <c r="L236" s="41" t="n">
        <v>10.76</v>
      </c>
      <c r="M236" s="41" t="n">
        <v>-492.79</v>
      </c>
      <c r="N236" s="41" t="n">
        <v>492.79</v>
      </c>
      <c r="O236" s="41" t="n">
        <v>10.76</v>
      </c>
      <c r="P236" t="inlineStr">
        <is>
          <t>Julio 2026 USA.xlsx</t>
        </is>
      </c>
      <c r="Q236" t="inlineStr">
        <is>
          <t>Fila 69</t>
        </is>
      </c>
      <c r="R236" t="inlineStr">
        <is>
          <t>Alta</t>
        </is>
      </c>
      <c r="S236" t="inlineStr">
        <is>
          <t>NO</t>
        </is>
      </c>
      <c r="T236" t="inlineStr">
        <is>
          <t>Ingreso financiero</t>
        </is>
      </c>
    </row>
    <row r="237">
      <c r="A237" t="inlineStr">
        <is>
          <t>2026-07</t>
        </is>
      </c>
      <c r="B237" t="inlineStr">
        <is>
          <t>Estados Unidos</t>
        </is>
      </c>
      <c r="C237" t="inlineStr">
        <is>
          <t>USA</t>
        </is>
      </c>
      <c r="D237" t="inlineStr">
        <is>
          <t>USD</t>
        </is>
      </c>
      <c r="E237" t="inlineStr">
        <is>
          <t>PL-O-010</t>
        </is>
      </c>
      <c r="F237" t="inlineStr">
        <is>
          <t>Gastos de administración</t>
        </is>
      </c>
      <c r="G237" t="inlineStr">
        <is>
          <t>Gastos de personal</t>
        </is>
      </c>
      <c r="H237" t="inlineStr">
        <is>
          <t>Sueldos</t>
        </is>
      </c>
      <c r="I237" t="inlineStr">
        <is>
          <t>Parada Zuluaga Robert Andres</t>
        </is>
      </c>
      <c r="J237" s="41" t="n">
        <v>15553.02</v>
      </c>
      <c r="K237" s="41" t="n">
        <v>2592.17</v>
      </c>
      <c r="L237" s="41" t="n">
        <v>0</v>
      </c>
      <c r="M237" s="41" t="n">
        <v>18145.19</v>
      </c>
      <c r="N237" s="41" t="n">
        <v>18145.19</v>
      </c>
      <c r="O237" s="41" t="n">
        <v>2592.17</v>
      </c>
      <c r="P237" t="inlineStr">
        <is>
          <t>Julio 2026 USA.xlsx</t>
        </is>
      </c>
      <c r="Q237" t="inlineStr">
        <is>
          <t>Fila 74</t>
        </is>
      </c>
      <c r="R237" t="inlineStr">
        <is>
          <t>Alta</t>
        </is>
      </c>
      <c r="S237" t="inlineStr">
        <is>
          <t>NO</t>
        </is>
      </c>
      <c r="T237" t="inlineStr">
        <is>
          <t>Remuneración laboral</t>
        </is>
      </c>
    </row>
    <row r="238">
      <c r="A238" t="inlineStr">
        <is>
          <t>2026-07</t>
        </is>
      </c>
      <c r="B238" t="inlineStr">
        <is>
          <t>Estados Unidos</t>
        </is>
      </c>
      <c r="C238" t="inlineStr">
        <is>
          <t>USA</t>
        </is>
      </c>
      <c r="D238" t="inlineStr">
        <is>
          <t>USD</t>
        </is>
      </c>
      <c r="E238" t="inlineStr">
        <is>
          <t>PL-O-010</t>
        </is>
      </c>
      <c r="F238" t="inlineStr">
        <is>
          <t>Gastos de administración</t>
        </is>
      </c>
      <c r="G238" t="inlineStr">
        <is>
          <t>Gastos de personal</t>
        </is>
      </c>
      <c r="H238" t="inlineStr">
        <is>
          <t>Sueldos</t>
        </is>
      </c>
      <c r="I238" t="inlineStr">
        <is>
          <t>Georgia Tech Online</t>
        </is>
      </c>
      <c r="J238" s="41" t="n">
        <v>4000</v>
      </c>
      <c r="K238" s="41" t="n">
        <v>0</v>
      </c>
      <c r="L238" s="41" t="n">
        <v>0</v>
      </c>
      <c r="M238" s="41" t="n">
        <v>4000</v>
      </c>
      <c r="N238" s="41" t="n">
        <v>4000</v>
      </c>
      <c r="O238" s="41" t="n">
        <v>0</v>
      </c>
      <c r="P238" t="inlineStr">
        <is>
          <t>Julio 2026 USA.xlsx</t>
        </is>
      </c>
      <c r="Q238" t="inlineStr">
        <is>
          <t>Fila 75</t>
        </is>
      </c>
      <c r="R238" t="inlineStr">
        <is>
          <t>Alta</t>
        </is>
      </c>
      <c r="S238" t="inlineStr">
        <is>
          <t>NO</t>
        </is>
      </c>
      <c r="T238" t="inlineStr">
        <is>
          <t>Remuneración laboral</t>
        </is>
      </c>
    </row>
    <row r="239">
      <c r="A239" t="inlineStr">
        <is>
          <t>2026-07</t>
        </is>
      </c>
      <c r="B239" t="inlineStr">
        <is>
          <t>Estados Unidos</t>
        </is>
      </c>
      <c r="C239" t="inlineStr">
        <is>
          <t>USA</t>
        </is>
      </c>
      <c r="D239" t="inlineStr">
        <is>
          <t>USD</t>
        </is>
      </c>
      <c r="E239" t="inlineStr">
        <is>
          <t>PL-O-010</t>
        </is>
      </c>
      <c r="F239" t="inlineStr">
        <is>
          <t>Gastos de administración</t>
        </is>
      </c>
      <c r="G239" t="inlineStr">
        <is>
          <t>Gastos de personal</t>
        </is>
      </c>
      <c r="H239" t="inlineStr">
        <is>
          <t>Sueldos</t>
        </is>
      </c>
      <c r="I239" t="inlineStr">
        <is>
          <t>INFORMA</t>
        </is>
      </c>
      <c r="J239" s="41" t="n">
        <v>5000</v>
      </c>
      <c r="K239" s="41" t="n">
        <v>0</v>
      </c>
      <c r="L239" s="41" t="n">
        <v>0</v>
      </c>
      <c r="M239" s="41" t="n">
        <v>5000</v>
      </c>
      <c r="N239" s="41" t="n">
        <v>5000</v>
      </c>
      <c r="O239" s="41" t="n">
        <v>0</v>
      </c>
      <c r="P239" t="inlineStr">
        <is>
          <t>Julio 2026 USA.xlsx</t>
        </is>
      </c>
      <c r="Q239" t="inlineStr">
        <is>
          <t>Fila 76</t>
        </is>
      </c>
      <c r="R239" t="inlineStr">
        <is>
          <t>Alta</t>
        </is>
      </c>
      <c r="S239" t="inlineStr">
        <is>
          <t>NO</t>
        </is>
      </c>
      <c r="T239" t="inlineStr">
        <is>
          <t>Remuneración laboral</t>
        </is>
      </c>
    </row>
    <row r="240">
      <c r="A240" t="inlineStr">
        <is>
          <t>2026-07</t>
        </is>
      </c>
      <c r="B240" t="inlineStr">
        <is>
          <t>Estados Unidos</t>
        </is>
      </c>
      <c r="C240" t="inlineStr">
        <is>
          <t>USA</t>
        </is>
      </c>
      <c r="D240" t="inlineStr">
        <is>
          <t>USD</t>
        </is>
      </c>
      <c r="E240" t="inlineStr">
        <is>
          <t>PL-O-090</t>
        </is>
      </c>
      <c r="F240" t="inlineStr">
        <is>
          <t>Gastos de administración</t>
        </is>
      </c>
      <c r="G240" t="inlineStr">
        <is>
          <t>Viajes y representación</t>
        </is>
      </c>
      <c r="H240" t="inlineStr">
        <is>
          <t>Viáticos</t>
        </is>
      </c>
      <c r="I240" t="inlineStr">
        <is>
          <t>HILTON HOLDING INC</t>
        </is>
      </c>
      <c r="J240" s="41" t="n">
        <v>78.43000000000001</v>
      </c>
      <c r="K240" s="41" t="n">
        <v>0</v>
      </c>
      <c r="L240" s="41" t="n">
        <v>0</v>
      </c>
      <c r="M240" s="41" t="n">
        <v>78.43000000000001</v>
      </c>
      <c r="N240" s="41" t="n">
        <v>78.43000000000001</v>
      </c>
      <c r="O240" s="41" t="n">
        <v>0</v>
      </c>
      <c r="P240" t="inlineStr">
        <is>
          <t>Julio 2026 USA.xlsx</t>
        </is>
      </c>
      <c r="Q240" t="inlineStr">
        <is>
          <t>Fila 78</t>
        </is>
      </c>
      <c r="R240" t="inlineStr">
        <is>
          <t>Alta</t>
        </is>
      </c>
      <c r="S240" t="inlineStr">
        <is>
          <t>NO</t>
        </is>
      </c>
      <c r="T240" t="inlineStr">
        <is>
          <t>Viáticos administrativos</t>
        </is>
      </c>
    </row>
    <row r="241">
      <c r="A241" t="inlineStr">
        <is>
          <t>2026-07</t>
        </is>
      </c>
      <c r="B241" t="inlineStr">
        <is>
          <t>Estados Unidos</t>
        </is>
      </c>
      <c r="C241" t="inlineStr">
        <is>
          <t>USA</t>
        </is>
      </c>
      <c r="D241" t="inlineStr">
        <is>
          <t>USD</t>
        </is>
      </c>
      <c r="E241" t="inlineStr">
        <is>
          <t>PL-O-090</t>
        </is>
      </c>
      <c r="F241" t="inlineStr">
        <is>
          <t>Gastos de administración</t>
        </is>
      </c>
      <c r="G241" t="inlineStr">
        <is>
          <t>Viajes y representación</t>
        </is>
      </c>
      <c r="H241" t="inlineStr">
        <is>
          <t>Viáticos</t>
        </is>
      </c>
      <c r="I241" t="inlineStr">
        <is>
          <t>Lyft</t>
        </is>
      </c>
      <c r="J241" s="41" t="n">
        <v>64.79000000000001</v>
      </c>
      <c r="K241" s="41" t="n">
        <v>0</v>
      </c>
      <c r="L241" s="41" t="n">
        <v>0</v>
      </c>
      <c r="M241" s="41" t="n">
        <v>64.79000000000001</v>
      </c>
      <c r="N241" s="41" t="n">
        <v>64.79000000000001</v>
      </c>
      <c r="O241" s="41" t="n">
        <v>0</v>
      </c>
      <c r="P241" t="inlineStr">
        <is>
          <t>Julio 2026 USA.xlsx</t>
        </is>
      </c>
      <c r="Q241" t="inlineStr">
        <is>
          <t>Fila 79</t>
        </is>
      </c>
      <c r="R241" t="inlineStr">
        <is>
          <t>Alta</t>
        </is>
      </c>
      <c r="S241" t="inlineStr">
        <is>
          <t>NO</t>
        </is>
      </c>
      <c r="T241" t="inlineStr">
        <is>
          <t>Viáticos administrativos</t>
        </is>
      </c>
    </row>
    <row r="242">
      <c r="A242" t="inlineStr">
        <is>
          <t>2026-07</t>
        </is>
      </c>
      <c r="B242" t="inlineStr">
        <is>
          <t>Estados Unidos</t>
        </is>
      </c>
      <c r="C242" t="inlineStr">
        <is>
          <t>USA</t>
        </is>
      </c>
      <c r="D242" t="inlineStr">
        <is>
          <t>USD</t>
        </is>
      </c>
      <c r="E242" t="inlineStr">
        <is>
          <t>PL-O-090</t>
        </is>
      </c>
      <c r="F242" t="inlineStr">
        <is>
          <t>Gastos de administración</t>
        </is>
      </c>
      <c r="G242" t="inlineStr">
        <is>
          <t>Viajes y representación</t>
        </is>
      </c>
      <c r="H242" t="inlineStr">
        <is>
          <t>Viáticos</t>
        </is>
      </c>
      <c r="I242" t="inlineStr">
        <is>
          <t>Chapola Cafe</t>
        </is>
      </c>
      <c r="J242" s="41" t="n">
        <v>35.04</v>
      </c>
      <c r="K242" s="41" t="n">
        <v>0</v>
      </c>
      <c r="L242" s="41" t="n">
        <v>0</v>
      </c>
      <c r="M242" s="41" t="n">
        <v>35.04</v>
      </c>
      <c r="N242" s="41" t="n">
        <v>35.04</v>
      </c>
      <c r="O242" s="41" t="n">
        <v>0</v>
      </c>
      <c r="P242" t="inlineStr">
        <is>
          <t>Julio 2026 USA.xlsx</t>
        </is>
      </c>
      <c r="Q242" t="inlineStr">
        <is>
          <t>Fila 80</t>
        </is>
      </c>
      <c r="R242" t="inlineStr">
        <is>
          <t>Alta</t>
        </is>
      </c>
      <c r="S242" t="inlineStr">
        <is>
          <t>NO</t>
        </is>
      </c>
      <c r="T242" t="inlineStr">
        <is>
          <t>Viáticos administrativos</t>
        </is>
      </c>
    </row>
    <row r="243">
      <c r="A243" t="inlineStr">
        <is>
          <t>2026-07</t>
        </is>
      </c>
      <c r="B243" t="inlineStr">
        <is>
          <t>Estados Unidos</t>
        </is>
      </c>
      <c r="C243" t="inlineStr">
        <is>
          <t>USA</t>
        </is>
      </c>
      <c r="D243" t="inlineStr">
        <is>
          <t>USD</t>
        </is>
      </c>
      <c r="E243" t="inlineStr">
        <is>
          <t>PL-O-090</t>
        </is>
      </c>
      <c r="F243" t="inlineStr">
        <is>
          <t>Gastos de administración</t>
        </is>
      </c>
      <c r="G243" t="inlineStr">
        <is>
          <t>Viajes y representación</t>
        </is>
      </c>
      <c r="H243" t="inlineStr">
        <is>
          <t>Viáticos</t>
        </is>
      </c>
      <c r="I243" t="inlineStr">
        <is>
          <t>Mestiza Cafe</t>
        </is>
      </c>
      <c r="J243" s="41" t="n">
        <v>60.35</v>
      </c>
      <c r="K243" s="41" t="n">
        <v>0</v>
      </c>
      <c r="L243" s="41" t="n">
        <v>0</v>
      </c>
      <c r="M243" s="41" t="n">
        <v>60.35</v>
      </c>
      <c r="N243" s="41" t="n">
        <v>60.35</v>
      </c>
      <c r="O243" s="41" t="n">
        <v>0</v>
      </c>
      <c r="P243" t="inlineStr">
        <is>
          <t>Julio 2026 USA.xlsx</t>
        </is>
      </c>
      <c r="Q243" t="inlineStr">
        <is>
          <t>Fila 81</t>
        </is>
      </c>
      <c r="R243" t="inlineStr">
        <is>
          <t>Alta</t>
        </is>
      </c>
      <c r="S243" t="inlineStr">
        <is>
          <t>NO</t>
        </is>
      </c>
      <c r="T243" t="inlineStr">
        <is>
          <t>Viáticos administrativos</t>
        </is>
      </c>
    </row>
    <row r="244">
      <c r="A244" t="inlineStr">
        <is>
          <t>2026-07</t>
        </is>
      </c>
      <c r="B244" t="inlineStr">
        <is>
          <t>Estados Unidos</t>
        </is>
      </c>
      <c r="C244" t="inlineStr">
        <is>
          <t>USA</t>
        </is>
      </c>
      <c r="D244" t="inlineStr">
        <is>
          <t>USD</t>
        </is>
      </c>
      <c r="E244" t="inlineStr">
        <is>
          <t>PL-O-090</t>
        </is>
      </c>
      <c r="F244" t="inlineStr">
        <is>
          <t>Gastos de administración</t>
        </is>
      </c>
      <c r="G244" t="inlineStr">
        <is>
          <t>Viajes y representación</t>
        </is>
      </c>
      <c r="H244" t="inlineStr">
        <is>
          <t>Viáticos</t>
        </is>
      </c>
      <c r="I244" t="inlineStr">
        <is>
          <t>Chapola Cafe</t>
        </is>
      </c>
      <c r="J244" s="41" t="n">
        <v>13.54</v>
      </c>
      <c r="K244" s="41" t="n">
        <v>0</v>
      </c>
      <c r="L244" s="41" t="n">
        <v>0</v>
      </c>
      <c r="M244" s="41" t="n">
        <v>13.54</v>
      </c>
      <c r="N244" s="41" t="n">
        <v>13.54</v>
      </c>
      <c r="O244" s="41" t="n">
        <v>0</v>
      </c>
      <c r="P244" t="inlineStr">
        <is>
          <t>Julio 2026 USA.xlsx</t>
        </is>
      </c>
      <c r="Q244" t="inlineStr">
        <is>
          <t>Fila 82</t>
        </is>
      </c>
      <c r="R244" t="inlineStr">
        <is>
          <t>Alta</t>
        </is>
      </c>
      <c r="S244" t="inlineStr">
        <is>
          <t>NO</t>
        </is>
      </c>
      <c r="T244" t="inlineStr">
        <is>
          <t>Viáticos administrativos</t>
        </is>
      </c>
    </row>
    <row r="245">
      <c r="A245" t="inlineStr">
        <is>
          <t>2026-07</t>
        </is>
      </c>
      <c r="B245" t="inlineStr">
        <is>
          <t>Estados Unidos</t>
        </is>
      </c>
      <c r="C245" t="inlineStr">
        <is>
          <t>USA</t>
        </is>
      </c>
      <c r="D245" t="inlineStr">
        <is>
          <t>USD</t>
        </is>
      </c>
      <c r="E245" t="inlineStr">
        <is>
          <t>PL-O-010</t>
        </is>
      </c>
      <c r="F245" t="inlineStr">
        <is>
          <t>Gastos de administración</t>
        </is>
      </c>
      <c r="G245" t="inlineStr">
        <is>
          <t>Gastos de personal</t>
        </is>
      </c>
      <c r="H245" t="inlineStr">
        <is>
          <t>Auxilios</t>
        </is>
      </c>
      <c r="I245" t="inlineStr">
        <is>
          <t>CAPOTE &amp; CAPOTE PA</t>
        </is>
      </c>
      <c r="J245" s="41" t="n">
        <v>7600</v>
      </c>
      <c r="K245" s="41" t="n">
        <v>0</v>
      </c>
      <c r="L245" s="41" t="n">
        <v>0</v>
      </c>
      <c r="M245" s="41" t="n">
        <v>7600</v>
      </c>
      <c r="N245" s="41" t="n">
        <v>7600</v>
      </c>
      <c r="O245" s="41" t="n">
        <v>0</v>
      </c>
      <c r="P245" t="inlineStr">
        <is>
          <t>Julio 2026 USA.xlsx</t>
        </is>
      </c>
      <c r="Q245" t="inlineStr">
        <is>
          <t>Fila 84</t>
        </is>
      </c>
      <c r="R245" t="inlineStr">
        <is>
          <t>Media</t>
        </is>
      </c>
      <c r="S245" t="inlineStr">
        <is>
          <t>SI</t>
        </is>
      </c>
      <c r="T245" t="inlineStr">
        <is>
          <t>Algunos terceros no parecen auxilios laborales; revisar soporte</t>
        </is>
      </c>
    </row>
    <row r="246">
      <c r="A246" t="inlineStr">
        <is>
          <t>2026-07</t>
        </is>
      </c>
      <c r="B246" t="inlineStr">
        <is>
          <t>Estados Unidos</t>
        </is>
      </c>
      <c r="C246" t="inlineStr">
        <is>
          <t>USA</t>
        </is>
      </c>
      <c r="D246" t="inlineStr">
        <is>
          <t>USD</t>
        </is>
      </c>
      <c r="E246" t="inlineStr">
        <is>
          <t>PL-O-010</t>
        </is>
      </c>
      <c r="F246" t="inlineStr">
        <is>
          <t>Gastos de administración</t>
        </is>
      </c>
      <c r="G246" t="inlineStr">
        <is>
          <t>Gastos de personal</t>
        </is>
      </c>
      <c r="H246" t="inlineStr">
        <is>
          <t>Dotación y suministros a trabajadores</t>
        </is>
      </c>
      <c r="I246" t="inlineStr">
        <is>
          <t>BEST BUY</t>
        </is>
      </c>
      <c r="J246" s="41" t="n">
        <v>276.06</v>
      </c>
      <c r="K246" s="41" t="n">
        <v>0</v>
      </c>
      <c r="L246" s="41" t="n">
        <v>0</v>
      </c>
      <c r="M246" s="41" t="n">
        <v>276.06</v>
      </c>
      <c r="N246" s="41" t="n">
        <v>276.06</v>
      </c>
      <c r="O246" s="41" t="n">
        <v>0</v>
      </c>
      <c r="P246" t="inlineStr">
        <is>
          <t>Julio 2026 USA.xlsx</t>
        </is>
      </c>
      <c r="Q246" t="inlineStr">
        <is>
          <t>Fila 86</t>
        </is>
      </c>
      <c r="R246" t="inlineStr">
        <is>
          <t>Alta</t>
        </is>
      </c>
      <c r="S246" t="inlineStr">
        <is>
          <t>NO</t>
        </is>
      </c>
      <c r="T246" t="inlineStr">
        <is>
          <t>Beneficios y dotación de personal</t>
        </is>
      </c>
    </row>
    <row r="247">
      <c r="A247" t="inlineStr">
        <is>
          <t>2026-07</t>
        </is>
      </c>
      <c r="B247" t="inlineStr">
        <is>
          <t>Estados Unidos</t>
        </is>
      </c>
      <c r="C247" t="inlineStr">
        <is>
          <t>USA</t>
        </is>
      </c>
      <c r="D247" t="inlineStr">
        <is>
          <t>USD</t>
        </is>
      </c>
      <c r="E247" t="inlineStr">
        <is>
          <t>PL-O-010</t>
        </is>
      </c>
      <c r="F247" t="inlineStr">
        <is>
          <t>Gastos de administración</t>
        </is>
      </c>
      <c r="G247" t="inlineStr">
        <is>
          <t>Gastos de personal</t>
        </is>
      </c>
      <c r="H247" t="inlineStr">
        <is>
          <t>Dotación y suministros a trabajadores</t>
        </is>
      </c>
      <c r="I247" t="inlineStr">
        <is>
          <t>Ross Dress for Less</t>
        </is>
      </c>
      <c r="J247" s="41" t="n">
        <v>13.9</v>
      </c>
      <c r="K247" s="41" t="n">
        <v>0</v>
      </c>
      <c r="L247" s="41" t="n">
        <v>0</v>
      </c>
      <c r="M247" s="41" t="n">
        <v>13.9</v>
      </c>
      <c r="N247" s="41" t="n">
        <v>13.9</v>
      </c>
      <c r="O247" s="41" t="n">
        <v>0</v>
      </c>
      <c r="P247" t="inlineStr">
        <is>
          <t>Julio 2026 USA.xlsx</t>
        </is>
      </c>
      <c r="Q247" t="inlineStr">
        <is>
          <t>Fila 87</t>
        </is>
      </c>
      <c r="R247" t="inlineStr">
        <is>
          <t>Alta</t>
        </is>
      </c>
      <c r="S247" t="inlineStr">
        <is>
          <t>NO</t>
        </is>
      </c>
      <c r="T247" t="inlineStr">
        <is>
          <t>Beneficios y dotación de personal</t>
        </is>
      </c>
    </row>
    <row r="248">
      <c r="A248" t="inlineStr">
        <is>
          <t>2026-07</t>
        </is>
      </c>
      <c r="B248" t="inlineStr">
        <is>
          <t>Estados Unidos</t>
        </is>
      </c>
      <c r="C248" t="inlineStr">
        <is>
          <t>USA</t>
        </is>
      </c>
      <c r="D248" t="inlineStr">
        <is>
          <t>USD</t>
        </is>
      </c>
      <c r="E248" t="inlineStr">
        <is>
          <t>PL-O-010</t>
        </is>
      </c>
      <c r="F248" t="inlineStr">
        <is>
          <t>Gastos de administración</t>
        </is>
      </c>
      <c r="G248" t="inlineStr">
        <is>
          <t>Gastos de personal</t>
        </is>
      </c>
      <c r="H248" t="inlineStr">
        <is>
          <t>Dotación y suministros a trabajadores</t>
        </is>
      </c>
      <c r="I248" t="inlineStr">
        <is>
          <t>Office Depot</t>
        </is>
      </c>
      <c r="J248" s="41" t="n">
        <v>15.3</v>
      </c>
      <c r="K248" s="41" t="n">
        <v>0</v>
      </c>
      <c r="L248" s="41" t="n">
        <v>0</v>
      </c>
      <c r="M248" s="41" t="n">
        <v>15.3</v>
      </c>
      <c r="N248" s="41" t="n">
        <v>15.3</v>
      </c>
      <c r="O248" s="41" t="n">
        <v>0</v>
      </c>
      <c r="P248" t="inlineStr">
        <is>
          <t>Julio 2026 USA.xlsx</t>
        </is>
      </c>
      <c r="Q248" t="inlineStr">
        <is>
          <t>Fila 88</t>
        </is>
      </c>
      <c r="R248" t="inlineStr">
        <is>
          <t>Alta</t>
        </is>
      </c>
      <c r="S248" t="inlineStr">
        <is>
          <t>NO</t>
        </is>
      </c>
      <c r="T248" t="inlineStr">
        <is>
          <t>Beneficios y dotación de personal</t>
        </is>
      </c>
    </row>
    <row r="249">
      <c r="A249" t="inlineStr">
        <is>
          <t>2026-07</t>
        </is>
      </c>
      <c r="B249" t="inlineStr">
        <is>
          <t>Estados Unidos</t>
        </is>
      </c>
      <c r="C249" t="inlineStr">
        <is>
          <t>USA</t>
        </is>
      </c>
      <c r="D249" t="inlineStr">
        <is>
          <t>USD</t>
        </is>
      </c>
      <c r="E249" t="inlineStr">
        <is>
          <t>PL-O-010</t>
        </is>
      </c>
      <c r="F249" t="inlineStr">
        <is>
          <t>Gastos de administración</t>
        </is>
      </c>
      <c r="G249" t="inlineStr">
        <is>
          <t>Gastos de personal</t>
        </is>
      </c>
      <c r="H249" t="inlineStr">
        <is>
          <t>Dotación y suministros a trabajadores</t>
        </is>
      </c>
      <c r="I249" t="inlineStr">
        <is>
          <t>Amazon Comp INC</t>
        </is>
      </c>
      <c r="J249" s="41" t="n">
        <v>2568.42</v>
      </c>
      <c r="K249" s="41" t="n">
        <v>0</v>
      </c>
      <c r="L249" s="41" t="n">
        <v>0</v>
      </c>
      <c r="M249" s="41" t="n">
        <v>2568.42</v>
      </c>
      <c r="N249" s="41" t="n">
        <v>2568.42</v>
      </c>
      <c r="O249" s="41" t="n">
        <v>0</v>
      </c>
      <c r="P249" t="inlineStr">
        <is>
          <t>Julio 2026 USA.xlsx</t>
        </is>
      </c>
      <c r="Q249" t="inlineStr">
        <is>
          <t>Fila 89</t>
        </is>
      </c>
      <c r="R249" t="inlineStr">
        <is>
          <t>Alta</t>
        </is>
      </c>
      <c r="S249" t="inlineStr">
        <is>
          <t>NO</t>
        </is>
      </c>
      <c r="T249" t="inlineStr">
        <is>
          <t>Beneficios y dotación de personal</t>
        </is>
      </c>
    </row>
    <row r="250">
      <c r="A250" t="inlineStr">
        <is>
          <t>2026-07</t>
        </is>
      </c>
      <c r="B250" t="inlineStr">
        <is>
          <t>Estados Unidos</t>
        </is>
      </c>
      <c r="C250" t="inlineStr">
        <is>
          <t>USA</t>
        </is>
      </c>
      <c r="D250" t="inlineStr">
        <is>
          <t>USD</t>
        </is>
      </c>
      <c r="E250" t="inlineStr">
        <is>
          <t>PL-O-010</t>
        </is>
      </c>
      <c r="F250" t="inlineStr">
        <is>
          <t>Gastos de administración</t>
        </is>
      </c>
      <c r="G250" t="inlineStr">
        <is>
          <t>Gastos de personal</t>
        </is>
      </c>
      <c r="H250" t="inlineStr">
        <is>
          <t>Dotación y suministros a trabajadores</t>
        </is>
      </c>
      <c r="I250" t="inlineStr">
        <is>
          <t>ADIDAS AMERICA INC</t>
        </is>
      </c>
      <c r="J250" s="41" t="n">
        <v>139.1</v>
      </c>
      <c r="K250" s="41" t="n">
        <v>0</v>
      </c>
      <c r="L250" s="41" t="n">
        <v>0</v>
      </c>
      <c r="M250" s="41" t="n">
        <v>139.1</v>
      </c>
      <c r="N250" s="41" t="n">
        <v>139.1</v>
      </c>
      <c r="O250" s="41" t="n">
        <v>0</v>
      </c>
      <c r="P250" t="inlineStr">
        <is>
          <t>Julio 2026 USA.xlsx</t>
        </is>
      </c>
      <c r="Q250" t="inlineStr">
        <is>
          <t>Fila 90</t>
        </is>
      </c>
      <c r="R250" t="inlineStr">
        <is>
          <t>Alta</t>
        </is>
      </c>
      <c r="S250" t="inlineStr">
        <is>
          <t>NO</t>
        </is>
      </c>
      <c r="T250" t="inlineStr">
        <is>
          <t>Beneficios y dotación de personal</t>
        </is>
      </c>
    </row>
    <row r="251">
      <c r="A251" t="inlineStr">
        <is>
          <t>2026-07</t>
        </is>
      </c>
      <c r="B251" t="inlineStr">
        <is>
          <t>Estados Unidos</t>
        </is>
      </c>
      <c r="C251" t="inlineStr">
        <is>
          <t>USA</t>
        </is>
      </c>
      <c r="D251" t="inlineStr">
        <is>
          <t>USD</t>
        </is>
      </c>
      <c r="E251" t="inlineStr">
        <is>
          <t>PL-O-010</t>
        </is>
      </c>
      <c r="F251" t="inlineStr">
        <is>
          <t>Gastos de administración</t>
        </is>
      </c>
      <c r="G251" t="inlineStr">
        <is>
          <t>Gastos de personal</t>
        </is>
      </c>
      <c r="H251" t="inlineStr">
        <is>
          <t>Dotación y suministros a trabajadores</t>
        </is>
      </c>
      <c r="I251" t="inlineStr">
        <is>
          <t>MERCURY LLC</t>
        </is>
      </c>
      <c r="J251" s="41" t="n">
        <v>-540.92</v>
      </c>
      <c r="K251" s="41" t="n">
        <v>0</v>
      </c>
      <c r="L251" s="41" t="n">
        <v>0</v>
      </c>
      <c r="M251" s="41" t="n">
        <v>-540.92</v>
      </c>
      <c r="N251" s="41" t="n">
        <v>-540.92</v>
      </c>
      <c r="O251" s="41" t="n">
        <v>0</v>
      </c>
      <c r="P251" t="inlineStr">
        <is>
          <t>Julio 2026 USA.xlsx</t>
        </is>
      </c>
      <c r="Q251" t="inlineStr">
        <is>
          <t>Fila 91</t>
        </is>
      </c>
      <c r="R251" t="inlineStr">
        <is>
          <t>Alta</t>
        </is>
      </c>
      <c r="S251" t="inlineStr">
        <is>
          <t>NO</t>
        </is>
      </c>
      <c r="T251" t="inlineStr">
        <is>
          <t>Beneficios y dotación de personal</t>
        </is>
      </c>
    </row>
    <row r="252">
      <c r="A252" t="inlineStr">
        <is>
          <t>2026-07</t>
        </is>
      </c>
      <c r="B252" t="inlineStr">
        <is>
          <t>Estados Unidos</t>
        </is>
      </c>
      <c r="C252" t="inlineStr">
        <is>
          <t>USA</t>
        </is>
      </c>
      <c r="D252" t="inlineStr">
        <is>
          <t>USD</t>
        </is>
      </c>
      <c r="E252" t="inlineStr">
        <is>
          <t>PL-O-010</t>
        </is>
      </c>
      <c r="F252" t="inlineStr">
        <is>
          <t>Gastos de administración</t>
        </is>
      </c>
      <c r="G252" t="inlineStr">
        <is>
          <t>Gastos de personal</t>
        </is>
      </c>
      <c r="H252" t="inlineStr">
        <is>
          <t>Gastos médicos</t>
        </is>
      </c>
      <c r="I252" t="inlineStr">
        <is>
          <t>Oscar Insurance Company</t>
        </is>
      </c>
      <c r="J252" s="41" t="n">
        <v>122.93</v>
      </c>
      <c r="K252" s="41" t="n">
        <v>0</v>
      </c>
      <c r="L252" s="41" t="n">
        <v>0</v>
      </c>
      <c r="M252" s="41" t="n">
        <v>122.93</v>
      </c>
      <c r="N252" s="41" t="n">
        <v>122.93</v>
      </c>
      <c r="O252" s="41" t="n">
        <v>0</v>
      </c>
      <c r="P252" t="inlineStr">
        <is>
          <t>Julio 2026 USA.xlsx</t>
        </is>
      </c>
      <c r="Q252" t="inlineStr">
        <is>
          <t>Fila 93</t>
        </is>
      </c>
      <c r="R252" t="inlineStr">
        <is>
          <t>Alta</t>
        </is>
      </c>
      <c r="S252" t="inlineStr">
        <is>
          <t>NO</t>
        </is>
      </c>
      <c r="T252" t="inlineStr">
        <is>
          <t>Beneficios de salud</t>
        </is>
      </c>
    </row>
    <row r="253">
      <c r="A253" t="inlineStr">
        <is>
          <t>2026-07</t>
        </is>
      </c>
      <c r="B253" t="inlineStr">
        <is>
          <t>Estados Unidos</t>
        </is>
      </c>
      <c r="C253" t="inlineStr">
        <is>
          <t>USA</t>
        </is>
      </c>
      <c r="D253" t="inlineStr">
        <is>
          <t>USD</t>
        </is>
      </c>
      <c r="E253" t="inlineStr">
        <is>
          <t>PL-O-010</t>
        </is>
      </c>
      <c r="F253" t="inlineStr">
        <is>
          <t>Gastos de administración</t>
        </is>
      </c>
      <c r="G253" t="inlineStr">
        <is>
          <t>Gastos de personal</t>
        </is>
      </c>
      <c r="H253" t="inlineStr">
        <is>
          <t>Gastos médicos</t>
        </is>
      </c>
      <c r="I253" t="inlineStr">
        <is>
          <t>Amazon Comp INC</t>
        </is>
      </c>
      <c r="J253" s="41" t="n">
        <v>56.7</v>
      </c>
      <c r="K253" s="41" t="n">
        <v>0</v>
      </c>
      <c r="L253" s="41" t="n">
        <v>0</v>
      </c>
      <c r="M253" s="41" t="n">
        <v>56.7</v>
      </c>
      <c r="N253" s="41" t="n">
        <v>56.7</v>
      </c>
      <c r="O253" s="41" t="n">
        <v>0</v>
      </c>
      <c r="P253" t="inlineStr">
        <is>
          <t>Julio 2026 USA.xlsx</t>
        </is>
      </c>
      <c r="Q253" t="inlineStr">
        <is>
          <t>Fila 94</t>
        </is>
      </c>
      <c r="R253" t="inlineStr">
        <is>
          <t>Alta</t>
        </is>
      </c>
      <c r="S253" t="inlineStr">
        <is>
          <t>NO</t>
        </is>
      </c>
      <c r="T253" t="inlineStr">
        <is>
          <t>Beneficios de salud</t>
        </is>
      </c>
    </row>
    <row r="254">
      <c r="A254" t="inlineStr">
        <is>
          <t>2026-07</t>
        </is>
      </c>
      <c r="B254" t="inlineStr">
        <is>
          <t>Estados Unidos</t>
        </is>
      </c>
      <c r="C254" t="inlineStr">
        <is>
          <t>USA</t>
        </is>
      </c>
      <c r="D254" t="inlineStr">
        <is>
          <t>USD</t>
        </is>
      </c>
      <c r="E254" t="inlineStr">
        <is>
          <t>PL-O-010</t>
        </is>
      </c>
      <c r="F254" t="inlineStr">
        <is>
          <t>Gastos de administración</t>
        </is>
      </c>
      <c r="G254" t="inlineStr">
        <is>
          <t>Gastos de personal</t>
        </is>
      </c>
      <c r="H254" t="inlineStr">
        <is>
          <t>Otros gastos de personal</t>
        </is>
      </c>
      <c r="I254" t="inlineStr">
        <is>
          <t>Parada Zuluaga Robert Andres</t>
        </is>
      </c>
      <c r="J254" s="41" t="n">
        <v>4153.98</v>
      </c>
      <c r="K254" s="41" t="n">
        <v>637.33</v>
      </c>
      <c r="L254" s="41" t="n">
        <v>0</v>
      </c>
      <c r="M254" s="41" t="n">
        <v>4791.31</v>
      </c>
      <c r="N254" s="41" t="n">
        <v>4791.31</v>
      </c>
      <c r="O254" s="41" t="n">
        <v>637.33</v>
      </c>
      <c r="P254" t="inlineStr">
        <is>
          <t>Julio 2026 USA.xlsx</t>
        </is>
      </c>
      <c r="Q254" t="inlineStr">
        <is>
          <t>Fila 96</t>
        </is>
      </c>
      <c r="R254" t="inlineStr">
        <is>
          <t>Media</t>
        </is>
      </c>
      <c r="S254" t="inlineStr">
        <is>
          <t>SI</t>
        </is>
      </c>
      <c r="T254" t="inlineStr">
        <is>
          <t>Cuenta genérica de personal</t>
        </is>
      </c>
    </row>
    <row r="255">
      <c r="A255" t="inlineStr">
        <is>
          <t>2026-07</t>
        </is>
      </c>
      <c r="B255" t="inlineStr">
        <is>
          <t>Estados Unidos</t>
        </is>
      </c>
      <c r="C255" t="inlineStr">
        <is>
          <t>USA</t>
        </is>
      </c>
      <c r="D255" t="inlineStr">
        <is>
          <t>USD</t>
        </is>
      </c>
      <c r="E255" t="inlineStr">
        <is>
          <t>PL-O-020</t>
        </is>
      </c>
      <c r="F255" t="inlineStr">
        <is>
          <t>Gastos de administración</t>
        </is>
      </c>
      <c r="G255" t="inlineStr">
        <is>
          <t>Honorarios y servicios profesionales</t>
        </is>
      </c>
      <c r="H255" t="inlineStr">
        <is>
          <t>Asesoría jurídica</t>
        </is>
      </c>
      <c r="I255" t="inlineStr">
        <is>
          <t>LAZO FINTECH INC.</t>
        </is>
      </c>
      <c r="J255" s="41" t="n">
        <v>150</v>
      </c>
      <c r="K255" s="41" t="n">
        <v>100</v>
      </c>
      <c r="L255" s="41" t="n">
        <v>0</v>
      </c>
      <c r="M255" s="41" t="n">
        <v>250</v>
      </c>
      <c r="N255" s="41" t="n">
        <v>250</v>
      </c>
      <c r="O255" s="41" t="n">
        <v>100</v>
      </c>
      <c r="P255" t="inlineStr">
        <is>
          <t>Julio 2026 USA.xlsx</t>
        </is>
      </c>
      <c r="Q255" t="inlineStr">
        <is>
          <t>Fila 99</t>
        </is>
      </c>
      <c r="R255" t="inlineStr">
        <is>
          <t>Alta</t>
        </is>
      </c>
      <c r="S255" t="inlineStr">
        <is>
          <t>NO</t>
        </is>
      </c>
      <c r="T255" t="inlineStr">
        <is>
          <t>Servicio profesional jurídico</t>
        </is>
      </c>
    </row>
    <row r="256">
      <c r="A256" t="inlineStr">
        <is>
          <t>2026-07</t>
        </is>
      </c>
      <c r="B256" t="inlineStr">
        <is>
          <t>Estados Unidos</t>
        </is>
      </c>
      <c r="C256" t="inlineStr">
        <is>
          <t>USA</t>
        </is>
      </c>
      <c r="D256" t="inlineStr">
        <is>
          <t>USD</t>
        </is>
      </c>
      <c r="E256" t="inlineStr">
        <is>
          <t>PL-O-020</t>
        </is>
      </c>
      <c r="F256" t="inlineStr">
        <is>
          <t>Gastos de administración</t>
        </is>
      </c>
      <c r="G256" t="inlineStr">
        <is>
          <t>Honorarios y servicios profesionales</t>
        </is>
      </c>
      <c r="H256" t="inlineStr">
        <is>
          <t>Asesoría financiera</t>
        </is>
      </c>
      <c r="I256" t="inlineStr">
        <is>
          <t>Tenant Evaluation LLC</t>
        </is>
      </c>
      <c r="J256" s="41" t="n">
        <v>445</v>
      </c>
      <c r="K256" s="41" t="n">
        <v>0</v>
      </c>
      <c r="L256" s="41" t="n">
        <v>0</v>
      </c>
      <c r="M256" s="41" t="n">
        <v>445</v>
      </c>
      <c r="N256" s="41" t="n">
        <v>445</v>
      </c>
      <c r="O256" s="41" t="n">
        <v>0</v>
      </c>
      <c r="P256" t="inlineStr">
        <is>
          <t>Julio 2026 USA.xlsx</t>
        </is>
      </c>
      <c r="Q256" t="inlineStr">
        <is>
          <t>Fila 101</t>
        </is>
      </c>
      <c r="R256" t="inlineStr">
        <is>
          <t>Alta</t>
        </is>
      </c>
      <c r="S256" t="inlineStr">
        <is>
          <t>NO</t>
        </is>
      </c>
      <c r="T256" t="inlineStr">
        <is>
          <t>Servicio profesional financiero</t>
        </is>
      </c>
    </row>
    <row r="257">
      <c r="A257" t="inlineStr">
        <is>
          <t>2026-07</t>
        </is>
      </c>
      <c r="B257" t="inlineStr">
        <is>
          <t>Estados Unidos</t>
        </is>
      </c>
      <c r="C257" t="inlineStr">
        <is>
          <t>USA</t>
        </is>
      </c>
      <c r="D257" t="inlineStr">
        <is>
          <t>USD</t>
        </is>
      </c>
      <c r="E257" t="inlineStr">
        <is>
          <t>PL-O-020</t>
        </is>
      </c>
      <c r="F257" t="inlineStr">
        <is>
          <t>Gastos de administración</t>
        </is>
      </c>
      <c r="G257" t="inlineStr">
        <is>
          <t>Honorarios y servicios profesionales</t>
        </is>
      </c>
      <c r="H257" t="inlineStr">
        <is>
          <t>Asesoría técnica</t>
        </is>
      </c>
      <c r="I257" t="inlineStr">
        <is>
          <t>JUAN FIORITO</t>
        </is>
      </c>
      <c r="J257" s="41" t="n">
        <v>2000</v>
      </c>
      <c r="K257" s="41" t="n">
        <v>0</v>
      </c>
      <c r="L257" s="41" t="n">
        <v>0</v>
      </c>
      <c r="M257" s="41" t="n">
        <v>2000</v>
      </c>
      <c r="N257" s="41" t="n">
        <v>2000</v>
      </c>
      <c r="O257" s="41" t="n">
        <v>0</v>
      </c>
      <c r="P257" t="inlineStr">
        <is>
          <t>Julio 2026 USA.xlsx</t>
        </is>
      </c>
      <c r="Q257" t="inlineStr">
        <is>
          <t>Fila 103</t>
        </is>
      </c>
      <c r="R257" t="inlineStr">
        <is>
          <t>Alta</t>
        </is>
      </c>
      <c r="S257" t="inlineStr">
        <is>
          <t>NO</t>
        </is>
      </c>
      <c r="T257" t="inlineStr">
        <is>
          <t>Servicio profesional técnico</t>
        </is>
      </c>
    </row>
    <row r="258">
      <c r="A258" t="inlineStr">
        <is>
          <t>2026-07</t>
        </is>
      </c>
      <c r="B258" t="inlineStr">
        <is>
          <t>Estados Unidos</t>
        </is>
      </c>
      <c r="C258" t="inlineStr">
        <is>
          <t>USA</t>
        </is>
      </c>
      <c r="D258" t="inlineStr">
        <is>
          <t>USD</t>
        </is>
      </c>
      <c r="E258" t="inlineStr">
        <is>
          <t>PL-O-030</t>
        </is>
      </c>
      <c r="F258" t="inlineStr">
        <is>
          <t>Gastos de administración</t>
        </is>
      </c>
      <c r="G258" t="inlineStr">
        <is>
          <t>Impuestos y contribuciones</t>
        </is>
      </c>
      <c r="H258" t="inlineStr">
        <is>
          <t>Industria, comercio y otros</t>
        </is>
      </c>
      <c r="I258" t="inlineStr">
        <is>
          <t>IRS IMPUESTO FEDERALES</t>
        </is>
      </c>
      <c r="J258" s="41" t="n">
        <v>4024.05</v>
      </c>
      <c r="K258" s="41" t="n">
        <v>0</v>
      </c>
      <c r="L258" s="41" t="n">
        <v>0</v>
      </c>
      <c r="M258" s="41" t="n">
        <v>4024.05</v>
      </c>
      <c r="N258" s="41" t="n">
        <v>4024.05</v>
      </c>
      <c r="O258" s="41" t="n">
        <v>0</v>
      </c>
      <c r="P258" t="inlineStr">
        <is>
          <t>Julio 2026 USA.xlsx</t>
        </is>
      </c>
      <c r="Q258" t="inlineStr">
        <is>
          <t>Fila 106</t>
        </is>
      </c>
      <c r="R258" t="inlineStr">
        <is>
          <t>Alta</t>
        </is>
      </c>
      <c r="S258" t="inlineStr">
        <is>
          <t>NO</t>
        </is>
      </c>
      <c r="T258" t="inlineStr">
        <is>
          <t>Impuestos no asociados a renta</t>
        </is>
      </c>
    </row>
    <row r="259">
      <c r="A259" t="inlineStr">
        <is>
          <t>2026-07</t>
        </is>
      </c>
      <c r="B259" t="inlineStr">
        <is>
          <t>Estados Unidos</t>
        </is>
      </c>
      <c r="C259" t="inlineStr">
        <is>
          <t>USA</t>
        </is>
      </c>
      <c r="D259" t="inlineStr">
        <is>
          <t>USD</t>
        </is>
      </c>
      <c r="E259" t="inlineStr">
        <is>
          <t>PL-O-040</t>
        </is>
      </c>
      <c r="F259" t="inlineStr">
        <is>
          <t>Gastos de administración</t>
        </is>
      </c>
      <c r="G259" t="inlineStr">
        <is>
          <t>Arrendamientos</t>
        </is>
      </c>
      <c r="H259" t="inlineStr">
        <is>
          <t>Otros arrendamientos</t>
        </is>
      </c>
      <c r="I259" t="inlineStr">
        <is>
          <t>WeWork</t>
        </is>
      </c>
      <c r="J259" s="41" t="n">
        <v>0</v>
      </c>
      <c r="K259" s="41" t="n">
        <v>85.06</v>
      </c>
      <c r="L259" s="41" t="n">
        <v>0</v>
      </c>
      <c r="M259" s="41" t="n">
        <v>85.06</v>
      </c>
      <c r="N259" s="41" t="n">
        <v>85.06</v>
      </c>
      <c r="O259" s="41" t="n">
        <v>85.06</v>
      </c>
      <c r="P259" t="inlineStr">
        <is>
          <t>Julio 2026 USA.xlsx</t>
        </is>
      </c>
      <c r="Q259" t="inlineStr">
        <is>
          <t>Fila 109</t>
        </is>
      </c>
      <c r="R259" t="inlineStr">
        <is>
          <t>Alta</t>
        </is>
      </c>
      <c r="S259" t="inlineStr">
        <is>
          <t>NO</t>
        </is>
      </c>
      <c r="T259" t="inlineStr">
        <is>
          <t>Arrendamientos y espacios de trabajo</t>
        </is>
      </c>
    </row>
    <row r="260">
      <c r="A260" t="inlineStr">
        <is>
          <t>2026-07</t>
        </is>
      </c>
      <c r="B260" t="inlineStr">
        <is>
          <t>Estados Unidos</t>
        </is>
      </c>
      <c r="C260" t="inlineStr">
        <is>
          <t>USA</t>
        </is>
      </c>
      <c r="D260" t="inlineStr">
        <is>
          <t>USD</t>
        </is>
      </c>
      <c r="E260" t="inlineStr">
        <is>
          <t>PL-O-060</t>
        </is>
      </c>
      <c r="F260" t="inlineStr">
        <is>
          <t>Gastos de administración</t>
        </is>
      </c>
      <c r="G260" t="inlineStr">
        <is>
          <t>Tecnología y procesamiento de datos</t>
        </is>
      </c>
      <c r="H260" t="inlineStr">
        <is>
          <t>Plataformas y software</t>
        </is>
      </c>
      <c r="I260" t="inlineStr">
        <is>
          <t>WIX INC</t>
        </is>
      </c>
      <c r="J260" s="41" t="n">
        <v>225.35</v>
      </c>
      <c r="K260" s="41" t="n">
        <v>0</v>
      </c>
      <c r="L260" s="41" t="n">
        <v>0</v>
      </c>
      <c r="M260" s="41" t="n">
        <v>225.35</v>
      </c>
      <c r="N260" s="41" t="n">
        <v>225.35</v>
      </c>
      <c r="O260" s="41" t="n">
        <v>0</v>
      </c>
      <c r="P260" t="inlineStr">
        <is>
          <t>Julio 2026 USA.xlsx</t>
        </is>
      </c>
      <c r="Q260" t="inlineStr">
        <is>
          <t>Fila 112</t>
        </is>
      </c>
      <c r="R260" t="inlineStr">
        <is>
          <t>Alta</t>
        </is>
      </c>
      <c r="S260" t="inlineStr">
        <is>
          <t>SI</t>
        </is>
      </c>
      <c r="T260" t="inlineStr">
        <is>
          <t>Revisar proveedores de telecomunicaciones registrados aquí</t>
        </is>
      </c>
    </row>
    <row r="261">
      <c r="A261" t="inlineStr">
        <is>
          <t>2026-07</t>
        </is>
      </c>
      <c r="B261" t="inlineStr">
        <is>
          <t>Estados Unidos</t>
        </is>
      </c>
      <c r="C261" t="inlineStr">
        <is>
          <t>USA</t>
        </is>
      </c>
      <c r="D261" t="inlineStr">
        <is>
          <t>USD</t>
        </is>
      </c>
      <c r="E261" t="inlineStr">
        <is>
          <t>PL-O-060</t>
        </is>
      </c>
      <c r="F261" t="inlineStr">
        <is>
          <t>Gastos de administración</t>
        </is>
      </c>
      <c r="G261" t="inlineStr">
        <is>
          <t>Tecnología y procesamiento de datos</t>
        </is>
      </c>
      <c r="H261" t="inlineStr">
        <is>
          <t>Plataformas y software</t>
        </is>
      </c>
      <c r="I261" t="inlineStr">
        <is>
          <t>Ahaslides</t>
        </is>
      </c>
      <c r="J261" s="41" t="n">
        <v>191.4</v>
      </c>
      <c r="K261" s="41" t="n">
        <v>0</v>
      </c>
      <c r="L261" s="41" t="n">
        <v>0</v>
      </c>
      <c r="M261" s="41" t="n">
        <v>191.4</v>
      </c>
      <c r="N261" s="41" t="n">
        <v>191.4</v>
      </c>
      <c r="O261" s="41" t="n">
        <v>0</v>
      </c>
      <c r="P261" t="inlineStr">
        <is>
          <t>Julio 2026 USA.xlsx</t>
        </is>
      </c>
      <c r="Q261" t="inlineStr">
        <is>
          <t>Fila 113</t>
        </is>
      </c>
      <c r="R261" t="inlineStr">
        <is>
          <t>Alta</t>
        </is>
      </c>
      <c r="S261" t="inlineStr">
        <is>
          <t>SI</t>
        </is>
      </c>
      <c r="T261" t="inlineStr">
        <is>
          <t>Revisar proveedores de telecomunicaciones registrados aquí</t>
        </is>
      </c>
    </row>
    <row r="262">
      <c r="A262" t="inlineStr">
        <is>
          <t>2026-07</t>
        </is>
      </c>
      <c r="B262" t="inlineStr">
        <is>
          <t>Estados Unidos</t>
        </is>
      </c>
      <c r="C262" t="inlineStr">
        <is>
          <t>USA</t>
        </is>
      </c>
      <c r="D262" t="inlineStr">
        <is>
          <t>USD</t>
        </is>
      </c>
      <c r="E262" t="inlineStr">
        <is>
          <t>PL-O-060</t>
        </is>
      </c>
      <c r="F262" t="inlineStr">
        <is>
          <t>Gastos de administración</t>
        </is>
      </c>
      <c r="G262" t="inlineStr">
        <is>
          <t>Tecnología y procesamiento de datos</t>
        </is>
      </c>
      <c r="H262" t="inlineStr">
        <is>
          <t>Plataformas y software</t>
        </is>
      </c>
      <c r="I262" t="inlineStr">
        <is>
          <t>T-Mobile</t>
        </is>
      </c>
      <c r="J262" s="41" t="n">
        <v>32.1</v>
      </c>
      <c r="K262" s="41" t="n">
        <v>0</v>
      </c>
      <c r="L262" s="41" t="n">
        <v>0</v>
      </c>
      <c r="M262" s="41" t="n">
        <v>32.1</v>
      </c>
      <c r="N262" s="41" t="n">
        <v>32.1</v>
      </c>
      <c r="O262" s="41" t="n">
        <v>0</v>
      </c>
      <c r="P262" t="inlineStr">
        <is>
          <t>Julio 2026 USA.xlsx</t>
        </is>
      </c>
      <c r="Q262" t="inlineStr">
        <is>
          <t>Fila 114</t>
        </is>
      </c>
      <c r="R262" t="inlineStr">
        <is>
          <t>Alta</t>
        </is>
      </c>
      <c r="S262" t="inlineStr">
        <is>
          <t>SI</t>
        </is>
      </c>
      <c r="T262" t="inlineStr">
        <is>
          <t>Revisar proveedores de telecomunicaciones registrados aquí</t>
        </is>
      </c>
    </row>
    <row r="263">
      <c r="A263" t="inlineStr">
        <is>
          <t>2026-07</t>
        </is>
      </c>
      <c r="B263" t="inlineStr">
        <is>
          <t>Estados Unidos</t>
        </is>
      </c>
      <c r="C263" t="inlineStr">
        <is>
          <t>USA</t>
        </is>
      </c>
      <c r="D263" t="inlineStr">
        <is>
          <t>USD</t>
        </is>
      </c>
      <c r="E263" t="inlineStr">
        <is>
          <t>PL-O-060</t>
        </is>
      </c>
      <c r="F263" t="inlineStr">
        <is>
          <t>Gastos de administración</t>
        </is>
      </c>
      <c r="G263" t="inlineStr">
        <is>
          <t>Tecnología y procesamiento de datos</t>
        </is>
      </c>
      <c r="H263" t="inlineStr">
        <is>
          <t>Plataformas y software</t>
        </is>
      </c>
      <c r="I263" t="inlineStr">
        <is>
          <t>Open AI</t>
        </is>
      </c>
      <c r="J263" s="41" t="n">
        <v>100</v>
      </c>
      <c r="K263" s="41" t="n">
        <v>20</v>
      </c>
      <c r="L263" s="41" t="n">
        <v>0</v>
      </c>
      <c r="M263" s="41" t="n">
        <v>120</v>
      </c>
      <c r="N263" s="41" t="n">
        <v>120</v>
      </c>
      <c r="O263" s="41" t="n">
        <v>20</v>
      </c>
      <c r="P263" t="inlineStr">
        <is>
          <t>Julio 2026 USA.xlsx</t>
        </is>
      </c>
      <c r="Q263" t="inlineStr">
        <is>
          <t>Fila 115</t>
        </is>
      </c>
      <c r="R263" t="inlineStr">
        <is>
          <t>Alta</t>
        </is>
      </c>
      <c r="S263" t="inlineStr">
        <is>
          <t>SI</t>
        </is>
      </c>
      <c r="T263" t="inlineStr">
        <is>
          <t>Revisar proveedores de telecomunicaciones registrados aquí</t>
        </is>
      </c>
    </row>
    <row r="264">
      <c r="A264" t="inlineStr">
        <is>
          <t>2026-07</t>
        </is>
      </c>
      <c r="B264" t="inlineStr">
        <is>
          <t>Estados Unidos</t>
        </is>
      </c>
      <c r="C264" t="inlineStr">
        <is>
          <t>USA</t>
        </is>
      </c>
      <c r="D264" t="inlineStr">
        <is>
          <t>USD</t>
        </is>
      </c>
      <c r="E264" t="inlineStr">
        <is>
          <t>PL-O-060</t>
        </is>
      </c>
      <c r="F264" t="inlineStr">
        <is>
          <t>Gastos de administración</t>
        </is>
      </c>
      <c r="G264" t="inlineStr">
        <is>
          <t>Tecnología y procesamiento de datos</t>
        </is>
      </c>
      <c r="H264" t="inlineStr">
        <is>
          <t>Plataformas y software</t>
        </is>
      </c>
      <c r="I264" t="inlineStr">
        <is>
          <t>VITALLY INC</t>
        </is>
      </c>
      <c r="J264" s="41" t="n">
        <v>7500</v>
      </c>
      <c r="K264" s="41" t="n">
        <v>0</v>
      </c>
      <c r="L264" s="41" t="n">
        <v>0</v>
      </c>
      <c r="M264" s="41" t="n">
        <v>7500</v>
      </c>
      <c r="N264" s="41" t="n">
        <v>7500</v>
      </c>
      <c r="O264" s="41" t="n">
        <v>0</v>
      </c>
      <c r="P264" t="inlineStr">
        <is>
          <t>Julio 2026 USA.xlsx</t>
        </is>
      </c>
      <c r="Q264" t="inlineStr">
        <is>
          <t>Fila 116</t>
        </is>
      </c>
      <c r="R264" t="inlineStr">
        <is>
          <t>Alta</t>
        </is>
      </c>
      <c r="S264" t="inlineStr">
        <is>
          <t>SI</t>
        </is>
      </c>
      <c r="T264" t="inlineStr">
        <is>
          <t>Revisar proveedores de telecomunicaciones registrados aquí</t>
        </is>
      </c>
    </row>
    <row r="265">
      <c r="A265" t="inlineStr">
        <is>
          <t>2026-07</t>
        </is>
      </c>
      <c r="B265" t="inlineStr">
        <is>
          <t>Estados Unidos</t>
        </is>
      </c>
      <c r="C265" t="inlineStr">
        <is>
          <t>USA</t>
        </is>
      </c>
      <c r="D265" t="inlineStr">
        <is>
          <t>USD</t>
        </is>
      </c>
      <c r="E265" t="inlineStr">
        <is>
          <t>PL-O-060</t>
        </is>
      </c>
      <c r="F265" t="inlineStr">
        <is>
          <t>Gastos de administración</t>
        </is>
      </c>
      <c r="G265" t="inlineStr">
        <is>
          <t>Tecnología y procesamiento de datos</t>
        </is>
      </c>
      <c r="H265" t="inlineStr">
        <is>
          <t>Plataformas y software</t>
        </is>
      </c>
      <c r="I265" t="inlineStr">
        <is>
          <t>Inverdoral 131 LLC</t>
        </is>
      </c>
      <c r="J265" s="41" t="n">
        <v>1027.2</v>
      </c>
      <c r="K265" s="41" t="n">
        <v>225</v>
      </c>
      <c r="L265" s="41" t="n">
        <v>0</v>
      </c>
      <c r="M265" s="41" t="n">
        <v>1252.2</v>
      </c>
      <c r="N265" s="41" t="n">
        <v>1252.2</v>
      </c>
      <c r="O265" s="41" t="n">
        <v>225</v>
      </c>
      <c r="P265" t="inlineStr">
        <is>
          <t>Julio 2026 USA.xlsx</t>
        </is>
      </c>
      <c r="Q265" t="inlineStr">
        <is>
          <t>Fila 117</t>
        </is>
      </c>
      <c r="R265" t="inlineStr">
        <is>
          <t>Alta</t>
        </is>
      </c>
      <c r="S265" t="inlineStr">
        <is>
          <t>SI</t>
        </is>
      </c>
      <c r="T265" t="inlineStr">
        <is>
          <t>Revisar proveedores de telecomunicaciones registrados aquí</t>
        </is>
      </c>
    </row>
    <row r="266">
      <c r="A266" t="inlineStr">
        <is>
          <t>2026-07</t>
        </is>
      </c>
      <c r="B266" t="inlineStr">
        <is>
          <t>Estados Unidos</t>
        </is>
      </c>
      <c r="C266" t="inlineStr">
        <is>
          <t>USA</t>
        </is>
      </c>
      <c r="D266" t="inlineStr">
        <is>
          <t>USD</t>
        </is>
      </c>
      <c r="E266" t="inlineStr">
        <is>
          <t>PL-O-060</t>
        </is>
      </c>
      <c r="F266" t="inlineStr">
        <is>
          <t>Gastos de administración</t>
        </is>
      </c>
      <c r="G266" t="inlineStr">
        <is>
          <t>Tecnología y procesamiento de datos</t>
        </is>
      </c>
      <c r="H266" t="inlineStr">
        <is>
          <t>Plataformas y software</t>
        </is>
      </c>
      <c r="I266" t="inlineStr">
        <is>
          <t>Apple INC</t>
        </is>
      </c>
      <c r="J266" s="41" t="n">
        <v>191.53</v>
      </c>
      <c r="K266" s="41" t="n">
        <v>0</v>
      </c>
      <c r="L266" s="41" t="n">
        <v>0</v>
      </c>
      <c r="M266" s="41" t="n">
        <v>191.53</v>
      </c>
      <c r="N266" s="41" t="n">
        <v>191.53</v>
      </c>
      <c r="O266" s="41" t="n">
        <v>0</v>
      </c>
      <c r="P266" t="inlineStr">
        <is>
          <t>Julio 2026 USA.xlsx</t>
        </is>
      </c>
      <c r="Q266" t="inlineStr">
        <is>
          <t>Fila 118</t>
        </is>
      </c>
      <c r="R266" t="inlineStr">
        <is>
          <t>Alta</t>
        </is>
      </c>
      <c r="S266" t="inlineStr">
        <is>
          <t>SI</t>
        </is>
      </c>
      <c r="T266" t="inlineStr">
        <is>
          <t>Revisar proveedores de telecomunicaciones registrados aquí</t>
        </is>
      </c>
    </row>
    <row r="267">
      <c r="A267" t="inlineStr">
        <is>
          <t>2026-07</t>
        </is>
      </c>
      <c r="B267" t="inlineStr">
        <is>
          <t>Estados Unidos</t>
        </is>
      </c>
      <c r="C267" t="inlineStr">
        <is>
          <t>USA</t>
        </is>
      </c>
      <c r="D267" t="inlineStr">
        <is>
          <t>USD</t>
        </is>
      </c>
      <c r="E267" t="inlineStr">
        <is>
          <t>PL-O-070</t>
        </is>
      </c>
      <c r="F267" t="inlineStr">
        <is>
          <t>Gastos de administración</t>
        </is>
      </c>
      <c r="G267" t="inlineStr">
        <is>
          <t>Telecomunicaciones</t>
        </is>
      </c>
      <c r="H267" t="inlineStr">
        <is>
          <t>Telefonía</t>
        </is>
      </c>
      <c r="I267" t="inlineStr">
        <is>
          <t>T-Mobile</t>
        </is>
      </c>
      <c r="J267" s="41" t="n">
        <v>314.48</v>
      </c>
      <c r="K267" s="41" t="n">
        <v>164.53</v>
      </c>
      <c r="L267" s="41" t="n">
        <v>0</v>
      </c>
      <c r="M267" s="41" t="n">
        <v>479.01</v>
      </c>
      <c r="N267" s="41" t="n">
        <v>479.01</v>
      </c>
      <c r="O267" s="41" t="n">
        <v>164.53</v>
      </c>
      <c r="P267" t="inlineStr">
        <is>
          <t>Julio 2026 USA.xlsx</t>
        </is>
      </c>
      <c r="Q267" t="inlineStr">
        <is>
          <t>Fila 120</t>
        </is>
      </c>
      <c r="R267" t="inlineStr">
        <is>
          <t>Alta</t>
        </is>
      </c>
      <c r="S267" t="inlineStr">
        <is>
          <t>NO</t>
        </is>
      </c>
      <c r="T267" t="inlineStr">
        <is>
          <t>Servicio telefónico</t>
        </is>
      </c>
    </row>
    <row r="268">
      <c r="A268" t="inlineStr">
        <is>
          <t>2026-07</t>
        </is>
      </c>
      <c r="B268" t="inlineStr">
        <is>
          <t>Estados Unidos</t>
        </is>
      </c>
      <c r="C268" t="inlineStr">
        <is>
          <t>USA</t>
        </is>
      </c>
      <c r="D268" t="inlineStr">
        <is>
          <t>USD</t>
        </is>
      </c>
      <c r="E268" t="inlineStr">
        <is>
          <t>PL-O-080</t>
        </is>
      </c>
      <c r="F268" t="inlineStr">
        <is>
          <t>Gastos de administración</t>
        </is>
      </c>
      <c r="G268" t="inlineStr">
        <is>
          <t>Correo y mensajería</t>
        </is>
      </c>
      <c r="H268" t="inlineStr">
        <is>
          <t>Correo, portes y telegramas</t>
        </is>
      </c>
      <c r="I268" t="inlineStr">
        <is>
          <t>Anytime Mailbox</t>
        </is>
      </c>
      <c r="J268" s="41" t="n">
        <v>57.32</v>
      </c>
      <c r="K268" s="41" t="n">
        <v>0</v>
      </c>
      <c r="L268" s="41" t="n">
        <v>0</v>
      </c>
      <c r="M268" s="41" t="n">
        <v>57.32</v>
      </c>
      <c r="N268" s="41" t="n">
        <v>57.32</v>
      </c>
      <c r="O268" s="41" t="n">
        <v>0</v>
      </c>
      <c r="P268" t="inlineStr">
        <is>
          <t>Julio 2026 USA.xlsx</t>
        </is>
      </c>
      <c r="Q268" t="inlineStr">
        <is>
          <t>Fila 122</t>
        </is>
      </c>
      <c r="R268" t="inlineStr">
        <is>
          <t>Alta</t>
        </is>
      </c>
      <c r="S268" t="inlineStr">
        <is>
          <t>NO</t>
        </is>
      </c>
      <c r="T268" t="inlineStr">
        <is>
          <t>Mensajería y correo</t>
        </is>
      </c>
    </row>
    <row r="269">
      <c r="A269" t="inlineStr">
        <is>
          <t>2026-07</t>
        </is>
      </c>
      <c r="B269" t="inlineStr">
        <is>
          <t>Estados Unidos</t>
        </is>
      </c>
      <c r="C269" t="inlineStr">
        <is>
          <t>USA</t>
        </is>
      </c>
      <c r="D269" t="inlineStr">
        <is>
          <t>USD</t>
        </is>
      </c>
      <c r="E269" t="inlineStr">
        <is>
          <t>PL-O-100</t>
        </is>
      </c>
      <c r="F269" t="inlineStr">
        <is>
          <t>Gastos de administración</t>
        </is>
      </c>
      <c r="G269" t="inlineStr">
        <is>
          <t>Otros servicios administrativos</t>
        </is>
      </c>
      <c r="H269" t="inlineStr">
        <is>
          <t>Otros</t>
        </is>
      </c>
      <c r="I269" t="inlineStr">
        <is>
          <t>AT&amp;T</t>
        </is>
      </c>
      <c r="J269" s="41" t="n">
        <v>773.99</v>
      </c>
      <c r="K269" s="41" t="n">
        <v>0</v>
      </c>
      <c r="L269" s="41" t="n">
        <v>0</v>
      </c>
      <c r="M269" s="41" t="n">
        <v>773.99</v>
      </c>
      <c r="N269" s="41" t="n">
        <v>773.99</v>
      </c>
      <c r="O269" s="41" t="n">
        <v>0</v>
      </c>
      <c r="P269" t="inlineStr">
        <is>
          <t>Julio 2026 USA.xlsx</t>
        </is>
      </c>
      <c r="Q269" t="inlineStr">
        <is>
          <t>Fila 124</t>
        </is>
      </c>
      <c r="R269" t="inlineStr">
        <is>
          <t>Media</t>
        </is>
      </c>
      <c r="S269" t="inlineStr">
        <is>
          <t>SI</t>
        </is>
      </c>
      <c r="T269" t="inlineStr">
        <is>
          <t>Cuenta genérica; revisar partidas materiales</t>
        </is>
      </c>
    </row>
    <row r="270">
      <c r="A270" t="inlineStr">
        <is>
          <t>2026-07</t>
        </is>
      </c>
      <c r="B270" t="inlineStr">
        <is>
          <t>Estados Unidos</t>
        </is>
      </c>
      <c r="C270" t="inlineStr">
        <is>
          <t>USA</t>
        </is>
      </c>
      <c r="D270" t="inlineStr">
        <is>
          <t>USD</t>
        </is>
      </c>
      <c r="E270" t="inlineStr">
        <is>
          <t>PL-O-110</t>
        </is>
      </c>
      <c r="F270" t="inlineStr">
        <is>
          <t>Gastos de administración</t>
        </is>
      </c>
      <c r="G270" t="inlineStr">
        <is>
          <t>Suministros y oficina</t>
        </is>
      </c>
      <c r="H270" t="inlineStr">
        <is>
          <t>Aseo y limpieza</t>
        </is>
      </c>
      <c r="I270" t="inlineStr">
        <is>
          <t>Chapola Cafe</t>
        </is>
      </c>
      <c r="J270" s="41" t="n">
        <v>35.1</v>
      </c>
      <c r="K270" s="41" t="n">
        <v>0</v>
      </c>
      <c r="L270" s="41" t="n">
        <v>0</v>
      </c>
      <c r="M270" s="41" t="n">
        <v>35.1</v>
      </c>
      <c r="N270" s="41" t="n">
        <v>35.1</v>
      </c>
      <c r="O270" s="41" t="n">
        <v>0</v>
      </c>
      <c r="P270" t="inlineStr">
        <is>
          <t>Julio 2026 USA.xlsx</t>
        </is>
      </c>
      <c r="Q270" t="inlineStr">
        <is>
          <t>Fila 127</t>
        </is>
      </c>
      <c r="R270" t="inlineStr">
        <is>
          <t>Alta</t>
        </is>
      </c>
      <c r="S270" t="inlineStr">
        <is>
          <t>SI</t>
        </is>
      </c>
      <c r="T270" t="inlineStr">
        <is>
          <t>Se detectaron comercios de alimentos; revisar clasificación</t>
        </is>
      </c>
    </row>
    <row r="271">
      <c r="A271" t="inlineStr">
        <is>
          <t>2026-07</t>
        </is>
      </c>
      <c r="B271" t="inlineStr">
        <is>
          <t>Estados Unidos</t>
        </is>
      </c>
      <c r="C271" t="inlineStr">
        <is>
          <t>USA</t>
        </is>
      </c>
      <c r="D271" t="inlineStr">
        <is>
          <t>USD</t>
        </is>
      </c>
      <c r="E271" t="inlineStr">
        <is>
          <t>PL-O-110</t>
        </is>
      </c>
      <c r="F271" t="inlineStr">
        <is>
          <t>Gastos de administración</t>
        </is>
      </c>
      <c r="G271" t="inlineStr">
        <is>
          <t>Suministros y oficina</t>
        </is>
      </c>
      <c r="H271" t="inlineStr">
        <is>
          <t>Aseo y limpieza</t>
        </is>
      </c>
      <c r="I271" t="inlineStr">
        <is>
          <t>Latin Cafe</t>
        </is>
      </c>
      <c r="J271" s="41" t="n">
        <v>82.58</v>
      </c>
      <c r="K271" s="41" t="n">
        <v>0</v>
      </c>
      <c r="L271" s="41" t="n">
        <v>0</v>
      </c>
      <c r="M271" s="41" t="n">
        <v>82.58</v>
      </c>
      <c r="N271" s="41" t="n">
        <v>82.58</v>
      </c>
      <c r="O271" s="41" t="n">
        <v>0</v>
      </c>
      <c r="P271" t="inlineStr">
        <is>
          <t>Julio 2026 USA.xlsx</t>
        </is>
      </c>
      <c r="Q271" t="inlineStr">
        <is>
          <t>Fila 128</t>
        </is>
      </c>
      <c r="R271" t="inlineStr">
        <is>
          <t>Alta</t>
        </is>
      </c>
      <c r="S271" t="inlineStr">
        <is>
          <t>SI</t>
        </is>
      </c>
      <c r="T271" t="inlineStr">
        <is>
          <t>Se detectaron comercios de alimentos; revisar clasificación</t>
        </is>
      </c>
    </row>
    <row r="272">
      <c r="A272" t="inlineStr">
        <is>
          <t>2026-07</t>
        </is>
      </c>
      <c r="B272" t="inlineStr">
        <is>
          <t>Estados Unidos</t>
        </is>
      </c>
      <c r="C272" t="inlineStr">
        <is>
          <t>USA</t>
        </is>
      </c>
      <c r="D272" t="inlineStr">
        <is>
          <t>USD</t>
        </is>
      </c>
      <c r="E272" t="inlineStr">
        <is>
          <t>PL-O-120</t>
        </is>
      </c>
      <c r="F272" t="inlineStr">
        <is>
          <t>Gastos de administración</t>
        </is>
      </c>
      <c r="G272" t="inlineStr">
        <is>
          <t>Alimentación y restaurante</t>
        </is>
      </c>
      <c r="H272" t="inlineStr">
        <is>
          <t>Casino y restaurante</t>
        </is>
      </c>
      <c r="I272" t="inlineStr">
        <is>
          <t>Pollos &amp; Jarras</t>
        </is>
      </c>
      <c r="J272" s="41" t="n">
        <v>254.29</v>
      </c>
      <c r="K272" s="41" t="n">
        <v>95.81</v>
      </c>
      <c r="L272" s="41" t="n">
        <v>0</v>
      </c>
      <c r="M272" s="41" t="n">
        <v>350.1</v>
      </c>
      <c r="N272" s="41" t="n">
        <v>350.1</v>
      </c>
      <c r="O272" s="41" t="n">
        <v>95.81</v>
      </c>
      <c r="P272" t="inlineStr">
        <is>
          <t>Julio 2026 USA.xlsx</t>
        </is>
      </c>
      <c r="Q272" t="inlineStr">
        <is>
          <t>Fila 130</t>
        </is>
      </c>
      <c r="R272" t="inlineStr">
        <is>
          <t>Alta</t>
        </is>
      </c>
      <c r="S272" t="inlineStr">
        <is>
          <t>SI</t>
        </is>
      </c>
      <c r="T272" t="inlineStr">
        <is>
          <t>Se detectó un comercio minorista; revisar esa partida</t>
        </is>
      </c>
    </row>
    <row r="273">
      <c r="A273" t="inlineStr">
        <is>
          <t>2026-07</t>
        </is>
      </c>
      <c r="B273" t="inlineStr">
        <is>
          <t>Estados Unidos</t>
        </is>
      </c>
      <c r="C273" t="inlineStr">
        <is>
          <t>USA</t>
        </is>
      </c>
      <c r="D273" t="inlineStr">
        <is>
          <t>USD</t>
        </is>
      </c>
      <c r="E273" t="inlineStr">
        <is>
          <t>PL-O-120</t>
        </is>
      </c>
      <c r="F273" t="inlineStr">
        <is>
          <t>Gastos de administración</t>
        </is>
      </c>
      <c r="G273" t="inlineStr">
        <is>
          <t>Alimentación y restaurante</t>
        </is>
      </c>
      <c r="H273" t="inlineStr">
        <is>
          <t>Casino y restaurante</t>
        </is>
      </c>
      <c r="I273" t="inlineStr">
        <is>
          <t>Rice House Of Kabob</t>
        </is>
      </c>
      <c r="J273" s="41" t="n">
        <v>63.15</v>
      </c>
      <c r="K273" s="41" t="n">
        <v>0</v>
      </c>
      <c r="L273" s="41" t="n">
        <v>0</v>
      </c>
      <c r="M273" s="41" t="n">
        <v>63.15</v>
      </c>
      <c r="N273" s="41" t="n">
        <v>63.15</v>
      </c>
      <c r="O273" s="41" t="n">
        <v>0</v>
      </c>
      <c r="P273" t="inlineStr">
        <is>
          <t>Julio 2026 USA.xlsx</t>
        </is>
      </c>
      <c r="Q273" t="inlineStr">
        <is>
          <t>Fila 131</t>
        </is>
      </c>
      <c r="R273" t="inlineStr">
        <is>
          <t>Alta</t>
        </is>
      </c>
      <c r="S273" t="inlineStr">
        <is>
          <t>SI</t>
        </is>
      </c>
      <c r="T273" t="inlineStr">
        <is>
          <t>Se detectó un comercio minorista; revisar esa partida</t>
        </is>
      </c>
    </row>
    <row r="274">
      <c r="A274" t="inlineStr">
        <is>
          <t>2026-07</t>
        </is>
      </c>
      <c r="B274" t="inlineStr">
        <is>
          <t>Estados Unidos</t>
        </is>
      </c>
      <c r="C274" t="inlineStr">
        <is>
          <t>USA</t>
        </is>
      </c>
      <c r="D274" t="inlineStr">
        <is>
          <t>USD</t>
        </is>
      </c>
      <c r="E274" t="inlineStr">
        <is>
          <t>PL-O-120</t>
        </is>
      </c>
      <c r="F274" t="inlineStr">
        <is>
          <t>Gastos de administración</t>
        </is>
      </c>
      <c r="G274" t="inlineStr">
        <is>
          <t>Alimentación y restaurante</t>
        </is>
      </c>
      <c r="H274" t="inlineStr">
        <is>
          <t>Casino y restaurante</t>
        </is>
      </c>
      <c r="I274" t="inlineStr">
        <is>
          <t>Rice House Of Kabob</t>
        </is>
      </c>
      <c r="J274" s="41" t="n">
        <v>55.93</v>
      </c>
      <c r="K274" s="41" t="n">
        <v>0</v>
      </c>
      <c r="L274" s="41" t="n">
        <v>0</v>
      </c>
      <c r="M274" s="41" t="n">
        <v>55.93</v>
      </c>
      <c r="N274" s="41" t="n">
        <v>55.93</v>
      </c>
      <c r="O274" s="41" t="n">
        <v>0</v>
      </c>
      <c r="P274" t="inlineStr">
        <is>
          <t>Julio 2026 USA.xlsx</t>
        </is>
      </c>
      <c r="Q274" t="inlineStr">
        <is>
          <t>Fila 132</t>
        </is>
      </c>
      <c r="R274" t="inlineStr">
        <is>
          <t>Alta</t>
        </is>
      </c>
      <c r="S274" t="inlineStr">
        <is>
          <t>SI</t>
        </is>
      </c>
      <c r="T274" t="inlineStr">
        <is>
          <t>Se detectó un comercio minorista; revisar esa partida</t>
        </is>
      </c>
    </row>
    <row r="275">
      <c r="A275" t="inlineStr">
        <is>
          <t>2026-07</t>
        </is>
      </c>
      <c r="B275" t="inlineStr">
        <is>
          <t>Estados Unidos</t>
        </is>
      </c>
      <c r="C275" t="inlineStr">
        <is>
          <t>USA</t>
        </is>
      </c>
      <c r="D275" t="inlineStr">
        <is>
          <t>USD</t>
        </is>
      </c>
      <c r="E275" t="inlineStr">
        <is>
          <t>PL-O-120</t>
        </is>
      </c>
      <c r="F275" t="inlineStr">
        <is>
          <t>Gastos de administración</t>
        </is>
      </c>
      <c r="G275" t="inlineStr">
        <is>
          <t>Alimentación y restaurante</t>
        </is>
      </c>
      <c r="H275" t="inlineStr">
        <is>
          <t>Casino y restaurante</t>
        </is>
      </c>
      <c r="I275" t="inlineStr">
        <is>
          <t>Ross Dress for Less</t>
        </is>
      </c>
      <c r="J275" s="41" t="n">
        <v>145.96</v>
      </c>
      <c r="K275" s="41" t="n">
        <v>0</v>
      </c>
      <c r="L275" s="41" t="n">
        <v>0</v>
      </c>
      <c r="M275" s="41" t="n">
        <v>145.96</v>
      </c>
      <c r="N275" s="41" t="n">
        <v>145.96</v>
      </c>
      <c r="O275" s="41" t="n">
        <v>0</v>
      </c>
      <c r="P275" t="inlineStr">
        <is>
          <t>Julio 2026 USA.xlsx</t>
        </is>
      </c>
      <c r="Q275" t="inlineStr">
        <is>
          <t>Fila 133</t>
        </is>
      </c>
      <c r="R275" t="inlineStr">
        <is>
          <t>Alta</t>
        </is>
      </c>
      <c r="S275" t="inlineStr">
        <is>
          <t>SI</t>
        </is>
      </c>
      <c r="T275" t="inlineStr">
        <is>
          <t>Se detectó un comercio minorista; revisar esa partida</t>
        </is>
      </c>
    </row>
    <row r="276">
      <c r="A276" t="inlineStr">
        <is>
          <t>2026-07</t>
        </is>
      </c>
      <c r="B276" t="inlineStr">
        <is>
          <t>Estados Unidos</t>
        </is>
      </c>
      <c r="C276" t="inlineStr">
        <is>
          <t>USA</t>
        </is>
      </c>
      <c r="D276" t="inlineStr">
        <is>
          <t>USD</t>
        </is>
      </c>
      <c r="E276" t="inlineStr">
        <is>
          <t>PL-O-120</t>
        </is>
      </c>
      <c r="F276" t="inlineStr">
        <is>
          <t>Gastos de administración</t>
        </is>
      </c>
      <c r="G276" t="inlineStr">
        <is>
          <t>Alimentación y restaurante</t>
        </is>
      </c>
      <c r="H276" t="inlineStr">
        <is>
          <t>Casino y restaurante</t>
        </is>
      </c>
      <c r="I276" t="inlineStr">
        <is>
          <t>Milanezza Kitchen Bar &amp; Market</t>
        </is>
      </c>
      <c r="J276" s="41" t="n">
        <v>92.97</v>
      </c>
      <c r="K276" s="41" t="n">
        <v>0</v>
      </c>
      <c r="L276" s="41" t="n">
        <v>0</v>
      </c>
      <c r="M276" s="41" t="n">
        <v>92.97</v>
      </c>
      <c r="N276" s="41" t="n">
        <v>92.97</v>
      </c>
      <c r="O276" s="41" t="n">
        <v>0</v>
      </c>
      <c r="P276" t="inlineStr">
        <is>
          <t>Julio 2026 USA.xlsx</t>
        </is>
      </c>
      <c r="Q276" t="inlineStr">
        <is>
          <t>Fila 134</t>
        </is>
      </c>
      <c r="R276" t="inlineStr">
        <is>
          <t>Alta</t>
        </is>
      </c>
      <c r="S276" t="inlineStr">
        <is>
          <t>SI</t>
        </is>
      </c>
      <c r="T276" t="inlineStr">
        <is>
          <t>Se detectó un comercio minorista; revisar esa partida</t>
        </is>
      </c>
    </row>
    <row r="277">
      <c r="A277" t="inlineStr">
        <is>
          <t>2026-07</t>
        </is>
      </c>
      <c r="B277" t="inlineStr">
        <is>
          <t>Estados Unidos</t>
        </is>
      </c>
      <c r="C277" t="inlineStr">
        <is>
          <t>USA</t>
        </is>
      </c>
      <c r="D277" t="inlineStr">
        <is>
          <t>USD</t>
        </is>
      </c>
      <c r="E277" t="inlineStr">
        <is>
          <t>PL-O-120</t>
        </is>
      </c>
      <c r="F277" t="inlineStr">
        <is>
          <t>Gastos de administración</t>
        </is>
      </c>
      <c r="G277" t="inlineStr">
        <is>
          <t>Alimentación y restaurante</t>
        </is>
      </c>
      <c r="H277" t="inlineStr">
        <is>
          <t>Casino y restaurante</t>
        </is>
      </c>
      <c r="I277" t="inlineStr">
        <is>
          <t>Sushi Club</t>
        </is>
      </c>
      <c r="J277" s="41" t="n">
        <v>122.49</v>
      </c>
      <c r="K277" s="41" t="n">
        <v>0</v>
      </c>
      <c r="L277" s="41" t="n">
        <v>0</v>
      </c>
      <c r="M277" s="41" t="n">
        <v>122.49</v>
      </c>
      <c r="N277" s="41" t="n">
        <v>122.49</v>
      </c>
      <c r="O277" s="41" t="n">
        <v>0</v>
      </c>
      <c r="P277" t="inlineStr">
        <is>
          <t>Julio 2026 USA.xlsx</t>
        </is>
      </c>
      <c r="Q277" t="inlineStr">
        <is>
          <t>Fila 135</t>
        </is>
      </c>
      <c r="R277" t="inlineStr">
        <is>
          <t>Alta</t>
        </is>
      </c>
      <c r="S277" t="inlineStr">
        <is>
          <t>SI</t>
        </is>
      </c>
      <c r="T277" t="inlineStr">
        <is>
          <t>Se detectó un comercio minorista; revisar esa partida</t>
        </is>
      </c>
    </row>
    <row r="278">
      <c r="A278" t="inlineStr">
        <is>
          <t>2026-07</t>
        </is>
      </c>
      <c r="B278" t="inlineStr">
        <is>
          <t>Estados Unidos</t>
        </is>
      </c>
      <c r="C278" t="inlineStr">
        <is>
          <t>USA</t>
        </is>
      </c>
      <c r="D278" t="inlineStr">
        <is>
          <t>USD</t>
        </is>
      </c>
      <c r="E278" t="inlineStr">
        <is>
          <t>PL-O-120</t>
        </is>
      </c>
      <c r="F278" t="inlineStr">
        <is>
          <t>Gastos de administración</t>
        </is>
      </c>
      <c r="G278" t="inlineStr">
        <is>
          <t>Alimentación y restaurante</t>
        </is>
      </c>
      <c r="H278" t="inlineStr">
        <is>
          <t>Casino y restaurante</t>
        </is>
      </c>
      <c r="I278" t="inlineStr">
        <is>
          <t>The Cheesecake Factory</t>
        </is>
      </c>
      <c r="J278" s="41" t="n">
        <v>417.15</v>
      </c>
      <c r="K278" s="41" t="n">
        <v>0</v>
      </c>
      <c r="L278" s="41" t="n">
        <v>0</v>
      </c>
      <c r="M278" s="41" t="n">
        <v>417.15</v>
      </c>
      <c r="N278" s="41" t="n">
        <v>417.15</v>
      </c>
      <c r="O278" s="41" t="n">
        <v>0</v>
      </c>
      <c r="P278" t="inlineStr">
        <is>
          <t>Julio 2026 USA.xlsx</t>
        </is>
      </c>
      <c r="Q278" t="inlineStr">
        <is>
          <t>Fila 136</t>
        </is>
      </c>
      <c r="R278" t="inlineStr">
        <is>
          <t>Alta</t>
        </is>
      </c>
      <c r="S278" t="inlineStr">
        <is>
          <t>SI</t>
        </is>
      </c>
      <c r="T278" t="inlineStr">
        <is>
          <t>Se detectó un comercio minorista; revisar esa partida</t>
        </is>
      </c>
    </row>
    <row r="279">
      <c r="A279" t="inlineStr">
        <is>
          <t>2026-07</t>
        </is>
      </c>
      <c r="B279" t="inlineStr">
        <is>
          <t>Estados Unidos</t>
        </is>
      </c>
      <c r="C279" t="inlineStr">
        <is>
          <t>USA</t>
        </is>
      </c>
      <c r="D279" t="inlineStr">
        <is>
          <t>USD</t>
        </is>
      </c>
      <c r="E279" t="inlineStr">
        <is>
          <t>PL-O-120</t>
        </is>
      </c>
      <c r="F279" t="inlineStr">
        <is>
          <t>Gastos de administración</t>
        </is>
      </c>
      <c r="G279" t="inlineStr">
        <is>
          <t>Alimentación y restaurante</t>
        </is>
      </c>
      <c r="H279" t="inlineStr">
        <is>
          <t>Casino y restaurante</t>
        </is>
      </c>
      <c r="I279" t="inlineStr">
        <is>
          <t>Ai Tallarin</t>
        </is>
      </c>
      <c r="J279" s="41" t="n">
        <v>80.39</v>
      </c>
      <c r="K279" s="41" t="n">
        <v>0</v>
      </c>
      <c r="L279" s="41" t="n">
        <v>0</v>
      </c>
      <c r="M279" s="41" t="n">
        <v>80.39</v>
      </c>
      <c r="N279" s="41" t="n">
        <v>80.39</v>
      </c>
      <c r="O279" s="41" t="n">
        <v>0</v>
      </c>
      <c r="P279" t="inlineStr">
        <is>
          <t>Julio 2026 USA.xlsx</t>
        </is>
      </c>
      <c r="Q279" t="inlineStr">
        <is>
          <t>Fila 137</t>
        </is>
      </c>
      <c r="R279" t="inlineStr">
        <is>
          <t>Alta</t>
        </is>
      </c>
      <c r="S279" t="inlineStr">
        <is>
          <t>SI</t>
        </is>
      </c>
      <c r="T279" t="inlineStr">
        <is>
          <t>Se detectó un comercio minorista; revisar esa partida</t>
        </is>
      </c>
    </row>
    <row r="280">
      <c r="A280" t="inlineStr">
        <is>
          <t>2026-07</t>
        </is>
      </c>
      <c r="B280" t="inlineStr">
        <is>
          <t>Estados Unidos</t>
        </is>
      </c>
      <c r="C280" t="inlineStr">
        <is>
          <t>USA</t>
        </is>
      </c>
      <c r="D280" t="inlineStr">
        <is>
          <t>USD</t>
        </is>
      </c>
      <c r="E280" t="inlineStr">
        <is>
          <t>PL-O-120</t>
        </is>
      </c>
      <c r="F280" t="inlineStr">
        <is>
          <t>Gastos de administración</t>
        </is>
      </c>
      <c r="G280" t="inlineStr">
        <is>
          <t>Alimentación y restaurante</t>
        </is>
      </c>
      <c r="H280" t="inlineStr">
        <is>
          <t>Casino y restaurante</t>
        </is>
      </c>
      <c r="I280" t="inlineStr">
        <is>
          <t>AGO Miami</t>
        </is>
      </c>
      <c r="J280" s="41" t="n">
        <v>214.32</v>
      </c>
      <c r="K280" s="41" t="n">
        <v>0</v>
      </c>
      <c r="L280" s="41" t="n">
        <v>0</v>
      </c>
      <c r="M280" s="41" t="n">
        <v>214.32</v>
      </c>
      <c r="N280" s="41" t="n">
        <v>214.32</v>
      </c>
      <c r="O280" s="41" t="n">
        <v>0</v>
      </c>
      <c r="P280" t="inlineStr">
        <is>
          <t>Julio 2026 USA.xlsx</t>
        </is>
      </c>
      <c r="Q280" t="inlineStr">
        <is>
          <t>Fila 138</t>
        </is>
      </c>
      <c r="R280" t="inlineStr">
        <is>
          <t>Alta</t>
        </is>
      </c>
      <c r="S280" t="inlineStr">
        <is>
          <t>SI</t>
        </is>
      </c>
      <c r="T280" t="inlineStr">
        <is>
          <t>Se detectó un comercio minorista; revisar esa partida</t>
        </is>
      </c>
    </row>
    <row r="281">
      <c r="A281" t="inlineStr">
        <is>
          <t>2026-07</t>
        </is>
      </c>
      <c r="B281" t="inlineStr">
        <is>
          <t>Estados Unidos</t>
        </is>
      </c>
      <c r="C281" t="inlineStr">
        <is>
          <t>USA</t>
        </is>
      </c>
      <c r="D281" t="inlineStr">
        <is>
          <t>USD</t>
        </is>
      </c>
      <c r="E281" t="inlineStr">
        <is>
          <t>PL-O-120</t>
        </is>
      </c>
      <c r="F281" t="inlineStr">
        <is>
          <t>Gastos de administración</t>
        </is>
      </c>
      <c r="G281" t="inlineStr">
        <is>
          <t>Alimentación y restaurante</t>
        </is>
      </c>
      <c r="H281" t="inlineStr">
        <is>
          <t>Casino y restaurante</t>
        </is>
      </c>
      <c r="I281" t="inlineStr">
        <is>
          <t>Latin Cafe</t>
        </is>
      </c>
      <c r="J281" s="41" t="n">
        <v>0</v>
      </c>
      <c r="K281" s="41" t="n">
        <v>36.49</v>
      </c>
      <c r="L281" s="41" t="n">
        <v>0</v>
      </c>
      <c r="M281" s="41" t="n">
        <v>36.49</v>
      </c>
      <c r="N281" s="41" t="n">
        <v>36.49</v>
      </c>
      <c r="O281" s="41" t="n">
        <v>36.49</v>
      </c>
      <c r="P281" t="inlineStr">
        <is>
          <t>Julio 2026 USA.xlsx</t>
        </is>
      </c>
      <c r="Q281" t="inlineStr">
        <is>
          <t>Fila 139</t>
        </is>
      </c>
      <c r="R281" t="inlineStr">
        <is>
          <t>Alta</t>
        </is>
      </c>
      <c r="S281" t="inlineStr">
        <is>
          <t>SI</t>
        </is>
      </c>
      <c r="T281" t="inlineStr">
        <is>
          <t>Se detectó un comercio minorista; revisar esa partida</t>
        </is>
      </c>
    </row>
    <row r="282">
      <c r="A282" t="inlineStr">
        <is>
          <t>2026-07</t>
        </is>
      </c>
      <c r="B282" t="inlineStr">
        <is>
          <t>Estados Unidos</t>
        </is>
      </c>
      <c r="C282" t="inlineStr">
        <is>
          <t>USA</t>
        </is>
      </c>
      <c r="D282" t="inlineStr">
        <is>
          <t>USD</t>
        </is>
      </c>
      <c r="E282" t="inlineStr">
        <is>
          <t>PL-O-120</t>
        </is>
      </c>
      <c r="F282" t="inlineStr">
        <is>
          <t>Gastos de administración</t>
        </is>
      </c>
      <c r="G282" t="inlineStr">
        <is>
          <t>Alimentación y restaurante</t>
        </is>
      </c>
      <c r="H282" t="inlineStr">
        <is>
          <t>Casino y restaurante</t>
        </is>
      </c>
      <c r="I282" t="inlineStr">
        <is>
          <t>North Italia</t>
        </is>
      </c>
      <c r="J282" s="41" t="n">
        <v>284.61</v>
      </c>
      <c r="K282" s="41" t="n">
        <v>0</v>
      </c>
      <c r="L282" s="41" t="n">
        <v>0</v>
      </c>
      <c r="M282" s="41" t="n">
        <v>284.61</v>
      </c>
      <c r="N282" s="41" t="n">
        <v>284.61</v>
      </c>
      <c r="O282" s="41" t="n">
        <v>0</v>
      </c>
      <c r="P282" t="inlineStr">
        <is>
          <t>Julio 2026 USA.xlsx</t>
        </is>
      </c>
      <c r="Q282" t="inlineStr">
        <is>
          <t>Fila 140</t>
        </is>
      </c>
      <c r="R282" t="inlineStr">
        <is>
          <t>Alta</t>
        </is>
      </c>
      <c r="S282" t="inlineStr">
        <is>
          <t>SI</t>
        </is>
      </c>
      <c r="T282" t="inlineStr">
        <is>
          <t>Se detectó un comercio minorista; revisar esa partida</t>
        </is>
      </c>
    </row>
    <row r="283">
      <c r="A283" t="inlineStr">
        <is>
          <t>2026-07</t>
        </is>
      </c>
      <c r="B283" t="inlineStr">
        <is>
          <t>Estados Unidos</t>
        </is>
      </c>
      <c r="C283" t="inlineStr">
        <is>
          <t>USA</t>
        </is>
      </c>
      <c r="D283" t="inlineStr">
        <is>
          <t>USD</t>
        </is>
      </c>
      <c r="E283" t="inlineStr">
        <is>
          <t>PL-O-120</t>
        </is>
      </c>
      <c r="F283" t="inlineStr">
        <is>
          <t>Gastos de administración</t>
        </is>
      </c>
      <c r="G283" t="inlineStr">
        <is>
          <t>Alimentación y restaurante</t>
        </is>
      </c>
      <c r="H283" t="inlineStr">
        <is>
          <t>Casino y restaurante</t>
        </is>
      </c>
      <c r="I283" t="inlineStr">
        <is>
          <t>Fogo de Chão</t>
        </is>
      </c>
      <c r="J283" s="41" t="n">
        <v>372.46</v>
      </c>
      <c r="K283" s="41" t="n">
        <v>0</v>
      </c>
      <c r="L283" s="41" t="n">
        <v>0</v>
      </c>
      <c r="M283" s="41" t="n">
        <v>372.46</v>
      </c>
      <c r="N283" s="41" t="n">
        <v>372.46</v>
      </c>
      <c r="O283" s="41" t="n">
        <v>0</v>
      </c>
      <c r="P283" t="inlineStr">
        <is>
          <t>Julio 2026 USA.xlsx</t>
        </is>
      </c>
      <c r="Q283" t="inlineStr">
        <is>
          <t>Fila 141</t>
        </is>
      </c>
      <c r="R283" t="inlineStr">
        <is>
          <t>Alta</t>
        </is>
      </c>
      <c r="S283" t="inlineStr">
        <is>
          <t>SI</t>
        </is>
      </c>
      <c r="T283" t="inlineStr">
        <is>
          <t>Se detectó un comercio minorista; revisar esa partida</t>
        </is>
      </c>
    </row>
    <row r="284">
      <c r="A284" t="inlineStr">
        <is>
          <t>2026-07</t>
        </is>
      </c>
      <c r="B284" t="inlineStr">
        <is>
          <t>Estados Unidos</t>
        </is>
      </c>
      <c r="C284" t="inlineStr">
        <is>
          <t>USA</t>
        </is>
      </c>
      <c r="D284" t="inlineStr">
        <is>
          <t>USD</t>
        </is>
      </c>
      <c r="E284" t="inlineStr">
        <is>
          <t>PL-O-120</t>
        </is>
      </c>
      <c r="F284" t="inlineStr">
        <is>
          <t>Gastos de administración</t>
        </is>
      </c>
      <c r="G284" t="inlineStr">
        <is>
          <t>Alimentación y restaurante</t>
        </is>
      </c>
      <c r="H284" t="inlineStr">
        <is>
          <t>Casino y restaurante</t>
        </is>
      </c>
      <c r="I284" t="inlineStr">
        <is>
          <t>Crepes &amp; Waffles</t>
        </is>
      </c>
      <c r="J284" s="41" t="n">
        <v>30.09</v>
      </c>
      <c r="K284" s="41" t="n">
        <v>0</v>
      </c>
      <c r="L284" s="41" t="n">
        <v>0</v>
      </c>
      <c r="M284" s="41" t="n">
        <v>30.09</v>
      </c>
      <c r="N284" s="41" t="n">
        <v>30.09</v>
      </c>
      <c r="O284" s="41" t="n">
        <v>0</v>
      </c>
      <c r="P284" t="inlineStr">
        <is>
          <t>Julio 2026 USA.xlsx</t>
        </is>
      </c>
      <c r="Q284" t="inlineStr">
        <is>
          <t>Fila 142</t>
        </is>
      </c>
      <c r="R284" t="inlineStr">
        <is>
          <t>Alta</t>
        </is>
      </c>
      <c r="S284" t="inlineStr">
        <is>
          <t>SI</t>
        </is>
      </c>
      <c r="T284" t="inlineStr">
        <is>
          <t>Se detectó un comercio minorista; revisar esa partida</t>
        </is>
      </c>
    </row>
    <row r="285">
      <c r="A285" t="inlineStr">
        <is>
          <t>2026-07</t>
        </is>
      </c>
      <c r="B285" t="inlineStr">
        <is>
          <t>Estados Unidos</t>
        </is>
      </c>
      <c r="C285" t="inlineStr">
        <is>
          <t>USA</t>
        </is>
      </c>
      <c r="D285" t="inlineStr">
        <is>
          <t>USD</t>
        </is>
      </c>
      <c r="E285" t="inlineStr">
        <is>
          <t>PL-O-120</t>
        </is>
      </c>
      <c r="F285" t="inlineStr">
        <is>
          <t>Gastos de administración</t>
        </is>
      </c>
      <c r="G285" t="inlineStr">
        <is>
          <t>Alimentación y restaurante</t>
        </is>
      </c>
      <c r="H285" t="inlineStr">
        <is>
          <t>Casino y restaurante</t>
        </is>
      </c>
      <c r="I285" t="inlineStr">
        <is>
          <t>Sunny Side- Miami</t>
        </is>
      </c>
      <c r="J285" s="41" t="n">
        <v>182.88</v>
      </c>
      <c r="K285" s="41" t="n">
        <v>0</v>
      </c>
      <c r="L285" s="41" t="n">
        <v>0</v>
      </c>
      <c r="M285" s="41" t="n">
        <v>182.88</v>
      </c>
      <c r="N285" s="41" t="n">
        <v>182.88</v>
      </c>
      <c r="O285" s="41" t="n">
        <v>0</v>
      </c>
      <c r="P285" t="inlineStr">
        <is>
          <t>Julio 2026 USA.xlsx</t>
        </is>
      </c>
      <c r="Q285" t="inlineStr">
        <is>
          <t>Fila 143</t>
        </is>
      </c>
      <c r="R285" t="inlineStr">
        <is>
          <t>Alta</t>
        </is>
      </c>
      <c r="S285" t="inlineStr">
        <is>
          <t>SI</t>
        </is>
      </c>
      <c r="T285" t="inlineStr">
        <is>
          <t>Se detectó un comercio minorista; revisar esa partida</t>
        </is>
      </c>
    </row>
    <row r="286">
      <c r="A286" t="inlineStr">
        <is>
          <t>2026-07</t>
        </is>
      </c>
      <c r="B286" t="inlineStr">
        <is>
          <t>Estados Unidos</t>
        </is>
      </c>
      <c r="C286" t="inlineStr">
        <is>
          <t>USA</t>
        </is>
      </c>
      <c r="D286" t="inlineStr">
        <is>
          <t>USD</t>
        </is>
      </c>
      <c r="E286" t="inlineStr">
        <is>
          <t>PL-O-120</t>
        </is>
      </c>
      <c r="F286" t="inlineStr">
        <is>
          <t>Gastos de administración</t>
        </is>
      </c>
      <c r="G286" t="inlineStr">
        <is>
          <t>Alimentación y restaurante</t>
        </is>
      </c>
      <c r="H286" t="inlineStr">
        <is>
          <t>Casino y restaurante</t>
        </is>
      </c>
      <c r="I286" t="inlineStr">
        <is>
          <t>Casa Tua Cucina</t>
        </is>
      </c>
      <c r="J286" s="41" t="n">
        <v>0</v>
      </c>
      <c r="K286" s="41" t="n">
        <v>45.36</v>
      </c>
      <c r="L286" s="41" t="n">
        <v>0</v>
      </c>
      <c r="M286" s="41" t="n">
        <v>45.36</v>
      </c>
      <c r="N286" s="41" t="n">
        <v>45.36</v>
      </c>
      <c r="O286" s="41" t="n">
        <v>45.36</v>
      </c>
      <c r="P286" t="inlineStr">
        <is>
          <t>Julio 2026 USA.xlsx</t>
        </is>
      </c>
      <c r="Q286" t="inlineStr">
        <is>
          <t>Fila 144</t>
        </is>
      </c>
      <c r="R286" t="inlineStr">
        <is>
          <t>Alta</t>
        </is>
      </c>
      <c r="S286" t="inlineStr">
        <is>
          <t>SI</t>
        </is>
      </c>
      <c r="T286" t="inlineStr">
        <is>
          <t>Se detectó un comercio minorista; revisar esa partida</t>
        </is>
      </c>
    </row>
    <row r="287">
      <c r="A287" t="inlineStr">
        <is>
          <t>2026-07</t>
        </is>
      </c>
      <c r="B287" t="inlineStr">
        <is>
          <t>Estados Unidos</t>
        </is>
      </c>
      <c r="C287" t="inlineStr">
        <is>
          <t>USA</t>
        </is>
      </c>
      <c r="D287" t="inlineStr">
        <is>
          <t>USD</t>
        </is>
      </c>
      <c r="E287" t="inlineStr">
        <is>
          <t>PL-O-120</t>
        </is>
      </c>
      <c r="F287" t="inlineStr">
        <is>
          <t>Gastos de administración</t>
        </is>
      </c>
      <c r="G287" t="inlineStr">
        <is>
          <t>Alimentación y restaurante</t>
        </is>
      </c>
      <c r="H287" t="inlineStr">
        <is>
          <t>Casino y restaurante</t>
        </is>
      </c>
      <c r="I287" t="inlineStr">
        <is>
          <t>La Carretera</t>
        </is>
      </c>
      <c r="J287" s="41" t="n">
        <v>7.03</v>
      </c>
      <c r="K287" s="41" t="n">
        <v>0</v>
      </c>
      <c r="L287" s="41" t="n">
        <v>0</v>
      </c>
      <c r="M287" s="41" t="n">
        <v>7.03</v>
      </c>
      <c r="N287" s="41" t="n">
        <v>7.03</v>
      </c>
      <c r="O287" s="41" t="n">
        <v>0</v>
      </c>
      <c r="P287" t="inlineStr">
        <is>
          <t>Julio 2026 USA.xlsx</t>
        </is>
      </c>
      <c r="Q287" t="inlineStr">
        <is>
          <t>Fila 145</t>
        </is>
      </c>
      <c r="R287" t="inlineStr">
        <is>
          <t>Alta</t>
        </is>
      </c>
      <c r="S287" t="inlineStr">
        <is>
          <t>SI</t>
        </is>
      </c>
      <c r="T287" t="inlineStr">
        <is>
          <t>Se detectó un comercio minorista; revisar esa partida</t>
        </is>
      </c>
    </row>
    <row r="288">
      <c r="A288" t="inlineStr">
        <is>
          <t>2026-07</t>
        </is>
      </c>
      <c r="B288" t="inlineStr">
        <is>
          <t>Estados Unidos</t>
        </is>
      </c>
      <c r="C288" t="inlineStr">
        <is>
          <t>USA</t>
        </is>
      </c>
      <c r="D288" t="inlineStr">
        <is>
          <t>USD</t>
        </is>
      </c>
      <c r="E288" t="inlineStr">
        <is>
          <t>PL-O-120</t>
        </is>
      </c>
      <c r="F288" t="inlineStr">
        <is>
          <t>Gastos de administración</t>
        </is>
      </c>
      <c r="G288" t="inlineStr">
        <is>
          <t>Alimentación y restaurante</t>
        </is>
      </c>
      <c r="H288" t="inlineStr">
        <is>
          <t>Casino y restaurante</t>
        </is>
      </c>
      <c r="I288" t="inlineStr">
        <is>
          <t>Fiorito</t>
        </is>
      </c>
      <c r="J288" s="41" t="n">
        <v>299.25</v>
      </c>
      <c r="K288" s="41" t="n">
        <v>0</v>
      </c>
      <c r="L288" s="41" t="n">
        <v>0</v>
      </c>
      <c r="M288" s="41" t="n">
        <v>299.25</v>
      </c>
      <c r="N288" s="41" t="n">
        <v>299.25</v>
      </c>
      <c r="O288" s="41" t="n">
        <v>0</v>
      </c>
      <c r="P288" t="inlineStr">
        <is>
          <t>Julio 2026 USA.xlsx</t>
        </is>
      </c>
      <c r="Q288" t="inlineStr">
        <is>
          <t>Fila 146</t>
        </is>
      </c>
      <c r="R288" t="inlineStr">
        <is>
          <t>Alta</t>
        </is>
      </c>
      <c r="S288" t="inlineStr">
        <is>
          <t>SI</t>
        </is>
      </c>
      <c r="T288" t="inlineStr">
        <is>
          <t>Se detectó un comercio minorista; revisar esa partida</t>
        </is>
      </c>
    </row>
    <row r="289">
      <c r="A289" t="inlineStr">
        <is>
          <t>2026-07</t>
        </is>
      </c>
      <c r="B289" t="inlineStr">
        <is>
          <t>Estados Unidos</t>
        </is>
      </c>
      <c r="C289" t="inlineStr">
        <is>
          <t>USA</t>
        </is>
      </c>
      <c r="D289" t="inlineStr">
        <is>
          <t>USD</t>
        </is>
      </c>
      <c r="E289" t="inlineStr">
        <is>
          <t>PL-O-120</t>
        </is>
      </c>
      <c r="F289" t="inlineStr">
        <is>
          <t>Gastos de administración</t>
        </is>
      </c>
      <c r="G289" t="inlineStr">
        <is>
          <t>Alimentación y restaurante</t>
        </is>
      </c>
      <c r="H289" t="inlineStr">
        <is>
          <t>Casino y restaurante</t>
        </is>
      </c>
      <c r="I289" t="inlineStr">
        <is>
          <t>Door Dash</t>
        </is>
      </c>
      <c r="J289" s="41" t="n">
        <v>27.93</v>
      </c>
      <c r="K289" s="41" t="n">
        <v>0</v>
      </c>
      <c r="L289" s="41" t="n">
        <v>0</v>
      </c>
      <c r="M289" s="41" t="n">
        <v>27.93</v>
      </c>
      <c r="N289" s="41" t="n">
        <v>27.93</v>
      </c>
      <c r="O289" s="41" t="n">
        <v>0</v>
      </c>
      <c r="P289" t="inlineStr">
        <is>
          <t>Julio 2026 USA.xlsx</t>
        </is>
      </c>
      <c r="Q289" t="inlineStr">
        <is>
          <t>Fila 147</t>
        </is>
      </c>
      <c r="R289" t="inlineStr">
        <is>
          <t>Alta</t>
        </is>
      </c>
      <c r="S289" t="inlineStr">
        <is>
          <t>SI</t>
        </is>
      </c>
      <c r="T289" t="inlineStr">
        <is>
          <t>Se detectó un comercio minorista; revisar esa partida</t>
        </is>
      </c>
    </row>
    <row r="290">
      <c r="A290" t="inlineStr">
        <is>
          <t>2026-07</t>
        </is>
      </c>
      <c r="B290" t="inlineStr">
        <is>
          <t>Estados Unidos</t>
        </is>
      </c>
      <c r="C290" t="inlineStr">
        <is>
          <t>USA</t>
        </is>
      </c>
      <c r="D290" t="inlineStr">
        <is>
          <t>USD</t>
        </is>
      </c>
      <c r="E290" t="inlineStr">
        <is>
          <t>PL-O-120</t>
        </is>
      </c>
      <c r="F290" t="inlineStr">
        <is>
          <t>Gastos de administración</t>
        </is>
      </c>
      <c r="G290" t="inlineStr">
        <is>
          <t>Alimentación y restaurante</t>
        </is>
      </c>
      <c r="H290" t="inlineStr">
        <is>
          <t>Casino y restaurante</t>
        </is>
      </c>
      <c r="I290" t="inlineStr">
        <is>
          <t>Estadero y Asados Dona</t>
        </is>
      </c>
      <c r="J290" s="41" t="n">
        <v>72.54000000000001</v>
      </c>
      <c r="K290" s="41" t="n">
        <v>0</v>
      </c>
      <c r="L290" s="41" t="n">
        <v>0</v>
      </c>
      <c r="M290" s="41" t="n">
        <v>72.54000000000001</v>
      </c>
      <c r="N290" s="41" t="n">
        <v>72.54000000000001</v>
      </c>
      <c r="O290" s="41" t="n">
        <v>0</v>
      </c>
      <c r="P290" t="inlineStr">
        <is>
          <t>Julio 2026 USA.xlsx</t>
        </is>
      </c>
      <c r="Q290" t="inlineStr">
        <is>
          <t>Fila 148</t>
        </is>
      </c>
      <c r="R290" t="inlineStr">
        <is>
          <t>Alta</t>
        </is>
      </c>
      <c r="S290" t="inlineStr">
        <is>
          <t>SI</t>
        </is>
      </c>
      <c r="T290" t="inlineStr">
        <is>
          <t>Se detectó un comercio minorista; revisar esa partida</t>
        </is>
      </c>
    </row>
    <row r="291">
      <c r="A291" t="inlineStr">
        <is>
          <t>2026-07</t>
        </is>
      </c>
      <c r="B291" t="inlineStr">
        <is>
          <t>Estados Unidos</t>
        </is>
      </c>
      <c r="C291" t="inlineStr">
        <is>
          <t>USA</t>
        </is>
      </c>
      <c r="D291" t="inlineStr">
        <is>
          <t>USD</t>
        </is>
      </c>
      <c r="E291" t="inlineStr">
        <is>
          <t>PL-O-120</t>
        </is>
      </c>
      <c r="F291" t="inlineStr">
        <is>
          <t>Gastos de administración</t>
        </is>
      </c>
      <c r="G291" t="inlineStr">
        <is>
          <t>Alimentación y restaurante</t>
        </is>
      </c>
      <c r="H291" t="inlineStr">
        <is>
          <t>Casino y restaurante</t>
        </is>
      </c>
      <c r="I291" t="inlineStr">
        <is>
          <t>Bistro Cafe</t>
        </is>
      </c>
      <c r="J291" s="41" t="n">
        <v>476.54</v>
      </c>
      <c r="K291" s="41" t="n">
        <v>0</v>
      </c>
      <c r="L291" s="41" t="n">
        <v>0</v>
      </c>
      <c r="M291" s="41" t="n">
        <v>476.54</v>
      </c>
      <c r="N291" s="41" t="n">
        <v>476.54</v>
      </c>
      <c r="O291" s="41" t="n">
        <v>0</v>
      </c>
      <c r="P291" t="inlineStr">
        <is>
          <t>Julio 2026 USA.xlsx</t>
        </is>
      </c>
      <c r="Q291" t="inlineStr">
        <is>
          <t>Fila 149</t>
        </is>
      </c>
      <c r="R291" t="inlineStr">
        <is>
          <t>Alta</t>
        </is>
      </c>
      <c r="S291" t="inlineStr">
        <is>
          <t>SI</t>
        </is>
      </c>
      <c r="T291" t="inlineStr">
        <is>
          <t>Se detectó un comercio minorista; revisar esa partida</t>
        </is>
      </c>
    </row>
    <row r="292">
      <c r="A292" t="inlineStr">
        <is>
          <t>2026-07</t>
        </is>
      </c>
      <c r="B292" t="inlineStr">
        <is>
          <t>Estados Unidos</t>
        </is>
      </c>
      <c r="C292" t="inlineStr">
        <is>
          <t>USA</t>
        </is>
      </c>
      <c r="D292" t="inlineStr">
        <is>
          <t>USD</t>
        </is>
      </c>
      <c r="E292" t="inlineStr">
        <is>
          <t>PL-O-120</t>
        </is>
      </c>
      <c r="F292" t="inlineStr">
        <is>
          <t>Gastos de administración</t>
        </is>
      </c>
      <c r="G292" t="inlineStr">
        <is>
          <t>Alimentación y restaurante</t>
        </is>
      </c>
      <c r="H292" t="inlineStr">
        <is>
          <t>Casino y restaurante</t>
        </is>
      </c>
      <c r="I292" t="inlineStr">
        <is>
          <t>El Turco Turkish</t>
        </is>
      </c>
      <c r="J292" s="41" t="n">
        <v>259.2</v>
      </c>
      <c r="K292" s="41" t="n">
        <v>0</v>
      </c>
      <c r="L292" s="41" t="n">
        <v>0</v>
      </c>
      <c r="M292" s="41" t="n">
        <v>259.2</v>
      </c>
      <c r="N292" s="41" t="n">
        <v>259.2</v>
      </c>
      <c r="O292" s="41" t="n">
        <v>0</v>
      </c>
      <c r="P292" t="inlineStr">
        <is>
          <t>Julio 2026 USA.xlsx</t>
        </is>
      </c>
      <c r="Q292" t="inlineStr">
        <is>
          <t>Fila 150</t>
        </is>
      </c>
      <c r="R292" t="inlineStr">
        <is>
          <t>Alta</t>
        </is>
      </c>
      <c r="S292" t="inlineStr">
        <is>
          <t>SI</t>
        </is>
      </c>
      <c r="T292" t="inlineStr">
        <is>
          <t>Se detectó un comercio minorista; revisar esa partida</t>
        </is>
      </c>
    </row>
    <row r="293">
      <c r="A293" t="inlineStr">
        <is>
          <t>2026-07</t>
        </is>
      </c>
      <c r="B293" t="inlineStr">
        <is>
          <t>Estados Unidos</t>
        </is>
      </c>
      <c r="C293" t="inlineStr">
        <is>
          <t>USA</t>
        </is>
      </c>
      <c r="D293" t="inlineStr">
        <is>
          <t>USD</t>
        </is>
      </c>
      <c r="E293" t="inlineStr">
        <is>
          <t>PL-O-120</t>
        </is>
      </c>
      <c r="F293" t="inlineStr">
        <is>
          <t>Gastos de administración</t>
        </is>
      </c>
      <c r="G293" t="inlineStr">
        <is>
          <t>Alimentación y restaurante</t>
        </is>
      </c>
      <c r="H293" t="inlineStr">
        <is>
          <t>Casino y restaurante</t>
        </is>
      </c>
      <c r="I293" t="inlineStr">
        <is>
          <t>Novecento</t>
        </is>
      </c>
      <c r="J293" s="41" t="n">
        <v>237.15</v>
      </c>
      <c r="K293" s="41" t="n">
        <v>0</v>
      </c>
      <c r="L293" s="41" t="n">
        <v>0</v>
      </c>
      <c r="M293" s="41" t="n">
        <v>237.15</v>
      </c>
      <c r="N293" s="41" t="n">
        <v>237.15</v>
      </c>
      <c r="O293" s="41" t="n">
        <v>0</v>
      </c>
      <c r="P293" t="inlineStr">
        <is>
          <t>Julio 2026 USA.xlsx</t>
        </is>
      </c>
      <c r="Q293" t="inlineStr">
        <is>
          <t>Fila 151</t>
        </is>
      </c>
      <c r="R293" t="inlineStr">
        <is>
          <t>Alta</t>
        </is>
      </c>
      <c r="S293" t="inlineStr">
        <is>
          <t>SI</t>
        </is>
      </c>
      <c r="T293" t="inlineStr">
        <is>
          <t>Se detectó un comercio minorista; revisar esa partida</t>
        </is>
      </c>
    </row>
    <row r="294">
      <c r="A294" t="inlineStr">
        <is>
          <t>2026-07</t>
        </is>
      </c>
      <c r="B294" t="inlineStr">
        <is>
          <t>Estados Unidos</t>
        </is>
      </c>
      <c r="C294" t="inlineStr">
        <is>
          <t>USA</t>
        </is>
      </c>
      <c r="D294" t="inlineStr">
        <is>
          <t>USD</t>
        </is>
      </c>
      <c r="E294" t="inlineStr">
        <is>
          <t>PL-O-130</t>
        </is>
      </c>
      <c r="F294" t="inlineStr">
        <is>
          <t>Gastos de administración</t>
        </is>
      </c>
      <c r="G294" t="inlineStr">
        <is>
          <t>Transporte local y parqueaderos</t>
        </is>
      </c>
      <c r="H294" t="inlineStr">
        <is>
          <t>Parqueaderos</t>
        </is>
      </c>
      <c r="I294" t="inlineStr">
        <is>
          <t>LAZ Parking</t>
        </is>
      </c>
      <c r="J294" s="41" t="n">
        <v>10</v>
      </c>
      <c r="K294" s="41" t="n">
        <v>0</v>
      </c>
      <c r="L294" s="41" t="n">
        <v>0</v>
      </c>
      <c r="M294" s="41" t="n">
        <v>10</v>
      </c>
      <c r="N294" s="41" t="n">
        <v>10</v>
      </c>
      <c r="O294" s="41" t="n">
        <v>0</v>
      </c>
      <c r="P294" t="inlineStr">
        <is>
          <t>Julio 2026 USA.xlsx</t>
        </is>
      </c>
      <c r="Q294" t="inlineStr">
        <is>
          <t>Fila 153</t>
        </is>
      </c>
      <c r="R294" t="inlineStr">
        <is>
          <t>Alta</t>
        </is>
      </c>
      <c r="S294" t="inlineStr">
        <is>
          <t>NO</t>
        </is>
      </c>
      <c r="T294" t="inlineStr">
        <is>
          <t>Parqueaderos</t>
        </is>
      </c>
    </row>
    <row r="295">
      <c r="A295" t="inlineStr">
        <is>
          <t>2026-07</t>
        </is>
      </c>
      <c r="B295" t="inlineStr">
        <is>
          <t>Estados Unidos</t>
        </is>
      </c>
      <c r="C295" t="inlineStr">
        <is>
          <t>USA</t>
        </is>
      </c>
      <c r="D295" t="inlineStr">
        <is>
          <t>USD</t>
        </is>
      </c>
      <c r="E295" t="inlineStr">
        <is>
          <t>PL-O-130</t>
        </is>
      </c>
      <c r="F295" t="inlineStr">
        <is>
          <t>Gastos de administración</t>
        </is>
      </c>
      <c r="G295" t="inlineStr">
        <is>
          <t>Transporte local y parqueaderos</t>
        </is>
      </c>
      <c r="H295" t="inlineStr">
        <is>
          <t>Parqueaderos</t>
        </is>
      </c>
      <c r="I295" t="inlineStr">
        <is>
          <t>Southern Parking</t>
        </is>
      </c>
      <c r="J295" s="41" t="n">
        <v>12.75</v>
      </c>
      <c r="K295" s="41" t="n">
        <v>0</v>
      </c>
      <c r="L295" s="41" t="n">
        <v>0</v>
      </c>
      <c r="M295" s="41" t="n">
        <v>12.75</v>
      </c>
      <c r="N295" s="41" t="n">
        <v>12.75</v>
      </c>
      <c r="O295" s="41" t="n">
        <v>0</v>
      </c>
      <c r="P295" t="inlineStr">
        <is>
          <t>Julio 2026 USA.xlsx</t>
        </is>
      </c>
      <c r="Q295" t="inlineStr">
        <is>
          <t>Fila 154</t>
        </is>
      </c>
      <c r="R295" t="inlineStr">
        <is>
          <t>Alta</t>
        </is>
      </c>
      <c r="S295" t="inlineStr">
        <is>
          <t>NO</t>
        </is>
      </c>
      <c r="T295" t="inlineStr">
        <is>
          <t>Parqueaderos</t>
        </is>
      </c>
    </row>
    <row r="296">
      <c r="A296" t="inlineStr">
        <is>
          <t>2026-07</t>
        </is>
      </c>
      <c r="B296" t="inlineStr">
        <is>
          <t>Estados Unidos</t>
        </is>
      </c>
      <c r="C296" t="inlineStr">
        <is>
          <t>USA</t>
        </is>
      </c>
      <c r="D296" t="inlineStr">
        <is>
          <t>USD</t>
        </is>
      </c>
      <c r="E296" t="inlineStr">
        <is>
          <t>PL-O-130</t>
        </is>
      </c>
      <c r="F296" t="inlineStr">
        <is>
          <t>Gastos de administración</t>
        </is>
      </c>
      <c r="G296" t="inlineStr">
        <is>
          <t>Transporte local y parqueaderos</t>
        </is>
      </c>
      <c r="H296" t="inlineStr">
        <is>
          <t>Parqueaderos</t>
        </is>
      </c>
      <c r="I296" t="inlineStr">
        <is>
          <t>Miami Beach Parking Garage</t>
        </is>
      </c>
      <c r="J296" s="41" t="n">
        <v>35</v>
      </c>
      <c r="K296" s="41" t="n">
        <v>0</v>
      </c>
      <c r="L296" s="41" t="n">
        <v>0</v>
      </c>
      <c r="M296" s="41" t="n">
        <v>35</v>
      </c>
      <c r="N296" s="41" t="n">
        <v>35</v>
      </c>
      <c r="O296" s="41" t="n">
        <v>0</v>
      </c>
      <c r="P296" t="inlineStr">
        <is>
          <t>Julio 2026 USA.xlsx</t>
        </is>
      </c>
      <c r="Q296" t="inlineStr">
        <is>
          <t>Fila 155</t>
        </is>
      </c>
      <c r="R296" t="inlineStr">
        <is>
          <t>Alta</t>
        </is>
      </c>
      <c r="S296" t="inlineStr">
        <is>
          <t>NO</t>
        </is>
      </c>
      <c r="T296" t="inlineStr">
        <is>
          <t>Parqueaderos</t>
        </is>
      </c>
    </row>
    <row r="297">
      <c r="A297" t="inlineStr">
        <is>
          <t>2026-07</t>
        </is>
      </c>
      <c r="B297" t="inlineStr">
        <is>
          <t>Estados Unidos</t>
        </is>
      </c>
      <c r="C297" t="inlineStr">
        <is>
          <t>USA</t>
        </is>
      </c>
      <c r="D297" t="inlineStr">
        <is>
          <t>USD</t>
        </is>
      </c>
      <c r="E297" t="inlineStr">
        <is>
          <t>PL-O-020</t>
        </is>
      </c>
      <c r="F297" t="inlineStr">
        <is>
          <t>Gastos de administración</t>
        </is>
      </c>
      <c r="G297" t="inlineStr">
        <is>
          <t>Honorarios y servicios profesionales</t>
        </is>
      </c>
      <c r="H297" t="inlineStr">
        <is>
          <t>Revisoría fiscal</t>
        </is>
      </c>
      <c r="I297" t="inlineStr">
        <is>
          <t>Paba Serje Mauricio</t>
        </is>
      </c>
      <c r="J297" s="41" t="n">
        <v>2333.33</v>
      </c>
      <c r="K297" s="41" t="n">
        <v>8000</v>
      </c>
      <c r="L297" s="41" t="n">
        <v>0</v>
      </c>
      <c r="M297" s="41" t="n">
        <v>10333.33</v>
      </c>
      <c r="N297" s="41" t="n">
        <v>10333.33</v>
      </c>
      <c r="O297" s="41" t="n">
        <v>8000</v>
      </c>
      <c r="P297" t="inlineStr">
        <is>
          <t>Julio 2026 USA.xlsx</t>
        </is>
      </c>
      <c r="Q297" t="inlineStr">
        <is>
          <t>Fila 159</t>
        </is>
      </c>
      <c r="R297" t="inlineStr">
        <is>
          <t>Alta</t>
        </is>
      </c>
      <c r="S297" t="inlineStr">
        <is>
          <t>NO</t>
        </is>
      </c>
      <c r="T297" t="inlineStr">
        <is>
          <t>Reclasificado desde ventas por su naturaleza administrativa</t>
        </is>
      </c>
    </row>
    <row r="298">
      <c r="A298" t="inlineStr">
        <is>
          <t>2026-07</t>
        </is>
      </c>
      <c r="B298" t="inlineStr">
        <is>
          <t>Estados Unidos</t>
        </is>
      </c>
      <c r="C298" t="inlineStr">
        <is>
          <t>USA</t>
        </is>
      </c>
      <c r="D298" t="inlineStr">
        <is>
          <t>USD</t>
        </is>
      </c>
      <c r="E298" t="inlineStr">
        <is>
          <t>PL-O-020</t>
        </is>
      </c>
      <c r="F298" t="inlineStr">
        <is>
          <t>Gastos de administración</t>
        </is>
      </c>
      <c r="G298" t="inlineStr">
        <is>
          <t>Honorarios y servicios profesionales</t>
        </is>
      </c>
      <c r="H298" t="inlineStr">
        <is>
          <t>Revisoría fiscal</t>
        </is>
      </c>
      <c r="I298" t="inlineStr">
        <is>
          <t>Paba Serje Mauricio</t>
        </is>
      </c>
      <c r="J298" s="41" t="n">
        <v>2557.46</v>
      </c>
      <c r="K298" s="41" t="n">
        <v>0</v>
      </c>
      <c r="L298" s="41" t="n">
        <v>0</v>
      </c>
      <c r="M298" s="41" t="n">
        <v>2557.46</v>
      </c>
      <c r="N298" s="41" t="n">
        <v>2557.46</v>
      </c>
      <c r="O298" s="41" t="n">
        <v>0</v>
      </c>
      <c r="P298" t="inlineStr">
        <is>
          <t>Julio 2026 USA.xlsx</t>
        </is>
      </c>
      <c r="Q298" t="inlineStr">
        <is>
          <t>Fila 160</t>
        </is>
      </c>
      <c r="R298" t="inlineStr">
        <is>
          <t>Alta</t>
        </is>
      </c>
      <c r="S298" t="inlineStr">
        <is>
          <t>NO</t>
        </is>
      </c>
      <c r="T298" t="inlineStr">
        <is>
          <t>Reclasificado desde ventas por su naturaleza administrativa</t>
        </is>
      </c>
    </row>
    <row r="299">
      <c r="A299" t="inlineStr">
        <is>
          <t>2026-07</t>
        </is>
      </c>
      <c r="B299" t="inlineStr">
        <is>
          <t>Estados Unidos</t>
        </is>
      </c>
      <c r="C299" t="inlineStr">
        <is>
          <t>USA</t>
        </is>
      </c>
      <c r="D299" t="inlineStr">
        <is>
          <t>USD</t>
        </is>
      </c>
      <c r="E299" t="inlineStr">
        <is>
          <t>PL-O-020</t>
        </is>
      </c>
      <c r="F299" t="inlineStr">
        <is>
          <t>Gastos de administración</t>
        </is>
      </c>
      <c r="G299" t="inlineStr">
        <is>
          <t>Honorarios y servicios profesionales</t>
        </is>
      </c>
      <c r="H299" t="inlineStr">
        <is>
          <t>Revisoría fiscal</t>
        </is>
      </c>
      <c r="I299" t="inlineStr">
        <is>
          <t>Paba Serje Mauricio</t>
        </is>
      </c>
      <c r="J299" s="41" t="n">
        <v>5666.67</v>
      </c>
      <c r="K299" s="41" t="n">
        <v>0</v>
      </c>
      <c r="L299" s="41" t="n">
        <v>0</v>
      </c>
      <c r="M299" s="41" t="n">
        <v>5666.67</v>
      </c>
      <c r="N299" s="41" t="n">
        <v>5666.67</v>
      </c>
      <c r="O299" s="41" t="n">
        <v>0</v>
      </c>
      <c r="P299" t="inlineStr">
        <is>
          <t>Julio 2026 USA.xlsx</t>
        </is>
      </c>
      <c r="Q299" t="inlineStr">
        <is>
          <t>Fila 161</t>
        </is>
      </c>
      <c r="R299" t="inlineStr">
        <is>
          <t>Alta</t>
        </is>
      </c>
      <c r="S299" t="inlineStr">
        <is>
          <t>NO</t>
        </is>
      </c>
      <c r="T299" t="inlineStr">
        <is>
          <t>Reclasificado desde ventas por su naturaleza administrativa</t>
        </is>
      </c>
    </row>
    <row r="300">
      <c r="A300" t="inlineStr">
        <is>
          <t>2026-07</t>
        </is>
      </c>
      <c r="B300" t="inlineStr">
        <is>
          <t>Estados Unidos</t>
        </is>
      </c>
      <c r="C300" t="inlineStr">
        <is>
          <t>USA</t>
        </is>
      </c>
      <c r="D300" t="inlineStr">
        <is>
          <t>USD</t>
        </is>
      </c>
      <c r="E300" t="inlineStr">
        <is>
          <t>PL-S-020</t>
        </is>
      </c>
      <c r="F300" t="inlineStr">
        <is>
          <t>Gastos de ventas</t>
        </is>
      </c>
      <c r="G300" t="inlineStr">
        <is>
          <t>Mercadeo y publicidad</t>
        </is>
      </c>
      <c r="H300" t="inlineStr">
        <is>
          <t>Propaganda y publicidad</t>
        </is>
      </c>
      <c r="I300" t="inlineStr">
        <is>
          <t>Magnimindin</t>
        </is>
      </c>
      <c r="J300" s="41" t="n">
        <v>400</v>
      </c>
      <c r="K300" s="41" t="n">
        <v>0</v>
      </c>
      <c r="L300" s="41" t="n">
        <v>0</v>
      </c>
      <c r="M300" s="41" t="n">
        <v>400</v>
      </c>
      <c r="N300" s="41" t="n">
        <v>400</v>
      </c>
      <c r="O300" s="41" t="n">
        <v>0</v>
      </c>
      <c r="P300" t="inlineStr">
        <is>
          <t>Julio 2026 USA.xlsx</t>
        </is>
      </c>
      <c r="Q300" t="inlineStr">
        <is>
          <t>Fila 164</t>
        </is>
      </c>
      <c r="R300" t="inlineStr">
        <is>
          <t>Alta</t>
        </is>
      </c>
      <c r="S300" t="inlineStr">
        <is>
          <t>NO</t>
        </is>
      </c>
      <c r="T300" t="inlineStr">
        <is>
          <t>Gasto comercial de publicidad</t>
        </is>
      </c>
    </row>
    <row r="301">
      <c r="A301" t="inlineStr">
        <is>
          <t>2026-07</t>
        </is>
      </c>
      <c r="B301" t="inlineStr">
        <is>
          <t>Estados Unidos</t>
        </is>
      </c>
      <c r="C301" t="inlineStr">
        <is>
          <t>USA</t>
        </is>
      </c>
      <c r="D301" t="inlineStr">
        <is>
          <t>USD</t>
        </is>
      </c>
      <c r="E301" t="inlineStr">
        <is>
          <t>PL-S-030</t>
        </is>
      </c>
      <c r="F301" t="inlineStr">
        <is>
          <t>Gastos de ventas</t>
        </is>
      </c>
      <c r="G301" t="inlineStr">
        <is>
          <t>Otros servicios comerciales</t>
        </is>
      </c>
      <c r="H301" t="inlineStr">
        <is>
          <t>Otros</t>
        </is>
      </c>
      <c r="I301" t="inlineStr">
        <is>
          <t>Emerge Americas LLC</t>
        </is>
      </c>
      <c r="J301" s="41" t="n">
        <v>3500</v>
      </c>
      <c r="K301" s="41" t="n">
        <v>0</v>
      </c>
      <c r="L301" s="41" t="n">
        <v>0</v>
      </c>
      <c r="M301" s="41" t="n">
        <v>3500</v>
      </c>
      <c r="N301" s="41" t="n">
        <v>3500</v>
      </c>
      <c r="O301" s="41" t="n">
        <v>0</v>
      </c>
      <c r="P301" t="inlineStr">
        <is>
          <t>Julio 2026 USA.xlsx</t>
        </is>
      </c>
      <c r="Q301" t="inlineStr">
        <is>
          <t>Fila 166</t>
        </is>
      </c>
      <c r="R301" t="inlineStr">
        <is>
          <t>Media</t>
        </is>
      </c>
      <c r="S301" t="inlineStr">
        <is>
          <t>SI</t>
        </is>
      </c>
      <c r="T301" t="inlineStr">
        <is>
          <t>Cuenta genérica de servicios comerciales</t>
        </is>
      </c>
    </row>
    <row r="302">
      <c r="A302" t="inlineStr">
        <is>
          <t>2026-07</t>
        </is>
      </c>
      <c r="B302" t="inlineStr">
        <is>
          <t>Estados Unidos</t>
        </is>
      </c>
      <c r="C302" t="inlineStr">
        <is>
          <t>USA</t>
        </is>
      </c>
      <c r="D302" t="inlineStr">
        <is>
          <t>USD</t>
        </is>
      </c>
      <c r="E302" t="inlineStr">
        <is>
          <t>PL-S-030</t>
        </is>
      </c>
      <c r="F302" t="inlineStr">
        <is>
          <t>Gastos de ventas</t>
        </is>
      </c>
      <c r="G302" t="inlineStr">
        <is>
          <t>Otros servicios comerciales</t>
        </is>
      </c>
      <c r="H302" t="inlineStr">
        <is>
          <t>Otros</t>
        </is>
      </c>
      <c r="I302" t="inlineStr">
        <is>
          <t>Tech + Startups Community</t>
        </is>
      </c>
      <c r="J302" s="41" t="n">
        <v>648</v>
      </c>
      <c r="K302" s="41" t="n">
        <v>0</v>
      </c>
      <c r="L302" s="41" t="n">
        <v>0</v>
      </c>
      <c r="M302" s="41" t="n">
        <v>648</v>
      </c>
      <c r="N302" s="41" t="n">
        <v>648</v>
      </c>
      <c r="O302" s="41" t="n">
        <v>0</v>
      </c>
      <c r="P302" t="inlineStr">
        <is>
          <t>Julio 2026 USA.xlsx</t>
        </is>
      </c>
      <c r="Q302" t="inlineStr">
        <is>
          <t>Fila 167</t>
        </is>
      </c>
      <c r="R302" t="inlineStr">
        <is>
          <t>Media</t>
        </is>
      </c>
      <c r="S302" t="inlineStr">
        <is>
          <t>SI</t>
        </is>
      </c>
      <c r="T302" t="inlineStr">
        <is>
          <t>Cuenta genérica de servicios comerciales</t>
        </is>
      </c>
    </row>
    <row r="303">
      <c r="A303" t="inlineStr">
        <is>
          <t>2026-07</t>
        </is>
      </c>
      <c r="B303" t="inlineStr">
        <is>
          <t>Estados Unidos</t>
        </is>
      </c>
      <c r="C303" t="inlineStr">
        <is>
          <t>USA</t>
        </is>
      </c>
      <c r="D303" t="inlineStr">
        <is>
          <t>USD</t>
        </is>
      </c>
      <c r="E303" t="inlineStr">
        <is>
          <t>PL-F-010</t>
        </is>
      </c>
      <c r="F303" t="inlineStr">
        <is>
          <t>Gastos financieros</t>
        </is>
      </c>
      <c r="G303" t="inlineStr">
        <is>
          <t>Gastos financieros</t>
        </is>
      </c>
      <c r="H303" t="inlineStr">
        <is>
          <t>Gastos bancarios</t>
        </is>
      </c>
      <c r="I303" t="inlineStr">
        <is>
          <t>BANK OF AMERICA NA</t>
        </is>
      </c>
      <c r="J303" s="41" t="n">
        <v>0.34</v>
      </c>
      <c r="K303" s="41" t="n">
        <v>0</v>
      </c>
      <c r="L303" s="41" t="n">
        <v>0</v>
      </c>
      <c r="M303" s="41" t="n">
        <v>0.34</v>
      </c>
      <c r="N303" s="41" t="n">
        <v>0.34</v>
      </c>
      <c r="O303" s="41" t="n">
        <v>0</v>
      </c>
      <c r="P303" t="inlineStr">
        <is>
          <t>Julio 2026 USA.xlsx</t>
        </is>
      </c>
      <c r="Q303" t="inlineStr">
        <is>
          <t>Fila 171</t>
        </is>
      </c>
      <c r="R303" t="inlineStr">
        <is>
          <t>Alta</t>
        </is>
      </c>
      <c r="S303" t="inlineStr">
        <is>
          <t>NO</t>
        </is>
      </c>
      <c r="T303" t="inlineStr">
        <is>
          <t>Costo financiero bancario</t>
        </is>
      </c>
    </row>
    <row r="304">
      <c r="A304" t="inlineStr">
        <is>
          <t>2026-07</t>
        </is>
      </c>
      <c r="B304" t="inlineStr">
        <is>
          <t>Estados Unidos</t>
        </is>
      </c>
      <c r="C304" t="inlineStr">
        <is>
          <t>USA</t>
        </is>
      </c>
      <c r="D304" t="inlineStr">
        <is>
          <t>USD</t>
        </is>
      </c>
      <c r="E304" t="inlineStr">
        <is>
          <t>PL-F-010</t>
        </is>
      </c>
      <c r="F304" t="inlineStr">
        <is>
          <t>Gastos financieros</t>
        </is>
      </c>
      <c r="G304" t="inlineStr">
        <is>
          <t>Gastos financieros</t>
        </is>
      </c>
      <c r="H304" t="inlineStr">
        <is>
          <t>Gastos bancarios</t>
        </is>
      </c>
      <c r="I304" t="inlineStr">
        <is>
          <t>MERCURY LLC</t>
        </is>
      </c>
      <c r="J304" s="41" t="n">
        <v>15</v>
      </c>
      <c r="K304" s="41" t="n">
        <v>0</v>
      </c>
      <c r="L304" s="41" t="n">
        <v>0</v>
      </c>
      <c r="M304" s="41" t="n">
        <v>15</v>
      </c>
      <c r="N304" s="41" t="n">
        <v>15</v>
      </c>
      <c r="O304" s="41" t="n">
        <v>0</v>
      </c>
      <c r="P304" t="inlineStr">
        <is>
          <t>Julio 2026 USA.xlsx</t>
        </is>
      </c>
      <c r="Q304" t="inlineStr">
        <is>
          <t>Fila 172</t>
        </is>
      </c>
      <c r="R304" t="inlineStr">
        <is>
          <t>Alta</t>
        </is>
      </c>
      <c r="S304" t="inlineStr">
        <is>
          <t>NO</t>
        </is>
      </c>
      <c r="T304" t="inlineStr">
        <is>
          <t>Costo financiero bancario</t>
        </is>
      </c>
    </row>
    <row r="305">
      <c r="A305" t="inlineStr">
        <is>
          <t>2026-07</t>
        </is>
      </c>
      <c r="B305" t="inlineStr">
        <is>
          <t>Estados Unidos</t>
        </is>
      </c>
      <c r="C305" t="inlineStr">
        <is>
          <t>USA</t>
        </is>
      </c>
      <c r="D305" t="inlineStr">
        <is>
          <t>USD</t>
        </is>
      </c>
      <c r="E305" t="inlineStr">
        <is>
          <t>PL-F-010</t>
        </is>
      </c>
      <c r="F305" t="inlineStr">
        <is>
          <t>Gastos financieros</t>
        </is>
      </c>
      <c r="G305" t="inlineStr">
        <is>
          <t>Gastos financieros</t>
        </is>
      </c>
      <c r="H305" t="inlineStr">
        <is>
          <t>Comisiones</t>
        </is>
      </c>
      <c r="I305" t="inlineStr">
        <is>
          <t>STRIPE</t>
        </is>
      </c>
      <c r="J305" s="41" t="n">
        <v>228.21</v>
      </c>
      <c r="K305" s="41" t="n">
        <v>8.33</v>
      </c>
      <c r="L305" s="41" t="n">
        <v>0</v>
      </c>
      <c r="M305" s="41" t="n">
        <v>236.54</v>
      </c>
      <c r="N305" s="41" t="n">
        <v>236.54</v>
      </c>
      <c r="O305" s="41" t="n">
        <v>8.33</v>
      </c>
      <c r="P305" t="inlineStr">
        <is>
          <t>Julio 2026 USA.xlsx</t>
        </is>
      </c>
      <c r="Q305" t="inlineStr">
        <is>
          <t>Fila 174</t>
        </is>
      </c>
      <c r="R305" t="inlineStr">
        <is>
          <t>Alta</t>
        </is>
      </c>
      <c r="S305" t="inlineStr">
        <is>
          <t>NO</t>
        </is>
      </c>
      <c r="T305" t="inlineStr">
        <is>
          <t>Comisiones financieras</t>
        </is>
      </c>
    </row>
    <row r="306">
      <c r="A306" t="inlineStr">
        <is>
          <t>2026-07</t>
        </is>
      </c>
      <c r="B306" t="inlineStr">
        <is>
          <t>Estados Unidos</t>
        </is>
      </c>
      <c r="C306" t="inlineStr">
        <is>
          <t>USA</t>
        </is>
      </c>
      <c r="D306" t="inlineStr">
        <is>
          <t>USD</t>
        </is>
      </c>
      <c r="E306" t="inlineStr">
        <is>
          <t>PL-F-010</t>
        </is>
      </c>
      <c r="F306" t="inlineStr">
        <is>
          <t>Gastos financieros</t>
        </is>
      </c>
      <c r="G306" t="inlineStr">
        <is>
          <t>Gastos financieros</t>
        </is>
      </c>
      <c r="H306" t="inlineStr">
        <is>
          <t>Comisiones</t>
        </is>
      </c>
      <c r="I306" t="inlineStr">
        <is>
          <t>Fundacion para la Confianza</t>
        </is>
      </c>
      <c r="J306" s="41" t="n">
        <v>3.11</v>
      </c>
      <c r="K306" s="41" t="n">
        <v>0</v>
      </c>
      <c r="L306" s="41" t="n">
        <v>0</v>
      </c>
      <c r="M306" s="41" t="n">
        <v>3.11</v>
      </c>
      <c r="N306" s="41" t="n">
        <v>3.11</v>
      </c>
      <c r="O306" s="41" t="n">
        <v>0</v>
      </c>
      <c r="P306" t="inlineStr">
        <is>
          <t>Julio 2026 USA.xlsx</t>
        </is>
      </c>
      <c r="Q306" t="inlineStr">
        <is>
          <t>Fila 175</t>
        </is>
      </c>
      <c r="R306" t="inlineStr">
        <is>
          <t>Alta</t>
        </is>
      </c>
      <c r="S306" t="inlineStr">
        <is>
          <t>NO</t>
        </is>
      </c>
      <c r="T306" t="inlineStr">
        <is>
          <t>Comisiones financieras</t>
        </is>
      </c>
    </row>
    <row r="307">
      <c r="A307" t="inlineStr">
        <is>
          <t>2026-07</t>
        </is>
      </c>
      <c r="B307" t="inlineStr">
        <is>
          <t>Estados Unidos</t>
        </is>
      </c>
      <c r="C307" t="inlineStr">
        <is>
          <t>USA</t>
        </is>
      </c>
      <c r="D307" t="inlineStr">
        <is>
          <t>USD</t>
        </is>
      </c>
      <c r="E307" t="inlineStr">
        <is>
          <t>PL-F-010</t>
        </is>
      </c>
      <c r="F307" t="inlineStr">
        <is>
          <t>Gastos financieros</t>
        </is>
      </c>
      <c r="G307" t="inlineStr">
        <is>
          <t>Gastos financieros</t>
        </is>
      </c>
      <c r="H307" t="inlineStr">
        <is>
          <t>Comisiones</t>
        </is>
      </c>
      <c r="I307" t="inlineStr">
        <is>
          <t>ADP</t>
        </is>
      </c>
      <c r="J307" s="41" t="n">
        <v>530.7</v>
      </c>
      <c r="K307" s="41" t="n">
        <v>125.95</v>
      </c>
      <c r="L307" s="41" t="n">
        <v>0</v>
      </c>
      <c r="M307" s="41" t="n">
        <v>656.65</v>
      </c>
      <c r="N307" s="41" t="n">
        <v>656.65</v>
      </c>
      <c r="O307" s="41" t="n">
        <v>125.95</v>
      </c>
      <c r="P307" t="inlineStr">
        <is>
          <t>Julio 2026 USA.xlsx</t>
        </is>
      </c>
      <c r="Q307" t="inlineStr">
        <is>
          <t>Fila 176</t>
        </is>
      </c>
      <c r="R307" t="inlineStr">
        <is>
          <t>Alta</t>
        </is>
      </c>
      <c r="S307" t="inlineStr">
        <is>
          <t>NO</t>
        </is>
      </c>
      <c r="T307" t="inlineStr">
        <is>
          <t>Comisiones financieras</t>
        </is>
      </c>
    </row>
    <row r="308">
      <c r="A308" t="inlineStr">
        <is>
          <t>2026-07</t>
        </is>
      </c>
      <c r="B308" t="inlineStr">
        <is>
          <t>Estados Unidos</t>
        </is>
      </c>
      <c r="C308" t="inlineStr">
        <is>
          <t>USA</t>
        </is>
      </c>
      <c r="D308" t="inlineStr">
        <is>
          <t>USD</t>
        </is>
      </c>
      <c r="E308" t="inlineStr">
        <is>
          <t>PL-F-010</t>
        </is>
      </c>
      <c r="F308" t="inlineStr">
        <is>
          <t>Gastos financieros</t>
        </is>
      </c>
      <c r="G308" t="inlineStr">
        <is>
          <t>Gastos financieros</t>
        </is>
      </c>
      <c r="H308" t="inlineStr">
        <is>
          <t>Comisiones</t>
        </is>
      </c>
      <c r="I308" t="inlineStr">
        <is>
          <t>MERCURY LLC</t>
        </is>
      </c>
      <c r="J308" s="41" t="n">
        <v>0.9</v>
      </c>
      <c r="K308" s="41" t="n">
        <v>0</v>
      </c>
      <c r="L308" s="41" t="n">
        <v>0</v>
      </c>
      <c r="M308" s="41" t="n">
        <v>0.9</v>
      </c>
      <c r="N308" s="41" t="n">
        <v>0.9</v>
      </c>
      <c r="O308" s="41" t="n">
        <v>0</v>
      </c>
      <c r="P308" t="inlineStr">
        <is>
          <t>Julio 2026 USA.xlsx</t>
        </is>
      </c>
      <c r="Q308" t="inlineStr">
        <is>
          <t>Fila 177</t>
        </is>
      </c>
      <c r="R308" t="inlineStr">
        <is>
          <t>Alta</t>
        </is>
      </c>
      <c r="S308" t="inlineStr">
        <is>
          <t>NO</t>
        </is>
      </c>
      <c r="T308" t="inlineStr">
        <is>
          <t>Comisiones financieras</t>
        </is>
      </c>
    </row>
    <row r="309">
      <c r="A309" t="inlineStr">
        <is>
          <t>2026-06</t>
        </is>
      </c>
      <c r="B309" t="inlineStr">
        <is>
          <t>Costa Rica</t>
        </is>
      </c>
      <c r="C309" t="inlineStr">
        <is>
          <t>CR</t>
        </is>
      </c>
      <c r="D309" t="inlineStr">
        <is>
          <t>USD</t>
        </is>
      </c>
      <c r="E309" t="inlineStr">
        <is>
          <t>PL-O-010</t>
        </is>
      </c>
      <c r="F309" t="inlineStr">
        <is>
          <t>Gastos de administración</t>
        </is>
      </c>
      <c r="G309" t="inlineStr">
        <is>
          <t>Gastos de personal</t>
        </is>
      </c>
      <c r="H309" t="inlineStr">
        <is>
          <t>Sueldos</t>
        </is>
      </c>
      <c r="I309" t="inlineStr">
        <is>
          <t>NARANJO BUSTOS MARIAM</t>
        </is>
      </c>
      <c r="J309" s="41" t="n">
        <v>5400</v>
      </c>
      <c r="K309" s="41" t="n">
        <v>1850</v>
      </c>
      <c r="L309" s="41" t="n">
        <v>0</v>
      </c>
      <c r="M309" s="41" t="n">
        <v>7250</v>
      </c>
      <c r="N309" s="41" t="n">
        <v>7250</v>
      </c>
      <c r="O309" s="41" t="n">
        <v>1850</v>
      </c>
      <c r="P309" t="inlineStr">
        <is>
          <t>Junio 2026 CR.xlsx</t>
        </is>
      </c>
      <c r="Q309" t="inlineStr">
        <is>
          <t>Fila 28</t>
        </is>
      </c>
      <c r="R309" t="inlineStr">
        <is>
          <t>Alta</t>
        </is>
      </c>
      <c r="S309" t="inlineStr">
        <is>
          <t>NO</t>
        </is>
      </c>
      <c r="T309" t="inlineStr">
        <is>
          <t>Remuneración laboral</t>
        </is>
      </c>
    </row>
    <row r="310">
      <c r="A310" t="inlineStr">
        <is>
          <t>2026-06</t>
        </is>
      </c>
      <c r="B310" t="inlineStr">
        <is>
          <t>Costa Rica</t>
        </is>
      </c>
      <c r="C310" t="inlineStr">
        <is>
          <t>CR</t>
        </is>
      </c>
      <c r="D310" t="inlineStr">
        <is>
          <t>USD</t>
        </is>
      </c>
      <c r="E310" t="inlineStr">
        <is>
          <t>PL-O-090</t>
        </is>
      </c>
      <c r="F310" t="inlineStr">
        <is>
          <t>Gastos de administración</t>
        </is>
      </c>
      <c r="G310" t="inlineStr">
        <is>
          <t>Viajes y representación</t>
        </is>
      </c>
      <c r="H310" t="inlineStr">
        <is>
          <t>Viáticos</t>
        </is>
      </c>
      <c r="J310" s="41" t="n">
        <v>1500</v>
      </c>
      <c r="K310" s="41" t="n">
        <v>300</v>
      </c>
      <c r="L310" s="41" t="n">
        <v>0</v>
      </c>
      <c r="M310" s="41" t="n">
        <v>1800</v>
      </c>
      <c r="N310" s="41" t="n">
        <v>1800</v>
      </c>
      <c r="O310" s="41" t="n">
        <v>300</v>
      </c>
      <c r="P310" t="inlineStr">
        <is>
          <t>Junio 2026 CR.xlsx</t>
        </is>
      </c>
      <c r="Q310" t="inlineStr">
        <is>
          <t>Fila 30</t>
        </is>
      </c>
      <c r="R310" t="inlineStr">
        <is>
          <t>Alta</t>
        </is>
      </c>
      <c r="S310" t="inlineStr">
        <is>
          <t>NO</t>
        </is>
      </c>
      <c r="T310" t="inlineStr">
        <is>
          <t>Viáticos administrativos</t>
        </is>
      </c>
    </row>
    <row r="311">
      <c r="A311" t="inlineStr">
        <is>
          <t>2026-06</t>
        </is>
      </c>
      <c r="B311" t="inlineStr">
        <is>
          <t>Costa Rica</t>
        </is>
      </c>
      <c r="C311" t="inlineStr">
        <is>
          <t>CR</t>
        </is>
      </c>
      <c r="D311" t="inlineStr">
        <is>
          <t>USD</t>
        </is>
      </c>
      <c r="E311" t="inlineStr">
        <is>
          <t>PL-O-010</t>
        </is>
      </c>
      <c r="F311" t="inlineStr">
        <is>
          <t>Gastos de administración</t>
        </is>
      </c>
      <c r="G311" t="inlineStr">
        <is>
          <t>Gastos de personal</t>
        </is>
      </c>
      <c r="H311" t="inlineStr">
        <is>
          <t>Prestaciones sociales</t>
        </is>
      </c>
      <c r="I311" t="inlineStr">
        <is>
          <t>NARANJO BUSTOS MARIAM</t>
        </is>
      </c>
      <c r="J311" s="41" t="n">
        <v>2012.37</v>
      </c>
      <c r="K311" s="41" t="n">
        <v>400</v>
      </c>
      <c r="L311" s="41" t="n">
        <v>0</v>
      </c>
      <c r="M311" s="41" t="n">
        <v>2412.37</v>
      </c>
      <c r="N311" s="41" t="n">
        <v>2412.37</v>
      </c>
      <c r="O311" s="41" t="n">
        <v>400</v>
      </c>
      <c r="P311" t="inlineStr">
        <is>
          <t>Junio 2026 CR.xlsx</t>
        </is>
      </c>
      <c r="Q311" t="inlineStr">
        <is>
          <t>Fila 32</t>
        </is>
      </c>
      <c r="R311" t="inlineStr">
        <is>
          <t>Alta</t>
        </is>
      </c>
      <c r="S311" t="inlineStr">
        <is>
          <t>NO</t>
        </is>
      </c>
      <c r="T311" t="inlineStr">
        <is>
          <t>Prestaciones laborales</t>
        </is>
      </c>
    </row>
    <row r="312">
      <c r="A312" t="inlineStr">
        <is>
          <t>2026-06</t>
        </is>
      </c>
      <c r="B312" t="inlineStr">
        <is>
          <t>Costa Rica</t>
        </is>
      </c>
      <c r="C312" t="inlineStr">
        <is>
          <t>CR</t>
        </is>
      </c>
      <c r="D312" t="inlineStr">
        <is>
          <t>USD</t>
        </is>
      </c>
      <c r="E312" t="inlineStr">
        <is>
          <t>PL-O-020</t>
        </is>
      </c>
      <c r="F312" t="inlineStr">
        <is>
          <t>Gastos de administración</t>
        </is>
      </c>
      <c r="G312" t="inlineStr">
        <is>
          <t>Honorarios y servicios profesionales</t>
        </is>
      </c>
      <c r="H312" t="inlineStr">
        <is>
          <t>Asesoría jurídica</t>
        </is>
      </c>
      <c r="I312" t="inlineStr">
        <is>
          <t>MUÑOZ CHACON FRANCISCO JAVIER</t>
        </is>
      </c>
      <c r="J312" s="41" t="n">
        <v>270.35</v>
      </c>
      <c r="K312" s="41" t="n">
        <v>0</v>
      </c>
      <c r="L312" s="41" t="n">
        <v>0</v>
      </c>
      <c r="M312" s="41" t="n">
        <v>270.35</v>
      </c>
      <c r="N312" s="41" t="n">
        <v>270.35</v>
      </c>
      <c r="O312" s="41" t="n">
        <v>0</v>
      </c>
      <c r="P312" t="inlineStr">
        <is>
          <t>Junio 2026 CR.xlsx</t>
        </is>
      </c>
      <c r="Q312" t="inlineStr">
        <is>
          <t>Fila 35</t>
        </is>
      </c>
      <c r="R312" t="inlineStr">
        <is>
          <t>Alta</t>
        </is>
      </c>
      <c r="S312" t="inlineStr">
        <is>
          <t>NO</t>
        </is>
      </c>
      <c r="T312" t="inlineStr">
        <is>
          <t>Servicio profesional jurídico</t>
        </is>
      </c>
    </row>
    <row r="313">
      <c r="A313" t="inlineStr">
        <is>
          <t>2026-06</t>
        </is>
      </c>
      <c r="B313" t="inlineStr">
        <is>
          <t>Costa Rica</t>
        </is>
      </c>
      <c r="C313" t="inlineStr">
        <is>
          <t>CR</t>
        </is>
      </c>
      <c r="D313" t="inlineStr">
        <is>
          <t>USD</t>
        </is>
      </c>
      <c r="E313" t="inlineStr">
        <is>
          <t>PL-O-030</t>
        </is>
      </c>
      <c r="F313" t="inlineStr">
        <is>
          <t>Gastos de administración</t>
        </is>
      </c>
      <c r="G313" t="inlineStr">
        <is>
          <t>Impuestos y contribuciones</t>
        </is>
      </c>
      <c r="H313" t="inlineStr">
        <is>
          <t>Industria, comercio y otros</t>
        </is>
      </c>
      <c r="I313" t="inlineStr">
        <is>
          <t>MINISTERIO DE HACIENDA</t>
        </is>
      </c>
      <c r="J313" s="41" t="n">
        <v>252.73</v>
      </c>
      <c r="K313" s="41" t="n">
        <v>0</v>
      </c>
      <c r="L313" s="41" t="n">
        <v>0</v>
      </c>
      <c r="M313" s="41" t="n">
        <v>252.73</v>
      </c>
      <c r="N313" s="41" t="n">
        <v>252.73</v>
      </c>
      <c r="O313" s="41" t="n">
        <v>0</v>
      </c>
      <c r="P313" t="inlineStr">
        <is>
          <t>Junio 2026 CR.xlsx</t>
        </is>
      </c>
      <c r="Q313" t="inlineStr">
        <is>
          <t>Fila 38</t>
        </is>
      </c>
      <c r="R313" t="inlineStr">
        <is>
          <t>Alta</t>
        </is>
      </c>
      <c r="S313" t="inlineStr">
        <is>
          <t>NO</t>
        </is>
      </c>
      <c r="T313" t="inlineStr">
        <is>
          <t>Impuestos no asociados a renta</t>
        </is>
      </c>
    </row>
    <row r="314">
      <c r="A314" t="inlineStr">
        <is>
          <t>2026-06</t>
        </is>
      </c>
      <c r="B314" t="inlineStr">
        <is>
          <t>Costa Rica</t>
        </is>
      </c>
      <c r="C314" t="inlineStr">
        <is>
          <t>CR</t>
        </is>
      </c>
      <c r="D314" t="inlineStr">
        <is>
          <t>USD</t>
        </is>
      </c>
      <c r="E314" t="inlineStr">
        <is>
          <t>PL-O-030</t>
        </is>
      </c>
      <c r="F314" t="inlineStr">
        <is>
          <t>Gastos de administración</t>
        </is>
      </c>
      <c r="G314" t="inlineStr">
        <is>
          <t>Impuestos y contribuciones</t>
        </is>
      </c>
      <c r="H314" t="inlineStr">
        <is>
          <t>Industria, comercio y otros</t>
        </is>
      </c>
      <c r="I314" t="inlineStr">
        <is>
          <t>MINISTERIO DE HACIENDA</t>
        </is>
      </c>
      <c r="J314" s="41" t="n">
        <v>142.19</v>
      </c>
      <c r="K314" s="41" t="n">
        <v>0</v>
      </c>
      <c r="L314" s="41" t="n">
        <v>0</v>
      </c>
      <c r="M314" s="41" t="n">
        <v>142.19</v>
      </c>
      <c r="N314" s="41" t="n">
        <v>142.19</v>
      </c>
      <c r="O314" s="41" t="n">
        <v>0</v>
      </c>
      <c r="P314" t="inlineStr">
        <is>
          <t>Junio 2026 CR.xlsx</t>
        </is>
      </c>
      <c r="Q314" t="inlineStr">
        <is>
          <t>Fila 39</t>
        </is>
      </c>
      <c r="R314" t="inlineStr">
        <is>
          <t>Alta</t>
        </is>
      </c>
      <c r="S314" t="inlineStr">
        <is>
          <t>NO</t>
        </is>
      </c>
      <c r="T314" t="inlineStr">
        <is>
          <t>Impuestos no asociados a renta</t>
        </is>
      </c>
    </row>
    <row r="315">
      <c r="A315" t="inlineStr">
        <is>
          <t>2026-06</t>
        </is>
      </c>
      <c r="B315" t="inlineStr">
        <is>
          <t>Costa Rica</t>
        </is>
      </c>
      <c r="C315" t="inlineStr">
        <is>
          <t>CR</t>
        </is>
      </c>
      <c r="D315" t="inlineStr">
        <is>
          <t>USD</t>
        </is>
      </c>
      <c r="E315" t="inlineStr">
        <is>
          <t>PL-O-030</t>
        </is>
      </c>
      <c r="F315" t="inlineStr">
        <is>
          <t>Gastos de administración</t>
        </is>
      </c>
      <c r="G315" t="inlineStr">
        <is>
          <t>Impuestos y contribuciones</t>
        </is>
      </c>
      <c r="H315" t="inlineStr">
        <is>
          <t>Contribuciones y afiliaciones</t>
        </is>
      </c>
      <c r="I315" t="inlineStr">
        <is>
          <t>MINISTERIO DE SALUD</t>
        </is>
      </c>
      <c r="J315" s="41" t="n">
        <v>64.79000000000001</v>
      </c>
      <c r="K315" s="41" t="n">
        <v>0</v>
      </c>
      <c r="L315" s="41" t="n">
        <v>0</v>
      </c>
      <c r="M315" s="41" t="n">
        <v>64.79000000000001</v>
      </c>
      <c r="N315" s="41" t="n">
        <v>64.79000000000001</v>
      </c>
      <c r="O315" s="41" t="n">
        <v>0</v>
      </c>
      <c r="P315" t="inlineStr">
        <is>
          <t>Junio 2026 CR.xlsx</t>
        </is>
      </c>
      <c r="Q315" t="inlineStr">
        <is>
          <t>Fila 42</t>
        </is>
      </c>
      <c r="R315" t="inlineStr">
        <is>
          <t>Alta</t>
        </is>
      </c>
      <c r="S315" t="inlineStr">
        <is>
          <t>NO</t>
        </is>
      </c>
      <c r="T315" t="inlineStr">
        <is>
          <t>Contribuciones</t>
        </is>
      </c>
    </row>
    <row r="316">
      <c r="A316" t="inlineStr">
        <is>
          <t>2026-06</t>
        </is>
      </c>
      <c r="B316" t="inlineStr">
        <is>
          <t>Costa Rica</t>
        </is>
      </c>
      <c r="C316" t="inlineStr">
        <is>
          <t>CR</t>
        </is>
      </c>
      <c r="D316" t="inlineStr">
        <is>
          <t>USD</t>
        </is>
      </c>
      <c r="E316" t="inlineStr">
        <is>
          <t>PL-O-050</t>
        </is>
      </c>
      <c r="F316" t="inlineStr">
        <is>
          <t>Gastos de administración</t>
        </is>
      </c>
      <c r="G316" t="inlineStr">
        <is>
          <t>Seguros</t>
        </is>
      </c>
      <c r="H316" t="inlineStr">
        <is>
          <t>Otros seguros</t>
        </is>
      </c>
      <c r="I316" t="inlineStr">
        <is>
          <t>RADIOGRAFICA COSTARRICENSE SA</t>
        </is>
      </c>
      <c r="J316" s="41" t="n">
        <v>9205.719999999999</v>
      </c>
      <c r="K316" s="41" t="n">
        <v>0</v>
      </c>
      <c r="L316" s="41" t="n">
        <v>0</v>
      </c>
      <c r="M316" s="41" t="n">
        <v>9205.719999999999</v>
      </c>
      <c r="N316" s="41" t="n">
        <v>9205.719999999999</v>
      </c>
      <c r="O316" s="41" t="n">
        <v>0</v>
      </c>
      <c r="P316" t="inlineStr">
        <is>
          <t>Junio 2026 CR.xlsx</t>
        </is>
      </c>
      <c r="Q316" t="inlineStr">
        <is>
          <t>Fila 45</t>
        </is>
      </c>
      <c r="R316" t="inlineStr">
        <is>
          <t>Media</t>
        </is>
      </c>
      <c r="S316" t="inlineStr">
        <is>
          <t>SI</t>
        </is>
      </c>
      <c r="T316" t="inlineStr">
        <is>
          <t>Cuenta fuente de seguros con descripción genérica</t>
        </is>
      </c>
    </row>
    <row r="317">
      <c r="A317" t="inlineStr">
        <is>
          <t>2026-06</t>
        </is>
      </c>
      <c r="B317" t="inlineStr">
        <is>
          <t>Costa Rica</t>
        </is>
      </c>
      <c r="C317" t="inlineStr">
        <is>
          <t>CR</t>
        </is>
      </c>
      <c r="D317" t="inlineStr">
        <is>
          <t>USD</t>
        </is>
      </c>
      <c r="E317" t="inlineStr">
        <is>
          <t>PL-O-050</t>
        </is>
      </c>
      <c r="F317" t="inlineStr">
        <is>
          <t>Gastos de administración</t>
        </is>
      </c>
      <c r="G317" t="inlineStr">
        <is>
          <t>Seguros</t>
        </is>
      </c>
      <c r="H317" t="inlineStr">
        <is>
          <t>Otros seguros</t>
        </is>
      </c>
      <c r="I317" t="inlineStr">
        <is>
          <t>SEGUROS INS</t>
        </is>
      </c>
      <c r="J317" s="41" t="n">
        <v>70.81</v>
      </c>
      <c r="K317" s="41" t="n">
        <v>0</v>
      </c>
      <c r="L317" s="41" t="n">
        <v>0</v>
      </c>
      <c r="M317" s="41" t="n">
        <v>70.81</v>
      </c>
      <c r="N317" s="41" t="n">
        <v>70.81</v>
      </c>
      <c r="O317" s="41" t="n">
        <v>0</v>
      </c>
      <c r="P317" t="inlineStr">
        <is>
          <t>Junio 2026 CR.xlsx</t>
        </is>
      </c>
      <c r="Q317" t="inlineStr">
        <is>
          <t>Fila 46</t>
        </is>
      </c>
      <c r="R317" t="inlineStr">
        <is>
          <t>Media</t>
        </is>
      </c>
      <c r="S317" t="inlineStr">
        <is>
          <t>SI</t>
        </is>
      </c>
      <c r="T317" t="inlineStr">
        <is>
          <t>Cuenta fuente de seguros con descripción genérica</t>
        </is>
      </c>
    </row>
    <row r="318">
      <c r="A318" t="inlineStr">
        <is>
          <t>2026-06</t>
        </is>
      </c>
      <c r="B318" t="inlineStr">
        <is>
          <t>Costa Rica</t>
        </is>
      </c>
      <c r="C318" t="inlineStr">
        <is>
          <t>CR</t>
        </is>
      </c>
      <c r="D318" t="inlineStr">
        <is>
          <t>USD</t>
        </is>
      </c>
      <c r="E318" t="inlineStr">
        <is>
          <t>PL-O-060</t>
        </is>
      </c>
      <c r="F318" t="inlineStr">
        <is>
          <t>Gastos de administración</t>
        </is>
      </c>
      <c r="G318" t="inlineStr">
        <is>
          <t>Tecnología y procesamiento de datos</t>
        </is>
      </c>
      <c r="H318" t="inlineStr">
        <is>
          <t>Plataformas y software</t>
        </is>
      </c>
      <c r="I318" t="inlineStr">
        <is>
          <t>CAJA COSTARRICENSE DE SEGURO SOCIAL</t>
        </is>
      </c>
      <c r="J318" s="41" t="n">
        <v>115.51</v>
      </c>
      <c r="K318" s="41" t="n">
        <v>0</v>
      </c>
      <c r="L318" s="41" t="n">
        <v>0</v>
      </c>
      <c r="M318" s="41" t="n">
        <v>115.51</v>
      </c>
      <c r="N318" s="41" t="n">
        <v>115.51</v>
      </c>
      <c r="O318" s="41" t="n">
        <v>0</v>
      </c>
      <c r="P318" t="inlineStr">
        <is>
          <t>Junio 2026 CR.xlsx</t>
        </is>
      </c>
      <c r="Q318" t="inlineStr">
        <is>
          <t>Fila 49</t>
        </is>
      </c>
      <c r="R318" t="inlineStr">
        <is>
          <t>Alta</t>
        </is>
      </c>
      <c r="S318" t="inlineStr">
        <is>
          <t>SI</t>
        </is>
      </c>
      <c r="T318" t="inlineStr">
        <is>
          <t>Revisar proveedores de telecomunicaciones registrados aquí</t>
        </is>
      </c>
    </row>
    <row r="319">
      <c r="A319" t="inlineStr">
        <is>
          <t>2026-06</t>
        </is>
      </c>
      <c r="B319" t="inlineStr">
        <is>
          <t>Costa Rica</t>
        </is>
      </c>
      <c r="C319" t="inlineStr">
        <is>
          <t>CR</t>
        </is>
      </c>
      <c r="D319" t="inlineStr">
        <is>
          <t>USD</t>
        </is>
      </c>
      <c r="E319" t="inlineStr">
        <is>
          <t>PL-O-060</t>
        </is>
      </c>
      <c r="F319" t="inlineStr">
        <is>
          <t>Gastos de administración</t>
        </is>
      </c>
      <c r="G319" t="inlineStr">
        <is>
          <t>Tecnología y procesamiento de datos</t>
        </is>
      </c>
      <c r="H319" t="inlineStr">
        <is>
          <t>Plataformas y software</t>
        </is>
      </c>
      <c r="I319" t="inlineStr">
        <is>
          <t>GTI SA</t>
        </is>
      </c>
      <c r="J319" s="41" t="n">
        <v>0</v>
      </c>
      <c r="K319" s="41" t="n">
        <v>34.3</v>
      </c>
      <c r="L319" s="41" t="n">
        <v>0</v>
      </c>
      <c r="M319" s="41" t="n">
        <v>34.3</v>
      </c>
      <c r="N319" s="41" t="n">
        <v>34.3</v>
      </c>
      <c r="O319" s="41" t="n">
        <v>34.3</v>
      </c>
      <c r="P319" t="inlineStr">
        <is>
          <t>Junio 2026 CR.xlsx</t>
        </is>
      </c>
      <c r="Q319" t="inlineStr">
        <is>
          <t>Fila 50</t>
        </is>
      </c>
      <c r="R319" t="inlineStr">
        <is>
          <t>Alta</t>
        </is>
      </c>
      <c r="S319" t="inlineStr">
        <is>
          <t>SI</t>
        </is>
      </c>
      <c r="T319" t="inlineStr">
        <is>
          <t>Revisar proveedores de telecomunicaciones registrados aquí</t>
        </is>
      </c>
    </row>
    <row r="320">
      <c r="A320" t="inlineStr">
        <is>
          <t>2026-06</t>
        </is>
      </c>
      <c r="B320" t="inlineStr">
        <is>
          <t>Costa Rica</t>
        </is>
      </c>
      <c r="C320" t="inlineStr">
        <is>
          <t>CR</t>
        </is>
      </c>
      <c r="D320" t="inlineStr">
        <is>
          <t>USD</t>
        </is>
      </c>
      <c r="E320" t="inlineStr">
        <is>
          <t>PL-O-110</t>
        </is>
      </c>
      <c r="F320" t="inlineStr">
        <is>
          <t>Gastos de administración</t>
        </is>
      </c>
      <c r="G320" t="inlineStr">
        <is>
          <t>Suministros y oficina</t>
        </is>
      </c>
      <c r="H320" t="inlineStr">
        <is>
          <t>Útiles, papelería y fotocopias</t>
        </is>
      </c>
      <c r="I320" t="inlineStr">
        <is>
          <t>ELECTRONICA STEREN DE COSTARICA SA</t>
        </is>
      </c>
      <c r="J320" s="41" t="n">
        <v>0</v>
      </c>
      <c r="K320" s="41" t="n">
        <v>37.69</v>
      </c>
      <c r="L320" s="41" t="n">
        <v>0</v>
      </c>
      <c r="M320" s="41" t="n">
        <v>37.69</v>
      </c>
      <c r="N320" s="41" t="n">
        <v>37.69</v>
      </c>
      <c r="O320" s="41" t="n">
        <v>37.69</v>
      </c>
      <c r="P320" t="inlineStr">
        <is>
          <t>Junio 2026 CR.xlsx</t>
        </is>
      </c>
      <c r="Q320" t="inlineStr">
        <is>
          <t>Fila 53</t>
        </is>
      </c>
      <c r="R320" t="inlineStr">
        <is>
          <t>Alta</t>
        </is>
      </c>
      <c r="S320" t="inlineStr">
        <is>
          <t>NO</t>
        </is>
      </c>
      <c r="T320" t="inlineStr">
        <is>
          <t>Suministros de oficina</t>
        </is>
      </c>
    </row>
    <row r="321">
      <c r="A321" t="inlineStr">
        <is>
          <t>2026-06</t>
        </is>
      </c>
      <c r="B321" t="inlineStr">
        <is>
          <t>Costa Rica</t>
        </is>
      </c>
      <c r="C321" t="inlineStr">
        <is>
          <t>CR</t>
        </is>
      </c>
      <c r="D321" t="inlineStr">
        <is>
          <t>USD</t>
        </is>
      </c>
      <c r="E321" t="inlineStr">
        <is>
          <t>PL-O-110</t>
        </is>
      </c>
      <c r="F321" t="inlineStr">
        <is>
          <t>Gastos de administración</t>
        </is>
      </c>
      <c r="G321" t="inlineStr">
        <is>
          <t>Suministros y oficina</t>
        </is>
      </c>
      <c r="H321" t="inlineStr">
        <is>
          <t>Útiles, papelería y fotocopias</t>
        </is>
      </c>
      <c r="I321" t="inlineStr">
        <is>
          <t>FERRETERIA EPA S.A.</t>
        </is>
      </c>
      <c r="J321" s="41" t="n">
        <v>39.61</v>
      </c>
      <c r="K321" s="41" t="n">
        <v>0</v>
      </c>
      <c r="L321" s="41" t="n">
        <v>0</v>
      </c>
      <c r="M321" s="41" t="n">
        <v>39.61</v>
      </c>
      <c r="N321" s="41" t="n">
        <v>39.61</v>
      </c>
      <c r="O321" s="41" t="n">
        <v>0</v>
      </c>
      <c r="P321" t="inlineStr">
        <is>
          <t>Junio 2026 CR.xlsx</t>
        </is>
      </c>
      <c r="Q321" t="inlineStr">
        <is>
          <t>Fila 54</t>
        </is>
      </c>
      <c r="R321" t="inlineStr">
        <is>
          <t>Alta</t>
        </is>
      </c>
      <c r="S321" t="inlineStr">
        <is>
          <t>NO</t>
        </is>
      </c>
      <c r="T321" t="inlineStr">
        <is>
          <t>Suministros de oficina</t>
        </is>
      </c>
    </row>
    <row r="322">
      <c r="A322" t="inlineStr">
        <is>
          <t>2026-06</t>
        </is>
      </c>
      <c r="B322" t="inlineStr">
        <is>
          <t>Costa Rica</t>
        </is>
      </c>
      <c r="C322" t="inlineStr">
        <is>
          <t>CR</t>
        </is>
      </c>
      <c r="D322" t="inlineStr">
        <is>
          <t>USD</t>
        </is>
      </c>
      <c r="E322" t="inlineStr">
        <is>
          <t>PL-O-110</t>
        </is>
      </c>
      <c r="F322" t="inlineStr">
        <is>
          <t>Gastos de administración</t>
        </is>
      </c>
      <c r="G322" t="inlineStr">
        <is>
          <t>Suministros y oficina</t>
        </is>
      </c>
      <c r="H322" t="inlineStr">
        <is>
          <t>Útiles, papelería y fotocopias</t>
        </is>
      </c>
      <c r="I322" t="inlineStr">
        <is>
          <t>ISTORE SAN PEDRO</t>
        </is>
      </c>
      <c r="J322" s="41" t="n">
        <v>74.31</v>
      </c>
      <c r="K322" s="41" t="n">
        <v>0</v>
      </c>
      <c r="L322" s="41" t="n">
        <v>0</v>
      </c>
      <c r="M322" s="41" t="n">
        <v>74.31</v>
      </c>
      <c r="N322" s="41" t="n">
        <v>74.31</v>
      </c>
      <c r="O322" s="41" t="n">
        <v>0</v>
      </c>
      <c r="P322" t="inlineStr">
        <is>
          <t>Junio 2026 CR.xlsx</t>
        </is>
      </c>
      <c r="Q322" t="inlineStr">
        <is>
          <t>Fila 55</t>
        </is>
      </c>
      <c r="R322" t="inlineStr">
        <is>
          <t>Alta</t>
        </is>
      </c>
      <c r="S322" t="inlineStr">
        <is>
          <t>NO</t>
        </is>
      </c>
      <c r="T322" t="inlineStr">
        <is>
          <t>Suministros de oficina</t>
        </is>
      </c>
    </row>
    <row r="323">
      <c r="A323" t="inlineStr">
        <is>
          <t>2026-06</t>
        </is>
      </c>
      <c r="B323" t="inlineStr">
        <is>
          <t>Costa Rica</t>
        </is>
      </c>
      <c r="C323" t="inlineStr">
        <is>
          <t>CR</t>
        </is>
      </c>
      <c r="D323" t="inlineStr">
        <is>
          <t>USD</t>
        </is>
      </c>
      <c r="E323" t="inlineStr">
        <is>
          <t>PL-O-110</t>
        </is>
      </c>
      <c r="F323" t="inlineStr">
        <is>
          <t>Gastos de administración</t>
        </is>
      </c>
      <c r="G323" t="inlineStr">
        <is>
          <t>Suministros y oficina</t>
        </is>
      </c>
      <c r="H323" t="inlineStr">
        <is>
          <t>Útiles, papelería y fotocopias</t>
        </is>
      </c>
      <c r="I323" t="inlineStr">
        <is>
          <t>MUNDO TECNOLOGIA</t>
        </is>
      </c>
      <c r="J323" s="41" t="n">
        <v>15</v>
      </c>
      <c r="K323" s="41" t="n">
        <v>0</v>
      </c>
      <c r="L323" s="41" t="n">
        <v>0</v>
      </c>
      <c r="M323" s="41" t="n">
        <v>15</v>
      </c>
      <c r="N323" s="41" t="n">
        <v>15</v>
      </c>
      <c r="O323" s="41" t="n">
        <v>0</v>
      </c>
      <c r="P323" t="inlineStr">
        <is>
          <t>Junio 2026 CR.xlsx</t>
        </is>
      </c>
      <c r="Q323" t="inlineStr">
        <is>
          <t>Fila 56</t>
        </is>
      </c>
      <c r="R323" t="inlineStr">
        <is>
          <t>Alta</t>
        </is>
      </c>
      <c r="S323" t="inlineStr">
        <is>
          <t>NO</t>
        </is>
      </c>
      <c r="T323" t="inlineStr">
        <is>
          <t>Suministros de oficina</t>
        </is>
      </c>
    </row>
    <row r="324">
      <c r="A324" t="inlineStr">
        <is>
          <t>2026-06</t>
        </is>
      </c>
      <c r="B324" t="inlineStr">
        <is>
          <t>Costa Rica</t>
        </is>
      </c>
      <c r="C324" t="inlineStr">
        <is>
          <t>CR</t>
        </is>
      </c>
      <c r="D324" t="inlineStr">
        <is>
          <t>USD</t>
        </is>
      </c>
      <c r="E324" t="inlineStr">
        <is>
          <t>PL-O-110</t>
        </is>
      </c>
      <c r="F324" t="inlineStr">
        <is>
          <t>Gastos de administración</t>
        </is>
      </c>
      <c r="G324" t="inlineStr">
        <is>
          <t>Suministros y oficina</t>
        </is>
      </c>
      <c r="H324" t="inlineStr">
        <is>
          <t>Útiles, papelería y fotocopias</t>
        </is>
      </c>
      <c r="I324" t="inlineStr">
        <is>
          <t>REGISTRO NACIONAL REPUBLICA DE COSTA RICA</t>
        </is>
      </c>
      <c r="J324" s="41" t="n">
        <v>7</v>
      </c>
      <c r="K324" s="41" t="n">
        <v>0</v>
      </c>
      <c r="L324" s="41" t="n">
        <v>0</v>
      </c>
      <c r="M324" s="41" t="n">
        <v>7</v>
      </c>
      <c r="N324" s="41" t="n">
        <v>7</v>
      </c>
      <c r="O324" s="41" t="n">
        <v>0</v>
      </c>
      <c r="P324" t="inlineStr">
        <is>
          <t>Junio 2026 CR.xlsx</t>
        </is>
      </c>
      <c r="Q324" t="inlineStr">
        <is>
          <t>Fila 57</t>
        </is>
      </c>
      <c r="R324" t="inlineStr">
        <is>
          <t>Alta</t>
        </is>
      </c>
      <c r="S324" t="inlineStr">
        <is>
          <t>NO</t>
        </is>
      </c>
      <c r="T324" t="inlineStr">
        <is>
          <t>Suministros de oficina</t>
        </is>
      </c>
    </row>
    <row r="325">
      <c r="A325" t="inlineStr">
        <is>
          <t>2026-06</t>
        </is>
      </c>
      <c r="B325" t="inlineStr">
        <is>
          <t>Costa Rica</t>
        </is>
      </c>
      <c r="C325" t="inlineStr">
        <is>
          <t>CR</t>
        </is>
      </c>
      <c r="D325" t="inlineStr">
        <is>
          <t>USD</t>
        </is>
      </c>
      <c r="E325" t="inlineStr">
        <is>
          <t>PL-F-010</t>
        </is>
      </c>
      <c r="F325" t="inlineStr">
        <is>
          <t>Gastos financieros</t>
        </is>
      </c>
      <c r="G325" t="inlineStr">
        <is>
          <t>Gastos financieros</t>
        </is>
      </c>
      <c r="H325" t="inlineStr">
        <is>
          <t>Gastos bancarios</t>
        </is>
      </c>
      <c r="I325" t="inlineStr">
        <is>
          <t>BAC CREDOMATIC</t>
        </is>
      </c>
      <c r="J325" s="41" t="n">
        <v>150</v>
      </c>
      <c r="K325" s="41" t="n">
        <v>50</v>
      </c>
      <c r="L325" s="41" t="n">
        <v>0</v>
      </c>
      <c r="M325" s="41" t="n">
        <v>200</v>
      </c>
      <c r="N325" s="41" t="n">
        <v>200</v>
      </c>
      <c r="O325" s="41" t="n">
        <v>50</v>
      </c>
      <c r="P325" t="inlineStr">
        <is>
          <t>Junio 2026 CR.xlsx</t>
        </is>
      </c>
      <c r="Q325" t="inlineStr">
        <is>
          <t>Fila 61</t>
        </is>
      </c>
      <c r="R325" t="inlineStr">
        <is>
          <t>Alta</t>
        </is>
      </c>
      <c r="S325" t="inlineStr">
        <is>
          <t>NO</t>
        </is>
      </c>
      <c r="T325" t="inlineStr">
        <is>
          <t>Costo financiero bancario</t>
        </is>
      </c>
    </row>
    <row r="326">
      <c r="A326" t="inlineStr">
        <is>
          <t>2026-06</t>
        </is>
      </c>
      <c r="B326" t="inlineStr">
        <is>
          <t>Costa Rica</t>
        </is>
      </c>
      <c r="C326" t="inlineStr">
        <is>
          <t>CR</t>
        </is>
      </c>
      <c r="D326" t="inlineStr">
        <is>
          <t>USD</t>
        </is>
      </c>
      <c r="E326" t="inlineStr">
        <is>
          <t>PL-F-010</t>
        </is>
      </c>
      <c r="F326" t="inlineStr">
        <is>
          <t>Gastos financieros</t>
        </is>
      </c>
      <c r="G326" t="inlineStr">
        <is>
          <t>Gastos financieros</t>
        </is>
      </c>
      <c r="H326" t="inlineStr">
        <is>
          <t>Gastos bancarios</t>
        </is>
      </c>
      <c r="I326" t="inlineStr">
        <is>
          <t>BAC CREDOMATIC</t>
        </is>
      </c>
      <c r="J326" s="41" t="n">
        <v>6</v>
      </c>
      <c r="K326" s="41" t="n">
        <v>0</v>
      </c>
      <c r="L326" s="41" t="n">
        <v>0</v>
      </c>
      <c r="M326" s="41" t="n">
        <v>6</v>
      </c>
      <c r="N326" s="41" t="n">
        <v>6</v>
      </c>
      <c r="O326" s="41" t="n">
        <v>0</v>
      </c>
      <c r="P326" t="inlineStr">
        <is>
          <t>Junio 2026 CR.xlsx</t>
        </is>
      </c>
      <c r="Q326" t="inlineStr">
        <is>
          <t>Fila 62</t>
        </is>
      </c>
      <c r="R326" t="inlineStr">
        <is>
          <t>Alta</t>
        </is>
      </c>
      <c r="S326" t="inlineStr">
        <is>
          <t>NO</t>
        </is>
      </c>
      <c r="T326" t="inlineStr">
        <is>
          <t>Costo financiero bancario</t>
        </is>
      </c>
    </row>
    <row r="327">
      <c r="A327" t="inlineStr">
        <is>
          <t>2026-06</t>
        </is>
      </c>
      <c r="B327" t="inlineStr">
        <is>
          <t>Peru</t>
        </is>
      </c>
      <c r="C327" t="inlineStr">
        <is>
          <t>PERU</t>
        </is>
      </c>
      <c r="D327" t="inlineStr">
        <is>
          <t>PEN</t>
        </is>
      </c>
      <c r="E327" t="inlineStr">
        <is>
          <t>PL-R-010</t>
        </is>
      </c>
      <c r="F327" t="inlineStr">
        <is>
          <t>Ingresos operacionales</t>
        </is>
      </c>
      <c r="G327" t="inlineStr">
        <is>
          <t>Ingresos por servicios</t>
        </is>
      </c>
      <c r="H327" t="inlineStr">
        <is>
          <t>Software y agendamiento</t>
        </is>
      </c>
      <c r="I327" t="inlineStr">
        <is>
          <t>IMPLEMENTACION- EXCLUIDA</t>
        </is>
      </c>
      <c r="J327" s="41" t="n">
        <v>-1808.92</v>
      </c>
      <c r="K327" s="41" t="n">
        <v>0</v>
      </c>
      <c r="L327" s="41" t="n">
        <v>3376.69</v>
      </c>
      <c r="M327" s="41" t="n">
        <v>-5185.61</v>
      </c>
      <c r="N327" s="41" t="n">
        <v>5185.61</v>
      </c>
      <c r="O327" s="41" t="n">
        <v>3376.69</v>
      </c>
      <c r="P327" t="inlineStr">
        <is>
          <t>Junio 2026 PERU.xlsx</t>
        </is>
      </c>
      <c r="Q327" t="inlineStr">
        <is>
          <t>Fila 43</t>
        </is>
      </c>
      <c r="R327" t="inlineStr">
        <is>
          <t>Alta</t>
        </is>
      </c>
      <c r="S327" t="inlineStr">
        <is>
          <t>NO</t>
        </is>
      </c>
      <c r="T327" t="inlineStr">
        <is>
          <t>Ingreso operacional principal</t>
        </is>
      </c>
    </row>
    <row r="328">
      <c r="A328" t="inlineStr">
        <is>
          <t>2026-06</t>
        </is>
      </c>
      <c r="B328" t="inlineStr">
        <is>
          <t>Peru</t>
        </is>
      </c>
      <c r="C328" t="inlineStr">
        <is>
          <t>PERU</t>
        </is>
      </c>
      <c r="D328" t="inlineStr">
        <is>
          <t>PEN</t>
        </is>
      </c>
      <c r="E328" t="inlineStr">
        <is>
          <t>PL-R-010</t>
        </is>
      </c>
      <c r="F328" t="inlineStr">
        <is>
          <t>Ingresos operacionales</t>
        </is>
      </c>
      <c r="G328" t="inlineStr">
        <is>
          <t>Ingresos por servicios</t>
        </is>
      </c>
      <c r="H328" t="inlineStr">
        <is>
          <t>Software y agendamiento</t>
        </is>
      </c>
      <c r="I328" t="inlineStr">
        <is>
          <t>AGENDAMIENTO EN LA NUBE</t>
        </is>
      </c>
      <c r="J328" s="41" t="n">
        <v>-11296.09</v>
      </c>
      <c r="K328" s="41" t="n">
        <v>0</v>
      </c>
      <c r="L328" s="41" t="n">
        <v>2825.56</v>
      </c>
      <c r="M328" s="41" t="n">
        <v>-14121.65</v>
      </c>
      <c r="N328" s="41" t="n">
        <v>14121.65</v>
      </c>
      <c r="O328" s="41" t="n">
        <v>2825.56</v>
      </c>
      <c r="P328" t="inlineStr">
        <is>
          <t>Junio 2026 PERU.xlsx</t>
        </is>
      </c>
      <c r="Q328" t="inlineStr">
        <is>
          <t>Fila 44</t>
        </is>
      </c>
      <c r="R328" t="inlineStr">
        <is>
          <t>Alta</t>
        </is>
      </c>
      <c r="S328" t="inlineStr">
        <is>
          <t>NO</t>
        </is>
      </c>
      <c r="T328" t="inlineStr">
        <is>
          <t>Ingreso operacional principal</t>
        </is>
      </c>
    </row>
    <row r="329">
      <c r="A329" t="inlineStr">
        <is>
          <t>2026-06</t>
        </is>
      </c>
      <c r="B329" t="inlineStr">
        <is>
          <t>Peru</t>
        </is>
      </c>
      <c r="C329" t="inlineStr">
        <is>
          <t>PERU</t>
        </is>
      </c>
      <c r="D329" t="inlineStr">
        <is>
          <t>PEN</t>
        </is>
      </c>
      <c r="E329" t="inlineStr">
        <is>
          <t>PL-NO-020</t>
        </is>
      </c>
      <c r="F329" t="inlineStr">
        <is>
          <t>Ingresos no operacionales</t>
        </is>
      </c>
      <c r="G329" t="inlineStr">
        <is>
          <t>Otros ingresos</t>
        </is>
      </c>
      <c r="H329" t="inlineStr">
        <is>
          <t>Otros ingresos</t>
        </is>
      </c>
      <c r="I329" t="inlineStr">
        <is>
          <t>OTROS INGRESOS</t>
        </is>
      </c>
      <c r="J329" s="41" t="n">
        <v>-64960.94</v>
      </c>
      <c r="K329" s="41" t="n">
        <v>0</v>
      </c>
      <c r="L329" s="41" t="n">
        <v>0</v>
      </c>
      <c r="M329" s="41" t="n">
        <v>-64960.94</v>
      </c>
      <c r="N329" s="41" t="n">
        <v>64960.94</v>
      </c>
      <c r="O329" s="41" t="n">
        <v>0</v>
      </c>
      <c r="P329" t="inlineStr">
        <is>
          <t>Junio 2026 PERU.xlsx</t>
        </is>
      </c>
      <c r="Q329" t="inlineStr">
        <is>
          <t>Fila 47</t>
        </is>
      </c>
      <c r="R329" t="inlineStr">
        <is>
          <t>Media</t>
        </is>
      </c>
      <c r="S329" t="inlineStr">
        <is>
          <t>SI</t>
        </is>
      </c>
      <c r="T329" t="inlineStr">
        <is>
          <t>Cuenta genérica y material en Perú; validar naturaleza</t>
        </is>
      </c>
    </row>
    <row r="330">
      <c r="A330" t="inlineStr">
        <is>
          <t>2026-06</t>
        </is>
      </c>
      <c r="B330" t="inlineStr">
        <is>
          <t>Peru</t>
        </is>
      </c>
      <c r="C330" t="inlineStr">
        <is>
          <t>PERU</t>
        </is>
      </c>
      <c r="D330" t="inlineStr">
        <is>
          <t>PEN</t>
        </is>
      </c>
      <c r="E330" t="inlineStr">
        <is>
          <t>PL-O-020</t>
        </is>
      </c>
      <c r="F330" t="inlineStr">
        <is>
          <t>Gastos de administración</t>
        </is>
      </c>
      <c r="G330" t="inlineStr">
        <is>
          <t>Honorarios y servicios profesionales</t>
        </is>
      </c>
      <c r="H330" t="inlineStr">
        <is>
          <t>Asesoría jurídica</t>
        </is>
      </c>
      <c r="I330" t="inlineStr">
        <is>
          <t>HONORARIOS ASESORIA JURIDICA</t>
        </is>
      </c>
      <c r="J330" s="41" t="n">
        <v>2068.95</v>
      </c>
      <c r="K330" s="41" t="n">
        <v>528</v>
      </c>
      <c r="L330" s="41" t="n">
        <v>0</v>
      </c>
      <c r="M330" s="41" t="n">
        <v>2596.95</v>
      </c>
      <c r="N330" s="41" t="n">
        <v>2596.95</v>
      </c>
      <c r="O330" s="41" t="n">
        <v>528</v>
      </c>
      <c r="P330" t="inlineStr">
        <is>
          <t>Junio 2026 PERU.xlsx</t>
        </is>
      </c>
      <c r="Q330" t="inlineStr">
        <is>
          <t>Fila 51</t>
        </is>
      </c>
      <c r="R330" t="inlineStr">
        <is>
          <t>Alta</t>
        </is>
      </c>
      <c r="S330" t="inlineStr">
        <is>
          <t>NO</t>
        </is>
      </c>
      <c r="T330" t="inlineStr">
        <is>
          <t>Servicio profesional jurídico</t>
        </is>
      </c>
    </row>
    <row r="331">
      <c r="A331" t="inlineStr">
        <is>
          <t>2026-06</t>
        </is>
      </c>
      <c r="B331" t="inlineStr">
        <is>
          <t>Peru</t>
        </is>
      </c>
      <c r="C331" t="inlineStr">
        <is>
          <t>PERU</t>
        </is>
      </c>
      <c r="D331" t="inlineStr">
        <is>
          <t>PEN</t>
        </is>
      </c>
      <c r="E331" t="inlineStr">
        <is>
          <t>PL-O-020</t>
        </is>
      </c>
      <c r="F331" t="inlineStr">
        <is>
          <t>Gastos de administración</t>
        </is>
      </c>
      <c r="G331" t="inlineStr">
        <is>
          <t>Honorarios y servicios profesionales</t>
        </is>
      </c>
      <c r="H331" t="inlineStr">
        <is>
          <t>Asesoría financiera</t>
        </is>
      </c>
      <c r="I331" t="inlineStr">
        <is>
          <t>HONORARIOS ASESORIA FINANCIERA</t>
        </is>
      </c>
      <c r="J331" s="41" t="n">
        <v>2500</v>
      </c>
      <c r="K331" s="41" t="n">
        <v>350</v>
      </c>
      <c r="L331" s="41" t="n">
        <v>0</v>
      </c>
      <c r="M331" s="41" t="n">
        <v>2850</v>
      </c>
      <c r="N331" s="41" t="n">
        <v>2850</v>
      </c>
      <c r="O331" s="41" t="n">
        <v>350</v>
      </c>
      <c r="P331" t="inlineStr">
        <is>
          <t>Junio 2026 PERU.xlsx</t>
        </is>
      </c>
      <c r="Q331" t="inlineStr">
        <is>
          <t>Fila 53</t>
        </is>
      </c>
      <c r="R331" t="inlineStr">
        <is>
          <t>Alta</t>
        </is>
      </c>
      <c r="S331" t="inlineStr">
        <is>
          <t>NO</t>
        </is>
      </c>
      <c r="T331" t="inlineStr">
        <is>
          <t>Servicio profesional financiero</t>
        </is>
      </c>
    </row>
    <row r="332">
      <c r="A332" t="inlineStr">
        <is>
          <t>2026-06</t>
        </is>
      </c>
      <c r="B332" t="inlineStr">
        <is>
          <t>Peru</t>
        </is>
      </c>
      <c r="C332" t="inlineStr">
        <is>
          <t>PERU</t>
        </is>
      </c>
      <c r="D332" t="inlineStr">
        <is>
          <t>PEN</t>
        </is>
      </c>
      <c r="E332" t="inlineStr">
        <is>
          <t>PL-S-010</t>
        </is>
      </c>
      <c r="F332" t="inlineStr">
        <is>
          <t>Gastos de ventas</t>
        </is>
      </c>
      <c r="G332" t="inlineStr">
        <is>
          <t>Honorarios comerciales y técnicos</t>
        </is>
      </c>
      <c r="H332" t="inlineStr">
        <is>
          <t>Asesoría técnica</t>
        </is>
      </c>
      <c r="I332" t="inlineStr">
        <is>
          <t>HONORARIOS ASESORIA</t>
        </is>
      </c>
      <c r="J332" s="41" t="n">
        <v>7400.3</v>
      </c>
      <c r="K332" s="41" t="n">
        <v>0</v>
      </c>
      <c r="L332" s="41" t="n">
        <v>0</v>
      </c>
      <c r="M332" s="41" t="n">
        <v>7400.3</v>
      </c>
      <c r="N332" s="41" t="n">
        <v>7400.3</v>
      </c>
      <c r="O332" s="41" t="n">
        <v>0</v>
      </c>
      <c r="P332" t="inlineStr">
        <is>
          <t>Junio 2026 PERU.xlsx</t>
        </is>
      </c>
      <c r="Q332" t="inlineStr">
        <is>
          <t>Fila 56</t>
        </is>
      </c>
      <c r="R332" t="inlineStr">
        <is>
          <t>Media</t>
        </is>
      </c>
      <c r="S332" t="inlineStr">
        <is>
          <t>SI</t>
        </is>
      </c>
      <c r="T332" t="inlineStr">
        <is>
          <t>Confirmar si el servicio apoya ventas o administración</t>
        </is>
      </c>
    </row>
    <row r="333">
      <c r="A333" t="inlineStr">
        <is>
          <t>2026-06</t>
        </is>
      </c>
      <c r="B333" t="inlineStr">
        <is>
          <t>Peru</t>
        </is>
      </c>
      <c r="C333" t="inlineStr">
        <is>
          <t>PERU</t>
        </is>
      </c>
      <c r="D333" t="inlineStr">
        <is>
          <t>PEN</t>
        </is>
      </c>
      <c r="E333" t="inlineStr">
        <is>
          <t>PL-S-010</t>
        </is>
      </c>
      <c r="F333" t="inlineStr">
        <is>
          <t>Gastos de ventas</t>
        </is>
      </c>
      <c r="G333" t="inlineStr">
        <is>
          <t>Honorarios comerciales y técnicos</t>
        </is>
      </c>
      <c r="H333" t="inlineStr">
        <is>
          <t>Asesoría técnica</t>
        </is>
      </c>
      <c r="I333" t="inlineStr">
        <is>
          <t>HONORARIOS ASESORIA</t>
        </is>
      </c>
      <c r="J333" s="41" t="n">
        <v>15383.22</v>
      </c>
      <c r="K333" s="41" t="n">
        <v>0</v>
      </c>
      <c r="L333" s="41" t="n">
        <v>0</v>
      </c>
      <c r="M333" s="41" t="n">
        <v>15383.22</v>
      </c>
      <c r="N333" s="41" t="n">
        <v>15383.22</v>
      </c>
      <c r="O333" s="41" t="n">
        <v>0</v>
      </c>
      <c r="P333" t="inlineStr">
        <is>
          <t>Junio 2026 PERU.xlsx</t>
        </is>
      </c>
      <c r="Q333" t="inlineStr">
        <is>
          <t>Fila 57</t>
        </is>
      </c>
      <c r="R333" t="inlineStr">
        <is>
          <t>Media</t>
        </is>
      </c>
      <c r="S333" t="inlineStr">
        <is>
          <t>SI</t>
        </is>
      </c>
      <c r="T333" t="inlineStr">
        <is>
          <t>Confirmar si el servicio apoya ventas o administración</t>
        </is>
      </c>
    </row>
    <row r="334">
      <c r="A334" t="inlineStr">
        <is>
          <t>2026-06</t>
        </is>
      </c>
      <c r="B334" t="inlineStr">
        <is>
          <t>Peru</t>
        </is>
      </c>
      <c r="C334" t="inlineStr">
        <is>
          <t>PERU</t>
        </is>
      </c>
      <c r="D334" t="inlineStr">
        <is>
          <t>PEN</t>
        </is>
      </c>
      <c r="E334" t="inlineStr">
        <is>
          <t>PL-S-010</t>
        </is>
      </c>
      <c r="F334" t="inlineStr">
        <is>
          <t>Gastos de ventas</t>
        </is>
      </c>
      <c r="G334" t="inlineStr">
        <is>
          <t>Honorarios comerciales y técnicos</t>
        </is>
      </c>
      <c r="H334" t="inlineStr">
        <is>
          <t>Asesoría técnica</t>
        </is>
      </c>
      <c r="I334" t="inlineStr">
        <is>
          <t>HONORARIOS ASESORIA</t>
        </is>
      </c>
      <c r="J334" s="41" t="n">
        <v>7400.3</v>
      </c>
      <c r="K334" s="41" t="n">
        <v>0</v>
      </c>
      <c r="L334" s="41" t="n">
        <v>0</v>
      </c>
      <c r="M334" s="41" t="n">
        <v>7400.3</v>
      </c>
      <c r="N334" s="41" t="n">
        <v>7400.3</v>
      </c>
      <c r="O334" s="41" t="n">
        <v>0</v>
      </c>
      <c r="P334" t="inlineStr">
        <is>
          <t>Junio 2026 PERU.xlsx</t>
        </is>
      </c>
      <c r="Q334" t="inlineStr">
        <is>
          <t>Fila 58</t>
        </is>
      </c>
      <c r="R334" t="inlineStr">
        <is>
          <t>Media</t>
        </is>
      </c>
      <c r="S334" t="inlineStr">
        <is>
          <t>SI</t>
        </is>
      </c>
      <c r="T334" t="inlineStr">
        <is>
          <t>Confirmar si el servicio apoya ventas o administración</t>
        </is>
      </c>
    </row>
    <row r="335">
      <c r="A335" t="inlineStr">
        <is>
          <t>2026-06</t>
        </is>
      </c>
      <c r="B335" t="inlineStr">
        <is>
          <t>Peru</t>
        </is>
      </c>
      <c r="C335" t="inlineStr">
        <is>
          <t>PERU</t>
        </is>
      </c>
      <c r="D335" t="inlineStr">
        <is>
          <t>PEN</t>
        </is>
      </c>
      <c r="E335" t="inlineStr">
        <is>
          <t>PL-S-010</t>
        </is>
      </c>
      <c r="F335" t="inlineStr">
        <is>
          <t>Gastos de ventas</t>
        </is>
      </c>
      <c r="G335" t="inlineStr">
        <is>
          <t>Honorarios comerciales y técnicos</t>
        </is>
      </c>
      <c r="H335" t="inlineStr">
        <is>
          <t>Otros honorarios</t>
        </is>
      </c>
      <c r="I335" t="inlineStr">
        <is>
          <t>HONORARIOS OTROS CONCEPTOS</t>
        </is>
      </c>
      <c r="J335" s="41" t="n">
        <v>2127</v>
      </c>
      <c r="K335" s="41" t="n">
        <v>0</v>
      </c>
      <c r="L335" s="41" t="n">
        <v>0</v>
      </c>
      <c r="M335" s="41" t="n">
        <v>2127</v>
      </c>
      <c r="N335" s="41" t="n">
        <v>2127</v>
      </c>
      <c r="O335" s="41" t="n">
        <v>0</v>
      </c>
      <c r="P335" t="inlineStr">
        <is>
          <t>Junio 2026 PERU.xlsx</t>
        </is>
      </c>
      <c r="Q335" t="inlineStr">
        <is>
          <t>Fila 60</t>
        </is>
      </c>
      <c r="R335" t="inlineStr">
        <is>
          <t>Media</t>
        </is>
      </c>
      <c r="S335" t="inlineStr">
        <is>
          <t>SI</t>
        </is>
      </c>
      <c r="T335" t="inlineStr">
        <is>
          <t>Cuenta genérica de honorarios de ventas</t>
        </is>
      </c>
    </row>
    <row r="336">
      <c r="A336" t="inlineStr">
        <is>
          <t>2026-06</t>
        </is>
      </c>
      <c r="B336" t="inlineStr">
        <is>
          <t>Peru</t>
        </is>
      </c>
      <c r="C336" t="inlineStr">
        <is>
          <t>PERU</t>
        </is>
      </c>
      <c r="D336" t="inlineStr">
        <is>
          <t>PEN</t>
        </is>
      </c>
      <c r="E336" t="inlineStr">
        <is>
          <t>PL-S-020</t>
        </is>
      </c>
      <c r="F336" t="inlineStr">
        <is>
          <t>Gastos de ventas</t>
        </is>
      </c>
      <c r="G336" t="inlineStr">
        <is>
          <t>Mercadeo y publicidad</t>
        </is>
      </c>
      <c r="H336" t="inlineStr">
        <is>
          <t>Propaganda y publicidad</t>
        </is>
      </c>
      <c r="I336" t="inlineStr">
        <is>
          <t>PROPAGANDA Y PUBLICIDAD</t>
        </is>
      </c>
      <c r="J336" s="41" t="n">
        <v>1706.19</v>
      </c>
      <c r="K336" s="41" t="n">
        <v>0</v>
      </c>
      <c r="L336" s="41" t="n">
        <v>0</v>
      </c>
      <c r="M336" s="41" t="n">
        <v>1706.19</v>
      </c>
      <c r="N336" s="41" t="n">
        <v>1706.19</v>
      </c>
      <c r="O336" s="41" t="n">
        <v>0</v>
      </c>
      <c r="P336" t="inlineStr">
        <is>
          <t>Junio 2026 PERU.xlsx</t>
        </is>
      </c>
      <c r="Q336" t="inlineStr">
        <is>
          <t>Fila 63</t>
        </is>
      </c>
      <c r="R336" t="inlineStr">
        <is>
          <t>Alta</t>
        </is>
      </c>
      <c r="S336" t="inlineStr">
        <is>
          <t>NO</t>
        </is>
      </c>
      <c r="T336" t="inlineStr">
        <is>
          <t>Gasto comercial de publicidad</t>
        </is>
      </c>
    </row>
    <row r="337">
      <c r="A337" t="inlineStr">
        <is>
          <t>2026-06</t>
        </is>
      </c>
      <c r="B337" t="inlineStr">
        <is>
          <t>Peru</t>
        </is>
      </c>
      <c r="C337" t="inlineStr">
        <is>
          <t>PERU</t>
        </is>
      </c>
      <c r="D337" t="inlineStr">
        <is>
          <t>PEN</t>
        </is>
      </c>
      <c r="E337" t="inlineStr">
        <is>
          <t>PL-S-040</t>
        </is>
      </c>
      <c r="F337" t="inlineStr">
        <is>
          <t>Gastos de ventas</t>
        </is>
      </c>
      <c r="G337" t="inlineStr">
        <is>
          <t>Viajes comerciales</t>
        </is>
      </c>
      <c r="H337" t="inlineStr">
        <is>
          <t>Alojamiento y manutención</t>
        </is>
      </c>
      <c r="I337" t="inlineStr">
        <is>
          <t>SERVICIO ALOJAMIENTO</t>
        </is>
      </c>
      <c r="J337" s="41" t="n">
        <v>0</v>
      </c>
      <c r="K337" s="41" t="n">
        <v>2822.19</v>
      </c>
      <c r="L337" s="41" t="n">
        <v>0</v>
      </c>
      <c r="M337" s="41" t="n">
        <v>2822.19</v>
      </c>
      <c r="N337" s="41" t="n">
        <v>2822.19</v>
      </c>
      <c r="O337" s="41" t="n">
        <v>2822.19</v>
      </c>
      <c r="P337" t="inlineStr">
        <is>
          <t>Junio 2026 PERU.xlsx</t>
        </is>
      </c>
      <c r="Q337" t="inlineStr">
        <is>
          <t>Fila 66</t>
        </is>
      </c>
      <c r="R337" t="inlineStr">
        <is>
          <t>Alta</t>
        </is>
      </c>
      <c r="S337" t="inlineStr">
        <is>
          <t>NO</t>
        </is>
      </c>
      <c r="T337" t="inlineStr">
        <is>
          <t>Viajes y alimentación comercial</t>
        </is>
      </c>
    </row>
    <row r="338">
      <c r="A338" t="inlineStr">
        <is>
          <t>2026-06</t>
        </is>
      </c>
      <c r="B338" t="inlineStr">
        <is>
          <t>Peru</t>
        </is>
      </c>
      <c r="C338" t="inlineStr">
        <is>
          <t>PERU</t>
        </is>
      </c>
      <c r="D338" t="inlineStr">
        <is>
          <t>PEN</t>
        </is>
      </c>
      <c r="E338" t="inlineStr">
        <is>
          <t>PL-S-040</t>
        </is>
      </c>
      <c r="F338" t="inlineStr">
        <is>
          <t>Gastos de ventas</t>
        </is>
      </c>
      <c r="G338" t="inlineStr">
        <is>
          <t>Viajes comerciales</t>
        </is>
      </c>
      <c r="H338" t="inlineStr">
        <is>
          <t>Alojamiento y manutención</t>
        </is>
      </c>
      <c r="I338" t="inlineStr">
        <is>
          <t>SERVICIO ALOJAMIENTO</t>
        </is>
      </c>
      <c r="J338" s="41" t="n">
        <v>267.26</v>
      </c>
      <c r="K338" s="41" t="n">
        <v>0</v>
      </c>
      <c r="L338" s="41" t="n">
        <v>0</v>
      </c>
      <c r="M338" s="41" t="n">
        <v>267.26</v>
      </c>
      <c r="N338" s="41" t="n">
        <v>267.26</v>
      </c>
      <c r="O338" s="41" t="n">
        <v>0</v>
      </c>
      <c r="P338" t="inlineStr">
        <is>
          <t>Junio 2026 PERU.xlsx</t>
        </is>
      </c>
      <c r="Q338" t="inlineStr">
        <is>
          <t>Fila 67</t>
        </is>
      </c>
      <c r="R338" t="inlineStr">
        <is>
          <t>Alta</t>
        </is>
      </c>
      <c r="S338" t="inlineStr">
        <is>
          <t>NO</t>
        </is>
      </c>
      <c r="T338" t="inlineStr">
        <is>
          <t>Viajes y alimentación comercial</t>
        </is>
      </c>
    </row>
    <row r="339">
      <c r="A339" t="inlineStr">
        <is>
          <t>2026-06</t>
        </is>
      </c>
      <c r="B339" t="inlineStr">
        <is>
          <t>Peru</t>
        </is>
      </c>
      <c r="C339" t="inlineStr">
        <is>
          <t>PERU</t>
        </is>
      </c>
      <c r="D339" t="inlineStr">
        <is>
          <t>PEN</t>
        </is>
      </c>
      <c r="E339" t="inlineStr">
        <is>
          <t>PL-S-040</t>
        </is>
      </c>
      <c r="F339" t="inlineStr">
        <is>
          <t>Gastos de ventas</t>
        </is>
      </c>
      <c r="G339" t="inlineStr">
        <is>
          <t>Viajes comerciales</t>
        </is>
      </c>
      <c r="H339" t="inlineStr">
        <is>
          <t>Alojamiento y manutención</t>
        </is>
      </c>
      <c r="I339" t="inlineStr">
        <is>
          <t>SERVICIO DE RESTAURANTE</t>
        </is>
      </c>
      <c r="J339" s="41" t="n">
        <v>0</v>
      </c>
      <c r="K339" s="41" t="n">
        <v>1183</v>
      </c>
      <c r="L339" s="41" t="n">
        <v>0</v>
      </c>
      <c r="M339" s="41" t="n">
        <v>1183</v>
      </c>
      <c r="N339" s="41" t="n">
        <v>1183</v>
      </c>
      <c r="O339" s="41" t="n">
        <v>1183</v>
      </c>
      <c r="P339" t="inlineStr">
        <is>
          <t>Junio 2026 PERU.xlsx</t>
        </is>
      </c>
      <c r="Q339" t="inlineStr">
        <is>
          <t>Fila 68</t>
        </is>
      </c>
      <c r="R339" t="inlineStr">
        <is>
          <t>Alta</t>
        </is>
      </c>
      <c r="S339" t="inlineStr">
        <is>
          <t>NO</t>
        </is>
      </c>
      <c r="T339" t="inlineStr">
        <is>
          <t>Viajes y alimentación comercial</t>
        </is>
      </c>
    </row>
    <row r="340">
      <c r="A340" t="inlineStr">
        <is>
          <t>2026-06</t>
        </is>
      </c>
      <c r="B340" t="inlineStr">
        <is>
          <t>Peru</t>
        </is>
      </c>
      <c r="C340" t="inlineStr">
        <is>
          <t>PERU</t>
        </is>
      </c>
      <c r="D340" t="inlineStr">
        <is>
          <t>PEN</t>
        </is>
      </c>
      <c r="E340" t="inlineStr">
        <is>
          <t>PL-S-040</t>
        </is>
      </c>
      <c r="F340" t="inlineStr">
        <is>
          <t>Gastos de ventas</t>
        </is>
      </c>
      <c r="G340" t="inlineStr">
        <is>
          <t>Viajes comerciales</t>
        </is>
      </c>
      <c r="H340" t="inlineStr">
        <is>
          <t>Alojamiento y manutención</t>
        </is>
      </c>
      <c r="I340" t="inlineStr">
        <is>
          <t>SERVICIO DE RESTAURANTE</t>
        </is>
      </c>
      <c r="J340" s="41" t="n">
        <v>80.8</v>
      </c>
      <c r="K340" s="41" t="n">
        <v>0</v>
      </c>
      <c r="L340" s="41" t="n">
        <v>0</v>
      </c>
      <c r="M340" s="41" t="n">
        <v>80.8</v>
      </c>
      <c r="N340" s="41" t="n">
        <v>80.8</v>
      </c>
      <c r="O340" s="41" t="n">
        <v>0</v>
      </c>
      <c r="P340" t="inlineStr">
        <is>
          <t>Junio 2026 PERU.xlsx</t>
        </is>
      </c>
      <c r="Q340" t="inlineStr">
        <is>
          <t>Fila 69</t>
        </is>
      </c>
      <c r="R340" t="inlineStr">
        <is>
          <t>Alta</t>
        </is>
      </c>
      <c r="S340" t="inlineStr">
        <is>
          <t>NO</t>
        </is>
      </c>
      <c r="T340" t="inlineStr">
        <is>
          <t>Viajes y alimentación comercial</t>
        </is>
      </c>
    </row>
    <row r="341">
      <c r="A341" t="inlineStr">
        <is>
          <t>2026-06</t>
        </is>
      </c>
      <c r="B341" t="inlineStr">
        <is>
          <t>Peru</t>
        </is>
      </c>
      <c r="C341" t="inlineStr">
        <is>
          <t>PERU</t>
        </is>
      </c>
      <c r="D341" t="inlineStr">
        <is>
          <t>PEN</t>
        </is>
      </c>
      <c r="E341" t="inlineStr">
        <is>
          <t>PL-S-040</t>
        </is>
      </c>
      <c r="F341" t="inlineStr">
        <is>
          <t>Gastos de ventas</t>
        </is>
      </c>
      <c r="G341" t="inlineStr">
        <is>
          <t>Viajes comerciales</t>
        </is>
      </c>
      <c r="H341" t="inlineStr">
        <is>
          <t>Alojamiento y manutención</t>
        </is>
      </c>
      <c r="I341" t="inlineStr">
        <is>
          <t>SERVICIO DE RESTAURANTE</t>
        </is>
      </c>
      <c r="J341" s="41" t="n">
        <v>20.68</v>
      </c>
      <c r="K341" s="41" t="n">
        <v>0</v>
      </c>
      <c r="L341" s="41" t="n">
        <v>0</v>
      </c>
      <c r="M341" s="41" t="n">
        <v>20.68</v>
      </c>
      <c r="N341" s="41" t="n">
        <v>20.68</v>
      </c>
      <c r="O341" s="41" t="n">
        <v>0</v>
      </c>
      <c r="P341" t="inlineStr">
        <is>
          <t>Junio 2026 PERU.xlsx</t>
        </is>
      </c>
      <c r="Q341" t="inlineStr">
        <is>
          <t>Fila 70</t>
        </is>
      </c>
      <c r="R341" t="inlineStr">
        <is>
          <t>Alta</t>
        </is>
      </c>
      <c r="S341" t="inlineStr">
        <is>
          <t>NO</t>
        </is>
      </c>
      <c r="T341" t="inlineStr">
        <is>
          <t>Viajes y alimentación comercial</t>
        </is>
      </c>
    </row>
    <row r="342">
      <c r="A342" t="inlineStr">
        <is>
          <t>2026-06</t>
        </is>
      </c>
      <c r="B342" t="inlineStr">
        <is>
          <t>Peru</t>
        </is>
      </c>
      <c r="C342" t="inlineStr">
        <is>
          <t>PERU</t>
        </is>
      </c>
      <c r="D342" t="inlineStr">
        <is>
          <t>PEN</t>
        </is>
      </c>
      <c r="E342" t="inlineStr">
        <is>
          <t>PL-S-040</t>
        </is>
      </c>
      <c r="F342" t="inlineStr">
        <is>
          <t>Gastos de ventas</t>
        </is>
      </c>
      <c r="G342" t="inlineStr">
        <is>
          <t>Viajes comerciales</t>
        </is>
      </c>
      <c r="H342" t="inlineStr">
        <is>
          <t>Alojamiento y manutención</t>
        </is>
      </c>
      <c r="I342" t="inlineStr">
        <is>
          <t>SERVICIO DE RESTAURANTE</t>
        </is>
      </c>
      <c r="J342" s="41" t="n">
        <v>0</v>
      </c>
      <c r="K342" s="41" t="n">
        <v>471.49</v>
      </c>
      <c r="L342" s="41" t="n">
        <v>0</v>
      </c>
      <c r="M342" s="41" t="n">
        <v>471.49</v>
      </c>
      <c r="N342" s="41" t="n">
        <v>471.49</v>
      </c>
      <c r="O342" s="41" t="n">
        <v>471.49</v>
      </c>
      <c r="P342" t="inlineStr">
        <is>
          <t>Junio 2026 PERU.xlsx</t>
        </is>
      </c>
      <c r="Q342" t="inlineStr">
        <is>
          <t>Fila 71</t>
        </is>
      </c>
      <c r="R342" t="inlineStr">
        <is>
          <t>Alta</t>
        </is>
      </c>
      <c r="S342" t="inlineStr">
        <is>
          <t>NO</t>
        </is>
      </c>
      <c r="T342" t="inlineStr">
        <is>
          <t>Viajes y alimentación comercial</t>
        </is>
      </c>
    </row>
    <row r="343">
      <c r="A343" t="inlineStr">
        <is>
          <t>2026-06</t>
        </is>
      </c>
      <c r="B343" t="inlineStr">
        <is>
          <t>Peru</t>
        </is>
      </c>
      <c r="C343" t="inlineStr">
        <is>
          <t>PERU</t>
        </is>
      </c>
      <c r="D343" t="inlineStr">
        <is>
          <t>PEN</t>
        </is>
      </c>
      <c r="E343" t="inlineStr">
        <is>
          <t>PL-S-040</t>
        </is>
      </c>
      <c r="F343" t="inlineStr">
        <is>
          <t>Gastos de ventas</t>
        </is>
      </c>
      <c r="G343" t="inlineStr">
        <is>
          <t>Viajes comerciales</t>
        </is>
      </c>
      <c r="H343" t="inlineStr">
        <is>
          <t>Alojamiento y manutención</t>
        </is>
      </c>
      <c r="I343" t="inlineStr">
        <is>
          <t>SERVICIO DE RESTAURANTE</t>
        </is>
      </c>
      <c r="J343" s="41" t="n">
        <v>0</v>
      </c>
      <c r="K343" s="41" t="n">
        <v>256</v>
      </c>
      <c r="L343" s="41" t="n">
        <v>0</v>
      </c>
      <c r="M343" s="41" t="n">
        <v>256</v>
      </c>
      <c r="N343" s="41" t="n">
        <v>256</v>
      </c>
      <c r="O343" s="41" t="n">
        <v>256</v>
      </c>
      <c r="P343" t="inlineStr">
        <is>
          <t>Junio 2026 PERU.xlsx</t>
        </is>
      </c>
      <c r="Q343" t="inlineStr">
        <is>
          <t>Fila 72</t>
        </is>
      </c>
      <c r="R343" t="inlineStr">
        <is>
          <t>Alta</t>
        </is>
      </c>
      <c r="S343" t="inlineStr">
        <is>
          <t>NO</t>
        </is>
      </c>
      <c r="T343" t="inlineStr">
        <is>
          <t>Viajes y alimentación comercial</t>
        </is>
      </c>
    </row>
    <row r="344">
      <c r="A344" t="inlineStr">
        <is>
          <t>2026-06</t>
        </is>
      </c>
      <c r="B344" t="inlineStr">
        <is>
          <t>Peru</t>
        </is>
      </c>
      <c r="C344" t="inlineStr">
        <is>
          <t>PERU</t>
        </is>
      </c>
      <c r="D344" t="inlineStr">
        <is>
          <t>PEN</t>
        </is>
      </c>
      <c r="E344" t="inlineStr">
        <is>
          <t>PL-S-040</t>
        </is>
      </c>
      <c r="F344" t="inlineStr">
        <is>
          <t>Gastos de ventas</t>
        </is>
      </c>
      <c r="G344" t="inlineStr">
        <is>
          <t>Viajes comerciales</t>
        </is>
      </c>
      <c r="H344" t="inlineStr">
        <is>
          <t>Alojamiento y manutención</t>
        </is>
      </c>
      <c r="I344" t="inlineStr">
        <is>
          <t>SERVICIO DE RESTAURANTE</t>
        </is>
      </c>
      <c r="J344" s="41" t="n">
        <v>0</v>
      </c>
      <c r="K344" s="41" t="n">
        <v>269</v>
      </c>
      <c r="L344" s="41" t="n">
        <v>0</v>
      </c>
      <c r="M344" s="41" t="n">
        <v>269</v>
      </c>
      <c r="N344" s="41" t="n">
        <v>269</v>
      </c>
      <c r="O344" s="41" t="n">
        <v>269</v>
      </c>
      <c r="P344" t="inlineStr">
        <is>
          <t>Junio 2026 PERU.xlsx</t>
        </is>
      </c>
      <c r="Q344" t="inlineStr">
        <is>
          <t>Fila 73</t>
        </is>
      </c>
      <c r="R344" t="inlineStr">
        <is>
          <t>Alta</t>
        </is>
      </c>
      <c r="S344" t="inlineStr">
        <is>
          <t>NO</t>
        </is>
      </c>
      <c r="T344" t="inlineStr">
        <is>
          <t>Viajes y alimentación comercial</t>
        </is>
      </c>
    </row>
    <row r="345">
      <c r="A345" t="inlineStr">
        <is>
          <t>2026-06</t>
        </is>
      </c>
      <c r="B345" t="inlineStr">
        <is>
          <t>Peru</t>
        </is>
      </c>
      <c r="C345" t="inlineStr">
        <is>
          <t>PERU</t>
        </is>
      </c>
      <c r="D345" t="inlineStr">
        <is>
          <t>PEN</t>
        </is>
      </c>
      <c r="E345" t="inlineStr">
        <is>
          <t>PL-S-040</t>
        </is>
      </c>
      <c r="F345" t="inlineStr">
        <is>
          <t>Gastos de ventas</t>
        </is>
      </c>
      <c r="G345" t="inlineStr">
        <is>
          <t>Viajes comerciales</t>
        </is>
      </c>
      <c r="H345" t="inlineStr">
        <is>
          <t>Alojamiento y manutención</t>
        </is>
      </c>
      <c r="I345" t="inlineStr">
        <is>
          <t>SERVICIO DE RESTAURANTE</t>
        </is>
      </c>
      <c r="J345" s="41" t="n">
        <v>114</v>
      </c>
      <c r="K345" s="41" t="n">
        <v>0</v>
      </c>
      <c r="L345" s="41" t="n">
        <v>0</v>
      </c>
      <c r="M345" s="41" t="n">
        <v>114</v>
      </c>
      <c r="N345" s="41" t="n">
        <v>114</v>
      </c>
      <c r="O345" s="41" t="n">
        <v>0</v>
      </c>
      <c r="P345" t="inlineStr">
        <is>
          <t>Junio 2026 PERU.xlsx</t>
        </is>
      </c>
      <c r="Q345" t="inlineStr">
        <is>
          <t>Fila 74</t>
        </is>
      </c>
      <c r="R345" t="inlineStr">
        <is>
          <t>Alta</t>
        </is>
      </c>
      <c r="S345" t="inlineStr">
        <is>
          <t>NO</t>
        </is>
      </c>
      <c r="T345" t="inlineStr">
        <is>
          <t>Viajes y alimentación comercial</t>
        </is>
      </c>
    </row>
    <row r="346">
      <c r="A346" t="inlineStr">
        <is>
          <t>2026-06</t>
        </is>
      </c>
      <c r="B346" t="inlineStr">
        <is>
          <t>Peru</t>
        </is>
      </c>
      <c r="C346" t="inlineStr">
        <is>
          <t>PERU</t>
        </is>
      </c>
      <c r="D346" t="inlineStr">
        <is>
          <t>PEN</t>
        </is>
      </c>
      <c r="E346" t="inlineStr">
        <is>
          <t>PL-S-040</t>
        </is>
      </c>
      <c r="F346" t="inlineStr">
        <is>
          <t>Gastos de ventas</t>
        </is>
      </c>
      <c r="G346" t="inlineStr">
        <is>
          <t>Viajes comerciales</t>
        </is>
      </c>
      <c r="H346" t="inlineStr">
        <is>
          <t>Alojamiento y manutención</t>
        </is>
      </c>
      <c r="I346" t="inlineStr">
        <is>
          <t>SERVICIO DE RESTAURANTE</t>
        </is>
      </c>
      <c r="J346" s="41" t="n">
        <v>0</v>
      </c>
      <c r="K346" s="41" t="n">
        <v>124.6</v>
      </c>
      <c r="L346" s="41" t="n">
        <v>0</v>
      </c>
      <c r="M346" s="41" t="n">
        <v>124.6</v>
      </c>
      <c r="N346" s="41" t="n">
        <v>124.6</v>
      </c>
      <c r="O346" s="41" t="n">
        <v>124.6</v>
      </c>
      <c r="P346" t="inlineStr">
        <is>
          <t>Junio 2026 PERU.xlsx</t>
        </is>
      </c>
      <c r="Q346" t="inlineStr">
        <is>
          <t>Fila 75</t>
        </is>
      </c>
      <c r="R346" t="inlineStr">
        <is>
          <t>Alta</t>
        </is>
      </c>
      <c r="S346" t="inlineStr">
        <is>
          <t>NO</t>
        </is>
      </c>
      <c r="T346" t="inlineStr">
        <is>
          <t>Viajes y alimentación comercial</t>
        </is>
      </c>
    </row>
    <row r="347">
      <c r="A347" t="inlineStr">
        <is>
          <t>2026-06</t>
        </is>
      </c>
      <c r="B347" t="inlineStr">
        <is>
          <t>Peru</t>
        </is>
      </c>
      <c r="C347" t="inlineStr">
        <is>
          <t>PERU</t>
        </is>
      </c>
      <c r="D347" t="inlineStr">
        <is>
          <t>PEN</t>
        </is>
      </c>
      <c r="E347" t="inlineStr">
        <is>
          <t>PL-S-040</t>
        </is>
      </c>
      <c r="F347" t="inlineStr">
        <is>
          <t>Gastos de ventas</t>
        </is>
      </c>
      <c r="G347" t="inlineStr">
        <is>
          <t>Viajes comerciales</t>
        </is>
      </c>
      <c r="H347" t="inlineStr">
        <is>
          <t>Alojamiento y manutención</t>
        </is>
      </c>
      <c r="I347" t="inlineStr">
        <is>
          <t>SERVICIO DE RESTAURANTE</t>
        </is>
      </c>
      <c r="J347" s="41" t="n">
        <v>0</v>
      </c>
      <c r="K347" s="41" t="n">
        <v>19.5</v>
      </c>
      <c r="L347" s="41" t="n">
        <v>0</v>
      </c>
      <c r="M347" s="41" t="n">
        <v>19.5</v>
      </c>
      <c r="N347" s="41" t="n">
        <v>19.5</v>
      </c>
      <c r="O347" s="41" t="n">
        <v>19.5</v>
      </c>
      <c r="P347" t="inlineStr">
        <is>
          <t>Junio 2026 PERU.xlsx</t>
        </is>
      </c>
      <c r="Q347" t="inlineStr">
        <is>
          <t>Fila 76</t>
        </is>
      </c>
      <c r="R347" t="inlineStr">
        <is>
          <t>Alta</t>
        </is>
      </c>
      <c r="S347" t="inlineStr">
        <is>
          <t>NO</t>
        </is>
      </c>
      <c r="T347" t="inlineStr">
        <is>
          <t>Viajes y alimentación comercial</t>
        </is>
      </c>
    </row>
    <row r="348">
      <c r="A348" t="inlineStr">
        <is>
          <t>2026-06</t>
        </is>
      </c>
      <c r="B348" t="inlineStr">
        <is>
          <t>Peru</t>
        </is>
      </c>
      <c r="C348" t="inlineStr">
        <is>
          <t>PERU</t>
        </is>
      </c>
      <c r="D348" t="inlineStr">
        <is>
          <t>PEN</t>
        </is>
      </c>
      <c r="E348" t="inlineStr">
        <is>
          <t>PL-S-040</t>
        </is>
      </c>
      <c r="F348" t="inlineStr">
        <is>
          <t>Gastos de ventas</t>
        </is>
      </c>
      <c r="G348" t="inlineStr">
        <is>
          <t>Viajes comerciales</t>
        </is>
      </c>
      <c r="H348" t="inlineStr">
        <is>
          <t>Alojamiento y manutención</t>
        </is>
      </c>
      <c r="I348" t="inlineStr">
        <is>
          <t>SERVICIO DE RESTAURANTE</t>
        </is>
      </c>
      <c r="J348" s="41" t="n">
        <v>520</v>
      </c>
      <c r="K348" s="41" t="n">
        <v>0</v>
      </c>
      <c r="L348" s="41" t="n">
        <v>0</v>
      </c>
      <c r="M348" s="41" t="n">
        <v>520</v>
      </c>
      <c r="N348" s="41" t="n">
        <v>520</v>
      </c>
      <c r="O348" s="41" t="n">
        <v>0</v>
      </c>
      <c r="P348" t="inlineStr">
        <is>
          <t>Junio 2026 PERU.xlsx</t>
        </is>
      </c>
      <c r="Q348" t="inlineStr">
        <is>
          <t>Fila 77</t>
        </is>
      </c>
      <c r="R348" t="inlineStr">
        <is>
          <t>Alta</t>
        </is>
      </c>
      <c r="S348" t="inlineStr">
        <is>
          <t>NO</t>
        </is>
      </c>
      <c r="T348" t="inlineStr">
        <is>
          <t>Viajes y alimentación comercial</t>
        </is>
      </c>
    </row>
    <row r="349">
      <c r="A349" t="inlineStr">
        <is>
          <t>2026-06</t>
        </is>
      </c>
      <c r="B349" t="inlineStr">
        <is>
          <t>Peru</t>
        </is>
      </c>
      <c r="C349" t="inlineStr">
        <is>
          <t>PERU</t>
        </is>
      </c>
      <c r="D349" t="inlineStr">
        <is>
          <t>PEN</t>
        </is>
      </c>
      <c r="E349" t="inlineStr">
        <is>
          <t>PL-S-040</t>
        </is>
      </c>
      <c r="F349" t="inlineStr">
        <is>
          <t>Gastos de ventas</t>
        </is>
      </c>
      <c r="G349" t="inlineStr">
        <is>
          <t>Viajes comerciales</t>
        </is>
      </c>
      <c r="H349" t="inlineStr">
        <is>
          <t>Alojamiento y manutención</t>
        </is>
      </c>
      <c r="I349" t="inlineStr">
        <is>
          <t>SERVICIO DE RESTAURANTE</t>
        </is>
      </c>
      <c r="J349" s="41" t="n">
        <v>6</v>
      </c>
      <c r="K349" s="41" t="n">
        <v>0</v>
      </c>
      <c r="L349" s="41" t="n">
        <v>0</v>
      </c>
      <c r="M349" s="41" t="n">
        <v>6</v>
      </c>
      <c r="N349" s="41" t="n">
        <v>6</v>
      </c>
      <c r="O349" s="41" t="n">
        <v>0</v>
      </c>
      <c r="P349" t="inlineStr">
        <is>
          <t>Junio 2026 PERU.xlsx</t>
        </is>
      </c>
      <c r="Q349" t="inlineStr">
        <is>
          <t>Fila 78</t>
        </is>
      </c>
      <c r="R349" t="inlineStr">
        <is>
          <t>Alta</t>
        </is>
      </c>
      <c r="S349" t="inlineStr">
        <is>
          <t>NO</t>
        </is>
      </c>
      <c r="T349" t="inlineStr">
        <is>
          <t>Viajes y alimentación comercial</t>
        </is>
      </c>
    </row>
    <row r="350">
      <c r="A350" t="inlineStr">
        <is>
          <t>2026-06</t>
        </is>
      </c>
      <c r="B350" t="inlineStr">
        <is>
          <t>Peru</t>
        </is>
      </c>
      <c r="C350" t="inlineStr">
        <is>
          <t>PERU</t>
        </is>
      </c>
      <c r="D350" t="inlineStr">
        <is>
          <t>PEN</t>
        </is>
      </c>
      <c r="E350" t="inlineStr">
        <is>
          <t>PL-S-040</t>
        </is>
      </c>
      <c r="F350" t="inlineStr">
        <is>
          <t>Gastos de ventas</t>
        </is>
      </c>
      <c r="G350" t="inlineStr">
        <is>
          <t>Viajes comerciales</t>
        </is>
      </c>
      <c r="H350" t="inlineStr">
        <is>
          <t>Alojamiento y manutención</t>
        </is>
      </c>
      <c r="I350" t="inlineStr">
        <is>
          <t>SERVICIO DE RESTAURANTE</t>
        </is>
      </c>
      <c r="J350" s="41" t="n">
        <v>226.33</v>
      </c>
      <c r="K350" s="41" t="n">
        <v>0</v>
      </c>
      <c r="L350" s="41" t="n">
        <v>0</v>
      </c>
      <c r="M350" s="41" t="n">
        <v>226.33</v>
      </c>
      <c r="N350" s="41" t="n">
        <v>226.33</v>
      </c>
      <c r="O350" s="41" t="n">
        <v>0</v>
      </c>
      <c r="P350" t="inlineStr">
        <is>
          <t>Junio 2026 PERU.xlsx</t>
        </is>
      </c>
      <c r="Q350" t="inlineStr">
        <is>
          <t>Fila 79</t>
        </is>
      </c>
      <c r="R350" t="inlineStr">
        <is>
          <t>Alta</t>
        </is>
      </c>
      <c r="S350" t="inlineStr">
        <is>
          <t>NO</t>
        </is>
      </c>
      <c r="T350" t="inlineStr">
        <is>
          <t>Viajes y alimentación comercial</t>
        </is>
      </c>
    </row>
    <row r="351">
      <c r="A351" t="inlineStr">
        <is>
          <t>2026-06</t>
        </is>
      </c>
      <c r="B351" t="inlineStr">
        <is>
          <t>Peru</t>
        </is>
      </c>
      <c r="C351" t="inlineStr">
        <is>
          <t>PERU</t>
        </is>
      </c>
      <c r="D351" t="inlineStr">
        <is>
          <t>PEN</t>
        </is>
      </c>
      <c r="E351" t="inlineStr">
        <is>
          <t>PL-S-040</t>
        </is>
      </c>
      <c r="F351" t="inlineStr">
        <is>
          <t>Gastos de ventas</t>
        </is>
      </c>
      <c r="G351" t="inlineStr">
        <is>
          <t>Viajes comerciales</t>
        </is>
      </c>
      <c r="H351" t="inlineStr">
        <is>
          <t>Alojamiento y manutención</t>
        </is>
      </c>
      <c r="I351" t="inlineStr">
        <is>
          <t>SERVICIO DE RESTAURANTE</t>
        </is>
      </c>
      <c r="J351" s="41" t="n">
        <v>386.7</v>
      </c>
      <c r="K351" s="41" t="n">
        <v>0</v>
      </c>
      <c r="L351" s="41" t="n">
        <v>0</v>
      </c>
      <c r="M351" s="41" t="n">
        <v>386.7</v>
      </c>
      <c r="N351" s="41" t="n">
        <v>386.7</v>
      </c>
      <c r="O351" s="41" t="n">
        <v>0</v>
      </c>
      <c r="P351" t="inlineStr">
        <is>
          <t>Junio 2026 PERU.xlsx</t>
        </is>
      </c>
      <c r="Q351" t="inlineStr">
        <is>
          <t>Fila 80</t>
        </is>
      </c>
      <c r="R351" t="inlineStr">
        <is>
          <t>Alta</t>
        </is>
      </c>
      <c r="S351" t="inlineStr">
        <is>
          <t>NO</t>
        </is>
      </c>
      <c r="T351" t="inlineStr">
        <is>
          <t>Viajes y alimentación comercial</t>
        </is>
      </c>
    </row>
    <row r="352">
      <c r="A352" t="inlineStr">
        <is>
          <t>2026-06</t>
        </is>
      </c>
      <c r="B352" t="inlineStr">
        <is>
          <t>Peru</t>
        </is>
      </c>
      <c r="C352" t="inlineStr">
        <is>
          <t>PERU</t>
        </is>
      </c>
      <c r="D352" t="inlineStr">
        <is>
          <t>PEN</t>
        </is>
      </c>
      <c r="E352" t="inlineStr">
        <is>
          <t>PL-S-040</t>
        </is>
      </c>
      <c r="F352" t="inlineStr">
        <is>
          <t>Gastos de ventas</t>
        </is>
      </c>
      <c r="G352" t="inlineStr">
        <is>
          <t>Viajes comerciales</t>
        </is>
      </c>
      <c r="H352" t="inlineStr">
        <is>
          <t>Alojamiento y manutención</t>
        </is>
      </c>
      <c r="I352" t="inlineStr">
        <is>
          <t>SERVICIO DE RESTAURANTE</t>
        </is>
      </c>
      <c r="J352" s="41" t="n">
        <v>150.72</v>
      </c>
      <c r="K352" s="41" t="n">
        <v>0</v>
      </c>
      <c r="L352" s="41" t="n">
        <v>0</v>
      </c>
      <c r="M352" s="41" t="n">
        <v>150.72</v>
      </c>
      <c r="N352" s="41" t="n">
        <v>150.72</v>
      </c>
      <c r="O352" s="41" t="n">
        <v>0</v>
      </c>
      <c r="P352" t="inlineStr">
        <is>
          <t>Junio 2026 PERU.xlsx</t>
        </is>
      </c>
      <c r="Q352" t="inlineStr">
        <is>
          <t>Fila 81</t>
        </is>
      </c>
      <c r="R352" t="inlineStr">
        <is>
          <t>Alta</t>
        </is>
      </c>
      <c r="S352" t="inlineStr">
        <is>
          <t>NO</t>
        </is>
      </c>
      <c r="T352" t="inlineStr">
        <is>
          <t>Viajes y alimentación comercial</t>
        </is>
      </c>
    </row>
    <row r="353">
      <c r="A353" t="inlineStr">
        <is>
          <t>2026-06</t>
        </is>
      </c>
      <c r="B353" t="inlineStr">
        <is>
          <t>Peru</t>
        </is>
      </c>
      <c r="C353" t="inlineStr">
        <is>
          <t>PERU</t>
        </is>
      </c>
      <c r="D353" t="inlineStr">
        <is>
          <t>PEN</t>
        </is>
      </c>
      <c r="E353" t="inlineStr">
        <is>
          <t>PL-S-040</t>
        </is>
      </c>
      <c r="F353" t="inlineStr">
        <is>
          <t>Gastos de ventas</t>
        </is>
      </c>
      <c r="G353" t="inlineStr">
        <is>
          <t>Viajes comerciales</t>
        </is>
      </c>
      <c r="H353" t="inlineStr">
        <is>
          <t>Alojamiento y manutención</t>
        </is>
      </c>
      <c r="I353" t="inlineStr">
        <is>
          <t>SERVICIO DE RESTAURANTE</t>
        </is>
      </c>
      <c r="J353" s="41" t="n">
        <v>24</v>
      </c>
      <c r="K353" s="41" t="n">
        <v>0</v>
      </c>
      <c r="L353" s="41" t="n">
        <v>0</v>
      </c>
      <c r="M353" s="41" t="n">
        <v>24</v>
      </c>
      <c r="N353" s="41" t="n">
        <v>24</v>
      </c>
      <c r="O353" s="41" t="n">
        <v>0</v>
      </c>
      <c r="P353" t="inlineStr">
        <is>
          <t>Junio 2026 PERU.xlsx</t>
        </is>
      </c>
      <c r="Q353" t="inlineStr">
        <is>
          <t>Fila 82</t>
        </is>
      </c>
      <c r="R353" t="inlineStr">
        <is>
          <t>Alta</t>
        </is>
      </c>
      <c r="S353" t="inlineStr">
        <is>
          <t>NO</t>
        </is>
      </c>
      <c r="T353" t="inlineStr">
        <is>
          <t>Viajes y alimentación comercial</t>
        </is>
      </c>
    </row>
    <row r="354">
      <c r="A354" t="inlineStr">
        <is>
          <t>2026-06</t>
        </is>
      </c>
      <c r="B354" t="inlineStr">
        <is>
          <t>Peru</t>
        </is>
      </c>
      <c r="C354" t="inlineStr">
        <is>
          <t>PERU</t>
        </is>
      </c>
      <c r="D354" t="inlineStr">
        <is>
          <t>PEN</t>
        </is>
      </c>
      <c r="E354" t="inlineStr">
        <is>
          <t>PL-S-040</t>
        </is>
      </c>
      <c r="F354" t="inlineStr">
        <is>
          <t>Gastos de ventas</t>
        </is>
      </c>
      <c r="G354" t="inlineStr">
        <is>
          <t>Viajes comerciales</t>
        </is>
      </c>
      <c r="H354" t="inlineStr">
        <is>
          <t>Alojamiento y manutención</t>
        </is>
      </c>
      <c r="I354" t="inlineStr">
        <is>
          <t>SERVICIO DE RESTAURANTE</t>
        </is>
      </c>
      <c r="J354" s="41" t="n">
        <v>24</v>
      </c>
      <c r="K354" s="41" t="n">
        <v>0</v>
      </c>
      <c r="L354" s="41" t="n">
        <v>0</v>
      </c>
      <c r="M354" s="41" t="n">
        <v>24</v>
      </c>
      <c r="N354" s="41" t="n">
        <v>24</v>
      </c>
      <c r="O354" s="41" t="n">
        <v>0</v>
      </c>
      <c r="P354" t="inlineStr">
        <is>
          <t>Junio 2026 PERU.xlsx</t>
        </is>
      </c>
      <c r="Q354" t="inlineStr">
        <is>
          <t>Fila 83</t>
        </is>
      </c>
      <c r="R354" t="inlineStr">
        <is>
          <t>Alta</t>
        </is>
      </c>
      <c r="S354" t="inlineStr">
        <is>
          <t>NO</t>
        </is>
      </c>
      <c r="T354" t="inlineStr">
        <is>
          <t>Viajes y alimentación comercial</t>
        </is>
      </c>
    </row>
    <row r="355">
      <c r="A355" t="inlineStr">
        <is>
          <t>2026-06</t>
        </is>
      </c>
      <c r="B355" t="inlineStr">
        <is>
          <t>Peru</t>
        </is>
      </c>
      <c r="C355" t="inlineStr">
        <is>
          <t>PERU</t>
        </is>
      </c>
      <c r="D355" t="inlineStr">
        <is>
          <t>PEN</t>
        </is>
      </c>
      <c r="E355" t="inlineStr">
        <is>
          <t>PL-S-040</t>
        </is>
      </c>
      <c r="F355" t="inlineStr">
        <is>
          <t>Gastos de ventas</t>
        </is>
      </c>
      <c r="G355" t="inlineStr">
        <is>
          <t>Viajes comerciales</t>
        </is>
      </c>
      <c r="H355" t="inlineStr">
        <is>
          <t>Pasajes aéreos</t>
        </is>
      </c>
      <c r="I355" t="inlineStr">
        <is>
          <t>PASAJE AEREO</t>
        </is>
      </c>
      <c r="J355" s="41" t="n">
        <v>0</v>
      </c>
      <c r="K355" s="41" t="n">
        <v>1450.64</v>
      </c>
      <c r="L355" s="41" t="n">
        <v>0</v>
      </c>
      <c r="M355" s="41" t="n">
        <v>1450.64</v>
      </c>
      <c r="N355" s="41" t="n">
        <v>1450.64</v>
      </c>
      <c r="O355" s="41" t="n">
        <v>1450.64</v>
      </c>
      <c r="P355" t="inlineStr">
        <is>
          <t>Junio 2026 PERU.xlsx</t>
        </is>
      </c>
      <c r="Q355" t="inlineStr">
        <is>
          <t>Fila 85</t>
        </is>
      </c>
      <c r="R355" t="inlineStr">
        <is>
          <t>Alta</t>
        </is>
      </c>
      <c r="S355" t="inlineStr">
        <is>
          <t>NO</t>
        </is>
      </c>
      <c r="T355" t="inlineStr">
        <is>
          <t>Viajes comerciales</t>
        </is>
      </c>
    </row>
    <row r="356">
      <c r="A356" t="inlineStr">
        <is>
          <t>2026-06</t>
        </is>
      </c>
      <c r="B356" t="inlineStr">
        <is>
          <t>Peru</t>
        </is>
      </c>
      <c r="C356" t="inlineStr">
        <is>
          <t>PERU</t>
        </is>
      </c>
      <c r="D356" t="inlineStr">
        <is>
          <t>PEN</t>
        </is>
      </c>
      <c r="E356" t="inlineStr">
        <is>
          <t>PL-S-040</t>
        </is>
      </c>
      <c r="F356" t="inlineStr">
        <is>
          <t>Gastos de ventas</t>
        </is>
      </c>
      <c r="G356" t="inlineStr">
        <is>
          <t>Viajes comerciales</t>
        </is>
      </c>
      <c r="H356" t="inlineStr">
        <is>
          <t>Pasajes aéreos</t>
        </is>
      </c>
      <c r="I356" t="inlineStr">
        <is>
          <t>PASAJE AEREO</t>
        </is>
      </c>
      <c r="J356" s="41" t="n">
        <v>5146.2</v>
      </c>
      <c r="K356" s="41" t="n">
        <v>0</v>
      </c>
      <c r="L356" s="41" t="n">
        <v>0</v>
      </c>
      <c r="M356" s="41" t="n">
        <v>5146.2</v>
      </c>
      <c r="N356" s="41" t="n">
        <v>5146.2</v>
      </c>
      <c r="O356" s="41" t="n">
        <v>0</v>
      </c>
      <c r="P356" t="inlineStr">
        <is>
          <t>Junio 2026 PERU.xlsx</t>
        </is>
      </c>
      <c r="Q356" t="inlineStr">
        <is>
          <t>Fila 86</t>
        </is>
      </c>
      <c r="R356" t="inlineStr">
        <is>
          <t>Alta</t>
        </is>
      </c>
      <c r="S356" t="inlineStr">
        <is>
          <t>NO</t>
        </is>
      </c>
      <c r="T356" t="inlineStr">
        <is>
          <t>Viajes comerciales</t>
        </is>
      </c>
    </row>
    <row r="357">
      <c r="A357" t="inlineStr">
        <is>
          <t>2026-06</t>
        </is>
      </c>
      <c r="B357" t="inlineStr">
        <is>
          <t>Peru</t>
        </is>
      </c>
      <c r="C357" t="inlineStr">
        <is>
          <t>PERU</t>
        </is>
      </c>
      <c r="D357" t="inlineStr">
        <is>
          <t>PEN</t>
        </is>
      </c>
      <c r="E357" t="inlineStr">
        <is>
          <t>PL-S-040</t>
        </is>
      </c>
      <c r="F357" t="inlineStr">
        <is>
          <t>Gastos de ventas</t>
        </is>
      </c>
      <c r="G357" t="inlineStr">
        <is>
          <t>Viajes comerciales</t>
        </is>
      </c>
      <c r="H357" t="inlineStr">
        <is>
          <t>Otros viajes</t>
        </is>
      </c>
      <c r="I357" t="inlineStr">
        <is>
          <t>PROPINA</t>
        </is>
      </c>
      <c r="J357" s="41" t="n">
        <v>0</v>
      </c>
      <c r="K357" s="41" t="n">
        <v>50</v>
      </c>
      <c r="L357" s="41" t="n">
        <v>0</v>
      </c>
      <c r="M357" s="41" t="n">
        <v>50</v>
      </c>
      <c r="N357" s="41" t="n">
        <v>50</v>
      </c>
      <c r="O357" s="41" t="n">
        <v>50</v>
      </c>
      <c r="P357" t="inlineStr">
        <is>
          <t>Junio 2026 PERU.xlsx</t>
        </is>
      </c>
      <c r="Q357" t="inlineStr">
        <is>
          <t>Fila 88</t>
        </is>
      </c>
      <c r="R357" t="inlineStr">
        <is>
          <t>Media</t>
        </is>
      </c>
      <c r="S357" t="inlineStr">
        <is>
          <t>SI</t>
        </is>
      </c>
      <c r="T357" t="inlineStr">
        <is>
          <t>Otros gastos de viaje</t>
        </is>
      </c>
    </row>
    <row r="358">
      <c r="A358" t="inlineStr">
        <is>
          <t>2026-06</t>
        </is>
      </c>
      <c r="B358" t="inlineStr">
        <is>
          <t>Peru</t>
        </is>
      </c>
      <c r="C358" t="inlineStr">
        <is>
          <t>PERU</t>
        </is>
      </c>
      <c r="D358" t="inlineStr">
        <is>
          <t>PEN</t>
        </is>
      </c>
      <c r="E358" t="inlineStr">
        <is>
          <t>PL-S-040</t>
        </is>
      </c>
      <c r="F358" t="inlineStr">
        <is>
          <t>Gastos de ventas</t>
        </is>
      </c>
      <c r="G358" t="inlineStr">
        <is>
          <t>Viajes comerciales</t>
        </is>
      </c>
      <c r="H358" t="inlineStr">
        <is>
          <t>Otros viajes</t>
        </is>
      </c>
      <c r="I358" t="inlineStr">
        <is>
          <t>PROPINA</t>
        </is>
      </c>
      <c r="J358" s="41" t="n">
        <v>0</v>
      </c>
      <c r="K358" s="41" t="n">
        <v>30</v>
      </c>
      <c r="L358" s="41" t="n">
        <v>0</v>
      </c>
      <c r="M358" s="41" t="n">
        <v>30</v>
      </c>
      <c r="N358" s="41" t="n">
        <v>30</v>
      </c>
      <c r="O358" s="41" t="n">
        <v>30</v>
      </c>
      <c r="P358" t="inlineStr">
        <is>
          <t>Junio 2026 PERU.xlsx</t>
        </is>
      </c>
      <c r="Q358" t="inlineStr">
        <is>
          <t>Fila 89</t>
        </is>
      </c>
      <c r="R358" t="inlineStr">
        <is>
          <t>Media</t>
        </is>
      </c>
      <c r="S358" t="inlineStr">
        <is>
          <t>SI</t>
        </is>
      </c>
      <c r="T358" t="inlineStr">
        <is>
          <t>Otros gastos de viaje</t>
        </is>
      </c>
    </row>
    <row r="359">
      <c r="A359" t="inlineStr">
        <is>
          <t>2026-06</t>
        </is>
      </c>
      <c r="B359" t="inlineStr">
        <is>
          <t>Peru</t>
        </is>
      </c>
      <c r="C359" t="inlineStr">
        <is>
          <t>PERU</t>
        </is>
      </c>
      <c r="D359" t="inlineStr">
        <is>
          <t>PEN</t>
        </is>
      </c>
      <c r="E359" t="inlineStr">
        <is>
          <t>PL-S-050</t>
        </is>
      </c>
      <c r="F359" t="inlineStr">
        <is>
          <t>Gastos de ventas</t>
        </is>
      </c>
      <c r="G359" t="inlineStr">
        <is>
          <t>Transporte comercial</t>
        </is>
      </c>
      <c r="H359" t="inlineStr">
        <is>
          <t>Taxis y buses</t>
        </is>
      </c>
      <c r="I359" t="inlineStr">
        <is>
          <t>TAXIS Y BUSES</t>
        </is>
      </c>
      <c r="J359" s="41" t="n">
        <v>78</v>
      </c>
      <c r="K359" s="41" t="n">
        <v>78</v>
      </c>
      <c r="L359" s="41" t="n">
        <v>0</v>
      </c>
      <c r="M359" s="41" t="n">
        <v>156</v>
      </c>
      <c r="N359" s="41" t="n">
        <v>156</v>
      </c>
      <c r="O359" s="41" t="n">
        <v>78</v>
      </c>
      <c r="P359" t="inlineStr">
        <is>
          <t>Junio 2026 PERU.xlsx</t>
        </is>
      </c>
      <c r="Q359" t="inlineStr">
        <is>
          <t>Fila 92</t>
        </is>
      </c>
      <c r="R359" t="inlineStr">
        <is>
          <t>Alta</t>
        </is>
      </c>
      <c r="S359" t="inlineStr">
        <is>
          <t>NO</t>
        </is>
      </c>
      <c r="T359" t="inlineStr">
        <is>
          <t>Transporte local comercial</t>
        </is>
      </c>
    </row>
    <row r="360">
      <c r="A360" t="inlineStr">
        <is>
          <t>2026-06</t>
        </is>
      </c>
      <c r="B360" t="inlineStr">
        <is>
          <t>Peru</t>
        </is>
      </c>
      <c r="C360" t="inlineStr">
        <is>
          <t>PERU</t>
        </is>
      </c>
      <c r="D360" t="inlineStr">
        <is>
          <t>PEN</t>
        </is>
      </c>
      <c r="E360" t="inlineStr">
        <is>
          <t>PL-S-050</t>
        </is>
      </c>
      <c r="F360" t="inlineStr">
        <is>
          <t>Gastos de ventas</t>
        </is>
      </c>
      <c r="G360" t="inlineStr">
        <is>
          <t>Transporte comercial</t>
        </is>
      </c>
      <c r="H360" t="inlineStr">
        <is>
          <t>Taxis y buses</t>
        </is>
      </c>
      <c r="I360" t="inlineStr">
        <is>
          <t>TAXIS Y BUSES</t>
        </is>
      </c>
      <c r="J360" s="41" t="n">
        <v>0</v>
      </c>
      <c r="K360" s="41" t="n">
        <v>389.37</v>
      </c>
      <c r="L360" s="41" t="n">
        <v>0</v>
      </c>
      <c r="M360" s="41" t="n">
        <v>389.37</v>
      </c>
      <c r="N360" s="41" t="n">
        <v>389.37</v>
      </c>
      <c r="O360" s="41" t="n">
        <v>389.37</v>
      </c>
      <c r="P360" t="inlineStr">
        <is>
          <t>Junio 2026 PERU.xlsx</t>
        </is>
      </c>
      <c r="Q360" t="inlineStr">
        <is>
          <t>Fila 93</t>
        </is>
      </c>
      <c r="R360" t="inlineStr">
        <is>
          <t>Alta</t>
        </is>
      </c>
      <c r="S360" t="inlineStr">
        <is>
          <t>NO</t>
        </is>
      </c>
      <c r="T360" t="inlineStr">
        <is>
          <t>Transporte local comercial</t>
        </is>
      </c>
    </row>
    <row r="361">
      <c r="A361" t="inlineStr">
        <is>
          <t>2026-06</t>
        </is>
      </c>
      <c r="B361" t="inlineStr">
        <is>
          <t>Peru</t>
        </is>
      </c>
      <c r="C361" t="inlineStr">
        <is>
          <t>PERU</t>
        </is>
      </c>
      <c r="D361" t="inlineStr">
        <is>
          <t>PEN</t>
        </is>
      </c>
      <c r="E361" t="inlineStr">
        <is>
          <t>PL-S-060</t>
        </is>
      </c>
      <c r="F361" t="inlineStr">
        <is>
          <t>Gastos de ventas</t>
        </is>
      </c>
      <c r="G361" t="inlineStr">
        <is>
          <t>Otros gastos comerciales</t>
        </is>
      </c>
      <c r="H361" t="inlineStr">
        <is>
          <t>Otros</t>
        </is>
      </c>
      <c r="I361" t="inlineStr">
        <is>
          <t>SUMINISTROS</t>
        </is>
      </c>
      <c r="J361" s="41" t="n">
        <v>0</v>
      </c>
      <c r="K361" s="41" t="n">
        <v>79.90000000000001</v>
      </c>
      <c r="L361" s="41" t="n">
        <v>0</v>
      </c>
      <c r="M361" s="41" t="n">
        <v>79.90000000000001</v>
      </c>
      <c r="N361" s="41" t="n">
        <v>79.90000000000001</v>
      </c>
      <c r="O361" s="41" t="n">
        <v>79.90000000000001</v>
      </c>
      <c r="P361" t="inlineStr">
        <is>
          <t>Junio 2026 PERU.xlsx</t>
        </is>
      </c>
      <c r="Q361" t="inlineStr">
        <is>
          <t>Fila 95</t>
        </is>
      </c>
      <c r="R361" t="inlineStr">
        <is>
          <t>Media</t>
        </is>
      </c>
      <c r="S361" t="inlineStr">
        <is>
          <t>SI</t>
        </is>
      </c>
      <c r="T361" t="inlineStr">
        <is>
          <t>Cuenta genérica de ventas</t>
        </is>
      </c>
    </row>
    <row r="362">
      <c r="A362" t="inlineStr">
        <is>
          <t>2026-06</t>
        </is>
      </c>
      <c r="B362" t="inlineStr">
        <is>
          <t>Peru</t>
        </is>
      </c>
      <c r="C362" t="inlineStr">
        <is>
          <t>PERU</t>
        </is>
      </c>
      <c r="D362" t="inlineStr">
        <is>
          <t>PEN</t>
        </is>
      </c>
      <c r="E362" t="inlineStr">
        <is>
          <t>PL-S-060</t>
        </is>
      </c>
      <c r="F362" t="inlineStr">
        <is>
          <t>Gastos de ventas</t>
        </is>
      </c>
      <c r="G362" t="inlineStr">
        <is>
          <t>Otros gastos comerciales</t>
        </is>
      </c>
      <c r="H362" t="inlineStr">
        <is>
          <t>Otros</t>
        </is>
      </c>
      <c r="I362" t="inlineStr">
        <is>
          <t>SUMINISTROS</t>
        </is>
      </c>
      <c r="J362" s="41" t="n">
        <v>0</v>
      </c>
      <c r="K362" s="41" t="n">
        <v>40.62</v>
      </c>
      <c r="L362" s="41" t="n">
        <v>0</v>
      </c>
      <c r="M362" s="41" t="n">
        <v>40.62</v>
      </c>
      <c r="N362" s="41" t="n">
        <v>40.62</v>
      </c>
      <c r="O362" s="41" t="n">
        <v>40.62</v>
      </c>
      <c r="P362" t="inlineStr">
        <is>
          <t>Junio 2026 PERU.xlsx</t>
        </is>
      </c>
      <c r="Q362" t="inlineStr">
        <is>
          <t>Fila 96</t>
        </is>
      </c>
      <c r="R362" t="inlineStr">
        <is>
          <t>Media</t>
        </is>
      </c>
      <c r="S362" t="inlineStr">
        <is>
          <t>SI</t>
        </is>
      </c>
      <c r="T362" t="inlineStr">
        <is>
          <t>Cuenta genérica de ventas</t>
        </is>
      </c>
    </row>
    <row r="363">
      <c r="A363" t="inlineStr">
        <is>
          <t>2026-06</t>
        </is>
      </c>
      <c r="B363" t="inlineStr">
        <is>
          <t>Peru</t>
        </is>
      </c>
      <c r="C363" t="inlineStr">
        <is>
          <t>PERU</t>
        </is>
      </c>
      <c r="D363" t="inlineStr">
        <is>
          <t>PEN</t>
        </is>
      </c>
      <c r="E363" t="inlineStr">
        <is>
          <t>PL-S-060</t>
        </is>
      </c>
      <c r="F363" t="inlineStr">
        <is>
          <t>Gastos de ventas</t>
        </is>
      </c>
      <c r="G363" t="inlineStr">
        <is>
          <t>Otros gastos comerciales</t>
        </is>
      </c>
      <c r="H363" t="inlineStr">
        <is>
          <t>Otros</t>
        </is>
      </c>
      <c r="I363" t="inlineStr">
        <is>
          <t>FERIAS Y EVENTOS</t>
        </is>
      </c>
      <c r="J363" s="41" t="n">
        <v>0</v>
      </c>
      <c r="K363" s="41" t="n">
        <v>3954</v>
      </c>
      <c r="L363" s="41" t="n">
        <v>0</v>
      </c>
      <c r="M363" s="41" t="n">
        <v>3954</v>
      </c>
      <c r="N363" s="41" t="n">
        <v>3954</v>
      </c>
      <c r="O363" s="41" t="n">
        <v>3954</v>
      </c>
      <c r="P363" t="inlineStr">
        <is>
          <t>Junio 2026 PERU.xlsx</t>
        </is>
      </c>
      <c r="Q363" t="inlineStr">
        <is>
          <t>Fila 97</t>
        </is>
      </c>
      <c r="R363" t="inlineStr">
        <is>
          <t>Media</t>
        </is>
      </c>
      <c r="S363" t="inlineStr">
        <is>
          <t>SI</t>
        </is>
      </c>
      <c r="T363" t="inlineStr">
        <is>
          <t>Cuenta genérica de ventas</t>
        </is>
      </c>
    </row>
    <row r="364">
      <c r="A364" t="inlineStr">
        <is>
          <t>2026-06</t>
        </is>
      </c>
      <c r="B364" t="inlineStr">
        <is>
          <t>Peru</t>
        </is>
      </c>
      <c r="C364" t="inlineStr">
        <is>
          <t>PERU</t>
        </is>
      </c>
      <c r="D364" t="inlineStr">
        <is>
          <t>PEN</t>
        </is>
      </c>
      <c r="E364" t="inlineStr">
        <is>
          <t>PL-S-060</t>
        </is>
      </c>
      <c r="F364" t="inlineStr">
        <is>
          <t>Gastos de ventas</t>
        </is>
      </c>
      <c r="G364" t="inlineStr">
        <is>
          <t>Otros gastos comerciales</t>
        </is>
      </c>
      <c r="H364" t="inlineStr">
        <is>
          <t>Otros</t>
        </is>
      </c>
      <c r="I364" t="inlineStr">
        <is>
          <t>MEDICAMENTOS</t>
        </is>
      </c>
      <c r="J364" s="41" t="n">
        <v>1.9</v>
      </c>
      <c r="K364" s="41" t="n">
        <v>0</v>
      </c>
      <c r="L364" s="41" t="n">
        <v>0</v>
      </c>
      <c r="M364" s="41" t="n">
        <v>1.9</v>
      </c>
      <c r="N364" s="41" t="n">
        <v>1.9</v>
      </c>
      <c r="O364" s="41" t="n">
        <v>0</v>
      </c>
      <c r="P364" t="inlineStr">
        <is>
          <t>Junio 2026 PERU.xlsx</t>
        </is>
      </c>
      <c r="Q364" t="inlineStr">
        <is>
          <t>Fila 98</t>
        </is>
      </c>
      <c r="R364" t="inlineStr">
        <is>
          <t>Media</t>
        </is>
      </c>
      <c r="S364" t="inlineStr">
        <is>
          <t>SI</t>
        </is>
      </c>
      <c r="T364" t="inlineStr">
        <is>
          <t>Cuenta genérica de ventas</t>
        </is>
      </c>
    </row>
    <row r="365">
      <c r="A365" t="inlineStr">
        <is>
          <t>2026-06</t>
        </is>
      </c>
      <c r="B365" t="inlineStr">
        <is>
          <t>Peru</t>
        </is>
      </c>
      <c r="C365" t="inlineStr">
        <is>
          <t>PERU</t>
        </is>
      </c>
      <c r="D365" t="inlineStr">
        <is>
          <t>PEN</t>
        </is>
      </c>
      <c r="E365" t="inlineStr">
        <is>
          <t>PL-F-010</t>
        </is>
      </c>
      <c r="F365" t="inlineStr">
        <is>
          <t>Gastos financieros</t>
        </is>
      </c>
      <c r="G365" t="inlineStr">
        <is>
          <t>Gastos financieros</t>
        </is>
      </c>
      <c r="H365" t="inlineStr">
        <is>
          <t>Gastos bancarios</t>
        </is>
      </c>
      <c r="I365" t="inlineStr">
        <is>
          <t>GASTOS BANCARIOS</t>
        </is>
      </c>
      <c r="J365" s="41" t="n">
        <v>227.16</v>
      </c>
      <c r="K365" s="41" t="n">
        <v>233.65</v>
      </c>
      <c r="L365" s="41" t="n">
        <v>0</v>
      </c>
      <c r="M365" s="41" t="n">
        <v>460.81</v>
      </c>
      <c r="N365" s="41" t="n">
        <v>460.81</v>
      </c>
      <c r="O365" s="41" t="n">
        <v>233.65</v>
      </c>
      <c r="P365" t="inlineStr">
        <is>
          <t>Junio 2026 PERU.xlsx</t>
        </is>
      </c>
      <c r="Q365" t="inlineStr">
        <is>
          <t>Fila 101</t>
        </is>
      </c>
      <c r="R365" t="inlineStr">
        <is>
          <t>Alta</t>
        </is>
      </c>
      <c r="S365" t="inlineStr">
        <is>
          <t>NO</t>
        </is>
      </c>
      <c r="T365" t="inlineStr">
        <is>
          <t>Costo financiero bancario</t>
        </is>
      </c>
    </row>
    <row r="366">
      <c r="A366" t="inlineStr">
        <is>
          <t>2026-06</t>
        </is>
      </c>
      <c r="B366" t="inlineStr">
        <is>
          <t>Peru</t>
        </is>
      </c>
      <c r="C366" t="inlineStr">
        <is>
          <t>PERU</t>
        </is>
      </c>
      <c r="D366" t="inlineStr">
        <is>
          <t>PEN</t>
        </is>
      </c>
      <c r="E366" t="inlineStr">
        <is>
          <t>PL-F-010</t>
        </is>
      </c>
      <c r="F366" t="inlineStr">
        <is>
          <t>Gastos financieros</t>
        </is>
      </c>
      <c r="G366" t="inlineStr">
        <is>
          <t>Gastos financieros</t>
        </is>
      </c>
      <c r="H366" t="inlineStr">
        <is>
          <t>Gastos bancarios</t>
        </is>
      </c>
      <c r="I366" t="inlineStr">
        <is>
          <t>GASTOS BANCARIOS</t>
        </is>
      </c>
      <c r="J366" s="41" t="n">
        <v>4.29</v>
      </c>
      <c r="K366" s="41" t="n">
        <v>0</v>
      </c>
      <c r="L366" s="41" t="n">
        <v>0</v>
      </c>
      <c r="M366" s="41" t="n">
        <v>4.29</v>
      </c>
      <c r="N366" s="41" t="n">
        <v>4.29</v>
      </c>
      <c r="O366" s="41" t="n">
        <v>0</v>
      </c>
      <c r="P366" t="inlineStr">
        <is>
          <t>Junio 2026 PERU.xlsx</t>
        </is>
      </c>
      <c r="Q366" t="inlineStr">
        <is>
          <t>Fila 102</t>
        </is>
      </c>
      <c r="R366" t="inlineStr">
        <is>
          <t>Alta</t>
        </is>
      </c>
      <c r="S366" t="inlineStr">
        <is>
          <t>NO</t>
        </is>
      </c>
      <c r="T366" t="inlineStr">
        <is>
          <t>Costo financiero bancario</t>
        </is>
      </c>
    </row>
    <row r="367">
      <c r="A367" t="inlineStr">
        <is>
          <t>2026-06</t>
        </is>
      </c>
      <c r="B367" t="inlineStr">
        <is>
          <t>Peru</t>
        </is>
      </c>
      <c r="C367" t="inlineStr">
        <is>
          <t>PERU</t>
        </is>
      </c>
      <c r="D367" t="inlineStr">
        <is>
          <t>PEN</t>
        </is>
      </c>
      <c r="E367" t="inlineStr">
        <is>
          <t>PL-F-010</t>
        </is>
      </c>
      <c r="F367" t="inlineStr">
        <is>
          <t>Gastos financieros</t>
        </is>
      </c>
      <c r="G367" t="inlineStr">
        <is>
          <t>Gastos financieros</t>
        </is>
      </c>
      <c r="H367" t="inlineStr">
        <is>
          <t>Gastos bancarios</t>
        </is>
      </c>
      <c r="I367" t="inlineStr">
        <is>
          <t>GASTOS BANCARIOS</t>
        </is>
      </c>
      <c r="J367" s="41" t="n">
        <v>172.1</v>
      </c>
      <c r="K367" s="41" t="n">
        <v>0</v>
      </c>
      <c r="L367" s="41" t="n">
        <v>0</v>
      </c>
      <c r="M367" s="41" t="n">
        <v>172.1</v>
      </c>
      <c r="N367" s="41" t="n">
        <v>172.1</v>
      </c>
      <c r="O367" s="41" t="n">
        <v>0</v>
      </c>
      <c r="P367" t="inlineStr">
        <is>
          <t>Junio 2026 PERU.xlsx</t>
        </is>
      </c>
      <c r="Q367" t="inlineStr">
        <is>
          <t>Fila 103</t>
        </is>
      </c>
      <c r="R367" t="inlineStr">
        <is>
          <t>Alta</t>
        </is>
      </c>
      <c r="S367" t="inlineStr">
        <is>
          <t>NO</t>
        </is>
      </c>
      <c r="T367" t="inlineStr">
        <is>
          <t>Costo financiero bancario</t>
        </is>
      </c>
    </row>
    <row r="368">
      <c r="A368" t="inlineStr">
        <is>
          <t>2026-06</t>
        </is>
      </c>
      <c r="B368" t="inlineStr">
        <is>
          <t>Peru</t>
        </is>
      </c>
      <c r="C368" t="inlineStr">
        <is>
          <t>PERU</t>
        </is>
      </c>
      <c r="D368" t="inlineStr">
        <is>
          <t>PEN</t>
        </is>
      </c>
      <c r="E368" t="inlineStr">
        <is>
          <t>PL-F-010</t>
        </is>
      </c>
      <c r="F368" t="inlineStr">
        <is>
          <t>Gastos financieros</t>
        </is>
      </c>
      <c r="G368" t="inlineStr">
        <is>
          <t>Gastos financieros</t>
        </is>
      </c>
      <c r="H368" t="inlineStr">
        <is>
          <t>Gastos bancarios</t>
        </is>
      </c>
      <c r="I368" t="inlineStr">
        <is>
          <t>IVA</t>
        </is>
      </c>
      <c r="J368" s="41" t="n">
        <v>7.4</v>
      </c>
      <c r="K368" s="41" t="n">
        <v>0.5</v>
      </c>
      <c r="L368" s="41" t="n">
        <v>0</v>
      </c>
      <c r="M368" s="41" t="n">
        <v>7.9</v>
      </c>
      <c r="N368" s="41" t="n">
        <v>7.9</v>
      </c>
      <c r="O368" s="41" t="n">
        <v>0.5</v>
      </c>
      <c r="P368" t="inlineStr">
        <is>
          <t>Junio 2026 PERU.xlsx</t>
        </is>
      </c>
      <c r="Q368" t="inlineStr">
        <is>
          <t>Fila 104</t>
        </is>
      </c>
      <c r="R368" t="inlineStr">
        <is>
          <t>Alta</t>
        </is>
      </c>
      <c r="S368" t="inlineStr">
        <is>
          <t>NO</t>
        </is>
      </c>
      <c r="T368" t="inlineStr">
        <is>
          <t>Costo financiero bancario</t>
        </is>
      </c>
    </row>
    <row r="369">
      <c r="A369" t="inlineStr">
        <is>
          <t>2026-06</t>
        </is>
      </c>
      <c r="B369" t="inlineStr">
        <is>
          <t>Peru</t>
        </is>
      </c>
      <c r="C369" t="inlineStr">
        <is>
          <t>PERU</t>
        </is>
      </c>
      <c r="D369" t="inlineStr">
        <is>
          <t>PEN</t>
        </is>
      </c>
      <c r="E369" t="inlineStr">
        <is>
          <t>PL-F-010</t>
        </is>
      </c>
      <c r="F369" t="inlineStr">
        <is>
          <t>Gastos financieros</t>
        </is>
      </c>
      <c r="G369" t="inlineStr">
        <is>
          <t>Gastos financieros</t>
        </is>
      </c>
      <c r="H369" t="inlineStr">
        <is>
          <t>Gastos bancarios</t>
        </is>
      </c>
      <c r="I369" t="inlineStr">
        <is>
          <t>CUOTA MANEJO</t>
        </is>
      </c>
      <c r="J369" s="41" t="n">
        <v>441.87</v>
      </c>
      <c r="K369" s="41" t="n">
        <v>80</v>
      </c>
      <c r="L369" s="41" t="n">
        <v>0</v>
      </c>
      <c r="M369" s="41" t="n">
        <v>521.87</v>
      </c>
      <c r="N369" s="41" t="n">
        <v>521.87</v>
      </c>
      <c r="O369" s="41" t="n">
        <v>80</v>
      </c>
      <c r="P369" t="inlineStr">
        <is>
          <t>Junio 2026 PERU.xlsx</t>
        </is>
      </c>
      <c r="Q369" t="inlineStr">
        <is>
          <t>Fila 105</t>
        </is>
      </c>
      <c r="R369" t="inlineStr">
        <is>
          <t>Alta</t>
        </is>
      </c>
      <c r="S369" t="inlineStr">
        <is>
          <t>NO</t>
        </is>
      </c>
      <c r="T369" t="inlineStr">
        <is>
          <t>Costo financiero bancario</t>
        </is>
      </c>
    </row>
    <row r="370">
      <c r="A370" t="inlineStr">
        <is>
          <t>2026-06</t>
        </is>
      </c>
      <c r="B370" t="inlineStr">
        <is>
          <t>Peru</t>
        </is>
      </c>
      <c r="C370" t="inlineStr">
        <is>
          <t>PERU</t>
        </is>
      </c>
      <c r="D370" t="inlineStr">
        <is>
          <t>PEN</t>
        </is>
      </c>
      <c r="E370" t="inlineStr">
        <is>
          <t>PL-F-010</t>
        </is>
      </c>
      <c r="F370" t="inlineStr">
        <is>
          <t>Gastos financieros</t>
        </is>
      </c>
      <c r="G370" t="inlineStr">
        <is>
          <t>Gastos financieros</t>
        </is>
      </c>
      <c r="H370" t="inlineStr">
        <is>
          <t>Comisiones</t>
        </is>
      </c>
      <c r="I370" t="inlineStr">
        <is>
          <t>COMISIONES BANCARIAS</t>
        </is>
      </c>
      <c r="J370" s="41" t="n">
        <v>4.29</v>
      </c>
      <c r="K370" s="41" t="n">
        <v>0</v>
      </c>
      <c r="L370" s="41" t="n">
        <v>0</v>
      </c>
      <c r="M370" s="41" t="n">
        <v>4.29</v>
      </c>
      <c r="N370" s="41" t="n">
        <v>4.29</v>
      </c>
      <c r="O370" s="41" t="n">
        <v>0</v>
      </c>
      <c r="P370" t="inlineStr">
        <is>
          <t>Junio 2026 PERU.xlsx</t>
        </is>
      </c>
      <c r="Q370" t="inlineStr">
        <is>
          <t>Fila 107</t>
        </is>
      </c>
      <c r="R370" t="inlineStr">
        <is>
          <t>Alta</t>
        </is>
      </c>
      <c r="S370" t="inlineStr">
        <is>
          <t>NO</t>
        </is>
      </c>
      <c r="T370" t="inlineStr">
        <is>
          <t>Comisiones financieras</t>
        </is>
      </c>
    </row>
    <row r="371">
      <c r="A371" t="inlineStr">
        <is>
          <t>2026-06</t>
        </is>
      </c>
      <c r="B371" t="inlineStr">
        <is>
          <t>Peru</t>
        </is>
      </c>
      <c r="C371" t="inlineStr">
        <is>
          <t>PERU</t>
        </is>
      </c>
      <c r="D371" t="inlineStr">
        <is>
          <t>PEN</t>
        </is>
      </c>
      <c r="E371" t="inlineStr">
        <is>
          <t>PL-F-010</t>
        </is>
      </c>
      <c r="F371" t="inlineStr">
        <is>
          <t>Gastos financieros</t>
        </is>
      </c>
      <c r="G371" t="inlineStr">
        <is>
          <t>Gastos financieros</t>
        </is>
      </c>
      <c r="H371" t="inlineStr">
        <is>
          <t>Comisiones</t>
        </is>
      </c>
      <c r="I371" t="inlineStr">
        <is>
          <t>COMISIONES BANCARIAS</t>
        </is>
      </c>
      <c r="J371" s="41" t="n">
        <v>-4.29</v>
      </c>
      <c r="K371" s="41" t="n">
        <v>0</v>
      </c>
      <c r="L371" s="41" t="n">
        <v>0</v>
      </c>
      <c r="M371" s="41" t="n">
        <v>-4.29</v>
      </c>
      <c r="N371" s="41" t="n">
        <v>-4.29</v>
      </c>
      <c r="O371" s="41" t="n">
        <v>0</v>
      </c>
      <c r="P371" t="inlineStr">
        <is>
          <t>Junio 2026 PERU.xlsx</t>
        </is>
      </c>
      <c r="Q371" t="inlineStr">
        <is>
          <t>Fila 108</t>
        </is>
      </c>
      <c r="R371" t="inlineStr">
        <is>
          <t>Alta</t>
        </is>
      </c>
      <c r="S371" t="inlineStr">
        <is>
          <t>NO</t>
        </is>
      </c>
      <c r="T371" t="inlineStr">
        <is>
          <t>Comisiones financieras</t>
        </is>
      </c>
    </row>
    <row r="372">
      <c r="A372" t="inlineStr">
        <is>
          <t>2026-06</t>
        </is>
      </c>
      <c r="B372" t="inlineStr">
        <is>
          <t>Estados Unidos</t>
        </is>
      </c>
      <c r="C372" t="inlineStr">
        <is>
          <t>USA</t>
        </is>
      </c>
      <c r="D372" t="inlineStr">
        <is>
          <t>USD</t>
        </is>
      </c>
      <c r="E372" t="inlineStr">
        <is>
          <t>PL-R-010</t>
        </is>
      </c>
      <c r="F372" t="inlineStr">
        <is>
          <t>Ingresos operacionales</t>
        </is>
      </c>
      <c r="G372" t="inlineStr">
        <is>
          <t>Ingresos por servicios</t>
        </is>
      </c>
      <c r="H372" t="inlineStr">
        <is>
          <t>Software y agendamiento</t>
        </is>
      </c>
      <c r="I372" t="inlineStr">
        <is>
          <t>PRESTADORA DE SERVICIOS DE SALUD PREVENTIS SA</t>
        </is>
      </c>
      <c r="J372" s="41" t="n">
        <v>-21148.35</v>
      </c>
      <c r="K372" s="41" t="n">
        <v>0</v>
      </c>
      <c r="L372" s="41" t="n">
        <v>5513</v>
      </c>
      <c r="M372" s="41" t="n">
        <v>-26661.35</v>
      </c>
      <c r="N372" s="41" t="n">
        <v>26661.35</v>
      </c>
      <c r="O372" s="41" t="n">
        <v>5513</v>
      </c>
      <c r="P372" t="inlineStr">
        <is>
          <t>Junio 2026 USA.xlsx</t>
        </is>
      </c>
      <c r="Q372" t="inlineStr">
        <is>
          <t>Fila 59</t>
        </is>
      </c>
      <c r="R372" t="inlineStr">
        <is>
          <t>Alta</t>
        </is>
      </c>
      <c r="S372" t="inlineStr">
        <is>
          <t>NO</t>
        </is>
      </c>
      <c r="T372" t="inlineStr">
        <is>
          <t>Ingreso operacional principal</t>
        </is>
      </c>
    </row>
    <row r="373">
      <c r="A373" t="inlineStr">
        <is>
          <t>2026-06</t>
        </is>
      </c>
      <c r="B373" t="inlineStr">
        <is>
          <t>Estados Unidos</t>
        </is>
      </c>
      <c r="C373" t="inlineStr">
        <is>
          <t>USA</t>
        </is>
      </c>
      <c r="D373" t="inlineStr">
        <is>
          <t>USD</t>
        </is>
      </c>
      <c r="E373" t="inlineStr">
        <is>
          <t>PL-R-010</t>
        </is>
      </c>
      <c r="F373" t="inlineStr">
        <is>
          <t>Ingresos operacionales</t>
        </is>
      </c>
      <c r="G373" t="inlineStr">
        <is>
          <t>Ingresos por servicios</t>
        </is>
      </c>
      <c r="H373" t="inlineStr">
        <is>
          <t>Software y agendamiento</t>
        </is>
      </c>
      <c r="I373" t="inlineStr">
        <is>
          <t>SERVICIOS HOSPITALARIOS BRISAS SA</t>
        </is>
      </c>
      <c r="J373" s="41" t="n">
        <v>-1200</v>
      </c>
      <c r="K373" s="41" t="n">
        <v>0</v>
      </c>
      <c r="L373" s="41" t="n">
        <v>0</v>
      </c>
      <c r="M373" s="41" t="n">
        <v>-1200</v>
      </c>
      <c r="N373" s="41" t="n">
        <v>1200</v>
      </c>
      <c r="O373" s="41" t="n">
        <v>0</v>
      </c>
      <c r="P373" t="inlineStr">
        <is>
          <t>Junio 2026 USA.xlsx</t>
        </is>
      </c>
      <c r="Q373" t="inlineStr">
        <is>
          <t>Fila 60</t>
        </is>
      </c>
      <c r="R373" t="inlineStr">
        <is>
          <t>Alta</t>
        </is>
      </c>
      <c r="S373" t="inlineStr">
        <is>
          <t>NO</t>
        </is>
      </c>
      <c r="T373" t="inlineStr">
        <is>
          <t>Ingreso operacional principal</t>
        </is>
      </c>
    </row>
    <row r="374">
      <c r="A374" t="inlineStr">
        <is>
          <t>2026-06</t>
        </is>
      </c>
      <c r="B374" t="inlineStr">
        <is>
          <t>Estados Unidos</t>
        </is>
      </c>
      <c r="C374" t="inlineStr">
        <is>
          <t>USA</t>
        </is>
      </c>
      <c r="D374" t="inlineStr">
        <is>
          <t>USD</t>
        </is>
      </c>
      <c r="E374" t="inlineStr">
        <is>
          <t>PL-R-010</t>
        </is>
      </c>
      <c r="F374" t="inlineStr">
        <is>
          <t>Ingresos operacionales</t>
        </is>
      </c>
      <c r="G374" t="inlineStr">
        <is>
          <t>Ingresos por servicios</t>
        </is>
      </c>
      <c r="H374" t="inlineStr">
        <is>
          <t>Software y agendamiento</t>
        </is>
      </c>
      <c r="I374" t="inlineStr">
        <is>
          <t>COCO TECH AI PERU S.A.C.</t>
        </is>
      </c>
      <c r="J374" s="41" t="n">
        <v>-4010</v>
      </c>
      <c r="K374" s="41" t="n">
        <v>0</v>
      </c>
      <c r="L374" s="41" t="n">
        <v>0</v>
      </c>
      <c r="M374" s="41" t="n">
        <v>-4010</v>
      </c>
      <c r="N374" s="41" t="n">
        <v>4010</v>
      </c>
      <c r="O374" s="41" t="n">
        <v>0</v>
      </c>
      <c r="P374" t="inlineStr">
        <is>
          <t>Junio 2026 USA.xlsx</t>
        </is>
      </c>
      <c r="Q374" t="inlineStr">
        <is>
          <t>Fila 61</t>
        </is>
      </c>
      <c r="R374" t="inlineStr">
        <is>
          <t>Alta</t>
        </is>
      </c>
      <c r="S374" t="inlineStr">
        <is>
          <t>NO</t>
        </is>
      </c>
      <c r="T374" t="inlineStr">
        <is>
          <t>Ingreso operacional principal</t>
        </is>
      </c>
    </row>
    <row r="375">
      <c r="A375" t="inlineStr">
        <is>
          <t>2026-06</t>
        </is>
      </c>
      <c r="B375" t="inlineStr">
        <is>
          <t>Estados Unidos</t>
        </is>
      </c>
      <c r="C375" t="inlineStr">
        <is>
          <t>USA</t>
        </is>
      </c>
      <c r="D375" t="inlineStr">
        <is>
          <t>USD</t>
        </is>
      </c>
      <c r="E375" t="inlineStr">
        <is>
          <t>PL-R-010</t>
        </is>
      </c>
      <c r="F375" t="inlineStr">
        <is>
          <t>Ingresos operacionales</t>
        </is>
      </c>
      <c r="G375" t="inlineStr">
        <is>
          <t>Ingresos por servicios</t>
        </is>
      </c>
      <c r="H375" t="inlineStr">
        <is>
          <t>Software y agendamiento</t>
        </is>
      </c>
      <c r="I375" t="inlineStr">
        <is>
          <t>ACOSTA BORBON ALEJANDRO</t>
        </is>
      </c>
      <c r="J375" s="41" t="n">
        <v>-217</v>
      </c>
      <c r="K375" s="41" t="n">
        <v>0</v>
      </c>
      <c r="L375" s="41" t="n">
        <v>0</v>
      </c>
      <c r="M375" s="41" t="n">
        <v>-217</v>
      </c>
      <c r="N375" s="41" t="n">
        <v>217</v>
      </c>
      <c r="O375" s="41" t="n">
        <v>0</v>
      </c>
      <c r="P375" t="inlineStr">
        <is>
          <t>Junio 2026 USA.xlsx</t>
        </is>
      </c>
      <c r="Q375" t="inlineStr">
        <is>
          <t>Fila 62</t>
        </is>
      </c>
      <c r="R375" t="inlineStr">
        <is>
          <t>Alta</t>
        </is>
      </c>
      <c r="S375" t="inlineStr">
        <is>
          <t>NO</t>
        </is>
      </c>
      <c r="T375" t="inlineStr">
        <is>
          <t>Ingreso operacional principal</t>
        </is>
      </c>
    </row>
    <row r="376">
      <c r="A376" t="inlineStr">
        <is>
          <t>2026-06</t>
        </is>
      </c>
      <c r="B376" t="inlineStr">
        <is>
          <t>Estados Unidos</t>
        </is>
      </c>
      <c r="C376" t="inlineStr">
        <is>
          <t>USA</t>
        </is>
      </c>
      <c r="D376" t="inlineStr">
        <is>
          <t>USD</t>
        </is>
      </c>
      <c r="E376" t="inlineStr">
        <is>
          <t>PL-R-010</t>
        </is>
      </c>
      <c r="F376" t="inlineStr">
        <is>
          <t>Ingresos operacionales</t>
        </is>
      </c>
      <c r="G376" t="inlineStr">
        <is>
          <t>Ingresos por servicios</t>
        </is>
      </c>
      <c r="H376" t="inlineStr">
        <is>
          <t>Software y agendamiento</t>
        </is>
      </c>
      <c r="I376" t="inlineStr">
        <is>
          <t>Emmely Esther Coronado Peguero</t>
        </is>
      </c>
      <c r="J376" s="41" t="n">
        <v>-482.25</v>
      </c>
      <c r="K376" s="41" t="n">
        <v>0</v>
      </c>
      <c r="L376" s="41" t="n">
        <v>96.45</v>
      </c>
      <c r="M376" s="41" t="n">
        <v>-578.7</v>
      </c>
      <c r="N376" s="41" t="n">
        <v>578.7</v>
      </c>
      <c r="O376" s="41" t="n">
        <v>96.45</v>
      </c>
      <c r="P376" t="inlineStr">
        <is>
          <t>Junio 2026 USA.xlsx</t>
        </is>
      </c>
      <c r="Q376" t="inlineStr">
        <is>
          <t>Fila 63</t>
        </is>
      </c>
      <c r="R376" t="inlineStr">
        <is>
          <t>Alta</t>
        </is>
      </c>
      <c r="S376" t="inlineStr">
        <is>
          <t>NO</t>
        </is>
      </c>
      <c r="T376" t="inlineStr">
        <is>
          <t>Ingreso operacional principal</t>
        </is>
      </c>
    </row>
    <row r="377">
      <c r="A377" t="inlineStr">
        <is>
          <t>2026-06</t>
        </is>
      </c>
      <c r="B377" t="inlineStr">
        <is>
          <t>Estados Unidos</t>
        </is>
      </c>
      <c r="C377" t="inlineStr">
        <is>
          <t>USA</t>
        </is>
      </c>
      <c r="D377" t="inlineStr">
        <is>
          <t>USD</t>
        </is>
      </c>
      <c r="E377" t="inlineStr">
        <is>
          <t>PL-R-010</t>
        </is>
      </c>
      <c r="F377" t="inlineStr">
        <is>
          <t>Ingresos operacionales</t>
        </is>
      </c>
      <c r="G377" t="inlineStr">
        <is>
          <t>Ingresos por servicios</t>
        </is>
      </c>
      <c r="H377" t="inlineStr">
        <is>
          <t>Software y agendamiento</t>
        </is>
      </c>
      <c r="I377" t="inlineStr">
        <is>
          <t>Fundacion para la Confianza</t>
        </is>
      </c>
      <c r="J377" s="41" t="n">
        <v>-275</v>
      </c>
      <c r="K377" s="41" t="n">
        <v>0</v>
      </c>
      <c r="L377" s="41" t="n">
        <v>55</v>
      </c>
      <c r="M377" s="41" t="n">
        <v>-330</v>
      </c>
      <c r="N377" s="41" t="n">
        <v>330</v>
      </c>
      <c r="O377" s="41" t="n">
        <v>55</v>
      </c>
      <c r="P377" t="inlineStr">
        <is>
          <t>Junio 2026 USA.xlsx</t>
        </is>
      </c>
      <c r="Q377" t="inlineStr">
        <is>
          <t>Fila 64</t>
        </is>
      </c>
      <c r="R377" t="inlineStr">
        <is>
          <t>Alta</t>
        </is>
      </c>
      <c r="S377" t="inlineStr">
        <is>
          <t>NO</t>
        </is>
      </c>
      <c r="T377" t="inlineStr">
        <is>
          <t>Ingreso operacional principal</t>
        </is>
      </c>
    </row>
    <row r="378">
      <c r="A378" t="inlineStr">
        <is>
          <t>2026-06</t>
        </is>
      </c>
      <c r="B378" t="inlineStr">
        <is>
          <t>Estados Unidos</t>
        </is>
      </c>
      <c r="C378" t="inlineStr">
        <is>
          <t>USA</t>
        </is>
      </c>
      <c r="D378" t="inlineStr">
        <is>
          <t>USD</t>
        </is>
      </c>
      <c r="E378" t="inlineStr">
        <is>
          <t>PL-NO-010</t>
        </is>
      </c>
      <c r="F378" t="inlineStr">
        <is>
          <t>Ingresos no operacionales</t>
        </is>
      </c>
      <c r="G378" t="inlineStr">
        <is>
          <t>Ingresos financieros</t>
        </is>
      </c>
      <c r="H378" t="inlineStr">
        <is>
          <t>Intereses</t>
        </is>
      </c>
      <c r="I378" t="inlineStr">
        <is>
          <t>PRESTADORA DE SERVICIOS DE SALUD PREVENTIS SA</t>
        </is>
      </c>
      <c r="J378" s="41" t="n">
        <v>-0.35</v>
      </c>
      <c r="K378" s="41" t="n">
        <v>0</v>
      </c>
      <c r="L378" s="41" t="n">
        <v>0</v>
      </c>
      <c r="M378" s="41" t="n">
        <v>-0.35</v>
      </c>
      <c r="N378" s="41" t="n">
        <v>0.35</v>
      </c>
      <c r="O378" s="41" t="n">
        <v>0</v>
      </c>
      <c r="P378" t="inlineStr">
        <is>
          <t>Junio 2026 USA.xlsx</t>
        </is>
      </c>
      <c r="Q378" t="inlineStr">
        <is>
          <t>Fila 68</t>
        </is>
      </c>
      <c r="R378" t="inlineStr">
        <is>
          <t>Alta</t>
        </is>
      </c>
      <c r="S378" t="inlineStr">
        <is>
          <t>NO</t>
        </is>
      </c>
      <c r="T378" t="inlineStr">
        <is>
          <t>Ingreso financiero</t>
        </is>
      </c>
    </row>
    <row r="379">
      <c r="A379" t="inlineStr">
        <is>
          <t>2026-06</t>
        </is>
      </c>
      <c r="B379" t="inlineStr">
        <is>
          <t>Estados Unidos</t>
        </is>
      </c>
      <c r="C379" t="inlineStr">
        <is>
          <t>USA</t>
        </is>
      </c>
      <c r="D379" t="inlineStr">
        <is>
          <t>USD</t>
        </is>
      </c>
      <c r="E379" t="inlineStr">
        <is>
          <t>PL-NO-010</t>
        </is>
      </c>
      <c r="F379" t="inlineStr">
        <is>
          <t>Ingresos no operacionales</t>
        </is>
      </c>
      <c r="G379" t="inlineStr">
        <is>
          <t>Ingresos financieros</t>
        </is>
      </c>
      <c r="H379" t="inlineStr">
        <is>
          <t>Intereses</t>
        </is>
      </c>
      <c r="I379" t="inlineStr">
        <is>
          <t>SERVICIOS HOSPITALARIOS BRISAS SA</t>
        </is>
      </c>
      <c r="J379" s="41" t="n">
        <v>-83</v>
      </c>
      <c r="K379" s="41" t="n">
        <v>0</v>
      </c>
      <c r="L379" s="41" t="n">
        <v>0</v>
      </c>
      <c r="M379" s="41" t="n">
        <v>-83</v>
      </c>
      <c r="N379" s="41" t="n">
        <v>83</v>
      </c>
      <c r="O379" s="41" t="n">
        <v>0</v>
      </c>
      <c r="P379" t="inlineStr">
        <is>
          <t>Junio 2026 USA.xlsx</t>
        </is>
      </c>
      <c r="Q379" t="inlineStr">
        <is>
          <t>Fila 69</t>
        </is>
      </c>
      <c r="R379" t="inlineStr">
        <is>
          <t>Alta</t>
        </is>
      </c>
      <c r="S379" t="inlineStr">
        <is>
          <t>NO</t>
        </is>
      </c>
      <c r="T379" t="inlineStr">
        <is>
          <t>Ingreso financiero</t>
        </is>
      </c>
    </row>
    <row r="380">
      <c r="A380" t="inlineStr">
        <is>
          <t>2026-06</t>
        </is>
      </c>
      <c r="B380" t="inlineStr">
        <is>
          <t>Estados Unidos</t>
        </is>
      </c>
      <c r="C380" t="inlineStr">
        <is>
          <t>USA</t>
        </is>
      </c>
      <c r="D380" t="inlineStr">
        <is>
          <t>USD</t>
        </is>
      </c>
      <c r="E380" t="inlineStr">
        <is>
          <t>PL-NO-010</t>
        </is>
      </c>
      <c r="F380" t="inlineStr">
        <is>
          <t>Ingresos no operacionales</t>
        </is>
      </c>
      <c r="G380" t="inlineStr">
        <is>
          <t>Ingresos financieros</t>
        </is>
      </c>
      <c r="H380" t="inlineStr">
        <is>
          <t>Intereses</t>
        </is>
      </c>
      <c r="I380" t="inlineStr">
        <is>
          <t>MERCURY LLC</t>
        </is>
      </c>
      <c r="J380" s="41" t="n">
        <v>-316.92</v>
      </c>
      <c r="K380" s="41" t="n">
        <v>0</v>
      </c>
      <c r="L380" s="41" t="n">
        <v>165.11</v>
      </c>
      <c r="M380" s="41" t="n">
        <v>-482.03</v>
      </c>
      <c r="N380" s="41" t="n">
        <v>482.03</v>
      </c>
      <c r="O380" s="41" t="n">
        <v>165.11</v>
      </c>
      <c r="P380" t="inlineStr">
        <is>
          <t>Junio 2026 USA.xlsx</t>
        </is>
      </c>
      <c r="Q380" t="inlineStr">
        <is>
          <t>Fila 70</t>
        </is>
      </c>
      <c r="R380" t="inlineStr">
        <is>
          <t>Alta</t>
        </is>
      </c>
      <c r="S380" t="inlineStr">
        <is>
          <t>NO</t>
        </is>
      </c>
      <c r="T380" t="inlineStr">
        <is>
          <t>Ingreso financiero</t>
        </is>
      </c>
    </row>
    <row r="381">
      <c r="A381" t="inlineStr">
        <is>
          <t>2026-06</t>
        </is>
      </c>
      <c r="B381" t="inlineStr">
        <is>
          <t>Estados Unidos</t>
        </is>
      </c>
      <c r="C381" t="inlineStr">
        <is>
          <t>USA</t>
        </is>
      </c>
      <c r="D381" t="inlineStr">
        <is>
          <t>USD</t>
        </is>
      </c>
      <c r="E381" t="inlineStr">
        <is>
          <t>PL-O-010</t>
        </is>
      </c>
      <c r="F381" t="inlineStr">
        <is>
          <t>Gastos de administración</t>
        </is>
      </c>
      <c r="G381" t="inlineStr">
        <is>
          <t>Gastos de personal</t>
        </is>
      </c>
      <c r="H381" t="inlineStr">
        <is>
          <t>Sueldos</t>
        </is>
      </c>
      <c r="I381" t="inlineStr">
        <is>
          <t>Parada Zuluaga Robert Andres</t>
        </is>
      </c>
      <c r="J381" s="41" t="n">
        <v>12960.85</v>
      </c>
      <c r="K381" s="41" t="n">
        <v>2592.17</v>
      </c>
      <c r="L381" s="41" t="n">
        <v>0</v>
      </c>
      <c r="M381" s="41" t="n">
        <v>15553.02</v>
      </c>
      <c r="N381" s="41" t="n">
        <v>15553.02</v>
      </c>
      <c r="O381" s="41" t="n">
        <v>2592.17</v>
      </c>
      <c r="P381" t="inlineStr">
        <is>
          <t>Junio 2026 USA.xlsx</t>
        </is>
      </c>
      <c r="Q381" t="inlineStr">
        <is>
          <t>Fila 75</t>
        </is>
      </c>
      <c r="R381" t="inlineStr">
        <is>
          <t>Alta</t>
        </is>
      </c>
      <c r="S381" t="inlineStr">
        <is>
          <t>NO</t>
        </is>
      </c>
      <c r="T381" t="inlineStr">
        <is>
          <t>Remuneración laboral</t>
        </is>
      </c>
    </row>
    <row r="382">
      <c r="A382" t="inlineStr">
        <is>
          <t>2026-06</t>
        </is>
      </c>
      <c r="B382" t="inlineStr">
        <is>
          <t>Estados Unidos</t>
        </is>
      </c>
      <c r="C382" t="inlineStr">
        <is>
          <t>USA</t>
        </is>
      </c>
      <c r="D382" t="inlineStr">
        <is>
          <t>USD</t>
        </is>
      </c>
      <c r="E382" t="inlineStr">
        <is>
          <t>PL-O-010</t>
        </is>
      </c>
      <c r="F382" t="inlineStr">
        <is>
          <t>Gastos de administración</t>
        </is>
      </c>
      <c r="G382" t="inlineStr">
        <is>
          <t>Gastos de personal</t>
        </is>
      </c>
      <c r="H382" t="inlineStr">
        <is>
          <t>Sueldos</t>
        </is>
      </c>
      <c r="I382" t="inlineStr">
        <is>
          <t>Georgia Tech Online</t>
        </is>
      </c>
      <c r="J382" s="41" t="n">
        <v>0</v>
      </c>
      <c r="K382" s="41" t="n">
        <v>4000</v>
      </c>
      <c r="L382" s="41" t="n">
        <v>0</v>
      </c>
      <c r="M382" s="41" t="n">
        <v>4000</v>
      </c>
      <c r="N382" s="41" t="n">
        <v>4000</v>
      </c>
      <c r="O382" s="41" t="n">
        <v>4000</v>
      </c>
      <c r="P382" t="inlineStr">
        <is>
          <t>Junio 2026 USA.xlsx</t>
        </is>
      </c>
      <c r="Q382" t="inlineStr">
        <is>
          <t>Fila 76</t>
        </is>
      </c>
      <c r="R382" t="inlineStr">
        <is>
          <t>Alta</t>
        </is>
      </c>
      <c r="S382" t="inlineStr">
        <is>
          <t>NO</t>
        </is>
      </c>
      <c r="T382" t="inlineStr">
        <is>
          <t>Remuneración laboral</t>
        </is>
      </c>
    </row>
    <row r="383">
      <c r="A383" t="inlineStr">
        <is>
          <t>2026-06</t>
        </is>
      </c>
      <c r="B383" t="inlineStr">
        <is>
          <t>Estados Unidos</t>
        </is>
      </c>
      <c r="C383" t="inlineStr">
        <is>
          <t>USA</t>
        </is>
      </c>
      <c r="D383" t="inlineStr">
        <is>
          <t>USD</t>
        </is>
      </c>
      <c r="E383" t="inlineStr">
        <is>
          <t>PL-O-010</t>
        </is>
      </c>
      <c r="F383" t="inlineStr">
        <is>
          <t>Gastos de administración</t>
        </is>
      </c>
      <c r="G383" t="inlineStr">
        <is>
          <t>Gastos de personal</t>
        </is>
      </c>
      <c r="H383" t="inlineStr">
        <is>
          <t>Sueldos</t>
        </is>
      </c>
      <c r="I383" t="inlineStr">
        <is>
          <t>INFORMA</t>
        </is>
      </c>
      <c r="J383" s="41" t="n">
        <v>0</v>
      </c>
      <c r="K383" s="41" t="n">
        <v>5000</v>
      </c>
      <c r="L383" s="41" t="n">
        <v>0</v>
      </c>
      <c r="M383" s="41" t="n">
        <v>5000</v>
      </c>
      <c r="N383" s="41" t="n">
        <v>5000</v>
      </c>
      <c r="O383" s="41" t="n">
        <v>5000</v>
      </c>
      <c r="P383" t="inlineStr">
        <is>
          <t>Junio 2026 USA.xlsx</t>
        </is>
      </c>
      <c r="Q383" t="inlineStr">
        <is>
          <t>Fila 77</t>
        </is>
      </c>
      <c r="R383" t="inlineStr">
        <is>
          <t>Alta</t>
        </is>
      </c>
      <c r="S383" t="inlineStr">
        <is>
          <t>NO</t>
        </is>
      </c>
      <c r="T383" t="inlineStr">
        <is>
          <t>Remuneración laboral</t>
        </is>
      </c>
    </row>
    <row r="384">
      <c r="A384" t="inlineStr">
        <is>
          <t>2026-06</t>
        </is>
      </c>
      <c r="B384" t="inlineStr">
        <is>
          <t>Estados Unidos</t>
        </is>
      </c>
      <c r="C384" t="inlineStr">
        <is>
          <t>USA</t>
        </is>
      </c>
      <c r="D384" t="inlineStr">
        <is>
          <t>USD</t>
        </is>
      </c>
      <c r="E384" t="inlineStr">
        <is>
          <t>PL-O-090</t>
        </is>
      </c>
      <c r="F384" t="inlineStr">
        <is>
          <t>Gastos de administración</t>
        </is>
      </c>
      <c r="G384" t="inlineStr">
        <is>
          <t>Viajes y representación</t>
        </is>
      </c>
      <c r="H384" t="inlineStr">
        <is>
          <t>Viáticos</t>
        </is>
      </c>
      <c r="I384" t="inlineStr">
        <is>
          <t>HILTON HOLDING INC</t>
        </is>
      </c>
      <c r="J384" s="41" t="n">
        <v>78.43000000000001</v>
      </c>
      <c r="K384" s="41" t="n">
        <v>0</v>
      </c>
      <c r="L384" s="41" t="n">
        <v>0</v>
      </c>
      <c r="M384" s="41" t="n">
        <v>78.43000000000001</v>
      </c>
      <c r="N384" s="41" t="n">
        <v>78.43000000000001</v>
      </c>
      <c r="O384" s="41" t="n">
        <v>0</v>
      </c>
      <c r="P384" t="inlineStr">
        <is>
          <t>Junio 2026 USA.xlsx</t>
        </is>
      </c>
      <c r="Q384" t="inlineStr">
        <is>
          <t>Fila 79</t>
        </is>
      </c>
      <c r="R384" t="inlineStr">
        <is>
          <t>Alta</t>
        </is>
      </c>
      <c r="S384" t="inlineStr">
        <is>
          <t>NO</t>
        </is>
      </c>
      <c r="T384" t="inlineStr">
        <is>
          <t>Viáticos administrativos</t>
        </is>
      </c>
    </row>
    <row r="385">
      <c r="A385" t="inlineStr">
        <is>
          <t>2026-06</t>
        </is>
      </c>
      <c r="B385" t="inlineStr">
        <is>
          <t>Estados Unidos</t>
        </is>
      </c>
      <c r="C385" t="inlineStr">
        <is>
          <t>USA</t>
        </is>
      </c>
      <c r="D385" t="inlineStr">
        <is>
          <t>USD</t>
        </is>
      </c>
      <c r="E385" t="inlineStr">
        <is>
          <t>PL-O-090</t>
        </is>
      </c>
      <c r="F385" t="inlineStr">
        <is>
          <t>Gastos de administración</t>
        </is>
      </c>
      <c r="G385" t="inlineStr">
        <is>
          <t>Viajes y representación</t>
        </is>
      </c>
      <c r="H385" t="inlineStr">
        <is>
          <t>Viáticos</t>
        </is>
      </c>
      <c r="I385" t="inlineStr">
        <is>
          <t>Lyft</t>
        </is>
      </c>
      <c r="J385" s="41" t="n">
        <v>64.79000000000001</v>
      </c>
      <c r="K385" s="41" t="n">
        <v>0</v>
      </c>
      <c r="L385" s="41" t="n">
        <v>0</v>
      </c>
      <c r="M385" s="41" t="n">
        <v>64.79000000000001</v>
      </c>
      <c r="N385" s="41" t="n">
        <v>64.79000000000001</v>
      </c>
      <c r="O385" s="41" t="n">
        <v>0</v>
      </c>
      <c r="P385" t="inlineStr">
        <is>
          <t>Junio 2026 USA.xlsx</t>
        </is>
      </c>
      <c r="Q385" t="inlineStr">
        <is>
          <t>Fila 80</t>
        </is>
      </c>
      <c r="R385" t="inlineStr">
        <is>
          <t>Alta</t>
        </is>
      </c>
      <c r="S385" t="inlineStr">
        <is>
          <t>NO</t>
        </is>
      </c>
      <c r="T385" t="inlineStr">
        <is>
          <t>Viáticos administrativos</t>
        </is>
      </c>
    </row>
    <row r="386">
      <c r="A386" t="inlineStr">
        <is>
          <t>2026-06</t>
        </is>
      </c>
      <c r="B386" t="inlineStr">
        <is>
          <t>Estados Unidos</t>
        </is>
      </c>
      <c r="C386" t="inlineStr">
        <is>
          <t>USA</t>
        </is>
      </c>
      <c r="D386" t="inlineStr">
        <is>
          <t>USD</t>
        </is>
      </c>
      <c r="E386" t="inlineStr">
        <is>
          <t>PL-O-090</t>
        </is>
      </c>
      <c r="F386" t="inlineStr">
        <is>
          <t>Gastos de administración</t>
        </is>
      </c>
      <c r="G386" t="inlineStr">
        <is>
          <t>Viajes y representación</t>
        </is>
      </c>
      <c r="H386" t="inlineStr">
        <is>
          <t>Viáticos</t>
        </is>
      </c>
      <c r="I386" t="inlineStr">
        <is>
          <t>Chapola Cafe</t>
        </is>
      </c>
      <c r="J386" s="41" t="n">
        <v>35.04</v>
      </c>
      <c r="K386" s="41" t="n">
        <v>0</v>
      </c>
      <c r="L386" s="41" t="n">
        <v>0</v>
      </c>
      <c r="M386" s="41" t="n">
        <v>35.04</v>
      </c>
      <c r="N386" s="41" t="n">
        <v>35.04</v>
      </c>
      <c r="O386" s="41" t="n">
        <v>0</v>
      </c>
      <c r="P386" t="inlineStr">
        <is>
          <t>Junio 2026 USA.xlsx</t>
        </is>
      </c>
      <c r="Q386" t="inlineStr">
        <is>
          <t>Fila 81</t>
        </is>
      </c>
      <c r="R386" t="inlineStr">
        <is>
          <t>Alta</t>
        </is>
      </c>
      <c r="S386" t="inlineStr">
        <is>
          <t>NO</t>
        </is>
      </c>
      <c r="T386" t="inlineStr">
        <is>
          <t>Viáticos administrativos</t>
        </is>
      </c>
    </row>
    <row r="387">
      <c r="A387" t="inlineStr">
        <is>
          <t>2026-06</t>
        </is>
      </c>
      <c r="B387" t="inlineStr">
        <is>
          <t>Estados Unidos</t>
        </is>
      </c>
      <c r="C387" t="inlineStr">
        <is>
          <t>USA</t>
        </is>
      </c>
      <c r="D387" t="inlineStr">
        <is>
          <t>USD</t>
        </is>
      </c>
      <c r="E387" t="inlineStr">
        <is>
          <t>PL-O-090</t>
        </is>
      </c>
      <c r="F387" t="inlineStr">
        <is>
          <t>Gastos de administración</t>
        </is>
      </c>
      <c r="G387" t="inlineStr">
        <is>
          <t>Viajes y representación</t>
        </is>
      </c>
      <c r="H387" t="inlineStr">
        <is>
          <t>Viáticos</t>
        </is>
      </c>
      <c r="I387" t="inlineStr">
        <is>
          <t>Mestiza Cafe</t>
        </is>
      </c>
      <c r="J387" s="41" t="n">
        <v>22.14</v>
      </c>
      <c r="K387" s="41" t="n">
        <v>38.21</v>
      </c>
      <c r="L387" s="41" t="n">
        <v>0</v>
      </c>
      <c r="M387" s="41" t="n">
        <v>60.35</v>
      </c>
      <c r="N387" s="41" t="n">
        <v>60.35</v>
      </c>
      <c r="O387" s="41" t="n">
        <v>38.21</v>
      </c>
      <c r="P387" t="inlineStr">
        <is>
          <t>Junio 2026 USA.xlsx</t>
        </is>
      </c>
      <c r="Q387" t="inlineStr">
        <is>
          <t>Fila 82</t>
        </is>
      </c>
      <c r="R387" t="inlineStr">
        <is>
          <t>Alta</t>
        </is>
      </c>
      <c r="S387" t="inlineStr">
        <is>
          <t>NO</t>
        </is>
      </c>
      <c r="T387" t="inlineStr">
        <is>
          <t>Viáticos administrativos</t>
        </is>
      </c>
    </row>
    <row r="388">
      <c r="A388" t="inlineStr">
        <is>
          <t>2026-06</t>
        </is>
      </c>
      <c r="B388" t="inlineStr">
        <is>
          <t>Estados Unidos</t>
        </is>
      </c>
      <c r="C388" t="inlineStr">
        <is>
          <t>USA</t>
        </is>
      </c>
      <c r="D388" t="inlineStr">
        <is>
          <t>USD</t>
        </is>
      </c>
      <c r="E388" t="inlineStr">
        <is>
          <t>PL-O-090</t>
        </is>
      </c>
      <c r="F388" t="inlineStr">
        <is>
          <t>Gastos de administración</t>
        </is>
      </c>
      <c r="G388" t="inlineStr">
        <is>
          <t>Viajes y representación</t>
        </is>
      </c>
      <c r="H388" t="inlineStr">
        <is>
          <t>Viáticos</t>
        </is>
      </c>
      <c r="I388" t="inlineStr">
        <is>
          <t>Chapola Cafe</t>
        </is>
      </c>
      <c r="J388" s="41" t="n">
        <v>13.54</v>
      </c>
      <c r="K388" s="41" t="n">
        <v>0</v>
      </c>
      <c r="L388" s="41" t="n">
        <v>0</v>
      </c>
      <c r="M388" s="41" t="n">
        <v>13.54</v>
      </c>
      <c r="N388" s="41" t="n">
        <v>13.54</v>
      </c>
      <c r="O388" s="41" t="n">
        <v>0</v>
      </c>
      <c r="P388" t="inlineStr">
        <is>
          <t>Junio 2026 USA.xlsx</t>
        </is>
      </c>
      <c r="Q388" t="inlineStr">
        <is>
          <t>Fila 83</t>
        </is>
      </c>
      <c r="R388" t="inlineStr">
        <is>
          <t>Alta</t>
        </is>
      </c>
      <c r="S388" t="inlineStr">
        <is>
          <t>NO</t>
        </is>
      </c>
      <c r="T388" t="inlineStr">
        <is>
          <t>Viáticos administrativos</t>
        </is>
      </c>
    </row>
    <row r="389">
      <c r="A389" t="inlineStr">
        <is>
          <t>2026-06</t>
        </is>
      </c>
      <c r="B389" t="inlineStr">
        <is>
          <t>Estados Unidos</t>
        </is>
      </c>
      <c r="C389" t="inlineStr">
        <is>
          <t>USA</t>
        </is>
      </c>
      <c r="D389" t="inlineStr">
        <is>
          <t>USD</t>
        </is>
      </c>
      <c r="E389" t="inlineStr">
        <is>
          <t>PL-O-010</t>
        </is>
      </c>
      <c r="F389" t="inlineStr">
        <is>
          <t>Gastos de administración</t>
        </is>
      </c>
      <c r="G389" t="inlineStr">
        <is>
          <t>Gastos de personal</t>
        </is>
      </c>
      <c r="H389" t="inlineStr">
        <is>
          <t>Auxilios</t>
        </is>
      </c>
      <c r="I389" t="inlineStr">
        <is>
          <t>CAPOTE &amp; CAPOTE PA</t>
        </is>
      </c>
      <c r="J389" s="41" t="n">
        <v>7600</v>
      </c>
      <c r="K389" s="41" t="n">
        <v>0</v>
      </c>
      <c r="L389" s="41" t="n">
        <v>0</v>
      </c>
      <c r="M389" s="41" t="n">
        <v>7600</v>
      </c>
      <c r="N389" s="41" t="n">
        <v>7600</v>
      </c>
      <c r="O389" s="41" t="n">
        <v>0</v>
      </c>
      <c r="P389" t="inlineStr">
        <is>
          <t>Junio 2026 USA.xlsx</t>
        </is>
      </c>
      <c r="Q389" t="inlineStr">
        <is>
          <t>Fila 85</t>
        </is>
      </c>
      <c r="R389" t="inlineStr">
        <is>
          <t>Media</t>
        </is>
      </c>
      <c r="S389" t="inlineStr">
        <is>
          <t>SI</t>
        </is>
      </c>
      <c r="T389" t="inlineStr">
        <is>
          <t>Algunos terceros no parecen auxilios laborales; revisar soporte</t>
        </is>
      </c>
    </row>
    <row r="390">
      <c r="A390" t="inlineStr">
        <is>
          <t>2026-06</t>
        </is>
      </c>
      <c r="B390" t="inlineStr">
        <is>
          <t>Estados Unidos</t>
        </is>
      </c>
      <c r="C390" t="inlineStr">
        <is>
          <t>USA</t>
        </is>
      </c>
      <c r="D390" t="inlineStr">
        <is>
          <t>USD</t>
        </is>
      </c>
      <c r="E390" t="inlineStr">
        <is>
          <t>PL-O-010</t>
        </is>
      </c>
      <c r="F390" t="inlineStr">
        <is>
          <t>Gastos de administración</t>
        </is>
      </c>
      <c r="G390" t="inlineStr">
        <is>
          <t>Gastos de personal</t>
        </is>
      </c>
      <c r="H390" t="inlineStr">
        <is>
          <t>Dotación y suministros a trabajadores</t>
        </is>
      </c>
      <c r="I390" t="inlineStr">
        <is>
          <t>BEST BUY</t>
        </is>
      </c>
      <c r="J390" s="41" t="n">
        <v>276.06</v>
      </c>
      <c r="K390" s="41" t="n">
        <v>0</v>
      </c>
      <c r="L390" s="41" t="n">
        <v>0</v>
      </c>
      <c r="M390" s="41" t="n">
        <v>276.06</v>
      </c>
      <c r="N390" s="41" t="n">
        <v>276.06</v>
      </c>
      <c r="O390" s="41" t="n">
        <v>0</v>
      </c>
      <c r="P390" t="inlineStr">
        <is>
          <t>Junio 2026 USA.xlsx</t>
        </is>
      </c>
      <c r="Q390" t="inlineStr">
        <is>
          <t>Fila 87</t>
        </is>
      </c>
      <c r="R390" t="inlineStr">
        <is>
          <t>Alta</t>
        </is>
      </c>
      <c r="S390" t="inlineStr">
        <is>
          <t>NO</t>
        </is>
      </c>
      <c r="T390" t="inlineStr">
        <is>
          <t>Beneficios y dotación de personal</t>
        </is>
      </c>
    </row>
    <row r="391">
      <c r="A391" t="inlineStr">
        <is>
          <t>2026-06</t>
        </is>
      </c>
      <c r="B391" t="inlineStr">
        <is>
          <t>Estados Unidos</t>
        </is>
      </c>
      <c r="C391" t="inlineStr">
        <is>
          <t>USA</t>
        </is>
      </c>
      <c r="D391" t="inlineStr">
        <is>
          <t>USD</t>
        </is>
      </c>
      <c r="E391" t="inlineStr">
        <is>
          <t>PL-O-010</t>
        </is>
      </c>
      <c r="F391" t="inlineStr">
        <is>
          <t>Gastos de administración</t>
        </is>
      </c>
      <c r="G391" t="inlineStr">
        <is>
          <t>Gastos de personal</t>
        </is>
      </c>
      <c r="H391" t="inlineStr">
        <is>
          <t>Dotación y suministros a trabajadores</t>
        </is>
      </c>
      <c r="I391" t="inlineStr">
        <is>
          <t>Ross Dress for Less</t>
        </is>
      </c>
      <c r="J391" s="41" t="n">
        <v>13.9</v>
      </c>
      <c r="K391" s="41" t="n">
        <v>0</v>
      </c>
      <c r="L391" s="41" t="n">
        <v>0</v>
      </c>
      <c r="M391" s="41" t="n">
        <v>13.9</v>
      </c>
      <c r="N391" s="41" t="n">
        <v>13.9</v>
      </c>
      <c r="O391" s="41" t="n">
        <v>0</v>
      </c>
      <c r="P391" t="inlineStr">
        <is>
          <t>Junio 2026 USA.xlsx</t>
        </is>
      </c>
      <c r="Q391" t="inlineStr">
        <is>
          <t>Fila 88</t>
        </is>
      </c>
      <c r="R391" t="inlineStr">
        <is>
          <t>Alta</t>
        </is>
      </c>
      <c r="S391" t="inlineStr">
        <is>
          <t>NO</t>
        </is>
      </c>
      <c r="T391" t="inlineStr">
        <is>
          <t>Beneficios y dotación de personal</t>
        </is>
      </c>
    </row>
    <row r="392">
      <c r="A392" t="inlineStr">
        <is>
          <t>2026-06</t>
        </is>
      </c>
      <c r="B392" t="inlineStr">
        <is>
          <t>Estados Unidos</t>
        </is>
      </c>
      <c r="C392" t="inlineStr">
        <is>
          <t>USA</t>
        </is>
      </c>
      <c r="D392" t="inlineStr">
        <is>
          <t>USD</t>
        </is>
      </c>
      <c r="E392" t="inlineStr">
        <is>
          <t>PL-O-010</t>
        </is>
      </c>
      <c r="F392" t="inlineStr">
        <is>
          <t>Gastos de administración</t>
        </is>
      </c>
      <c r="G392" t="inlineStr">
        <is>
          <t>Gastos de personal</t>
        </is>
      </c>
      <c r="H392" t="inlineStr">
        <is>
          <t>Dotación y suministros a trabajadores</t>
        </is>
      </c>
      <c r="I392" t="inlineStr">
        <is>
          <t>Office Depot</t>
        </is>
      </c>
      <c r="J392" s="41" t="n">
        <v>15.3</v>
      </c>
      <c r="K392" s="41" t="n">
        <v>0</v>
      </c>
      <c r="L392" s="41" t="n">
        <v>0</v>
      </c>
      <c r="M392" s="41" t="n">
        <v>15.3</v>
      </c>
      <c r="N392" s="41" t="n">
        <v>15.3</v>
      </c>
      <c r="O392" s="41" t="n">
        <v>0</v>
      </c>
      <c r="P392" t="inlineStr">
        <is>
          <t>Junio 2026 USA.xlsx</t>
        </is>
      </c>
      <c r="Q392" t="inlineStr">
        <is>
          <t>Fila 89</t>
        </is>
      </c>
      <c r="R392" t="inlineStr">
        <is>
          <t>Alta</t>
        </is>
      </c>
      <c r="S392" t="inlineStr">
        <is>
          <t>NO</t>
        </is>
      </c>
      <c r="T392" t="inlineStr">
        <is>
          <t>Beneficios y dotación de personal</t>
        </is>
      </c>
    </row>
    <row r="393">
      <c r="A393" t="inlineStr">
        <is>
          <t>2026-06</t>
        </is>
      </c>
      <c r="B393" t="inlineStr">
        <is>
          <t>Estados Unidos</t>
        </is>
      </c>
      <c r="C393" t="inlineStr">
        <is>
          <t>USA</t>
        </is>
      </c>
      <c r="D393" t="inlineStr">
        <is>
          <t>USD</t>
        </is>
      </c>
      <c r="E393" t="inlineStr">
        <is>
          <t>PL-O-010</t>
        </is>
      </c>
      <c r="F393" t="inlineStr">
        <is>
          <t>Gastos de administración</t>
        </is>
      </c>
      <c r="G393" t="inlineStr">
        <is>
          <t>Gastos de personal</t>
        </is>
      </c>
      <c r="H393" t="inlineStr">
        <is>
          <t>Dotación y suministros a trabajadores</t>
        </is>
      </c>
      <c r="I393" t="inlineStr">
        <is>
          <t>Amazon Comp INC</t>
        </is>
      </c>
      <c r="J393" s="41" t="n">
        <v>1813.01</v>
      </c>
      <c r="K393" s="41" t="n">
        <v>755.41</v>
      </c>
      <c r="L393" s="41" t="n">
        <v>0</v>
      </c>
      <c r="M393" s="41" t="n">
        <v>2568.42</v>
      </c>
      <c r="N393" s="41" t="n">
        <v>2568.42</v>
      </c>
      <c r="O393" s="41" t="n">
        <v>755.41</v>
      </c>
      <c r="P393" t="inlineStr">
        <is>
          <t>Junio 2026 USA.xlsx</t>
        </is>
      </c>
      <c r="Q393" t="inlineStr">
        <is>
          <t>Fila 90</t>
        </is>
      </c>
      <c r="R393" t="inlineStr">
        <is>
          <t>Alta</t>
        </is>
      </c>
      <c r="S393" t="inlineStr">
        <is>
          <t>NO</t>
        </is>
      </c>
      <c r="T393" t="inlineStr">
        <is>
          <t>Beneficios y dotación de personal</t>
        </is>
      </c>
    </row>
    <row r="394">
      <c r="A394" t="inlineStr">
        <is>
          <t>2026-06</t>
        </is>
      </c>
      <c r="B394" t="inlineStr">
        <is>
          <t>Estados Unidos</t>
        </is>
      </c>
      <c r="C394" t="inlineStr">
        <is>
          <t>USA</t>
        </is>
      </c>
      <c r="D394" t="inlineStr">
        <is>
          <t>USD</t>
        </is>
      </c>
      <c r="E394" t="inlineStr">
        <is>
          <t>PL-O-010</t>
        </is>
      </c>
      <c r="F394" t="inlineStr">
        <is>
          <t>Gastos de administración</t>
        </is>
      </c>
      <c r="G394" t="inlineStr">
        <is>
          <t>Gastos de personal</t>
        </is>
      </c>
      <c r="H394" t="inlineStr">
        <is>
          <t>Dotación y suministros a trabajadores</t>
        </is>
      </c>
      <c r="I394" t="inlineStr">
        <is>
          <t>ADIDAS AMERICA INC</t>
        </is>
      </c>
      <c r="J394" s="41" t="n">
        <v>139.1</v>
      </c>
      <c r="K394" s="41" t="n">
        <v>0</v>
      </c>
      <c r="L394" s="41" t="n">
        <v>0</v>
      </c>
      <c r="M394" s="41" t="n">
        <v>139.1</v>
      </c>
      <c r="N394" s="41" t="n">
        <v>139.1</v>
      </c>
      <c r="O394" s="41" t="n">
        <v>0</v>
      </c>
      <c r="P394" t="inlineStr">
        <is>
          <t>Junio 2026 USA.xlsx</t>
        </is>
      </c>
      <c r="Q394" t="inlineStr">
        <is>
          <t>Fila 91</t>
        </is>
      </c>
      <c r="R394" t="inlineStr">
        <is>
          <t>Alta</t>
        </is>
      </c>
      <c r="S394" t="inlineStr">
        <is>
          <t>NO</t>
        </is>
      </c>
      <c r="T394" t="inlineStr">
        <is>
          <t>Beneficios y dotación de personal</t>
        </is>
      </c>
    </row>
    <row r="395">
      <c r="A395" t="inlineStr">
        <is>
          <t>2026-06</t>
        </is>
      </c>
      <c r="B395" t="inlineStr">
        <is>
          <t>Estados Unidos</t>
        </is>
      </c>
      <c r="C395" t="inlineStr">
        <is>
          <t>USA</t>
        </is>
      </c>
      <c r="D395" t="inlineStr">
        <is>
          <t>USD</t>
        </is>
      </c>
      <c r="E395" t="inlineStr">
        <is>
          <t>PL-O-010</t>
        </is>
      </c>
      <c r="F395" t="inlineStr">
        <is>
          <t>Gastos de administración</t>
        </is>
      </c>
      <c r="G395" t="inlineStr">
        <is>
          <t>Gastos de personal</t>
        </is>
      </c>
      <c r="H395" t="inlineStr">
        <is>
          <t>Dotación y suministros a trabajadores</t>
        </is>
      </c>
      <c r="I395" t="inlineStr">
        <is>
          <t>MERCURY LLC</t>
        </is>
      </c>
      <c r="J395" s="41" t="n">
        <v>-540.92</v>
      </c>
      <c r="K395" s="41" t="n">
        <v>0</v>
      </c>
      <c r="L395" s="41" t="n">
        <v>0</v>
      </c>
      <c r="M395" s="41" t="n">
        <v>-540.92</v>
      </c>
      <c r="N395" s="41" t="n">
        <v>-540.92</v>
      </c>
      <c r="O395" s="41" t="n">
        <v>0</v>
      </c>
      <c r="P395" t="inlineStr">
        <is>
          <t>Junio 2026 USA.xlsx</t>
        </is>
      </c>
      <c r="Q395" t="inlineStr">
        <is>
          <t>Fila 92</t>
        </is>
      </c>
      <c r="R395" t="inlineStr">
        <is>
          <t>Alta</t>
        </is>
      </c>
      <c r="S395" t="inlineStr">
        <is>
          <t>NO</t>
        </is>
      </c>
      <c r="T395" t="inlineStr">
        <is>
          <t>Beneficios y dotación de personal</t>
        </is>
      </c>
    </row>
    <row r="396">
      <c r="A396" t="inlineStr">
        <is>
          <t>2026-06</t>
        </is>
      </c>
      <c r="B396" t="inlineStr">
        <is>
          <t>Estados Unidos</t>
        </is>
      </c>
      <c r="C396" t="inlineStr">
        <is>
          <t>USA</t>
        </is>
      </c>
      <c r="D396" t="inlineStr">
        <is>
          <t>USD</t>
        </is>
      </c>
      <c r="E396" t="inlineStr">
        <is>
          <t>PL-O-010</t>
        </is>
      </c>
      <c r="F396" t="inlineStr">
        <is>
          <t>Gastos de administración</t>
        </is>
      </c>
      <c r="G396" t="inlineStr">
        <is>
          <t>Gastos de personal</t>
        </is>
      </c>
      <c r="H396" t="inlineStr">
        <is>
          <t>Gastos médicos</t>
        </is>
      </c>
      <c r="I396" t="inlineStr">
        <is>
          <t>Oscar Insurance Company</t>
        </is>
      </c>
      <c r="J396" s="41" t="n">
        <v>122.93</v>
      </c>
      <c r="K396" s="41" t="n">
        <v>0</v>
      </c>
      <c r="L396" s="41" t="n">
        <v>0</v>
      </c>
      <c r="M396" s="41" t="n">
        <v>122.93</v>
      </c>
      <c r="N396" s="41" t="n">
        <v>122.93</v>
      </c>
      <c r="O396" s="41" t="n">
        <v>0</v>
      </c>
      <c r="P396" t="inlineStr">
        <is>
          <t>Junio 2026 USA.xlsx</t>
        </is>
      </c>
      <c r="Q396" t="inlineStr">
        <is>
          <t>Fila 94</t>
        </is>
      </c>
      <c r="R396" t="inlineStr">
        <is>
          <t>Alta</t>
        </is>
      </c>
      <c r="S396" t="inlineStr">
        <is>
          <t>NO</t>
        </is>
      </c>
      <c r="T396" t="inlineStr">
        <is>
          <t>Beneficios de salud</t>
        </is>
      </c>
    </row>
    <row r="397">
      <c r="A397" t="inlineStr">
        <is>
          <t>2026-06</t>
        </is>
      </c>
      <c r="B397" t="inlineStr">
        <is>
          <t>Estados Unidos</t>
        </is>
      </c>
      <c r="C397" t="inlineStr">
        <is>
          <t>USA</t>
        </is>
      </c>
      <c r="D397" t="inlineStr">
        <is>
          <t>USD</t>
        </is>
      </c>
      <c r="E397" t="inlineStr">
        <is>
          <t>PL-O-010</t>
        </is>
      </c>
      <c r="F397" t="inlineStr">
        <is>
          <t>Gastos de administración</t>
        </is>
      </c>
      <c r="G397" t="inlineStr">
        <is>
          <t>Gastos de personal</t>
        </is>
      </c>
      <c r="H397" t="inlineStr">
        <is>
          <t>Gastos médicos</t>
        </is>
      </c>
      <c r="I397" t="inlineStr">
        <is>
          <t>Amazon Comp INC</t>
        </is>
      </c>
      <c r="J397" s="41" t="n">
        <v>56.7</v>
      </c>
      <c r="K397" s="41" t="n">
        <v>0</v>
      </c>
      <c r="L397" s="41" t="n">
        <v>0</v>
      </c>
      <c r="M397" s="41" t="n">
        <v>56.7</v>
      </c>
      <c r="N397" s="41" t="n">
        <v>56.7</v>
      </c>
      <c r="O397" s="41" t="n">
        <v>0</v>
      </c>
      <c r="P397" t="inlineStr">
        <is>
          <t>Junio 2026 USA.xlsx</t>
        </is>
      </c>
      <c r="Q397" t="inlineStr">
        <is>
          <t>Fila 95</t>
        </is>
      </c>
      <c r="R397" t="inlineStr">
        <is>
          <t>Alta</t>
        </is>
      </c>
      <c r="S397" t="inlineStr">
        <is>
          <t>NO</t>
        </is>
      </c>
      <c r="T397" t="inlineStr">
        <is>
          <t>Beneficios de salud</t>
        </is>
      </c>
    </row>
    <row r="398">
      <c r="A398" t="inlineStr">
        <is>
          <t>2026-06</t>
        </is>
      </c>
      <c r="B398" t="inlineStr">
        <is>
          <t>Estados Unidos</t>
        </is>
      </c>
      <c r="C398" t="inlineStr">
        <is>
          <t>USA</t>
        </is>
      </c>
      <c r="D398" t="inlineStr">
        <is>
          <t>USD</t>
        </is>
      </c>
      <c r="E398" t="inlineStr">
        <is>
          <t>PL-O-010</t>
        </is>
      </c>
      <c r="F398" t="inlineStr">
        <is>
          <t>Gastos de administración</t>
        </is>
      </c>
      <c r="G398" t="inlineStr">
        <is>
          <t>Gastos de personal</t>
        </is>
      </c>
      <c r="H398" t="inlineStr">
        <is>
          <t>Otros gastos de personal</t>
        </is>
      </c>
      <c r="I398" t="inlineStr">
        <is>
          <t>Parada Zuluaga Robert Andres</t>
        </is>
      </c>
      <c r="J398" s="41" t="n">
        <v>3516.65</v>
      </c>
      <c r="K398" s="41" t="n">
        <v>637.33</v>
      </c>
      <c r="L398" s="41" t="n">
        <v>0</v>
      </c>
      <c r="M398" s="41" t="n">
        <v>4153.98</v>
      </c>
      <c r="N398" s="41" t="n">
        <v>4153.98</v>
      </c>
      <c r="O398" s="41" t="n">
        <v>637.33</v>
      </c>
      <c r="P398" t="inlineStr">
        <is>
          <t>Junio 2026 USA.xlsx</t>
        </is>
      </c>
      <c r="Q398" t="inlineStr">
        <is>
          <t>Fila 97</t>
        </is>
      </c>
      <c r="R398" t="inlineStr">
        <is>
          <t>Media</t>
        </is>
      </c>
      <c r="S398" t="inlineStr">
        <is>
          <t>SI</t>
        </is>
      </c>
      <c r="T398" t="inlineStr">
        <is>
          <t>Cuenta genérica de personal</t>
        </is>
      </c>
    </row>
    <row r="399">
      <c r="A399" t="inlineStr">
        <is>
          <t>2026-06</t>
        </is>
      </c>
      <c r="B399" t="inlineStr">
        <is>
          <t>Estados Unidos</t>
        </is>
      </c>
      <c r="C399" t="inlineStr">
        <is>
          <t>USA</t>
        </is>
      </c>
      <c r="D399" t="inlineStr">
        <is>
          <t>USD</t>
        </is>
      </c>
      <c r="E399" t="inlineStr">
        <is>
          <t>PL-O-020</t>
        </is>
      </c>
      <c r="F399" t="inlineStr">
        <is>
          <t>Gastos de administración</t>
        </is>
      </c>
      <c r="G399" t="inlineStr">
        <is>
          <t>Honorarios y servicios profesionales</t>
        </is>
      </c>
      <c r="H399" t="inlineStr">
        <is>
          <t>Asesoría jurídica</t>
        </is>
      </c>
      <c r="I399" t="inlineStr">
        <is>
          <t>LAZO FINTECH INC.</t>
        </is>
      </c>
      <c r="J399" s="41" t="n">
        <v>0</v>
      </c>
      <c r="K399" s="41" t="n">
        <v>150</v>
      </c>
      <c r="L399" s="41" t="n">
        <v>0</v>
      </c>
      <c r="M399" s="41" t="n">
        <v>150</v>
      </c>
      <c r="N399" s="41" t="n">
        <v>150</v>
      </c>
      <c r="O399" s="41" t="n">
        <v>150</v>
      </c>
      <c r="P399" t="inlineStr">
        <is>
          <t>Junio 2026 USA.xlsx</t>
        </is>
      </c>
      <c r="Q399" t="inlineStr">
        <is>
          <t>Fila 100</t>
        </is>
      </c>
      <c r="R399" t="inlineStr">
        <is>
          <t>Alta</t>
        </is>
      </c>
      <c r="S399" t="inlineStr">
        <is>
          <t>NO</t>
        </is>
      </c>
      <c r="T399" t="inlineStr">
        <is>
          <t>Servicio profesional jurídico</t>
        </is>
      </c>
    </row>
    <row r="400">
      <c r="A400" t="inlineStr">
        <is>
          <t>2026-06</t>
        </is>
      </c>
      <c r="B400" t="inlineStr">
        <is>
          <t>Estados Unidos</t>
        </is>
      </c>
      <c r="C400" t="inlineStr">
        <is>
          <t>USA</t>
        </is>
      </c>
      <c r="D400" t="inlineStr">
        <is>
          <t>USD</t>
        </is>
      </c>
      <c r="E400" t="inlineStr">
        <is>
          <t>PL-O-020</t>
        </is>
      </c>
      <c r="F400" t="inlineStr">
        <is>
          <t>Gastos de administración</t>
        </is>
      </c>
      <c r="G400" t="inlineStr">
        <is>
          <t>Honorarios y servicios profesionales</t>
        </is>
      </c>
      <c r="H400" t="inlineStr">
        <is>
          <t>Asesoría financiera</t>
        </is>
      </c>
      <c r="I400" t="inlineStr">
        <is>
          <t>Tenant Evaluation LLC</t>
        </is>
      </c>
      <c r="J400" s="41" t="n">
        <v>445</v>
      </c>
      <c r="K400" s="41" t="n">
        <v>0</v>
      </c>
      <c r="L400" s="41" t="n">
        <v>0</v>
      </c>
      <c r="M400" s="41" t="n">
        <v>445</v>
      </c>
      <c r="N400" s="41" t="n">
        <v>445</v>
      </c>
      <c r="O400" s="41" t="n">
        <v>0</v>
      </c>
      <c r="P400" t="inlineStr">
        <is>
          <t>Junio 2026 USA.xlsx</t>
        </is>
      </c>
      <c r="Q400" t="inlineStr">
        <is>
          <t>Fila 102</t>
        </is>
      </c>
      <c r="R400" t="inlineStr">
        <is>
          <t>Alta</t>
        </is>
      </c>
      <c r="S400" t="inlineStr">
        <is>
          <t>NO</t>
        </is>
      </c>
      <c r="T400" t="inlineStr">
        <is>
          <t>Servicio profesional financiero</t>
        </is>
      </c>
    </row>
    <row r="401">
      <c r="A401" t="inlineStr">
        <is>
          <t>2026-06</t>
        </is>
      </c>
      <c r="B401" t="inlineStr">
        <is>
          <t>Estados Unidos</t>
        </is>
      </c>
      <c r="C401" t="inlineStr">
        <is>
          <t>USA</t>
        </is>
      </c>
      <c r="D401" t="inlineStr">
        <is>
          <t>USD</t>
        </is>
      </c>
      <c r="E401" t="inlineStr">
        <is>
          <t>PL-O-020</t>
        </is>
      </c>
      <c r="F401" t="inlineStr">
        <is>
          <t>Gastos de administración</t>
        </is>
      </c>
      <c r="G401" t="inlineStr">
        <is>
          <t>Honorarios y servicios profesionales</t>
        </is>
      </c>
      <c r="H401" t="inlineStr">
        <is>
          <t>Asesoría técnica</t>
        </is>
      </c>
      <c r="I401" t="inlineStr">
        <is>
          <t>JUAN FIORITO</t>
        </is>
      </c>
      <c r="J401" s="41" t="n">
        <v>0</v>
      </c>
      <c r="K401" s="41" t="n">
        <v>2000</v>
      </c>
      <c r="L401" s="41" t="n">
        <v>0</v>
      </c>
      <c r="M401" s="41" t="n">
        <v>2000</v>
      </c>
      <c r="N401" s="41" t="n">
        <v>2000</v>
      </c>
      <c r="O401" s="41" t="n">
        <v>2000</v>
      </c>
      <c r="P401" t="inlineStr">
        <is>
          <t>Junio 2026 USA.xlsx</t>
        </is>
      </c>
      <c r="Q401" t="inlineStr">
        <is>
          <t>Fila 104</t>
        </is>
      </c>
      <c r="R401" t="inlineStr">
        <is>
          <t>Alta</t>
        </is>
      </c>
      <c r="S401" t="inlineStr">
        <is>
          <t>NO</t>
        </is>
      </c>
      <c r="T401" t="inlineStr">
        <is>
          <t>Servicio profesional técnico</t>
        </is>
      </c>
    </row>
    <row r="402">
      <c r="A402" t="inlineStr">
        <is>
          <t>2026-06</t>
        </is>
      </c>
      <c r="B402" t="inlineStr">
        <is>
          <t>Estados Unidos</t>
        </is>
      </c>
      <c r="C402" t="inlineStr">
        <is>
          <t>USA</t>
        </is>
      </c>
      <c r="D402" t="inlineStr">
        <is>
          <t>USD</t>
        </is>
      </c>
      <c r="E402" t="inlineStr">
        <is>
          <t>PL-O-030</t>
        </is>
      </c>
      <c r="F402" t="inlineStr">
        <is>
          <t>Gastos de administración</t>
        </is>
      </c>
      <c r="G402" t="inlineStr">
        <is>
          <t>Impuestos y contribuciones</t>
        </is>
      </c>
      <c r="H402" t="inlineStr">
        <is>
          <t>Industria, comercio y otros</t>
        </is>
      </c>
      <c r="I402" t="inlineStr">
        <is>
          <t>IRS IMPUESTO FEDERALES</t>
        </is>
      </c>
      <c r="J402" s="41" t="n">
        <v>4024.05</v>
      </c>
      <c r="K402" s="41" t="n">
        <v>0</v>
      </c>
      <c r="L402" s="41" t="n">
        <v>0</v>
      </c>
      <c r="M402" s="41" t="n">
        <v>4024.05</v>
      </c>
      <c r="N402" s="41" t="n">
        <v>4024.05</v>
      </c>
      <c r="O402" s="41" t="n">
        <v>0</v>
      </c>
      <c r="P402" t="inlineStr">
        <is>
          <t>Junio 2026 USA.xlsx</t>
        </is>
      </c>
      <c r="Q402" t="inlineStr">
        <is>
          <t>Fila 107</t>
        </is>
      </c>
      <c r="R402" t="inlineStr">
        <is>
          <t>Alta</t>
        </is>
      </c>
      <c r="S402" t="inlineStr">
        <is>
          <t>NO</t>
        </is>
      </c>
      <c r="T402" t="inlineStr">
        <is>
          <t>Impuestos no asociados a renta</t>
        </is>
      </c>
    </row>
    <row r="403">
      <c r="A403" t="inlineStr">
        <is>
          <t>2026-06</t>
        </is>
      </c>
      <c r="B403" t="inlineStr">
        <is>
          <t>Estados Unidos</t>
        </is>
      </c>
      <c r="C403" t="inlineStr">
        <is>
          <t>USA</t>
        </is>
      </c>
      <c r="D403" t="inlineStr">
        <is>
          <t>USD</t>
        </is>
      </c>
      <c r="E403" t="inlineStr">
        <is>
          <t>PL-O-060</t>
        </is>
      </c>
      <c r="F403" t="inlineStr">
        <is>
          <t>Gastos de administración</t>
        </is>
      </c>
      <c r="G403" t="inlineStr">
        <is>
          <t>Tecnología y procesamiento de datos</t>
        </is>
      </c>
      <c r="H403" t="inlineStr">
        <is>
          <t>Plataformas y software</t>
        </is>
      </c>
      <c r="I403" t="inlineStr">
        <is>
          <t>WIX INC</t>
        </is>
      </c>
      <c r="J403" s="41" t="n">
        <v>225.35</v>
      </c>
      <c r="K403" s="41" t="n">
        <v>0</v>
      </c>
      <c r="L403" s="41" t="n">
        <v>0</v>
      </c>
      <c r="M403" s="41" t="n">
        <v>225.35</v>
      </c>
      <c r="N403" s="41" t="n">
        <v>225.35</v>
      </c>
      <c r="O403" s="41" t="n">
        <v>0</v>
      </c>
      <c r="P403" t="inlineStr">
        <is>
          <t>Junio 2026 USA.xlsx</t>
        </is>
      </c>
      <c r="Q403" t="inlineStr">
        <is>
          <t>Fila 110</t>
        </is>
      </c>
      <c r="R403" t="inlineStr">
        <is>
          <t>Alta</t>
        </is>
      </c>
      <c r="S403" t="inlineStr">
        <is>
          <t>SI</t>
        </is>
      </c>
      <c r="T403" t="inlineStr">
        <is>
          <t>Revisar proveedores de telecomunicaciones registrados aquí</t>
        </is>
      </c>
    </row>
    <row r="404">
      <c r="A404" t="inlineStr">
        <is>
          <t>2026-06</t>
        </is>
      </c>
      <c r="B404" t="inlineStr">
        <is>
          <t>Estados Unidos</t>
        </is>
      </c>
      <c r="C404" t="inlineStr">
        <is>
          <t>USA</t>
        </is>
      </c>
      <c r="D404" t="inlineStr">
        <is>
          <t>USD</t>
        </is>
      </c>
      <c r="E404" t="inlineStr">
        <is>
          <t>PL-O-060</t>
        </is>
      </c>
      <c r="F404" t="inlineStr">
        <is>
          <t>Gastos de administración</t>
        </is>
      </c>
      <c r="G404" t="inlineStr">
        <is>
          <t>Tecnología y procesamiento de datos</t>
        </is>
      </c>
      <c r="H404" t="inlineStr">
        <is>
          <t>Plataformas y software</t>
        </is>
      </c>
      <c r="I404" t="inlineStr">
        <is>
          <t>Ahaslides</t>
        </is>
      </c>
      <c r="J404" s="41" t="n">
        <v>191.4</v>
      </c>
      <c r="K404" s="41" t="n">
        <v>0</v>
      </c>
      <c r="L404" s="41" t="n">
        <v>0</v>
      </c>
      <c r="M404" s="41" t="n">
        <v>191.4</v>
      </c>
      <c r="N404" s="41" t="n">
        <v>191.4</v>
      </c>
      <c r="O404" s="41" t="n">
        <v>0</v>
      </c>
      <c r="P404" t="inlineStr">
        <is>
          <t>Junio 2026 USA.xlsx</t>
        </is>
      </c>
      <c r="Q404" t="inlineStr">
        <is>
          <t>Fila 111</t>
        </is>
      </c>
      <c r="R404" t="inlineStr">
        <is>
          <t>Alta</t>
        </is>
      </c>
      <c r="S404" t="inlineStr">
        <is>
          <t>SI</t>
        </is>
      </c>
      <c r="T404" t="inlineStr">
        <is>
          <t>Revisar proveedores de telecomunicaciones registrados aquí</t>
        </is>
      </c>
    </row>
    <row r="405">
      <c r="A405" t="inlineStr">
        <is>
          <t>2026-06</t>
        </is>
      </c>
      <c r="B405" t="inlineStr">
        <is>
          <t>Estados Unidos</t>
        </is>
      </c>
      <c r="C405" t="inlineStr">
        <is>
          <t>USA</t>
        </is>
      </c>
      <c r="D405" t="inlineStr">
        <is>
          <t>USD</t>
        </is>
      </c>
      <c r="E405" t="inlineStr">
        <is>
          <t>PL-O-060</t>
        </is>
      </c>
      <c r="F405" t="inlineStr">
        <is>
          <t>Gastos de administración</t>
        </is>
      </c>
      <c r="G405" t="inlineStr">
        <is>
          <t>Tecnología y procesamiento de datos</t>
        </is>
      </c>
      <c r="H405" t="inlineStr">
        <is>
          <t>Plataformas y software</t>
        </is>
      </c>
      <c r="I405" t="inlineStr">
        <is>
          <t>T-Mobile</t>
        </is>
      </c>
      <c r="J405" s="41" t="n">
        <v>32.1</v>
      </c>
      <c r="K405" s="41" t="n">
        <v>0</v>
      </c>
      <c r="L405" s="41" t="n">
        <v>0</v>
      </c>
      <c r="M405" s="41" t="n">
        <v>32.1</v>
      </c>
      <c r="N405" s="41" t="n">
        <v>32.1</v>
      </c>
      <c r="O405" s="41" t="n">
        <v>0</v>
      </c>
      <c r="P405" t="inlineStr">
        <is>
          <t>Junio 2026 USA.xlsx</t>
        </is>
      </c>
      <c r="Q405" t="inlineStr">
        <is>
          <t>Fila 112</t>
        </is>
      </c>
      <c r="R405" t="inlineStr">
        <is>
          <t>Alta</t>
        </is>
      </c>
      <c r="S405" t="inlineStr">
        <is>
          <t>SI</t>
        </is>
      </c>
      <c r="T405" t="inlineStr">
        <is>
          <t>Revisar proveedores de telecomunicaciones registrados aquí</t>
        </is>
      </c>
    </row>
    <row r="406">
      <c r="A406" t="inlineStr">
        <is>
          <t>2026-06</t>
        </is>
      </c>
      <c r="B406" t="inlineStr">
        <is>
          <t>Estados Unidos</t>
        </is>
      </c>
      <c r="C406" t="inlineStr">
        <is>
          <t>USA</t>
        </is>
      </c>
      <c r="D406" t="inlineStr">
        <is>
          <t>USD</t>
        </is>
      </c>
      <c r="E406" t="inlineStr">
        <is>
          <t>PL-O-060</t>
        </is>
      </c>
      <c r="F406" t="inlineStr">
        <is>
          <t>Gastos de administración</t>
        </is>
      </c>
      <c r="G406" t="inlineStr">
        <is>
          <t>Tecnología y procesamiento de datos</t>
        </is>
      </c>
      <c r="H406" t="inlineStr">
        <is>
          <t>Plataformas y software</t>
        </is>
      </c>
      <c r="I406" t="inlineStr">
        <is>
          <t>Open AI</t>
        </is>
      </c>
      <c r="J406" s="41" t="n">
        <v>80</v>
      </c>
      <c r="K406" s="41" t="n">
        <v>20</v>
      </c>
      <c r="L406" s="41" t="n">
        <v>0</v>
      </c>
      <c r="M406" s="41" t="n">
        <v>100</v>
      </c>
      <c r="N406" s="41" t="n">
        <v>100</v>
      </c>
      <c r="O406" s="41" t="n">
        <v>20</v>
      </c>
      <c r="P406" t="inlineStr">
        <is>
          <t>Junio 2026 USA.xlsx</t>
        </is>
      </c>
      <c r="Q406" t="inlineStr">
        <is>
          <t>Fila 113</t>
        </is>
      </c>
      <c r="R406" t="inlineStr">
        <is>
          <t>Alta</t>
        </is>
      </c>
      <c r="S406" t="inlineStr">
        <is>
          <t>SI</t>
        </is>
      </c>
      <c r="T406" t="inlineStr">
        <is>
          <t>Revisar proveedores de telecomunicaciones registrados aquí</t>
        </is>
      </c>
    </row>
    <row r="407">
      <c r="A407" t="inlineStr">
        <is>
          <t>2026-06</t>
        </is>
      </c>
      <c r="B407" t="inlineStr">
        <is>
          <t>Estados Unidos</t>
        </is>
      </c>
      <c r="C407" t="inlineStr">
        <is>
          <t>USA</t>
        </is>
      </c>
      <c r="D407" t="inlineStr">
        <is>
          <t>USD</t>
        </is>
      </c>
      <c r="E407" t="inlineStr">
        <is>
          <t>PL-O-060</t>
        </is>
      </c>
      <c r="F407" t="inlineStr">
        <is>
          <t>Gastos de administración</t>
        </is>
      </c>
      <c r="G407" t="inlineStr">
        <is>
          <t>Tecnología y procesamiento de datos</t>
        </is>
      </c>
      <c r="H407" t="inlineStr">
        <is>
          <t>Plataformas y software</t>
        </is>
      </c>
      <c r="I407" t="inlineStr">
        <is>
          <t>VITALLY INC</t>
        </is>
      </c>
      <c r="J407" s="41" t="n">
        <v>7500</v>
      </c>
      <c r="K407" s="41" t="n">
        <v>0</v>
      </c>
      <c r="L407" s="41" t="n">
        <v>0</v>
      </c>
      <c r="M407" s="41" t="n">
        <v>7500</v>
      </c>
      <c r="N407" s="41" t="n">
        <v>7500</v>
      </c>
      <c r="O407" s="41" t="n">
        <v>0</v>
      </c>
      <c r="P407" t="inlineStr">
        <is>
          <t>Junio 2026 USA.xlsx</t>
        </is>
      </c>
      <c r="Q407" t="inlineStr">
        <is>
          <t>Fila 114</t>
        </is>
      </c>
      <c r="R407" t="inlineStr">
        <is>
          <t>Alta</t>
        </is>
      </c>
      <c r="S407" t="inlineStr">
        <is>
          <t>SI</t>
        </is>
      </c>
      <c r="T407" t="inlineStr">
        <is>
          <t>Revisar proveedores de telecomunicaciones registrados aquí</t>
        </is>
      </c>
    </row>
    <row r="408">
      <c r="A408" t="inlineStr">
        <is>
          <t>2026-06</t>
        </is>
      </c>
      <c r="B408" t="inlineStr">
        <is>
          <t>Estados Unidos</t>
        </is>
      </c>
      <c r="C408" t="inlineStr">
        <is>
          <t>USA</t>
        </is>
      </c>
      <c r="D408" t="inlineStr">
        <is>
          <t>USD</t>
        </is>
      </c>
      <c r="E408" t="inlineStr">
        <is>
          <t>PL-O-060</t>
        </is>
      </c>
      <c r="F408" t="inlineStr">
        <is>
          <t>Gastos de administración</t>
        </is>
      </c>
      <c r="G408" t="inlineStr">
        <is>
          <t>Tecnología y procesamiento de datos</t>
        </is>
      </c>
      <c r="H408" t="inlineStr">
        <is>
          <t>Plataformas y software</t>
        </is>
      </c>
      <c r="I408" t="inlineStr">
        <is>
          <t>Inverdoral 131 LLC</t>
        </is>
      </c>
      <c r="J408" s="41" t="n">
        <v>1027.2</v>
      </c>
      <c r="K408" s="41" t="n">
        <v>0</v>
      </c>
      <c r="L408" s="41" t="n">
        <v>0</v>
      </c>
      <c r="M408" s="41" t="n">
        <v>1027.2</v>
      </c>
      <c r="N408" s="41" t="n">
        <v>1027.2</v>
      </c>
      <c r="O408" s="41" t="n">
        <v>0</v>
      </c>
      <c r="P408" t="inlineStr">
        <is>
          <t>Junio 2026 USA.xlsx</t>
        </is>
      </c>
      <c r="Q408" t="inlineStr">
        <is>
          <t>Fila 115</t>
        </is>
      </c>
      <c r="R408" t="inlineStr">
        <is>
          <t>Alta</t>
        </is>
      </c>
      <c r="S408" t="inlineStr">
        <is>
          <t>SI</t>
        </is>
      </c>
      <c r="T408" t="inlineStr">
        <is>
          <t>Revisar proveedores de telecomunicaciones registrados aquí</t>
        </is>
      </c>
    </row>
    <row r="409">
      <c r="A409" t="inlineStr">
        <is>
          <t>2026-06</t>
        </is>
      </c>
      <c r="B409" t="inlineStr">
        <is>
          <t>Estados Unidos</t>
        </is>
      </c>
      <c r="C409" t="inlineStr">
        <is>
          <t>USA</t>
        </is>
      </c>
      <c r="D409" t="inlineStr">
        <is>
          <t>USD</t>
        </is>
      </c>
      <c r="E409" t="inlineStr">
        <is>
          <t>PL-O-060</t>
        </is>
      </c>
      <c r="F409" t="inlineStr">
        <is>
          <t>Gastos de administración</t>
        </is>
      </c>
      <c r="G409" t="inlineStr">
        <is>
          <t>Tecnología y procesamiento de datos</t>
        </is>
      </c>
      <c r="H409" t="inlineStr">
        <is>
          <t>Plataformas y software</t>
        </is>
      </c>
      <c r="I409" t="inlineStr">
        <is>
          <t>Apple INC</t>
        </is>
      </c>
      <c r="J409" s="41" t="n">
        <v>191.53</v>
      </c>
      <c r="K409" s="41" t="n">
        <v>0</v>
      </c>
      <c r="L409" s="41" t="n">
        <v>0</v>
      </c>
      <c r="M409" s="41" t="n">
        <v>191.53</v>
      </c>
      <c r="N409" s="41" t="n">
        <v>191.53</v>
      </c>
      <c r="O409" s="41" t="n">
        <v>0</v>
      </c>
      <c r="P409" t="inlineStr">
        <is>
          <t>Junio 2026 USA.xlsx</t>
        </is>
      </c>
      <c r="Q409" t="inlineStr">
        <is>
          <t>Fila 116</t>
        </is>
      </c>
      <c r="R409" t="inlineStr">
        <is>
          <t>Alta</t>
        </is>
      </c>
      <c r="S409" t="inlineStr">
        <is>
          <t>SI</t>
        </is>
      </c>
      <c r="T409" t="inlineStr">
        <is>
          <t>Revisar proveedores de telecomunicaciones registrados aquí</t>
        </is>
      </c>
    </row>
    <row r="410">
      <c r="A410" t="inlineStr">
        <is>
          <t>2026-06</t>
        </is>
      </c>
      <c r="B410" t="inlineStr">
        <is>
          <t>Estados Unidos</t>
        </is>
      </c>
      <c r="C410" t="inlineStr">
        <is>
          <t>USA</t>
        </is>
      </c>
      <c r="D410" t="inlineStr">
        <is>
          <t>USD</t>
        </is>
      </c>
      <c r="E410" t="inlineStr">
        <is>
          <t>PL-O-070</t>
        </is>
      </c>
      <c r="F410" t="inlineStr">
        <is>
          <t>Gastos de administración</t>
        </is>
      </c>
      <c r="G410" t="inlineStr">
        <is>
          <t>Telecomunicaciones</t>
        </is>
      </c>
      <c r="H410" t="inlineStr">
        <is>
          <t>Telefonía</t>
        </is>
      </c>
      <c r="I410" t="inlineStr">
        <is>
          <t>T-Mobile</t>
        </is>
      </c>
      <c r="J410" s="41" t="n">
        <v>153.6</v>
      </c>
      <c r="K410" s="41" t="n">
        <v>160.88</v>
      </c>
      <c r="L410" s="41" t="n">
        <v>0</v>
      </c>
      <c r="M410" s="41" t="n">
        <v>314.48</v>
      </c>
      <c r="N410" s="41" t="n">
        <v>314.48</v>
      </c>
      <c r="O410" s="41" t="n">
        <v>160.88</v>
      </c>
      <c r="P410" t="inlineStr">
        <is>
          <t>Junio 2026 USA.xlsx</t>
        </is>
      </c>
      <c r="Q410" t="inlineStr">
        <is>
          <t>Fila 118</t>
        </is>
      </c>
      <c r="R410" t="inlineStr">
        <is>
          <t>Alta</t>
        </is>
      </c>
      <c r="S410" t="inlineStr">
        <is>
          <t>NO</t>
        </is>
      </c>
      <c r="T410" t="inlineStr">
        <is>
          <t>Servicio telefónico</t>
        </is>
      </c>
    </row>
    <row r="411">
      <c r="A411" t="inlineStr">
        <is>
          <t>2026-06</t>
        </is>
      </c>
      <c r="B411" t="inlineStr">
        <is>
          <t>Estados Unidos</t>
        </is>
      </c>
      <c r="C411" t="inlineStr">
        <is>
          <t>USA</t>
        </is>
      </c>
      <c r="D411" t="inlineStr">
        <is>
          <t>USD</t>
        </is>
      </c>
      <c r="E411" t="inlineStr">
        <is>
          <t>PL-O-080</t>
        </is>
      </c>
      <c r="F411" t="inlineStr">
        <is>
          <t>Gastos de administración</t>
        </is>
      </c>
      <c r="G411" t="inlineStr">
        <is>
          <t>Correo y mensajería</t>
        </is>
      </c>
      <c r="H411" t="inlineStr">
        <is>
          <t>Correo, portes y telegramas</t>
        </is>
      </c>
      <c r="I411" t="inlineStr">
        <is>
          <t>Anytime Mailbox</t>
        </is>
      </c>
      <c r="J411" s="41" t="n">
        <v>57.32</v>
      </c>
      <c r="K411" s="41" t="n">
        <v>0</v>
      </c>
      <c r="L411" s="41" t="n">
        <v>0</v>
      </c>
      <c r="M411" s="41" t="n">
        <v>57.32</v>
      </c>
      <c r="N411" s="41" t="n">
        <v>57.32</v>
      </c>
      <c r="O411" s="41" t="n">
        <v>0</v>
      </c>
      <c r="P411" t="inlineStr">
        <is>
          <t>Junio 2026 USA.xlsx</t>
        </is>
      </c>
      <c r="Q411" t="inlineStr">
        <is>
          <t>Fila 120</t>
        </is>
      </c>
      <c r="R411" t="inlineStr">
        <is>
          <t>Alta</t>
        </is>
      </c>
      <c r="S411" t="inlineStr">
        <is>
          <t>NO</t>
        </is>
      </c>
      <c r="T411" t="inlineStr">
        <is>
          <t>Mensajería y correo</t>
        </is>
      </c>
    </row>
    <row r="412">
      <c r="A412" t="inlineStr">
        <is>
          <t>2026-06</t>
        </is>
      </c>
      <c r="B412" t="inlineStr">
        <is>
          <t>Estados Unidos</t>
        </is>
      </c>
      <c r="C412" t="inlineStr">
        <is>
          <t>USA</t>
        </is>
      </c>
      <c r="D412" t="inlineStr">
        <is>
          <t>USD</t>
        </is>
      </c>
      <c r="E412" t="inlineStr">
        <is>
          <t>PL-O-100</t>
        </is>
      </c>
      <c r="F412" t="inlineStr">
        <is>
          <t>Gastos de administración</t>
        </is>
      </c>
      <c r="G412" t="inlineStr">
        <is>
          <t>Otros servicios administrativos</t>
        </is>
      </c>
      <c r="H412" t="inlineStr">
        <is>
          <t>Otros</t>
        </is>
      </c>
      <c r="I412" t="inlineStr">
        <is>
          <t>AT&amp;T</t>
        </is>
      </c>
      <c r="J412" s="41" t="n">
        <v>773.99</v>
      </c>
      <c r="K412" s="41" t="n">
        <v>0</v>
      </c>
      <c r="L412" s="41" t="n">
        <v>0</v>
      </c>
      <c r="M412" s="41" t="n">
        <v>773.99</v>
      </c>
      <c r="N412" s="41" t="n">
        <v>773.99</v>
      </c>
      <c r="O412" s="41" t="n">
        <v>0</v>
      </c>
      <c r="P412" t="inlineStr">
        <is>
          <t>Junio 2026 USA.xlsx</t>
        </is>
      </c>
      <c r="Q412" t="inlineStr">
        <is>
          <t>Fila 122</t>
        </is>
      </c>
      <c r="R412" t="inlineStr">
        <is>
          <t>Media</t>
        </is>
      </c>
      <c r="S412" t="inlineStr">
        <is>
          <t>SI</t>
        </is>
      </c>
      <c r="T412" t="inlineStr">
        <is>
          <t>Cuenta genérica; revisar partidas materiales</t>
        </is>
      </c>
    </row>
    <row r="413">
      <c r="A413" t="inlineStr">
        <is>
          <t>2026-06</t>
        </is>
      </c>
      <c r="B413" t="inlineStr">
        <is>
          <t>Estados Unidos</t>
        </is>
      </c>
      <c r="C413" t="inlineStr">
        <is>
          <t>USA</t>
        </is>
      </c>
      <c r="D413" t="inlineStr">
        <is>
          <t>USD</t>
        </is>
      </c>
      <c r="E413" t="inlineStr">
        <is>
          <t>PL-O-110</t>
        </is>
      </c>
      <c r="F413" t="inlineStr">
        <is>
          <t>Gastos de administración</t>
        </is>
      </c>
      <c r="G413" t="inlineStr">
        <is>
          <t>Suministros y oficina</t>
        </is>
      </c>
      <c r="H413" t="inlineStr">
        <is>
          <t>Aseo y limpieza</t>
        </is>
      </c>
      <c r="I413" t="inlineStr">
        <is>
          <t>Chapola Cafe</t>
        </is>
      </c>
      <c r="J413" s="41" t="n">
        <v>35.1</v>
      </c>
      <c r="K413" s="41" t="n">
        <v>0</v>
      </c>
      <c r="L413" s="41" t="n">
        <v>0</v>
      </c>
      <c r="M413" s="41" t="n">
        <v>35.1</v>
      </c>
      <c r="N413" s="41" t="n">
        <v>35.1</v>
      </c>
      <c r="O413" s="41" t="n">
        <v>0</v>
      </c>
      <c r="P413" t="inlineStr">
        <is>
          <t>Junio 2026 USA.xlsx</t>
        </is>
      </c>
      <c r="Q413" t="inlineStr">
        <is>
          <t>Fila 125</t>
        </is>
      </c>
      <c r="R413" t="inlineStr">
        <is>
          <t>Alta</t>
        </is>
      </c>
      <c r="S413" t="inlineStr">
        <is>
          <t>SI</t>
        </is>
      </c>
      <c r="T413" t="inlineStr">
        <is>
          <t>Se detectaron comercios de alimentos; revisar clasificación</t>
        </is>
      </c>
    </row>
    <row r="414">
      <c r="A414" t="inlineStr">
        <is>
          <t>2026-06</t>
        </is>
      </c>
      <c r="B414" t="inlineStr">
        <is>
          <t>Estados Unidos</t>
        </is>
      </c>
      <c r="C414" t="inlineStr">
        <is>
          <t>USA</t>
        </is>
      </c>
      <c r="D414" t="inlineStr">
        <is>
          <t>USD</t>
        </is>
      </c>
      <c r="E414" t="inlineStr">
        <is>
          <t>PL-O-110</t>
        </is>
      </c>
      <c r="F414" t="inlineStr">
        <is>
          <t>Gastos de administración</t>
        </is>
      </c>
      <c r="G414" t="inlineStr">
        <is>
          <t>Suministros y oficina</t>
        </is>
      </c>
      <c r="H414" t="inlineStr">
        <is>
          <t>Aseo y limpieza</t>
        </is>
      </c>
      <c r="I414" t="inlineStr">
        <is>
          <t>Latin Cafe</t>
        </is>
      </c>
      <c r="J414" s="41" t="n">
        <v>82.58</v>
      </c>
      <c r="K414" s="41" t="n">
        <v>0</v>
      </c>
      <c r="L414" s="41" t="n">
        <v>0</v>
      </c>
      <c r="M414" s="41" t="n">
        <v>82.58</v>
      </c>
      <c r="N414" s="41" t="n">
        <v>82.58</v>
      </c>
      <c r="O414" s="41" t="n">
        <v>0</v>
      </c>
      <c r="P414" t="inlineStr">
        <is>
          <t>Junio 2026 USA.xlsx</t>
        </is>
      </c>
      <c r="Q414" t="inlineStr">
        <is>
          <t>Fila 126</t>
        </is>
      </c>
      <c r="R414" t="inlineStr">
        <is>
          <t>Alta</t>
        </is>
      </c>
      <c r="S414" t="inlineStr">
        <is>
          <t>SI</t>
        </is>
      </c>
      <c r="T414" t="inlineStr">
        <is>
          <t>Se detectaron comercios de alimentos; revisar clasificación</t>
        </is>
      </c>
    </row>
    <row r="415">
      <c r="A415" t="inlineStr">
        <is>
          <t>2026-06</t>
        </is>
      </c>
      <c r="B415" t="inlineStr">
        <is>
          <t>Estados Unidos</t>
        </is>
      </c>
      <c r="C415" t="inlineStr">
        <is>
          <t>USA</t>
        </is>
      </c>
      <c r="D415" t="inlineStr">
        <is>
          <t>USD</t>
        </is>
      </c>
      <c r="E415" t="inlineStr">
        <is>
          <t>PL-O-120</t>
        </is>
      </c>
      <c r="F415" t="inlineStr">
        <is>
          <t>Gastos de administración</t>
        </is>
      </c>
      <c r="G415" t="inlineStr">
        <is>
          <t>Alimentación y restaurante</t>
        </is>
      </c>
      <c r="H415" t="inlineStr">
        <is>
          <t>Casino y restaurante</t>
        </is>
      </c>
      <c r="I415" t="inlineStr">
        <is>
          <t>Pollos &amp; Jarras</t>
        </is>
      </c>
      <c r="J415" s="41" t="n">
        <v>254.29</v>
      </c>
      <c r="K415" s="41" t="n">
        <v>0</v>
      </c>
      <c r="L415" s="41" t="n">
        <v>0</v>
      </c>
      <c r="M415" s="41" t="n">
        <v>254.29</v>
      </c>
      <c r="N415" s="41" t="n">
        <v>254.29</v>
      </c>
      <c r="O415" s="41" t="n">
        <v>0</v>
      </c>
      <c r="P415" t="inlineStr">
        <is>
          <t>Junio 2026 USA.xlsx</t>
        </is>
      </c>
      <c r="Q415" t="inlineStr">
        <is>
          <t>Fila 128</t>
        </is>
      </c>
      <c r="R415" t="inlineStr">
        <is>
          <t>Alta</t>
        </is>
      </c>
      <c r="S415" t="inlineStr">
        <is>
          <t>SI</t>
        </is>
      </c>
      <c r="T415" t="inlineStr">
        <is>
          <t>Se detectó un comercio minorista; revisar esa partida</t>
        </is>
      </c>
    </row>
    <row r="416">
      <c r="A416" t="inlineStr">
        <is>
          <t>2026-06</t>
        </is>
      </c>
      <c r="B416" t="inlineStr">
        <is>
          <t>Estados Unidos</t>
        </is>
      </c>
      <c r="C416" t="inlineStr">
        <is>
          <t>USA</t>
        </is>
      </c>
      <c r="D416" t="inlineStr">
        <is>
          <t>USD</t>
        </is>
      </c>
      <c r="E416" t="inlineStr">
        <is>
          <t>PL-O-120</t>
        </is>
      </c>
      <c r="F416" t="inlineStr">
        <is>
          <t>Gastos de administración</t>
        </is>
      </c>
      <c r="G416" t="inlineStr">
        <is>
          <t>Alimentación y restaurante</t>
        </is>
      </c>
      <c r="H416" t="inlineStr">
        <is>
          <t>Casino y restaurante</t>
        </is>
      </c>
      <c r="I416" t="inlineStr">
        <is>
          <t>Rice House Of Kabob</t>
        </is>
      </c>
      <c r="J416" s="41" t="n">
        <v>63.15</v>
      </c>
      <c r="K416" s="41" t="n">
        <v>0</v>
      </c>
      <c r="L416" s="41" t="n">
        <v>0</v>
      </c>
      <c r="M416" s="41" t="n">
        <v>63.15</v>
      </c>
      <c r="N416" s="41" t="n">
        <v>63.15</v>
      </c>
      <c r="O416" s="41" t="n">
        <v>0</v>
      </c>
      <c r="P416" t="inlineStr">
        <is>
          <t>Junio 2026 USA.xlsx</t>
        </is>
      </c>
      <c r="Q416" t="inlineStr">
        <is>
          <t>Fila 129</t>
        </is>
      </c>
      <c r="R416" t="inlineStr">
        <is>
          <t>Alta</t>
        </is>
      </c>
      <c r="S416" t="inlineStr">
        <is>
          <t>SI</t>
        </is>
      </c>
      <c r="T416" t="inlineStr">
        <is>
          <t>Se detectó un comercio minorista; revisar esa partida</t>
        </is>
      </c>
    </row>
    <row r="417">
      <c r="A417" t="inlineStr">
        <is>
          <t>2026-06</t>
        </is>
      </c>
      <c r="B417" t="inlineStr">
        <is>
          <t>Estados Unidos</t>
        </is>
      </c>
      <c r="C417" t="inlineStr">
        <is>
          <t>USA</t>
        </is>
      </c>
      <c r="D417" t="inlineStr">
        <is>
          <t>USD</t>
        </is>
      </c>
      <c r="E417" t="inlineStr">
        <is>
          <t>PL-O-120</t>
        </is>
      </c>
      <c r="F417" t="inlineStr">
        <is>
          <t>Gastos de administración</t>
        </is>
      </c>
      <c r="G417" t="inlineStr">
        <is>
          <t>Alimentación y restaurante</t>
        </is>
      </c>
      <c r="H417" t="inlineStr">
        <is>
          <t>Casino y restaurante</t>
        </is>
      </c>
      <c r="I417" t="inlineStr">
        <is>
          <t>Rice House Of Kabob</t>
        </is>
      </c>
      <c r="J417" s="41" t="n">
        <v>55.93</v>
      </c>
      <c r="K417" s="41" t="n">
        <v>0</v>
      </c>
      <c r="L417" s="41" t="n">
        <v>0</v>
      </c>
      <c r="M417" s="41" t="n">
        <v>55.93</v>
      </c>
      <c r="N417" s="41" t="n">
        <v>55.93</v>
      </c>
      <c r="O417" s="41" t="n">
        <v>0</v>
      </c>
      <c r="P417" t="inlineStr">
        <is>
          <t>Junio 2026 USA.xlsx</t>
        </is>
      </c>
      <c r="Q417" t="inlineStr">
        <is>
          <t>Fila 130</t>
        </is>
      </c>
      <c r="R417" t="inlineStr">
        <is>
          <t>Alta</t>
        </is>
      </c>
      <c r="S417" t="inlineStr">
        <is>
          <t>SI</t>
        </is>
      </c>
      <c r="T417" t="inlineStr">
        <is>
          <t>Se detectó un comercio minorista; revisar esa partida</t>
        </is>
      </c>
    </row>
    <row r="418">
      <c r="A418" t="inlineStr">
        <is>
          <t>2026-06</t>
        </is>
      </c>
      <c r="B418" t="inlineStr">
        <is>
          <t>Estados Unidos</t>
        </is>
      </c>
      <c r="C418" t="inlineStr">
        <is>
          <t>USA</t>
        </is>
      </c>
      <c r="D418" t="inlineStr">
        <is>
          <t>USD</t>
        </is>
      </c>
      <c r="E418" t="inlineStr">
        <is>
          <t>PL-O-120</t>
        </is>
      </c>
      <c r="F418" t="inlineStr">
        <is>
          <t>Gastos de administración</t>
        </is>
      </c>
      <c r="G418" t="inlineStr">
        <is>
          <t>Alimentación y restaurante</t>
        </is>
      </c>
      <c r="H418" t="inlineStr">
        <is>
          <t>Casino y restaurante</t>
        </is>
      </c>
      <c r="I418" t="inlineStr">
        <is>
          <t>Ross Dress for Less</t>
        </is>
      </c>
      <c r="J418" s="41" t="n">
        <v>145.96</v>
      </c>
      <c r="K418" s="41" t="n">
        <v>0</v>
      </c>
      <c r="L418" s="41" t="n">
        <v>0</v>
      </c>
      <c r="M418" s="41" t="n">
        <v>145.96</v>
      </c>
      <c r="N418" s="41" t="n">
        <v>145.96</v>
      </c>
      <c r="O418" s="41" t="n">
        <v>0</v>
      </c>
      <c r="P418" t="inlineStr">
        <is>
          <t>Junio 2026 USA.xlsx</t>
        </is>
      </c>
      <c r="Q418" t="inlineStr">
        <is>
          <t>Fila 131</t>
        </is>
      </c>
      <c r="R418" t="inlineStr">
        <is>
          <t>Alta</t>
        </is>
      </c>
      <c r="S418" t="inlineStr">
        <is>
          <t>SI</t>
        </is>
      </c>
      <c r="T418" t="inlineStr">
        <is>
          <t>Se detectó un comercio minorista; revisar esa partida</t>
        </is>
      </c>
    </row>
    <row r="419">
      <c r="A419" t="inlineStr">
        <is>
          <t>2026-06</t>
        </is>
      </c>
      <c r="B419" t="inlineStr">
        <is>
          <t>Estados Unidos</t>
        </is>
      </c>
      <c r="C419" t="inlineStr">
        <is>
          <t>USA</t>
        </is>
      </c>
      <c r="D419" t="inlineStr">
        <is>
          <t>USD</t>
        </is>
      </c>
      <c r="E419" t="inlineStr">
        <is>
          <t>PL-O-120</t>
        </is>
      </c>
      <c r="F419" t="inlineStr">
        <is>
          <t>Gastos de administración</t>
        </is>
      </c>
      <c r="G419" t="inlineStr">
        <is>
          <t>Alimentación y restaurante</t>
        </is>
      </c>
      <c r="H419" t="inlineStr">
        <is>
          <t>Casino y restaurante</t>
        </is>
      </c>
      <c r="I419" t="inlineStr">
        <is>
          <t>Milanezza Kitchen Bar &amp; Market</t>
        </is>
      </c>
      <c r="J419" s="41" t="n">
        <v>92.97</v>
      </c>
      <c r="K419" s="41" t="n">
        <v>0</v>
      </c>
      <c r="L419" s="41" t="n">
        <v>0</v>
      </c>
      <c r="M419" s="41" t="n">
        <v>92.97</v>
      </c>
      <c r="N419" s="41" t="n">
        <v>92.97</v>
      </c>
      <c r="O419" s="41" t="n">
        <v>0</v>
      </c>
      <c r="P419" t="inlineStr">
        <is>
          <t>Junio 2026 USA.xlsx</t>
        </is>
      </c>
      <c r="Q419" t="inlineStr">
        <is>
          <t>Fila 132</t>
        </is>
      </c>
      <c r="R419" t="inlineStr">
        <is>
          <t>Alta</t>
        </is>
      </c>
      <c r="S419" t="inlineStr">
        <is>
          <t>SI</t>
        </is>
      </c>
      <c r="T419" t="inlineStr">
        <is>
          <t>Se detectó un comercio minorista; revisar esa partida</t>
        </is>
      </c>
    </row>
    <row r="420">
      <c r="A420" t="inlineStr">
        <is>
          <t>2026-06</t>
        </is>
      </c>
      <c r="B420" t="inlineStr">
        <is>
          <t>Estados Unidos</t>
        </is>
      </c>
      <c r="C420" t="inlineStr">
        <is>
          <t>USA</t>
        </is>
      </c>
      <c r="D420" t="inlineStr">
        <is>
          <t>USD</t>
        </is>
      </c>
      <c r="E420" t="inlineStr">
        <is>
          <t>PL-O-120</t>
        </is>
      </c>
      <c r="F420" t="inlineStr">
        <is>
          <t>Gastos de administración</t>
        </is>
      </c>
      <c r="G420" t="inlineStr">
        <is>
          <t>Alimentación y restaurante</t>
        </is>
      </c>
      <c r="H420" t="inlineStr">
        <is>
          <t>Casino y restaurante</t>
        </is>
      </c>
      <c r="I420" t="inlineStr">
        <is>
          <t>Sushi Club</t>
        </is>
      </c>
      <c r="J420" s="41" t="n">
        <v>122.49</v>
      </c>
      <c r="K420" s="41" t="n">
        <v>0</v>
      </c>
      <c r="L420" s="41" t="n">
        <v>0</v>
      </c>
      <c r="M420" s="41" t="n">
        <v>122.49</v>
      </c>
      <c r="N420" s="41" t="n">
        <v>122.49</v>
      </c>
      <c r="O420" s="41" t="n">
        <v>0</v>
      </c>
      <c r="P420" t="inlineStr">
        <is>
          <t>Junio 2026 USA.xlsx</t>
        </is>
      </c>
      <c r="Q420" t="inlineStr">
        <is>
          <t>Fila 133</t>
        </is>
      </c>
      <c r="R420" t="inlineStr">
        <is>
          <t>Alta</t>
        </is>
      </c>
      <c r="S420" t="inlineStr">
        <is>
          <t>SI</t>
        </is>
      </c>
      <c r="T420" t="inlineStr">
        <is>
          <t>Se detectó un comercio minorista; revisar esa partida</t>
        </is>
      </c>
    </row>
    <row r="421">
      <c r="A421" t="inlineStr">
        <is>
          <t>2026-06</t>
        </is>
      </c>
      <c r="B421" t="inlineStr">
        <is>
          <t>Estados Unidos</t>
        </is>
      </c>
      <c r="C421" t="inlineStr">
        <is>
          <t>USA</t>
        </is>
      </c>
      <c r="D421" t="inlineStr">
        <is>
          <t>USD</t>
        </is>
      </c>
      <c r="E421" t="inlineStr">
        <is>
          <t>PL-O-120</t>
        </is>
      </c>
      <c r="F421" t="inlineStr">
        <is>
          <t>Gastos de administración</t>
        </is>
      </c>
      <c r="G421" t="inlineStr">
        <is>
          <t>Alimentación y restaurante</t>
        </is>
      </c>
      <c r="H421" t="inlineStr">
        <is>
          <t>Casino y restaurante</t>
        </is>
      </c>
      <c r="I421" t="inlineStr">
        <is>
          <t>The Cheesecake Factory</t>
        </is>
      </c>
      <c r="J421" s="41" t="n">
        <v>184.6</v>
      </c>
      <c r="K421" s="41" t="n">
        <v>232.55</v>
      </c>
      <c r="L421" s="41" t="n">
        <v>0</v>
      </c>
      <c r="M421" s="41" t="n">
        <v>417.15</v>
      </c>
      <c r="N421" s="41" t="n">
        <v>417.15</v>
      </c>
      <c r="O421" s="41" t="n">
        <v>232.55</v>
      </c>
      <c r="P421" t="inlineStr">
        <is>
          <t>Junio 2026 USA.xlsx</t>
        </is>
      </c>
      <c r="Q421" t="inlineStr">
        <is>
          <t>Fila 134</t>
        </is>
      </c>
      <c r="R421" t="inlineStr">
        <is>
          <t>Alta</t>
        </is>
      </c>
      <c r="S421" t="inlineStr">
        <is>
          <t>SI</t>
        </is>
      </c>
      <c r="T421" t="inlineStr">
        <is>
          <t>Se detectó un comercio minorista; revisar esa partida</t>
        </is>
      </c>
    </row>
    <row r="422">
      <c r="A422" t="inlineStr">
        <is>
          <t>2026-06</t>
        </is>
      </c>
      <c r="B422" t="inlineStr">
        <is>
          <t>Estados Unidos</t>
        </is>
      </c>
      <c r="C422" t="inlineStr">
        <is>
          <t>USA</t>
        </is>
      </c>
      <c r="D422" t="inlineStr">
        <is>
          <t>USD</t>
        </is>
      </c>
      <c r="E422" t="inlineStr">
        <is>
          <t>PL-O-120</t>
        </is>
      </c>
      <c r="F422" t="inlineStr">
        <is>
          <t>Gastos de administración</t>
        </is>
      </c>
      <c r="G422" t="inlineStr">
        <is>
          <t>Alimentación y restaurante</t>
        </is>
      </c>
      <c r="H422" t="inlineStr">
        <is>
          <t>Casino y restaurante</t>
        </is>
      </c>
      <c r="I422" t="inlineStr">
        <is>
          <t>Ai Tallarin</t>
        </is>
      </c>
      <c r="J422" s="41" t="n">
        <v>80.39</v>
      </c>
      <c r="K422" s="41" t="n">
        <v>0</v>
      </c>
      <c r="L422" s="41" t="n">
        <v>0</v>
      </c>
      <c r="M422" s="41" t="n">
        <v>80.39</v>
      </c>
      <c r="N422" s="41" t="n">
        <v>80.39</v>
      </c>
      <c r="O422" s="41" t="n">
        <v>0</v>
      </c>
      <c r="P422" t="inlineStr">
        <is>
          <t>Junio 2026 USA.xlsx</t>
        </is>
      </c>
      <c r="Q422" t="inlineStr">
        <is>
          <t>Fila 135</t>
        </is>
      </c>
      <c r="R422" t="inlineStr">
        <is>
          <t>Alta</t>
        </is>
      </c>
      <c r="S422" t="inlineStr">
        <is>
          <t>SI</t>
        </is>
      </c>
      <c r="T422" t="inlineStr">
        <is>
          <t>Se detectó un comercio minorista; revisar esa partida</t>
        </is>
      </c>
    </row>
    <row r="423">
      <c r="A423" t="inlineStr">
        <is>
          <t>2026-06</t>
        </is>
      </c>
      <c r="B423" t="inlineStr">
        <is>
          <t>Estados Unidos</t>
        </is>
      </c>
      <c r="C423" t="inlineStr">
        <is>
          <t>USA</t>
        </is>
      </c>
      <c r="D423" t="inlineStr">
        <is>
          <t>USD</t>
        </is>
      </c>
      <c r="E423" t="inlineStr">
        <is>
          <t>PL-O-120</t>
        </is>
      </c>
      <c r="F423" t="inlineStr">
        <is>
          <t>Gastos de administración</t>
        </is>
      </c>
      <c r="G423" t="inlineStr">
        <is>
          <t>Alimentación y restaurante</t>
        </is>
      </c>
      <c r="H423" t="inlineStr">
        <is>
          <t>Casino y restaurante</t>
        </is>
      </c>
      <c r="I423" t="inlineStr">
        <is>
          <t>AGO Miami</t>
        </is>
      </c>
      <c r="J423" s="41" t="n">
        <v>214.32</v>
      </c>
      <c r="K423" s="41" t="n">
        <v>0</v>
      </c>
      <c r="L423" s="41" t="n">
        <v>0</v>
      </c>
      <c r="M423" s="41" t="n">
        <v>214.32</v>
      </c>
      <c r="N423" s="41" t="n">
        <v>214.32</v>
      </c>
      <c r="O423" s="41" t="n">
        <v>0</v>
      </c>
      <c r="P423" t="inlineStr">
        <is>
          <t>Junio 2026 USA.xlsx</t>
        </is>
      </c>
      <c r="Q423" t="inlineStr">
        <is>
          <t>Fila 136</t>
        </is>
      </c>
      <c r="R423" t="inlineStr">
        <is>
          <t>Alta</t>
        </is>
      </c>
      <c r="S423" t="inlineStr">
        <is>
          <t>SI</t>
        </is>
      </c>
      <c r="T423" t="inlineStr">
        <is>
          <t>Se detectó un comercio minorista; revisar esa partida</t>
        </is>
      </c>
    </row>
    <row r="424">
      <c r="A424" t="inlineStr">
        <is>
          <t>2026-06</t>
        </is>
      </c>
      <c r="B424" t="inlineStr">
        <is>
          <t>Estados Unidos</t>
        </is>
      </c>
      <c r="C424" t="inlineStr">
        <is>
          <t>USA</t>
        </is>
      </c>
      <c r="D424" t="inlineStr">
        <is>
          <t>USD</t>
        </is>
      </c>
      <c r="E424" t="inlineStr">
        <is>
          <t>PL-O-120</t>
        </is>
      </c>
      <c r="F424" t="inlineStr">
        <is>
          <t>Gastos de administración</t>
        </is>
      </c>
      <c r="G424" t="inlineStr">
        <is>
          <t>Alimentación y restaurante</t>
        </is>
      </c>
      <c r="H424" t="inlineStr">
        <is>
          <t>Casino y restaurante</t>
        </is>
      </c>
      <c r="I424" t="inlineStr">
        <is>
          <t>North Italia</t>
        </is>
      </c>
      <c r="J424" s="41" t="n">
        <v>177.68</v>
      </c>
      <c r="K424" s="41" t="n">
        <v>106.93</v>
      </c>
      <c r="L424" s="41" t="n">
        <v>0</v>
      </c>
      <c r="M424" s="41" t="n">
        <v>284.61</v>
      </c>
      <c r="N424" s="41" t="n">
        <v>284.61</v>
      </c>
      <c r="O424" s="41" t="n">
        <v>106.93</v>
      </c>
      <c r="P424" t="inlineStr">
        <is>
          <t>Junio 2026 USA.xlsx</t>
        </is>
      </c>
      <c r="Q424" t="inlineStr">
        <is>
          <t>Fila 137</t>
        </is>
      </c>
      <c r="R424" t="inlineStr">
        <is>
          <t>Alta</t>
        </is>
      </c>
      <c r="S424" t="inlineStr">
        <is>
          <t>SI</t>
        </is>
      </c>
      <c r="T424" t="inlineStr">
        <is>
          <t>Se detectó un comercio minorista; revisar esa partida</t>
        </is>
      </c>
    </row>
    <row r="425">
      <c r="A425" t="inlineStr">
        <is>
          <t>2026-06</t>
        </is>
      </c>
      <c r="B425" t="inlineStr">
        <is>
          <t>Estados Unidos</t>
        </is>
      </c>
      <c r="C425" t="inlineStr">
        <is>
          <t>USA</t>
        </is>
      </c>
      <c r="D425" t="inlineStr">
        <is>
          <t>USD</t>
        </is>
      </c>
      <c r="E425" t="inlineStr">
        <is>
          <t>PL-O-120</t>
        </is>
      </c>
      <c r="F425" t="inlineStr">
        <is>
          <t>Gastos de administración</t>
        </is>
      </c>
      <c r="G425" t="inlineStr">
        <is>
          <t>Alimentación y restaurante</t>
        </is>
      </c>
      <c r="H425" t="inlineStr">
        <is>
          <t>Casino y restaurante</t>
        </is>
      </c>
      <c r="I425" t="inlineStr">
        <is>
          <t>Fogo de Chão</t>
        </is>
      </c>
      <c r="J425" s="41" t="n">
        <v>248</v>
      </c>
      <c r="K425" s="41" t="n">
        <v>124.46</v>
      </c>
      <c r="L425" s="41" t="n">
        <v>0</v>
      </c>
      <c r="M425" s="41" t="n">
        <v>372.46</v>
      </c>
      <c r="N425" s="41" t="n">
        <v>372.46</v>
      </c>
      <c r="O425" s="41" t="n">
        <v>124.46</v>
      </c>
      <c r="P425" t="inlineStr">
        <is>
          <t>Junio 2026 USA.xlsx</t>
        </is>
      </c>
      <c r="Q425" t="inlineStr">
        <is>
          <t>Fila 138</t>
        </is>
      </c>
      <c r="R425" t="inlineStr">
        <is>
          <t>Alta</t>
        </is>
      </c>
      <c r="S425" t="inlineStr">
        <is>
          <t>SI</t>
        </is>
      </c>
      <c r="T425" t="inlineStr">
        <is>
          <t>Se detectó un comercio minorista; revisar esa partida</t>
        </is>
      </c>
    </row>
    <row r="426">
      <c r="A426" t="inlineStr">
        <is>
          <t>2026-06</t>
        </is>
      </c>
      <c r="B426" t="inlineStr">
        <is>
          <t>Estados Unidos</t>
        </is>
      </c>
      <c r="C426" t="inlineStr">
        <is>
          <t>USA</t>
        </is>
      </c>
      <c r="D426" t="inlineStr">
        <is>
          <t>USD</t>
        </is>
      </c>
      <c r="E426" t="inlineStr">
        <is>
          <t>PL-O-120</t>
        </is>
      </c>
      <c r="F426" t="inlineStr">
        <is>
          <t>Gastos de administración</t>
        </is>
      </c>
      <c r="G426" t="inlineStr">
        <is>
          <t>Alimentación y restaurante</t>
        </is>
      </c>
      <c r="H426" t="inlineStr">
        <is>
          <t>Casino y restaurante</t>
        </is>
      </c>
      <c r="I426" t="inlineStr">
        <is>
          <t>Crepes &amp; Waffles</t>
        </is>
      </c>
      <c r="J426" s="41" t="n">
        <v>30.09</v>
      </c>
      <c r="K426" s="41" t="n">
        <v>0</v>
      </c>
      <c r="L426" s="41" t="n">
        <v>0</v>
      </c>
      <c r="M426" s="41" t="n">
        <v>30.09</v>
      </c>
      <c r="N426" s="41" t="n">
        <v>30.09</v>
      </c>
      <c r="O426" s="41" t="n">
        <v>0</v>
      </c>
      <c r="P426" t="inlineStr">
        <is>
          <t>Junio 2026 USA.xlsx</t>
        </is>
      </c>
      <c r="Q426" t="inlineStr">
        <is>
          <t>Fila 139</t>
        </is>
      </c>
      <c r="R426" t="inlineStr">
        <is>
          <t>Alta</t>
        </is>
      </c>
      <c r="S426" t="inlineStr">
        <is>
          <t>SI</t>
        </is>
      </c>
      <c r="T426" t="inlineStr">
        <is>
          <t>Se detectó un comercio minorista; revisar esa partida</t>
        </is>
      </c>
    </row>
    <row r="427">
      <c r="A427" t="inlineStr">
        <is>
          <t>2026-06</t>
        </is>
      </c>
      <c r="B427" t="inlineStr">
        <is>
          <t>Estados Unidos</t>
        </is>
      </c>
      <c r="C427" t="inlineStr">
        <is>
          <t>USA</t>
        </is>
      </c>
      <c r="D427" t="inlineStr">
        <is>
          <t>USD</t>
        </is>
      </c>
      <c r="E427" t="inlineStr">
        <is>
          <t>PL-O-120</t>
        </is>
      </c>
      <c r="F427" t="inlineStr">
        <is>
          <t>Gastos de administración</t>
        </is>
      </c>
      <c r="G427" t="inlineStr">
        <is>
          <t>Alimentación y restaurante</t>
        </is>
      </c>
      <c r="H427" t="inlineStr">
        <is>
          <t>Casino y restaurante</t>
        </is>
      </c>
      <c r="I427" t="inlineStr">
        <is>
          <t>Sunny Side- Miami</t>
        </is>
      </c>
      <c r="J427" s="41" t="n">
        <v>182.88</v>
      </c>
      <c r="K427" s="41" t="n">
        <v>0</v>
      </c>
      <c r="L427" s="41" t="n">
        <v>0</v>
      </c>
      <c r="M427" s="41" t="n">
        <v>182.88</v>
      </c>
      <c r="N427" s="41" t="n">
        <v>182.88</v>
      </c>
      <c r="O427" s="41" t="n">
        <v>0</v>
      </c>
      <c r="P427" t="inlineStr">
        <is>
          <t>Junio 2026 USA.xlsx</t>
        </is>
      </c>
      <c r="Q427" t="inlineStr">
        <is>
          <t>Fila 140</t>
        </is>
      </c>
      <c r="R427" t="inlineStr">
        <is>
          <t>Alta</t>
        </is>
      </c>
      <c r="S427" t="inlineStr">
        <is>
          <t>SI</t>
        </is>
      </c>
      <c r="T427" t="inlineStr">
        <is>
          <t>Se detectó un comercio minorista; revisar esa partida</t>
        </is>
      </c>
    </row>
    <row r="428">
      <c r="A428" t="inlineStr">
        <is>
          <t>2026-06</t>
        </is>
      </c>
      <c r="B428" t="inlineStr">
        <is>
          <t>Estados Unidos</t>
        </is>
      </c>
      <c r="C428" t="inlineStr">
        <is>
          <t>USA</t>
        </is>
      </c>
      <c r="D428" t="inlineStr">
        <is>
          <t>USD</t>
        </is>
      </c>
      <c r="E428" t="inlineStr">
        <is>
          <t>PL-O-120</t>
        </is>
      </c>
      <c r="F428" t="inlineStr">
        <is>
          <t>Gastos de administración</t>
        </is>
      </c>
      <c r="G428" t="inlineStr">
        <is>
          <t>Alimentación y restaurante</t>
        </is>
      </c>
      <c r="H428" t="inlineStr">
        <is>
          <t>Casino y restaurante</t>
        </is>
      </c>
      <c r="I428" t="inlineStr">
        <is>
          <t>La Carretera</t>
        </is>
      </c>
      <c r="J428" s="41" t="n">
        <v>7.03</v>
      </c>
      <c r="K428" s="41" t="n">
        <v>0</v>
      </c>
      <c r="L428" s="41" t="n">
        <v>0</v>
      </c>
      <c r="M428" s="41" t="n">
        <v>7.03</v>
      </c>
      <c r="N428" s="41" t="n">
        <v>7.03</v>
      </c>
      <c r="O428" s="41" t="n">
        <v>0</v>
      </c>
      <c r="P428" t="inlineStr">
        <is>
          <t>Junio 2026 USA.xlsx</t>
        </is>
      </c>
      <c r="Q428" t="inlineStr">
        <is>
          <t>Fila 141</t>
        </is>
      </c>
      <c r="R428" t="inlineStr">
        <is>
          <t>Alta</t>
        </is>
      </c>
      <c r="S428" t="inlineStr">
        <is>
          <t>SI</t>
        </is>
      </c>
      <c r="T428" t="inlineStr">
        <is>
          <t>Se detectó un comercio minorista; revisar esa partida</t>
        </is>
      </c>
    </row>
    <row r="429">
      <c r="A429" t="inlineStr">
        <is>
          <t>2026-06</t>
        </is>
      </c>
      <c r="B429" t="inlineStr">
        <is>
          <t>Estados Unidos</t>
        </is>
      </c>
      <c r="C429" t="inlineStr">
        <is>
          <t>USA</t>
        </is>
      </c>
      <c r="D429" t="inlineStr">
        <is>
          <t>USD</t>
        </is>
      </c>
      <c r="E429" t="inlineStr">
        <is>
          <t>PL-O-120</t>
        </is>
      </c>
      <c r="F429" t="inlineStr">
        <is>
          <t>Gastos de administración</t>
        </is>
      </c>
      <c r="G429" t="inlineStr">
        <is>
          <t>Alimentación y restaurante</t>
        </is>
      </c>
      <c r="H429" t="inlineStr">
        <is>
          <t>Casino y restaurante</t>
        </is>
      </c>
      <c r="I429" t="inlineStr">
        <is>
          <t>Fiorito</t>
        </is>
      </c>
      <c r="J429" s="41" t="n">
        <v>127.26</v>
      </c>
      <c r="K429" s="41" t="n">
        <v>171.99</v>
      </c>
      <c r="L429" s="41" t="n">
        <v>0</v>
      </c>
      <c r="M429" s="41" t="n">
        <v>299.25</v>
      </c>
      <c r="N429" s="41" t="n">
        <v>299.25</v>
      </c>
      <c r="O429" s="41" t="n">
        <v>171.99</v>
      </c>
      <c r="P429" t="inlineStr">
        <is>
          <t>Junio 2026 USA.xlsx</t>
        </is>
      </c>
      <c r="Q429" t="inlineStr">
        <is>
          <t>Fila 142</t>
        </is>
      </c>
      <c r="R429" t="inlineStr">
        <is>
          <t>Alta</t>
        </is>
      </c>
      <c r="S429" t="inlineStr">
        <is>
          <t>SI</t>
        </is>
      </c>
      <c r="T429" t="inlineStr">
        <is>
          <t>Se detectó un comercio minorista; revisar esa partida</t>
        </is>
      </c>
    </row>
    <row r="430">
      <c r="A430" t="inlineStr">
        <is>
          <t>2026-06</t>
        </is>
      </c>
      <c r="B430" t="inlineStr">
        <is>
          <t>Estados Unidos</t>
        </is>
      </c>
      <c r="C430" t="inlineStr">
        <is>
          <t>USA</t>
        </is>
      </c>
      <c r="D430" t="inlineStr">
        <is>
          <t>USD</t>
        </is>
      </c>
      <c r="E430" t="inlineStr">
        <is>
          <t>PL-O-120</t>
        </is>
      </c>
      <c r="F430" t="inlineStr">
        <is>
          <t>Gastos de administración</t>
        </is>
      </c>
      <c r="G430" t="inlineStr">
        <is>
          <t>Alimentación y restaurante</t>
        </is>
      </c>
      <c r="H430" t="inlineStr">
        <is>
          <t>Casino y restaurante</t>
        </is>
      </c>
      <c r="I430" t="inlineStr">
        <is>
          <t>Door Dash</t>
        </is>
      </c>
      <c r="J430" s="41" t="n">
        <v>27.93</v>
      </c>
      <c r="K430" s="41" t="n">
        <v>0</v>
      </c>
      <c r="L430" s="41" t="n">
        <v>0</v>
      </c>
      <c r="M430" s="41" t="n">
        <v>27.93</v>
      </c>
      <c r="N430" s="41" t="n">
        <v>27.93</v>
      </c>
      <c r="O430" s="41" t="n">
        <v>0</v>
      </c>
      <c r="P430" t="inlineStr">
        <is>
          <t>Junio 2026 USA.xlsx</t>
        </is>
      </c>
      <c r="Q430" t="inlineStr">
        <is>
          <t>Fila 143</t>
        </is>
      </c>
      <c r="R430" t="inlineStr">
        <is>
          <t>Alta</t>
        </is>
      </c>
      <c r="S430" t="inlineStr">
        <is>
          <t>SI</t>
        </is>
      </c>
      <c r="T430" t="inlineStr">
        <is>
          <t>Se detectó un comercio minorista; revisar esa partida</t>
        </is>
      </c>
    </row>
    <row r="431">
      <c r="A431" t="inlineStr">
        <is>
          <t>2026-06</t>
        </is>
      </c>
      <c r="B431" t="inlineStr">
        <is>
          <t>Estados Unidos</t>
        </is>
      </c>
      <c r="C431" t="inlineStr">
        <is>
          <t>USA</t>
        </is>
      </c>
      <c r="D431" t="inlineStr">
        <is>
          <t>USD</t>
        </is>
      </c>
      <c r="E431" t="inlineStr">
        <is>
          <t>PL-O-120</t>
        </is>
      </c>
      <c r="F431" t="inlineStr">
        <is>
          <t>Gastos de administración</t>
        </is>
      </c>
      <c r="G431" t="inlineStr">
        <is>
          <t>Alimentación y restaurante</t>
        </is>
      </c>
      <c r="H431" t="inlineStr">
        <is>
          <t>Casino y restaurante</t>
        </is>
      </c>
      <c r="I431" t="inlineStr">
        <is>
          <t>Estadero y Asados Dona</t>
        </is>
      </c>
      <c r="J431" s="41" t="n">
        <v>72.54000000000001</v>
      </c>
      <c r="K431" s="41" t="n">
        <v>0</v>
      </c>
      <c r="L431" s="41" t="n">
        <v>0</v>
      </c>
      <c r="M431" s="41" t="n">
        <v>72.54000000000001</v>
      </c>
      <c r="N431" s="41" t="n">
        <v>72.54000000000001</v>
      </c>
      <c r="O431" s="41" t="n">
        <v>0</v>
      </c>
      <c r="P431" t="inlineStr">
        <is>
          <t>Junio 2026 USA.xlsx</t>
        </is>
      </c>
      <c r="Q431" t="inlineStr">
        <is>
          <t>Fila 144</t>
        </is>
      </c>
      <c r="R431" t="inlineStr">
        <is>
          <t>Alta</t>
        </is>
      </c>
      <c r="S431" t="inlineStr">
        <is>
          <t>SI</t>
        </is>
      </c>
      <c r="T431" t="inlineStr">
        <is>
          <t>Se detectó un comercio minorista; revisar esa partida</t>
        </is>
      </c>
    </row>
    <row r="432">
      <c r="A432" t="inlineStr">
        <is>
          <t>2026-06</t>
        </is>
      </c>
      <c r="B432" t="inlineStr">
        <is>
          <t>Estados Unidos</t>
        </is>
      </c>
      <c r="C432" t="inlineStr">
        <is>
          <t>USA</t>
        </is>
      </c>
      <c r="D432" t="inlineStr">
        <is>
          <t>USD</t>
        </is>
      </c>
      <c r="E432" t="inlineStr">
        <is>
          <t>PL-O-120</t>
        </is>
      </c>
      <c r="F432" t="inlineStr">
        <is>
          <t>Gastos de administración</t>
        </is>
      </c>
      <c r="G432" t="inlineStr">
        <is>
          <t>Alimentación y restaurante</t>
        </is>
      </c>
      <c r="H432" t="inlineStr">
        <is>
          <t>Casino y restaurante</t>
        </is>
      </c>
      <c r="I432" t="inlineStr">
        <is>
          <t>Bistro Cafe</t>
        </is>
      </c>
      <c r="J432" s="41" t="n">
        <v>236.25</v>
      </c>
      <c r="K432" s="41" t="n">
        <v>240.29</v>
      </c>
      <c r="L432" s="41" t="n">
        <v>0</v>
      </c>
      <c r="M432" s="41" t="n">
        <v>476.54</v>
      </c>
      <c r="N432" s="41" t="n">
        <v>476.54</v>
      </c>
      <c r="O432" s="41" t="n">
        <v>240.29</v>
      </c>
      <c r="P432" t="inlineStr">
        <is>
          <t>Junio 2026 USA.xlsx</t>
        </is>
      </c>
      <c r="Q432" t="inlineStr">
        <is>
          <t>Fila 145</t>
        </is>
      </c>
      <c r="R432" t="inlineStr">
        <is>
          <t>Alta</t>
        </is>
      </c>
      <c r="S432" t="inlineStr">
        <is>
          <t>SI</t>
        </is>
      </c>
      <c r="T432" t="inlineStr">
        <is>
          <t>Se detectó un comercio minorista; revisar esa partida</t>
        </is>
      </c>
    </row>
    <row r="433">
      <c r="A433" t="inlineStr">
        <is>
          <t>2026-06</t>
        </is>
      </c>
      <c r="B433" t="inlineStr">
        <is>
          <t>Estados Unidos</t>
        </is>
      </c>
      <c r="C433" t="inlineStr">
        <is>
          <t>USA</t>
        </is>
      </c>
      <c r="D433" t="inlineStr">
        <is>
          <t>USD</t>
        </is>
      </c>
      <c r="E433" t="inlineStr">
        <is>
          <t>PL-O-120</t>
        </is>
      </c>
      <c r="F433" t="inlineStr">
        <is>
          <t>Gastos de administración</t>
        </is>
      </c>
      <c r="G433" t="inlineStr">
        <is>
          <t>Alimentación y restaurante</t>
        </is>
      </c>
      <c r="H433" t="inlineStr">
        <is>
          <t>Casino y restaurante</t>
        </is>
      </c>
      <c r="I433" t="inlineStr">
        <is>
          <t>El Turco Turkish</t>
        </is>
      </c>
      <c r="J433" s="41" t="n">
        <v>259.2</v>
      </c>
      <c r="K433" s="41" t="n">
        <v>0</v>
      </c>
      <c r="L433" s="41" t="n">
        <v>0</v>
      </c>
      <c r="M433" s="41" t="n">
        <v>259.2</v>
      </c>
      <c r="N433" s="41" t="n">
        <v>259.2</v>
      </c>
      <c r="O433" s="41" t="n">
        <v>0</v>
      </c>
      <c r="P433" t="inlineStr">
        <is>
          <t>Junio 2026 USA.xlsx</t>
        </is>
      </c>
      <c r="Q433" t="inlineStr">
        <is>
          <t>Fila 146</t>
        </is>
      </c>
      <c r="R433" t="inlineStr">
        <is>
          <t>Alta</t>
        </is>
      </c>
      <c r="S433" t="inlineStr">
        <is>
          <t>SI</t>
        </is>
      </c>
      <c r="T433" t="inlineStr">
        <is>
          <t>Se detectó un comercio minorista; revisar esa partida</t>
        </is>
      </c>
    </row>
    <row r="434">
      <c r="A434" t="inlineStr">
        <is>
          <t>2026-06</t>
        </is>
      </c>
      <c r="B434" t="inlineStr">
        <is>
          <t>Estados Unidos</t>
        </is>
      </c>
      <c r="C434" t="inlineStr">
        <is>
          <t>USA</t>
        </is>
      </c>
      <c r="D434" t="inlineStr">
        <is>
          <t>USD</t>
        </is>
      </c>
      <c r="E434" t="inlineStr">
        <is>
          <t>PL-O-120</t>
        </is>
      </c>
      <c r="F434" t="inlineStr">
        <is>
          <t>Gastos de administración</t>
        </is>
      </c>
      <c r="G434" t="inlineStr">
        <is>
          <t>Alimentación y restaurante</t>
        </is>
      </c>
      <c r="H434" t="inlineStr">
        <is>
          <t>Casino y restaurante</t>
        </is>
      </c>
      <c r="I434" t="inlineStr">
        <is>
          <t>Novecento</t>
        </is>
      </c>
      <c r="J434" s="41" t="n">
        <v>0</v>
      </c>
      <c r="K434" s="41" t="n">
        <v>237.15</v>
      </c>
      <c r="L434" s="41" t="n">
        <v>0</v>
      </c>
      <c r="M434" s="41" t="n">
        <v>237.15</v>
      </c>
      <c r="N434" s="41" t="n">
        <v>237.15</v>
      </c>
      <c r="O434" s="41" t="n">
        <v>237.15</v>
      </c>
      <c r="P434" t="inlineStr">
        <is>
          <t>Junio 2026 USA.xlsx</t>
        </is>
      </c>
      <c r="Q434" t="inlineStr">
        <is>
          <t>Fila 147</t>
        </is>
      </c>
      <c r="R434" t="inlineStr">
        <is>
          <t>Alta</t>
        </is>
      </c>
      <c r="S434" t="inlineStr">
        <is>
          <t>SI</t>
        </is>
      </c>
      <c r="T434" t="inlineStr">
        <is>
          <t>Se detectó un comercio minorista; revisar esa partida</t>
        </is>
      </c>
    </row>
    <row r="435">
      <c r="A435" t="inlineStr">
        <is>
          <t>2026-06</t>
        </is>
      </c>
      <c r="B435" t="inlineStr">
        <is>
          <t>Estados Unidos</t>
        </is>
      </c>
      <c r="C435" t="inlineStr">
        <is>
          <t>USA</t>
        </is>
      </c>
      <c r="D435" t="inlineStr">
        <is>
          <t>USD</t>
        </is>
      </c>
      <c r="E435" t="inlineStr">
        <is>
          <t>PL-O-130</t>
        </is>
      </c>
      <c r="F435" t="inlineStr">
        <is>
          <t>Gastos de administración</t>
        </is>
      </c>
      <c r="G435" t="inlineStr">
        <is>
          <t>Transporte local y parqueaderos</t>
        </is>
      </c>
      <c r="H435" t="inlineStr">
        <is>
          <t>Parqueaderos</t>
        </is>
      </c>
      <c r="I435" t="inlineStr">
        <is>
          <t>LAZ Parking</t>
        </is>
      </c>
      <c r="J435" s="41" t="n">
        <v>10</v>
      </c>
      <c r="K435" s="41" t="n">
        <v>0</v>
      </c>
      <c r="L435" s="41" t="n">
        <v>0</v>
      </c>
      <c r="M435" s="41" t="n">
        <v>10</v>
      </c>
      <c r="N435" s="41" t="n">
        <v>10</v>
      </c>
      <c r="O435" s="41" t="n">
        <v>0</v>
      </c>
      <c r="P435" t="inlineStr">
        <is>
          <t>Junio 2026 USA.xlsx</t>
        </is>
      </c>
      <c r="Q435" t="inlineStr">
        <is>
          <t>Fila 149</t>
        </is>
      </c>
      <c r="R435" t="inlineStr">
        <is>
          <t>Alta</t>
        </is>
      </c>
      <c r="S435" t="inlineStr">
        <is>
          <t>NO</t>
        </is>
      </c>
      <c r="T435" t="inlineStr">
        <is>
          <t>Parqueaderos</t>
        </is>
      </c>
    </row>
    <row r="436">
      <c r="A436" t="inlineStr">
        <is>
          <t>2026-06</t>
        </is>
      </c>
      <c r="B436" t="inlineStr">
        <is>
          <t>Estados Unidos</t>
        </is>
      </c>
      <c r="C436" t="inlineStr">
        <is>
          <t>USA</t>
        </is>
      </c>
      <c r="D436" t="inlineStr">
        <is>
          <t>USD</t>
        </is>
      </c>
      <c r="E436" t="inlineStr">
        <is>
          <t>PL-O-130</t>
        </is>
      </c>
      <c r="F436" t="inlineStr">
        <is>
          <t>Gastos de administración</t>
        </is>
      </c>
      <c r="G436" t="inlineStr">
        <is>
          <t>Transporte local y parqueaderos</t>
        </is>
      </c>
      <c r="H436" t="inlineStr">
        <is>
          <t>Parqueaderos</t>
        </is>
      </c>
      <c r="I436" t="inlineStr">
        <is>
          <t>Southern Parking</t>
        </is>
      </c>
      <c r="J436" s="41" t="n">
        <v>12.75</v>
      </c>
      <c r="K436" s="41" t="n">
        <v>0</v>
      </c>
      <c r="L436" s="41" t="n">
        <v>0</v>
      </c>
      <c r="M436" s="41" t="n">
        <v>12.75</v>
      </c>
      <c r="N436" s="41" t="n">
        <v>12.75</v>
      </c>
      <c r="O436" s="41" t="n">
        <v>0</v>
      </c>
      <c r="P436" t="inlineStr">
        <is>
          <t>Junio 2026 USA.xlsx</t>
        </is>
      </c>
      <c r="Q436" t="inlineStr">
        <is>
          <t>Fila 150</t>
        </is>
      </c>
      <c r="R436" t="inlineStr">
        <is>
          <t>Alta</t>
        </is>
      </c>
      <c r="S436" t="inlineStr">
        <is>
          <t>NO</t>
        </is>
      </c>
      <c r="T436" t="inlineStr">
        <is>
          <t>Parqueaderos</t>
        </is>
      </c>
    </row>
    <row r="437">
      <c r="A437" t="inlineStr">
        <is>
          <t>2026-06</t>
        </is>
      </c>
      <c r="B437" t="inlineStr">
        <is>
          <t>Estados Unidos</t>
        </is>
      </c>
      <c r="C437" t="inlineStr">
        <is>
          <t>USA</t>
        </is>
      </c>
      <c r="D437" t="inlineStr">
        <is>
          <t>USD</t>
        </is>
      </c>
      <c r="E437" t="inlineStr">
        <is>
          <t>PL-O-130</t>
        </is>
      </c>
      <c r="F437" t="inlineStr">
        <is>
          <t>Gastos de administración</t>
        </is>
      </c>
      <c r="G437" t="inlineStr">
        <is>
          <t>Transporte local y parqueaderos</t>
        </is>
      </c>
      <c r="H437" t="inlineStr">
        <is>
          <t>Parqueaderos</t>
        </is>
      </c>
      <c r="I437" t="inlineStr">
        <is>
          <t>Miami Beach Parking Garage</t>
        </is>
      </c>
      <c r="J437" s="41" t="n">
        <v>0</v>
      </c>
      <c r="K437" s="41" t="n">
        <v>35</v>
      </c>
      <c r="L437" s="41" t="n">
        <v>0</v>
      </c>
      <c r="M437" s="41" t="n">
        <v>35</v>
      </c>
      <c r="N437" s="41" t="n">
        <v>35</v>
      </c>
      <c r="O437" s="41" t="n">
        <v>35</v>
      </c>
      <c r="P437" t="inlineStr">
        <is>
          <t>Junio 2026 USA.xlsx</t>
        </is>
      </c>
      <c r="Q437" t="inlineStr">
        <is>
          <t>Fila 151</t>
        </is>
      </c>
      <c r="R437" t="inlineStr">
        <is>
          <t>Alta</t>
        </is>
      </c>
      <c r="S437" t="inlineStr">
        <is>
          <t>NO</t>
        </is>
      </c>
      <c r="T437" t="inlineStr">
        <is>
          <t>Parqueaderos</t>
        </is>
      </c>
    </row>
    <row r="438">
      <c r="A438" t="inlineStr">
        <is>
          <t>2026-06</t>
        </is>
      </c>
      <c r="B438" t="inlineStr">
        <is>
          <t>Estados Unidos</t>
        </is>
      </c>
      <c r="C438" t="inlineStr">
        <is>
          <t>USA</t>
        </is>
      </c>
      <c r="D438" t="inlineStr">
        <is>
          <t>USD</t>
        </is>
      </c>
      <c r="E438" t="inlineStr">
        <is>
          <t>PL-O-020</t>
        </is>
      </c>
      <c r="F438" t="inlineStr">
        <is>
          <t>Gastos de administración</t>
        </is>
      </c>
      <c r="G438" t="inlineStr">
        <is>
          <t>Honorarios y servicios profesionales</t>
        </is>
      </c>
      <c r="H438" t="inlineStr">
        <is>
          <t>Revisoría fiscal</t>
        </is>
      </c>
      <c r="I438" t="inlineStr">
        <is>
          <t>Paba Serje Mauricio</t>
        </is>
      </c>
      <c r="J438" s="41" t="n">
        <v>2333.33</v>
      </c>
      <c r="K438" s="41" t="n">
        <v>0</v>
      </c>
      <c r="L438" s="41" t="n">
        <v>0</v>
      </c>
      <c r="M438" s="41" t="n">
        <v>2333.33</v>
      </c>
      <c r="N438" s="41" t="n">
        <v>2333.33</v>
      </c>
      <c r="O438" s="41" t="n">
        <v>0</v>
      </c>
      <c r="P438" t="inlineStr">
        <is>
          <t>Junio 2026 USA.xlsx</t>
        </is>
      </c>
      <c r="Q438" t="inlineStr">
        <is>
          <t>Fila 155</t>
        </is>
      </c>
      <c r="R438" t="inlineStr">
        <is>
          <t>Alta</t>
        </is>
      </c>
      <c r="S438" t="inlineStr">
        <is>
          <t>NO</t>
        </is>
      </c>
      <c r="T438" t="inlineStr">
        <is>
          <t>Reclasificado desde ventas por su naturaleza administrativa</t>
        </is>
      </c>
    </row>
    <row r="439">
      <c r="A439" t="inlineStr">
        <is>
          <t>2026-06</t>
        </is>
      </c>
      <c r="B439" t="inlineStr">
        <is>
          <t>Estados Unidos</t>
        </is>
      </c>
      <c r="C439" t="inlineStr">
        <is>
          <t>USA</t>
        </is>
      </c>
      <c r="D439" t="inlineStr">
        <is>
          <t>USD</t>
        </is>
      </c>
      <c r="E439" t="inlineStr">
        <is>
          <t>PL-O-020</t>
        </is>
      </c>
      <c r="F439" t="inlineStr">
        <is>
          <t>Gastos de administración</t>
        </is>
      </c>
      <c r="G439" t="inlineStr">
        <is>
          <t>Honorarios y servicios profesionales</t>
        </is>
      </c>
      <c r="H439" t="inlineStr">
        <is>
          <t>Revisoría fiscal</t>
        </is>
      </c>
      <c r="I439" t="inlineStr">
        <is>
          <t>Paba Serje Mauricio</t>
        </is>
      </c>
      <c r="J439" s="41" t="n">
        <v>2557.46</v>
      </c>
      <c r="K439" s="41" t="n">
        <v>0</v>
      </c>
      <c r="L439" s="41" t="n">
        <v>0</v>
      </c>
      <c r="M439" s="41" t="n">
        <v>2557.46</v>
      </c>
      <c r="N439" s="41" t="n">
        <v>2557.46</v>
      </c>
      <c r="O439" s="41" t="n">
        <v>0</v>
      </c>
      <c r="P439" t="inlineStr">
        <is>
          <t>Junio 2026 USA.xlsx</t>
        </is>
      </c>
      <c r="Q439" t="inlineStr">
        <is>
          <t>Fila 156</t>
        </is>
      </c>
      <c r="R439" t="inlineStr">
        <is>
          <t>Alta</t>
        </is>
      </c>
      <c r="S439" t="inlineStr">
        <is>
          <t>NO</t>
        </is>
      </c>
      <c r="T439" t="inlineStr">
        <is>
          <t>Reclasificado desde ventas por su naturaleza administrativa</t>
        </is>
      </c>
    </row>
    <row r="440">
      <c r="A440" t="inlineStr">
        <is>
          <t>2026-06</t>
        </is>
      </c>
      <c r="B440" t="inlineStr">
        <is>
          <t>Estados Unidos</t>
        </is>
      </c>
      <c r="C440" t="inlineStr">
        <is>
          <t>USA</t>
        </is>
      </c>
      <c r="D440" t="inlineStr">
        <is>
          <t>USD</t>
        </is>
      </c>
      <c r="E440" t="inlineStr">
        <is>
          <t>PL-O-020</t>
        </is>
      </c>
      <c r="F440" t="inlineStr">
        <is>
          <t>Gastos de administración</t>
        </is>
      </c>
      <c r="G440" t="inlineStr">
        <is>
          <t>Honorarios y servicios profesionales</t>
        </is>
      </c>
      <c r="H440" t="inlineStr">
        <is>
          <t>Revisoría fiscal</t>
        </is>
      </c>
      <c r="I440" t="inlineStr">
        <is>
          <t>Paba Serje Mauricio</t>
        </is>
      </c>
      <c r="J440" s="41" t="n">
        <v>3166.67</v>
      </c>
      <c r="K440" s="41" t="n">
        <v>2500</v>
      </c>
      <c r="L440" s="41" t="n">
        <v>0</v>
      </c>
      <c r="M440" s="41" t="n">
        <v>5666.67</v>
      </c>
      <c r="N440" s="41" t="n">
        <v>5666.67</v>
      </c>
      <c r="O440" s="41" t="n">
        <v>2500</v>
      </c>
      <c r="P440" t="inlineStr">
        <is>
          <t>Junio 2026 USA.xlsx</t>
        </is>
      </c>
      <c r="Q440" t="inlineStr">
        <is>
          <t>Fila 157</t>
        </is>
      </c>
      <c r="R440" t="inlineStr">
        <is>
          <t>Alta</t>
        </is>
      </c>
      <c r="S440" t="inlineStr">
        <is>
          <t>NO</t>
        </is>
      </c>
      <c r="T440" t="inlineStr">
        <is>
          <t>Reclasificado desde ventas por su naturaleza administrativa</t>
        </is>
      </c>
    </row>
    <row r="441">
      <c r="A441" t="inlineStr">
        <is>
          <t>2026-06</t>
        </is>
      </c>
      <c r="B441" t="inlineStr">
        <is>
          <t>Estados Unidos</t>
        </is>
      </c>
      <c r="C441" t="inlineStr">
        <is>
          <t>USA</t>
        </is>
      </c>
      <c r="D441" t="inlineStr">
        <is>
          <t>USD</t>
        </is>
      </c>
      <c r="E441" t="inlineStr">
        <is>
          <t>PL-S-020</t>
        </is>
      </c>
      <c r="F441" t="inlineStr">
        <is>
          <t>Gastos de ventas</t>
        </is>
      </c>
      <c r="G441" t="inlineStr">
        <is>
          <t>Mercadeo y publicidad</t>
        </is>
      </c>
      <c r="H441" t="inlineStr">
        <is>
          <t>Propaganda y publicidad</t>
        </is>
      </c>
      <c r="I441" t="inlineStr">
        <is>
          <t>Magnimindin</t>
        </is>
      </c>
      <c r="J441" s="41" t="n">
        <v>400</v>
      </c>
      <c r="K441" s="41" t="n">
        <v>0</v>
      </c>
      <c r="L441" s="41" t="n">
        <v>0</v>
      </c>
      <c r="M441" s="41" t="n">
        <v>400</v>
      </c>
      <c r="N441" s="41" t="n">
        <v>400</v>
      </c>
      <c r="O441" s="41" t="n">
        <v>0</v>
      </c>
      <c r="P441" t="inlineStr">
        <is>
          <t>Junio 2026 USA.xlsx</t>
        </is>
      </c>
      <c r="Q441" t="inlineStr">
        <is>
          <t>Fila 160</t>
        </is>
      </c>
      <c r="R441" t="inlineStr">
        <is>
          <t>Alta</t>
        </is>
      </c>
      <c r="S441" t="inlineStr">
        <is>
          <t>NO</t>
        </is>
      </c>
      <c r="T441" t="inlineStr">
        <is>
          <t>Gasto comercial de publicidad</t>
        </is>
      </c>
    </row>
    <row r="442">
      <c r="A442" t="inlineStr">
        <is>
          <t>2026-06</t>
        </is>
      </c>
      <c r="B442" t="inlineStr">
        <is>
          <t>Estados Unidos</t>
        </is>
      </c>
      <c r="C442" t="inlineStr">
        <is>
          <t>USA</t>
        </is>
      </c>
      <c r="D442" t="inlineStr">
        <is>
          <t>USD</t>
        </is>
      </c>
      <c r="E442" t="inlineStr">
        <is>
          <t>PL-S-030</t>
        </is>
      </c>
      <c r="F442" t="inlineStr">
        <is>
          <t>Gastos de ventas</t>
        </is>
      </c>
      <c r="G442" t="inlineStr">
        <is>
          <t>Otros servicios comerciales</t>
        </is>
      </c>
      <c r="H442" t="inlineStr">
        <is>
          <t>Otros</t>
        </is>
      </c>
      <c r="I442" t="inlineStr">
        <is>
          <t>Emerge Americas LLC</t>
        </is>
      </c>
      <c r="J442" s="41" t="n">
        <v>3500</v>
      </c>
      <c r="K442" s="41" t="n">
        <v>0</v>
      </c>
      <c r="L442" s="41" t="n">
        <v>0</v>
      </c>
      <c r="M442" s="41" t="n">
        <v>3500</v>
      </c>
      <c r="N442" s="41" t="n">
        <v>3500</v>
      </c>
      <c r="O442" s="41" t="n">
        <v>0</v>
      </c>
      <c r="P442" t="inlineStr">
        <is>
          <t>Junio 2026 USA.xlsx</t>
        </is>
      </c>
      <c r="Q442" t="inlineStr">
        <is>
          <t>Fila 162</t>
        </is>
      </c>
      <c r="R442" t="inlineStr">
        <is>
          <t>Media</t>
        </is>
      </c>
      <c r="S442" t="inlineStr">
        <is>
          <t>SI</t>
        </is>
      </c>
      <c r="T442" t="inlineStr">
        <is>
          <t>Cuenta genérica de servicios comerciales</t>
        </is>
      </c>
    </row>
    <row r="443">
      <c r="A443" t="inlineStr">
        <is>
          <t>2026-06</t>
        </is>
      </c>
      <c r="B443" t="inlineStr">
        <is>
          <t>Estados Unidos</t>
        </is>
      </c>
      <c r="C443" t="inlineStr">
        <is>
          <t>USA</t>
        </is>
      </c>
      <c r="D443" t="inlineStr">
        <is>
          <t>USD</t>
        </is>
      </c>
      <c r="E443" t="inlineStr">
        <is>
          <t>PL-S-030</t>
        </is>
      </c>
      <c r="F443" t="inlineStr">
        <is>
          <t>Gastos de ventas</t>
        </is>
      </c>
      <c r="G443" t="inlineStr">
        <is>
          <t>Otros servicios comerciales</t>
        </is>
      </c>
      <c r="H443" t="inlineStr">
        <is>
          <t>Otros</t>
        </is>
      </c>
      <c r="I443" t="inlineStr">
        <is>
          <t>Tech + Startups Community</t>
        </is>
      </c>
      <c r="J443" s="41" t="n">
        <v>648</v>
      </c>
      <c r="K443" s="41" t="n">
        <v>0</v>
      </c>
      <c r="L443" s="41" t="n">
        <v>0</v>
      </c>
      <c r="M443" s="41" t="n">
        <v>648</v>
      </c>
      <c r="N443" s="41" t="n">
        <v>648</v>
      </c>
      <c r="O443" s="41" t="n">
        <v>0</v>
      </c>
      <c r="P443" t="inlineStr">
        <is>
          <t>Junio 2026 USA.xlsx</t>
        </is>
      </c>
      <c r="Q443" t="inlineStr">
        <is>
          <t>Fila 163</t>
        </is>
      </c>
      <c r="R443" t="inlineStr">
        <is>
          <t>Media</t>
        </is>
      </c>
      <c r="S443" t="inlineStr">
        <is>
          <t>SI</t>
        </is>
      </c>
      <c r="T443" t="inlineStr">
        <is>
          <t>Cuenta genérica de servicios comerciales</t>
        </is>
      </c>
    </row>
    <row r="444">
      <c r="A444" t="inlineStr">
        <is>
          <t>2026-06</t>
        </is>
      </c>
      <c r="B444" t="inlineStr">
        <is>
          <t>Estados Unidos</t>
        </is>
      </c>
      <c r="C444" t="inlineStr">
        <is>
          <t>USA</t>
        </is>
      </c>
      <c r="D444" t="inlineStr">
        <is>
          <t>USD</t>
        </is>
      </c>
      <c r="E444" t="inlineStr">
        <is>
          <t>PL-F-010</t>
        </is>
      </c>
      <c r="F444" t="inlineStr">
        <is>
          <t>Gastos financieros</t>
        </is>
      </c>
      <c r="G444" t="inlineStr">
        <is>
          <t>Gastos financieros</t>
        </is>
      </c>
      <c r="H444" t="inlineStr">
        <is>
          <t>Gastos bancarios</t>
        </is>
      </c>
      <c r="I444" t="inlineStr">
        <is>
          <t>BANK OF AMERICA NA</t>
        </is>
      </c>
      <c r="J444" s="41" t="n">
        <v>0.34</v>
      </c>
      <c r="K444" s="41" t="n">
        <v>0</v>
      </c>
      <c r="L444" s="41" t="n">
        <v>0</v>
      </c>
      <c r="M444" s="41" t="n">
        <v>0.34</v>
      </c>
      <c r="N444" s="41" t="n">
        <v>0.34</v>
      </c>
      <c r="O444" s="41" t="n">
        <v>0</v>
      </c>
      <c r="P444" t="inlineStr">
        <is>
          <t>Junio 2026 USA.xlsx</t>
        </is>
      </c>
      <c r="Q444" t="inlineStr">
        <is>
          <t>Fila 167</t>
        </is>
      </c>
      <c r="R444" t="inlineStr">
        <is>
          <t>Alta</t>
        </is>
      </c>
      <c r="S444" t="inlineStr">
        <is>
          <t>NO</t>
        </is>
      </c>
      <c r="T444" t="inlineStr">
        <is>
          <t>Costo financiero bancario</t>
        </is>
      </c>
    </row>
    <row r="445">
      <c r="A445" t="inlineStr">
        <is>
          <t>2026-06</t>
        </is>
      </c>
      <c r="B445" t="inlineStr">
        <is>
          <t>Estados Unidos</t>
        </is>
      </c>
      <c r="C445" t="inlineStr">
        <is>
          <t>USA</t>
        </is>
      </c>
      <c r="D445" t="inlineStr">
        <is>
          <t>USD</t>
        </is>
      </c>
      <c r="E445" t="inlineStr">
        <is>
          <t>PL-F-010</t>
        </is>
      </c>
      <c r="F445" t="inlineStr">
        <is>
          <t>Gastos financieros</t>
        </is>
      </c>
      <c r="G445" t="inlineStr">
        <is>
          <t>Gastos financieros</t>
        </is>
      </c>
      <c r="H445" t="inlineStr">
        <is>
          <t>Gastos bancarios</t>
        </is>
      </c>
      <c r="I445" t="inlineStr">
        <is>
          <t>MERCURY LLC</t>
        </is>
      </c>
      <c r="J445" s="41" t="n">
        <v>15</v>
      </c>
      <c r="K445" s="41" t="n">
        <v>0</v>
      </c>
      <c r="L445" s="41" t="n">
        <v>0</v>
      </c>
      <c r="M445" s="41" t="n">
        <v>15</v>
      </c>
      <c r="N445" s="41" t="n">
        <v>15</v>
      </c>
      <c r="O445" s="41" t="n">
        <v>0</v>
      </c>
      <c r="P445" t="inlineStr">
        <is>
          <t>Junio 2026 USA.xlsx</t>
        </is>
      </c>
      <c r="Q445" t="inlineStr">
        <is>
          <t>Fila 168</t>
        </is>
      </c>
      <c r="R445" t="inlineStr">
        <is>
          <t>Alta</t>
        </is>
      </c>
      <c r="S445" t="inlineStr">
        <is>
          <t>NO</t>
        </is>
      </c>
      <c r="T445" t="inlineStr">
        <is>
          <t>Costo financiero bancario</t>
        </is>
      </c>
    </row>
    <row r="446">
      <c r="A446" t="inlineStr">
        <is>
          <t>2026-06</t>
        </is>
      </c>
      <c r="B446" t="inlineStr">
        <is>
          <t>Estados Unidos</t>
        </is>
      </c>
      <c r="C446" t="inlineStr">
        <is>
          <t>USA</t>
        </is>
      </c>
      <c r="D446" t="inlineStr">
        <is>
          <t>USD</t>
        </is>
      </c>
      <c r="E446" t="inlineStr">
        <is>
          <t>PL-F-010</t>
        </is>
      </c>
      <c r="F446" t="inlineStr">
        <is>
          <t>Gastos financieros</t>
        </is>
      </c>
      <c r="G446" t="inlineStr">
        <is>
          <t>Gastos financieros</t>
        </is>
      </c>
      <c r="H446" t="inlineStr">
        <is>
          <t>Comisiones</t>
        </is>
      </c>
      <c r="I446" t="inlineStr">
        <is>
          <t>STRIPE</t>
        </is>
      </c>
      <c r="J446" s="41" t="n">
        <v>27.1</v>
      </c>
      <c r="K446" s="41" t="n">
        <v>201.11</v>
      </c>
      <c r="L446" s="41" t="n">
        <v>0</v>
      </c>
      <c r="M446" s="41" t="n">
        <v>228.21</v>
      </c>
      <c r="N446" s="41" t="n">
        <v>228.21</v>
      </c>
      <c r="O446" s="41" t="n">
        <v>201.11</v>
      </c>
      <c r="P446" t="inlineStr">
        <is>
          <t>Junio 2026 USA.xlsx</t>
        </is>
      </c>
      <c r="Q446" t="inlineStr">
        <is>
          <t>Fila 170</t>
        </is>
      </c>
      <c r="R446" t="inlineStr">
        <is>
          <t>Alta</t>
        </is>
      </c>
      <c r="S446" t="inlineStr">
        <is>
          <t>NO</t>
        </is>
      </c>
      <c r="T446" t="inlineStr">
        <is>
          <t>Comisiones financieras</t>
        </is>
      </c>
    </row>
    <row r="447">
      <c r="A447" t="inlineStr">
        <is>
          <t>2026-06</t>
        </is>
      </c>
      <c r="B447" t="inlineStr">
        <is>
          <t>Estados Unidos</t>
        </is>
      </c>
      <c r="C447" t="inlineStr">
        <is>
          <t>USA</t>
        </is>
      </c>
      <c r="D447" t="inlineStr">
        <is>
          <t>USD</t>
        </is>
      </c>
      <c r="E447" t="inlineStr">
        <is>
          <t>PL-F-010</t>
        </is>
      </c>
      <c r="F447" t="inlineStr">
        <is>
          <t>Gastos financieros</t>
        </is>
      </c>
      <c r="G447" t="inlineStr">
        <is>
          <t>Gastos financieros</t>
        </is>
      </c>
      <c r="H447" t="inlineStr">
        <is>
          <t>Comisiones</t>
        </is>
      </c>
      <c r="I447" t="inlineStr">
        <is>
          <t>Fundacion para la Confianza</t>
        </is>
      </c>
      <c r="J447" s="41" t="n">
        <v>3.11</v>
      </c>
      <c r="K447" s="41" t="n">
        <v>0</v>
      </c>
      <c r="L447" s="41" t="n">
        <v>0</v>
      </c>
      <c r="M447" s="41" t="n">
        <v>3.11</v>
      </c>
      <c r="N447" s="41" t="n">
        <v>3.11</v>
      </c>
      <c r="O447" s="41" t="n">
        <v>0</v>
      </c>
      <c r="P447" t="inlineStr">
        <is>
          <t>Junio 2026 USA.xlsx</t>
        </is>
      </c>
      <c r="Q447" t="inlineStr">
        <is>
          <t>Fila 171</t>
        </is>
      </c>
      <c r="R447" t="inlineStr">
        <is>
          <t>Alta</t>
        </is>
      </c>
      <c r="S447" t="inlineStr">
        <is>
          <t>NO</t>
        </is>
      </c>
      <c r="T447" t="inlineStr">
        <is>
          <t>Comisiones financieras</t>
        </is>
      </c>
    </row>
    <row r="448">
      <c r="A448" t="inlineStr">
        <is>
          <t>2026-06</t>
        </is>
      </c>
      <c r="B448" t="inlineStr">
        <is>
          <t>Estados Unidos</t>
        </is>
      </c>
      <c r="C448" t="inlineStr">
        <is>
          <t>USA</t>
        </is>
      </c>
      <c r="D448" t="inlineStr">
        <is>
          <t>USD</t>
        </is>
      </c>
      <c r="E448" t="inlineStr">
        <is>
          <t>PL-F-010</t>
        </is>
      </c>
      <c r="F448" t="inlineStr">
        <is>
          <t>Gastos financieros</t>
        </is>
      </c>
      <c r="G448" t="inlineStr">
        <is>
          <t>Gastos financieros</t>
        </is>
      </c>
      <c r="H448" t="inlineStr">
        <is>
          <t>Comisiones</t>
        </is>
      </c>
      <c r="I448" t="inlineStr">
        <is>
          <t>ADP</t>
        </is>
      </c>
      <c r="J448" s="41" t="n">
        <v>404.75</v>
      </c>
      <c r="K448" s="41" t="n">
        <v>125.95</v>
      </c>
      <c r="L448" s="41" t="n">
        <v>0</v>
      </c>
      <c r="M448" s="41" t="n">
        <v>530.7</v>
      </c>
      <c r="N448" s="41" t="n">
        <v>530.7</v>
      </c>
      <c r="O448" s="41" t="n">
        <v>125.95</v>
      </c>
      <c r="P448" t="inlineStr">
        <is>
          <t>Junio 2026 USA.xlsx</t>
        </is>
      </c>
      <c r="Q448" t="inlineStr">
        <is>
          <t>Fila 172</t>
        </is>
      </c>
      <c r="R448" t="inlineStr">
        <is>
          <t>Alta</t>
        </is>
      </c>
      <c r="S448" t="inlineStr">
        <is>
          <t>NO</t>
        </is>
      </c>
      <c r="T448" t="inlineStr">
        <is>
          <t>Comisiones financieras</t>
        </is>
      </c>
    </row>
    <row r="449">
      <c r="A449" t="inlineStr">
        <is>
          <t>2026-06</t>
        </is>
      </c>
      <c r="B449" t="inlineStr">
        <is>
          <t>Estados Unidos</t>
        </is>
      </c>
      <c r="C449" t="inlineStr">
        <is>
          <t>USA</t>
        </is>
      </c>
      <c r="D449" t="inlineStr">
        <is>
          <t>USD</t>
        </is>
      </c>
      <c r="E449" t="inlineStr">
        <is>
          <t>PL-F-010</t>
        </is>
      </c>
      <c r="F449" t="inlineStr">
        <is>
          <t>Gastos financieros</t>
        </is>
      </c>
      <c r="G449" t="inlineStr">
        <is>
          <t>Gastos financieros</t>
        </is>
      </c>
      <c r="H449" t="inlineStr">
        <is>
          <t>Comisiones</t>
        </is>
      </c>
      <c r="I449" t="inlineStr">
        <is>
          <t>MERCURY LLC</t>
        </is>
      </c>
      <c r="J449" s="41" t="n">
        <v>0.9</v>
      </c>
      <c r="K449" s="41" t="n">
        <v>0</v>
      </c>
      <c r="L449" s="41" t="n">
        <v>0</v>
      </c>
      <c r="M449" s="41" t="n">
        <v>0.9</v>
      </c>
      <c r="N449" s="41" t="n">
        <v>0.9</v>
      </c>
      <c r="O449" s="41" t="n">
        <v>0</v>
      </c>
      <c r="P449" t="inlineStr">
        <is>
          <t>Junio 2026 USA.xlsx</t>
        </is>
      </c>
      <c r="Q449" t="inlineStr">
        <is>
          <t>Fila 173</t>
        </is>
      </c>
      <c r="R449" t="inlineStr">
        <is>
          <t>Alta</t>
        </is>
      </c>
      <c r="S449" t="inlineStr">
        <is>
          <t>NO</t>
        </is>
      </c>
      <c r="T449" t="inlineStr">
        <is>
          <t>Comisiones financieras</t>
        </is>
      </c>
    </row>
    <row r="450">
      <c r="A450" t="inlineStr">
        <is>
          <t>2026-03</t>
        </is>
      </c>
      <c r="B450" t="inlineStr">
        <is>
          <t>Costa Rica</t>
        </is>
      </c>
      <c r="C450" t="inlineStr">
        <is>
          <t>CR</t>
        </is>
      </c>
      <c r="D450" t="inlineStr">
        <is>
          <t>USD</t>
        </is>
      </c>
      <c r="E450" t="inlineStr">
        <is>
          <t>PL-O-010</t>
        </is>
      </c>
      <c r="F450" t="inlineStr">
        <is>
          <t>Gastos de administración</t>
        </is>
      </c>
      <c r="G450" t="inlineStr">
        <is>
          <t>Gastos de personal</t>
        </is>
      </c>
      <c r="H450" t="inlineStr">
        <is>
          <t>Sueldos</t>
        </is>
      </c>
      <c r="I450" t="inlineStr">
        <is>
          <t>NARANJO BUSTOS MARIAM</t>
        </is>
      </c>
      <c r="J450" s="41" t="n">
        <v>2400</v>
      </c>
      <c r="K450" s="41" t="n">
        <v>1200</v>
      </c>
      <c r="L450" s="41" t="n">
        <v>0</v>
      </c>
      <c r="M450" s="41" t="n">
        <v>3600</v>
      </c>
      <c r="N450" s="41" t="n">
        <v>3600</v>
      </c>
      <c r="O450" s="41" t="n">
        <v>1200</v>
      </c>
      <c r="P450" t="inlineStr">
        <is>
          <t>Marzo 2026 CR.xlsx</t>
        </is>
      </c>
      <c r="Q450" t="inlineStr">
        <is>
          <t>Fila 28</t>
        </is>
      </c>
      <c r="R450" t="inlineStr">
        <is>
          <t>Alta</t>
        </is>
      </c>
      <c r="S450" t="inlineStr">
        <is>
          <t>NO</t>
        </is>
      </c>
      <c r="T450" t="inlineStr">
        <is>
          <t>Remuneración laboral</t>
        </is>
      </c>
    </row>
    <row r="451">
      <c r="A451" t="inlineStr">
        <is>
          <t>2026-03</t>
        </is>
      </c>
      <c r="B451" t="inlineStr">
        <is>
          <t>Costa Rica</t>
        </is>
      </c>
      <c r="C451" t="inlineStr">
        <is>
          <t>CR</t>
        </is>
      </c>
      <c r="D451" t="inlineStr">
        <is>
          <t>USD</t>
        </is>
      </c>
      <c r="E451" t="inlineStr">
        <is>
          <t>PL-O-090</t>
        </is>
      </c>
      <c r="F451" t="inlineStr">
        <is>
          <t>Gastos de administración</t>
        </is>
      </c>
      <c r="G451" t="inlineStr">
        <is>
          <t>Viajes y representación</t>
        </is>
      </c>
      <c r="H451" t="inlineStr">
        <is>
          <t>Viáticos</t>
        </is>
      </c>
      <c r="J451" s="41" t="n">
        <v>600</v>
      </c>
      <c r="K451" s="41" t="n">
        <v>300</v>
      </c>
      <c r="L451" s="41" t="n">
        <v>0</v>
      </c>
      <c r="M451" s="41" t="n">
        <v>900</v>
      </c>
      <c r="N451" s="41" t="n">
        <v>900</v>
      </c>
      <c r="O451" s="41" t="n">
        <v>300</v>
      </c>
      <c r="P451" t="inlineStr">
        <is>
          <t>Marzo 2026 CR.xlsx</t>
        </is>
      </c>
      <c r="Q451" t="inlineStr">
        <is>
          <t>Fila 30</t>
        </is>
      </c>
      <c r="R451" t="inlineStr">
        <is>
          <t>Alta</t>
        </is>
      </c>
      <c r="S451" t="inlineStr">
        <is>
          <t>NO</t>
        </is>
      </c>
      <c r="T451" t="inlineStr">
        <is>
          <t>Viáticos administrativos</t>
        </is>
      </c>
    </row>
    <row r="452">
      <c r="A452" t="inlineStr">
        <is>
          <t>2026-03</t>
        </is>
      </c>
      <c r="B452" t="inlineStr">
        <is>
          <t>Costa Rica</t>
        </is>
      </c>
      <c r="C452" t="inlineStr">
        <is>
          <t>CR</t>
        </is>
      </c>
      <c r="D452" t="inlineStr">
        <is>
          <t>USD</t>
        </is>
      </c>
      <c r="E452" t="inlineStr">
        <is>
          <t>PL-O-010</t>
        </is>
      </c>
      <c r="F452" t="inlineStr">
        <is>
          <t>Gastos de administración</t>
        </is>
      </c>
      <c r="G452" t="inlineStr">
        <is>
          <t>Gastos de personal</t>
        </is>
      </c>
      <c r="H452" t="inlineStr">
        <is>
          <t>Prestaciones sociales</t>
        </is>
      </c>
      <c r="I452" t="inlineStr">
        <is>
          <t>NARANJO BUSTOS MARIAM</t>
        </is>
      </c>
      <c r="J452" s="41" t="n">
        <v>812.37</v>
      </c>
      <c r="K452" s="41" t="n">
        <v>400</v>
      </c>
      <c r="L452" s="41" t="n">
        <v>0</v>
      </c>
      <c r="M452" s="41" t="n">
        <v>1212.37</v>
      </c>
      <c r="N452" s="41" t="n">
        <v>1212.37</v>
      </c>
      <c r="O452" s="41" t="n">
        <v>400</v>
      </c>
      <c r="P452" t="inlineStr">
        <is>
          <t>Marzo 2026 CR.xlsx</t>
        </is>
      </c>
      <c r="Q452" t="inlineStr">
        <is>
          <t>Fila 32</t>
        </is>
      </c>
      <c r="R452" t="inlineStr">
        <is>
          <t>Alta</t>
        </is>
      </c>
      <c r="S452" t="inlineStr">
        <is>
          <t>NO</t>
        </is>
      </c>
      <c r="T452" t="inlineStr">
        <is>
          <t>Prestaciones laborales</t>
        </is>
      </c>
    </row>
    <row r="453">
      <c r="A453" t="inlineStr">
        <is>
          <t>2026-03</t>
        </is>
      </c>
      <c r="B453" t="inlineStr">
        <is>
          <t>Costa Rica</t>
        </is>
      </c>
      <c r="C453" t="inlineStr">
        <is>
          <t>CR</t>
        </is>
      </c>
      <c r="D453" t="inlineStr">
        <is>
          <t>USD</t>
        </is>
      </c>
      <c r="E453" t="inlineStr">
        <is>
          <t>PL-O-020</t>
        </is>
      </c>
      <c r="F453" t="inlineStr">
        <is>
          <t>Gastos de administración</t>
        </is>
      </c>
      <c r="G453" t="inlineStr">
        <is>
          <t>Honorarios y servicios profesionales</t>
        </is>
      </c>
      <c r="H453" t="inlineStr">
        <is>
          <t>Asesoría jurídica</t>
        </is>
      </c>
      <c r="I453" t="inlineStr">
        <is>
          <t>MUÑOZ CHACON FRANCISCO JAVIER</t>
        </is>
      </c>
      <c r="J453" s="41" t="n">
        <v>222.59</v>
      </c>
      <c r="K453" s="41" t="n">
        <v>47.76</v>
      </c>
      <c r="L453" s="41" t="n">
        <v>0</v>
      </c>
      <c r="M453" s="41" t="n">
        <v>270.35</v>
      </c>
      <c r="N453" s="41" t="n">
        <v>270.35</v>
      </c>
      <c r="O453" s="41" t="n">
        <v>47.76</v>
      </c>
      <c r="P453" t="inlineStr">
        <is>
          <t>Marzo 2026 CR.xlsx</t>
        </is>
      </c>
      <c r="Q453" t="inlineStr">
        <is>
          <t>Fila 35</t>
        </is>
      </c>
      <c r="R453" t="inlineStr">
        <is>
          <t>Alta</t>
        </is>
      </c>
      <c r="S453" t="inlineStr">
        <is>
          <t>NO</t>
        </is>
      </c>
      <c r="T453" t="inlineStr">
        <is>
          <t>Servicio profesional jurídico</t>
        </is>
      </c>
    </row>
    <row r="454">
      <c r="A454" t="inlineStr">
        <is>
          <t>2026-03</t>
        </is>
      </c>
      <c r="B454" t="inlineStr">
        <is>
          <t>Costa Rica</t>
        </is>
      </c>
      <c r="C454" t="inlineStr">
        <is>
          <t>CR</t>
        </is>
      </c>
      <c r="D454" t="inlineStr">
        <is>
          <t>USD</t>
        </is>
      </c>
      <c r="E454" t="inlineStr">
        <is>
          <t>PL-O-030</t>
        </is>
      </c>
      <c r="F454" t="inlineStr">
        <is>
          <t>Gastos de administración</t>
        </is>
      </c>
      <c r="G454" t="inlineStr">
        <is>
          <t>Impuestos y contribuciones</t>
        </is>
      </c>
      <c r="H454" t="inlineStr">
        <is>
          <t>Industria, comercio y otros</t>
        </is>
      </c>
      <c r="I454" t="inlineStr">
        <is>
          <t>MINISTERIO DE HACIENDA</t>
        </is>
      </c>
      <c r="J454" s="41" t="n">
        <v>240.73</v>
      </c>
      <c r="K454" s="41" t="n">
        <v>12</v>
      </c>
      <c r="L454" s="41" t="n">
        <v>0</v>
      </c>
      <c r="M454" s="41" t="n">
        <v>252.73</v>
      </c>
      <c r="N454" s="41" t="n">
        <v>252.73</v>
      </c>
      <c r="O454" s="41" t="n">
        <v>12</v>
      </c>
      <c r="P454" t="inlineStr">
        <is>
          <t>Marzo 2026 CR.xlsx</t>
        </is>
      </c>
      <c r="Q454" t="inlineStr">
        <is>
          <t>Fila 38</t>
        </is>
      </c>
      <c r="R454" t="inlineStr">
        <is>
          <t>Alta</t>
        </is>
      </c>
      <c r="S454" t="inlineStr">
        <is>
          <t>NO</t>
        </is>
      </c>
      <c r="T454" t="inlineStr">
        <is>
          <t>Impuestos no asociados a renta</t>
        </is>
      </c>
    </row>
    <row r="455">
      <c r="A455" t="inlineStr">
        <is>
          <t>2026-03</t>
        </is>
      </c>
      <c r="B455" t="inlineStr">
        <is>
          <t>Costa Rica</t>
        </is>
      </c>
      <c r="C455" t="inlineStr">
        <is>
          <t>CR</t>
        </is>
      </c>
      <c r="D455" t="inlineStr">
        <is>
          <t>USD</t>
        </is>
      </c>
      <c r="E455" t="inlineStr">
        <is>
          <t>PL-O-030</t>
        </is>
      </c>
      <c r="F455" t="inlineStr">
        <is>
          <t>Gastos de administración</t>
        </is>
      </c>
      <c r="G455" t="inlineStr">
        <is>
          <t>Impuestos y contribuciones</t>
        </is>
      </c>
      <c r="H455" t="inlineStr">
        <is>
          <t>Industria, comercio y otros</t>
        </is>
      </c>
      <c r="I455" t="inlineStr">
        <is>
          <t>MINISTERIO DE HACIENDA</t>
        </is>
      </c>
      <c r="J455" s="41" t="n">
        <v>0</v>
      </c>
      <c r="K455" s="41" t="n">
        <v>26.55</v>
      </c>
      <c r="L455" s="41" t="n">
        <v>0</v>
      </c>
      <c r="M455" s="41" t="n">
        <v>26.55</v>
      </c>
      <c r="N455" s="41" t="n">
        <v>26.55</v>
      </c>
      <c r="O455" s="41" t="n">
        <v>26.55</v>
      </c>
      <c r="P455" t="inlineStr">
        <is>
          <t>Marzo 2026 CR.xlsx</t>
        </is>
      </c>
      <c r="Q455" t="inlineStr">
        <is>
          <t>Fila 39</t>
        </is>
      </c>
      <c r="R455" t="inlineStr">
        <is>
          <t>Alta</t>
        </is>
      </c>
      <c r="S455" t="inlineStr">
        <is>
          <t>NO</t>
        </is>
      </c>
      <c r="T455" t="inlineStr">
        <is>
          <t>Impuestos no asociados a renta</t>
        </is>
      </c>
    </row>
    <row r="456">
      <c r="A456" t="inlineStr">
        <is>
          <t>2026-03</t>
        </is>
      </c>
      <c r="B456" t="inlineStr">
        <is>
          <t>Costa Rica</t>
        </is>
      </c>
      <c r="C456" t="inlineStr">
        <is>
          <t>CR</t>
        </is>
      </c>
      <c r="D456" t="inlineStr">
        <is>
          <t>USD</t>
        </is>
      </c>
      <c r="E456" t="inlineStr">
        <is>
          <t>PL-O-030</t>
        </is>
      </c>
      <c r="F456" t="inlineStr">
        <is>
          <t>Gastos de administración</t>
        </is>
      </c>
      <c r="G456" t="inlineStr">
        <is>
          <t>Impuestos y contribuciones</t>
        </is>
      </c>
      <c r="H456" t="inlineStr">
        <is>
          <t>Contribuciones y afiliaciones</t>
        </is>
      </c>
      <c r="I456" t="inlineStr">
        <is>
          <t>MINISTERIO DE SALUD</t>
        </is>
      </c>
      <c r="J456" s="41" t="n">
        <v>0</v>
      </c>
      <c r="K456" s="41" t="n">
        <v>64.79000000000001</v>
      </c>
      <c r="L456" s="41" t="n">
        <v>0</v>
      </c>
      <c r="M456" s="41" t="n">
        <v>64.79000000000001</v>
      </c>
      <c r="N456" s="41" t="n">
        <v>64.79000000000001</v>
      </c>
      <c r="O456" s="41" t="n">
        <v>64.79000000000001</v>
      </c>
      <c r="P456" t="inlineStr">
        <is>
          <t>Marzo 2026 CR.xlsx</t>
        </is>
      </c>
      <c r="Q456" t="inlineStr">
        <is>
          <t>Fila 42</t>
        </is>
      </c>
      <c r="R456" t="inlineStr">
        <is>
          <t>Alta</t>
        </is>
      </c>
      <c r="S456" t="inlineStr">
        <is>
          <t>NO</t>
        </is>
      </c>
      <c r="T456" t="inlineStr">
        <is>
          <t>Contribuciones</t>
        </is>
      </c>
    </row>
    <row r="457">
      <c r="A457" t="inlineStr">
        <is>
          <t>2026-03</t>
        </is>
      </c>
      <c r="B457" t="inlineStr">
        <is>
          <t>Costa Rica</t>
        </is>
      </c>
      <c r="C457" t="inlineStr">
        <is>
          <t>CR</t>
        </is>
      </c>
      <c r="D457" t="inlineStr">
        <is>
          <t>USD</t>
        </is>
      </c>
      <c r="E457" t="inlineStr">
        <is>
          <t>PL-O-050</t>
        </is>
      </c>
      <c r="F457" t="inlineStr">
        <is>
          <t>Gastos de administración</t>
        </is>
      </c>
      <c r="G457" t="inlineStr">
        <is>
          <t>Seguros</t>
        </is>
      </c>
      <c r="H457" t="inlineStr">
        <is>
          <t>Otros seguros</t>
        </is>
      </c>
      <c r="I457" t="inlineStr">
        <is>
          <t>SEGUROS INS</t>
        </is>
      </c>
      <c r="J457" s="41" t="n">
        <v>0</v>
      </c>
      <c r="K457" s="41" t="n">
        <v>70.81</v>
      </c>
      <c r="L457" s="41" t="n">
        <v>0</v>
      </c>
      <c r="M457" s="41" t="n">
        <v>70.81</v>
      </c>
      <c r="N457" s="41" t="n">
        <v>70.81</v>
      </c>
      <c r="O457" s="41" t="n">
        <v>70.81</v>
      </c>
      <c r="P457" t="inlineStr">
        <is>
          <t>Marzo 2026 CR.xlsx</t>
        </is>
      </c>
      <c r="Q457" t="inlineStr">
        <is>
          <t>Fila 45</t>
        </is>
      </c>
      <c r="R457" t="inlineStr">
        <is>
          <t>Media</t>
        </is>
      </c>
      <c r="S457" t="inlineStr">
        <is>
          <t>SI</t>
        </is>
      </c>
      <c r="T457" t="inlineStr">
        <is>
          <t>Cuenta fuente de seguros con descripción genérica</t>
        </is>
      </c>
    </row>
    <row r="458">
      <c r="A458" t="inlineStr">
        <is>
          <t>2026-03</t>
        </is>
      </c>
      <c r="B458" t="inlineStr">
        <is>
          <t>Costa Rica</t>
        </is>
      </c>
      <c r="C458" t="inlineStr">
        <is>
          <t>CR</t>
        </is>
      </c>
      <c r="D458" t="inlineStr">
        <is>
          <t>USD</t>
        </is>
      </c>
      <c r="E458" t="inlineStr">
        <is>
          <t>PL-O-110</t>
        </is>
      </c>
      <c r="F458" t="inlineStr">
        <is>
          <t>Gastos de administración</t>
        </is>
      </c>
      <c r="G458" t="inlineStr">
        <is>
          <t>Suministros y oficina</t>
        </is>
      </c>
      <c r="H458" t="inlineStr">
        <is>
          <t>Útiles, papelería y fotocopias</t>
        </is>
      </c>
      <c r="I458" t="inlineStr">
        <is>
          <t>FERRETERIA EPA S.A.</t>
        </is>
      </c>
      <c r="J458" s="41" t="n">
        <v>0</v>
      </c>
      <c r="K458" s="41" t="n">
        <v>39.61</v>
      </c>
      <c r="L458" s="41" t="n">
        <v>0</v>
      </c>
      <c r="M458" s="41" t="n">
        <v>39.61</v>
      </c>
      <c r="N458" s="41" t="n">
        <v>39.61</v>
      </c>
      <c r="O458" s="41" t="n">
        <v>39.61</v>
      </c>
      <c r="P458" t="inlineStr">
        <is>
          <t>Marzo 2026 CR.xlsx</t>
        </is>
      </c>
      <c r="Q458" t="inlineStr">
        <is>
          <t>Fila 48</t>
        </is>
      </c>
      <c r="R458" t="inlineStr">
        <is>
          <t>Alta</t>
        </is>
      </c>
      <c r="S458" t="inlineStr">
        <is>
          <t>NO</t>
        </is>
      </c>
      <c r="T458" t="inlineStr">
        <is>
          <t>Suministros de oficina</t>
        </is>
      </c>
    </row>
    <row r="459">
      <c r="A459" t="inlineStr">
        <is>
          <t>2026-03</t>
        </is>
      </c>
      <c r="B459" t="inlineStr">
        <is>
          <t>Costa Rica</t>
        </is>
      </c>
      <c r="C459" t="inlineStr">
        <is>
          <t>CR</t>
        </is>
      </c>
      <c r="D459" t="inlineStr">
        <is>
          <t>USD</t>
        </is>
      </c>
      <c r="E459" t="inlineStr">
        <is>
          <t>PL-O-110</t>
        </is>
      </c>
      <c r="F459" t="inlineStr">
        <is>
          <t>Gastos de administración</t>
        </is>
      </c>
      <c r="G459" t="inlineStr">
        <is>
          <t>Suministros y oficina</t>
        </is>
      </c>
      <c r="H459" t="inlineStr">
        <is>
          <t>Útiles, papelería y fotocopias</t>
        </is>
      </c>
      <c r="I459" t="inlineStr">
        <is>
          <t>ISTORE SAN PEDRO</t>
        </is>
      </c>
      <c r="J459" s="41" t="n">
        <v>0</v>
      </c>
      <c r="K459" s="41" t="n">
        <v>74.31</v>
      </c>
      <c r="L459" s="41" t="n">
        <v>0</v>
      </c>
      <c r="M459" s="41" t="n">
        <v>74.31</v>
      </c>
      <c r="N459" s="41" t="n">
        <v>74.31</v>
      </c>
      <c r="O459" s="41" t="n">
        <v>74.31</v>
      </c>
      <c r="P459" t="inlineStr">
        <is>
          <t>Marzo 2026 CR.xlsx</t>
        </is>
      </c>
      <c r="Q459" t="inlineStr">
        <is>
          <t>Fila 49</t>
        </is>
      </c>
      <c r="R459" t="inlineStr">
        <is>
          <t>Alta</t>
        </is>
      </c>
      <c r="S459" t="inlineStr">
        <is>
          <t>NO</t>
        </is>
      </c>
      <c r="T459" t="inlineStr">
        <is>
          <t>Suministros de oficina</t>
        </is>
      </c>
    </row>
    <row r="460">
      <c r="A460" t="inlineStr">
        <is>
          <t>2026-03</t>
        </is>
      </c>
      <c r="B460" t="inlineStr">
        <is>
          <t>Costa Rica</t>
        </is>
      </c>
      <c r="C460" t="inlineStr">
        <is>
          <t>CR</t>
        </is>
      </c>
      <c r="D460" t="inlineStr">
        <is>
          <t>USD</t>
        </is>
      </c>
      <c r="E460" t="inlineStr">
        <is>
          <t>PL-O-110</t>
        </is>
      </c>
      <c r="F460" t="inlineStr">
        <is>
          <t>Gastos de administración</t>
        </is>
      </c>
      <c r="G460" t="inlineStr">
        <is>
          <t>Suministros y oficina</t>
        </is>
      </c>
      <c r="H460" t="inlineStr">
        <is>
          <t>Útiles, papelería y fotocopias</t>
        </is>
      </c>
      <c r="I460" t="inlineStr">
        <is>
          <t>MUNDO TECNOLOGIA</t>
        </is>
      </c>
      <c r="J460" s="41" t="n">
        <v>15</v>
      </c>
      <c r="K460" s="41" t="n">
        <v>0</v>
      </c>
      <c r="L460" s="41" t="n">
        <v>0</v>
      </c>
      <c r="M460" s="41" t="n">
        <v>15</v>
      </c>
      <c r="N460" s="41" t="n">
        <v>15</v>
      </c>
      <c r="O460" s="41" t="n">
        <v>0</v>
      </c>
      <c r="P460" t="inlineStr">
        <is>
          <t>Marzo 2026 CR.xlsx</t>
        </is>
      </c>
      <c r="Q460" t="inlineStr">
        <is>
          <t>Fila 50</t>
        </is>
      </c>
      <c r="R460" t="inlineStr">
        <is>
          <t>Alta</t>
        </is>
      </c>
      <c r="S460" t="inlineStr">
        <is>
          <t>NO</t>
        </is>
      </c>
      <c r="T460" t="inlineStr">
        <is>
          <t>Suministros de oficina</t>
        </is>
      </c>
    </row>
    <row r="461">
      <c r="A461" t="inlineStr">
        <is>
          <t>2026-03</t>
        </is>
      </c>
      <c r="B461" t="inlineStr">
        <is>
          <t>Costa Rica</t>
        </is>
      </c>
      <c r="C461" t="inlineStr">
        <is>
          <t>CR</t>
        </is>
      </c>
      <c r="D461" t="inlineStr">
        <is>
          <t>USD</t>
        </is>
      </c>
      <c r="E461" t="inlineStr">
        <is>
          <t>PL-O-110</t>
        </is>
      </c>
      <c r="F461" t="inlineStr">
        <is>
          <t>Gastos de administración</t>
        </is>
      </c>
      <c r="G461" t="inlineStr">
        <is>
          <t>Suministros y oficina</t>
        </is>
      </c>
      <c r="H461" t="inlineStr">
        <is>
          <t>Útiles, papelería y fotocopias</t>
        </is>
      </c>
      <c r="I461" t="inlineStr">
        <is>
          <t>REGISTRO NACIONAL REPUBLICA DE COSTA RICA</t>
        </is>
      </c>
      <c r="J461" s="41" t="n">
        <v>7</v>
      </c>
      <c r="K461" s="41" t="n">
        <v>0</v>
      </c>
      <c r="L461" s="41" t="n">
        <v>0</v>
      </c>
      <c r="M461" s="41" t="n">
        <v>7</v>
      </c>
      <c r="N461" s="41" t="n">
        <v>7</v>
      </c>
      <c r="O461" s="41" t="n">
        <v>0</v>
      </c>
      <c r="P461" t="inlineStr">
        <is>
          <t>Marzo 2026 CR.xlsx</t>
        </is>
      </c>
      <c r="Q461" t="inlineStr">
        <is>
          <t>Fila 51</t>
        </is>
      </c>
      <c r="R461" t="inlineStr">
        <is>
          <t>Alta</t>
        </is>
      </c>
      <c r="S461" t="inlineStr">
        <is>
          <t>NO</t>
        </is>
      </c>
      <c r="T461" t="inlineStr">
        <is>
          <t>Suministros de oficina</t>
        </is>
      </c>
    </row>
    <row r="462">
      <c r="A462" t="inlineStr">
        <is>
          <t>2026-03</t>
        </is>
      </c>
      <c r="B462" t="inlineStr">
        <is>
          <t>Costa Rica</t>
        </is>
      </c>
      <c r="C462" t="inlineStr">
        <is>
          <t>CR</t>
        </is>
      </c>
      <c r="D462" t="inlineStr">
        <is>
          <t>USD</t>
        </is>
      </c>
      <c r="E462" t="inlineStr">
        <is>
          <t>PL-F-010</t>
        </is>
      </c>
      <c r="F462" t="inlineStr">
        <is>
          <t>Gastos financieros</t>
        </is>
      </c>
      <c r="G462" t="inlineStr">
        <is>
          <t>Gastos financieros</t>
        </is>
      </c>
      <c r="H462" t="inlineStr">
        <is>
          <t>Gastos bancarios</t>
        </is>
      </c>
      <c r="I462" t="inlineStr">
        <is>
          <t>BAC CREDOMATIC</t>
        </is>
      </c>
      <c r="J462" s="41" t="n">
        <v>50</v>
      </c>
      <c r="K462" s="41" t="n">
        <v>30</v>
      </c>
      <c r="L462" s="41" t="n">
        <v>0</v>
      </c>
      <c r="M462" s="41" t="n">
        <v>80</v>
      </c>
      <c r="N462" s="41" t="n">
        <v>80</v>
      </c>
      <c r="O462" s="41" t="n">
        <v>30</v>
      </c>
      <c r="P462" t="inlineStr">
        <is>
          <t>Marzo 2026 CR.xlsx</t>
        </is>
      </c>
      <c r="Q462" t="inlineStr">
        <is>
          <t>Fila 55</t>
        </is>
      </c>
      <c r="R462" t="inlineStr">
        <is>
          <t>Alta</t>
        </is>
      </c>
      <c r="S462" t="inlineStr">
        <is>
          <t>NO</t>
        </is>
      </c>
      <c r="T462" t="inlineStr">
        <is>
          <t>Costo financiero bancario</t>
        </is>
      </c>
    </row>
    <row r="463">
      <c r="A463" t="inlineStr">
        <is>
          <t>2026-03</t>
        </is>
      </c>
      <c r="B463" t="inlineStr">
        <is>
          <t>Peru</t>
        </is>
      </c>
      <c r="C463" t="inlineStr">
        <is>
          <t>PERU</t>
        </is>
      </c>
      <c r="D463" t="inlineStr">
        <is>
          <t>PEN</t>
        </is>
      </c>
      <c r="E463" t="inlineStr">
        <is>
          <t>PL-R-010</t>
        </is>
      </c>
      <c r="F463" t="inlineStr">
        <is>
          <t>Ingresos operacionales</t>
        </is>
      </c>
      <c r="G463" t="inlineStr">
        <is>
          <t>Ingresos por servicios</t>
        </is>
      </c>
      <c r="H463" t="inlineStr">
        <is>
          <t>Software y agendamiento</t>
        </is>
      </c>
      <c r="I463" t="inlineStr">
        <is>
          <t>IMPLEMENTACION- EXCLUIDA</t>
        </is>
      </c>
      <c r="J463" s="41" t="n">
        <v>-1808.92</v>
      </c>
      <c r="K463" s="41" t="n">
        <v>0</v>
      </c>
      <c r="L463" s="41" t="n">
        <v>0</v>
      </c>
      <c r="M463" s="41" t="n">
        <v>-1808.92</v>
      </c>
      <c r="N463" s="41" t="n">
        <v>1808.92</v>
      </c>
      <c r="O463" s="41" t="n">
        <v>0</v>
      </c>
      <c r="P463" t="inlineStr">
        <is>
          <t>Marzo 2026 PERU.xlsx</t>
        </is>
      </c>
      <c r="Q463" t="inlineStr">
        <is>
          <t>Fila 41</t>
        </is>
      </c>
      <c r="R463" t="inlineStr">
        <is>
          <t>Alta</t>
        </is>
      </c>
      <c r="S463" t="inlineStr">
        <is>
          <t>NO</t>
        </is>
      </c>
      <c r="T463" t="inlineStr">
        <is>
          <t>Ingreso operacional principal</t>
        </is>
      </c>
    </row>
    <row r="464">
      <c r="A464" t="inlineStr">
        <is>
          <t>2026-03</t>
        </is>
      </c>
      <c r="B464" t="inlineStr">
        <is>
          <t>Peru</t>
        </is>
      </c>
      <c r="C464" t="inlineStr">
        <is>
          <t>PERU</t>
        </is>
      </c>
      <c r="D464" t="inlineStr">
        <is>
          <t>PEN</t>
        </is>
      </c>
      <c r="E464" t="inlineStr">
        <is>
          <t>PL-R-010</t>
        </is>
      </c>
      <c r="F464" t="inlineStr">
        <is>
          <t>Ingresos operacionales</t>
        </is>
      </c>
      <c r="G464" t="inlineStr">
        <is>
          <t>Ingresos por servicios</t>
        </is>
      </c>
      <c r="H464" t="inlineStr">
        <is>
          <t>Software y agendamiento</t>
        </is>
      </c>
      <c r="I464" t="inlineStr">
        <is>
          <t>AGENDAMIENTO EN LA NUBE</t>
        </is>
      </c>
      <c r="J464" s="41" t="n">
        <v>-5636.09</v>
      </c>
      <c r="K464" s="41" t="n">
        <v>0</v>
      </c>
      <c r="L464" s="41" t="n">
        <v>2846.02</v>
      </c>
      <c r="M464" s="41" t="n">
        <v>-8482.110000000001</v>
      </c>
      <c r="N464" s="41" t="n">
        <v>8482.110000000001</v>
      </c>
      <c r="O464" s="41" t="n">
        <v>2846.02</v>
      </c>
      <c r="P464" t="inlineStr">
        <is>
          <t>Marzo 2026 PERU.xlsx</t>
        </is>
      </c>
      <c r="Q464" t="inlineStr">
        <is>
          <t>Fila 42</t>
        </is>
      </c>
      <c r="R464" t="inlineStr">
        <is>
          <t>Alta</t>
        </is>
      </c>
      <c r="S464" t="inlineStr">
        <is>
          <t>NO</t>
        </is>
      </c>
      <c r="T464" t="inlineStr">
        <is>
          <t>Ingreso operacional principal</t>
        </is>
      </c>
    </row>
    <row r="465">
      <c r="A465" t="inlineStr">
        <is>
          <t>2026-03</t>
        </is>
      </c>
      <c r="B465" t="inlineStr">
        <is>
          <t>Peru</t>
        </is>
      </c>
      <c r="C465" t="inlineStr">
        <is>
          <t>PERU</t>
        </is>
      </c>
      <c r="D465" t="inlineStr">
        <is>
          <t>PEN</t>
        </is>
      </c>
      <c r="E465" t="inlineStr">
        <is>
          <t>PL-NO-020</t>
        </is>
      </c>
      <c r="F465" t="inlineStr">
        <is>
          <t>Ingresos no operacionales</t>
        </is>
      </c>
      <c r="G465" t="inlineStr">
        <is>
          <t>Otros ingresos</t>
        </is>
      </c>
      <c r="H465" t="inlineStr">
        <is>
          <t>Otros ingresos</t>
        </is>
      </c>
      <c r="I465" t="inlineStr">
        <is>
          <t>OTROS INGRESOS</t>
        </is>
      </c>
      <c r="J465" s="41" t="n">
        <v>-64960.94</v>
      </c>
      <c r="K465" s="41" t="n">
        <v>0</v>
      </c>
      <c r="L465" s="41" t="n">
        <v>0</v>
      </c>
      <c r="M465" s="41" t="n">
        <v>-64960.94</v>
      </c>
      <c r="N465" s="41" t="n">
        <v>64960.94</v>
      </c>
      <c r="O465" s="41" t="n">
        <v>0</v>
      </c>
      <c r="P465" t="inlineStr">
        <is>
          <t>Marzo 2026 PERU.xlsx</t>
        </is>
      </c>
      <c r="Q465" t="inlineStr">
        <is>
          <t>Fila 45</t>
        </is>
      </c>
      <c r="R465" t="inlineStr">
        <is>
          <t>Media</t>
        </is>
      </c>
      <c r="S465" t="inlineStr">
        <is>
          <t>SI</t>
        </is>
      </c>
      <c r="T465" t="inlineStr">
        <is>
          <t>Cuenta genérica y material en Perú; validar naturaleza</t>
        </is>
      </c>
    </row>
    <row r="466">
      <c r="A466" t="inlineStr">
        <is>
          <t>2026-03</t>
        </is>
      </c>
      <c r="B466" t="inlineStr">
        <is>
          <t>Peru</t>
        </is>
      </c>
      <c r="C466" t="inlineStr">
        <is>
          <t>PERU</t>
        </is>
      </c>
      <c r="D466" t="inlineStr">
        <is>
          <t>PEN</t>
        </is>
      </c>
      <c r="E466" t="inlineStr">
        <is>
          <t>PL-O-020</t>
        </is>
      </c>
      <c r="F466" t="inlineStr">
        <is>
          <t>Gastos de administración</t>
        </is>
      </c>
      <c r="G466" t="inlineStr">
        <is>
          <t>Honorarios y servicios profesionales</t>
        </is>
      </c>
      <c r="H466" t="inlineStr">
        <is>
          <t>Asesoría jurídica</t>
        </is>
      </c>
      <c r="I466" t="inlineStr">
        <is>
          <t>HONORARIOS ASESORIA JURIDICA</t>
        </is>
      </c>
      <c r="J466" s="41" t="n">
        <v>1015.35</v>
      </c>
      <c r="K466" s="41" t="n">
        <v>524.25</v>
      </c>
      <c r="L466" s="41" t="n">
        <v>0</v>
      </c>
      <c r="M466" s="41" t="n">
        <v>1539.6</v>
      </c>
      <c r="N466" s="41" t="n">
        <v>1539.6</v>
      </c>
      <c r="O466" s="41" t="n">
        <v>524.25</v>
      </c>
      <c r="P466" t="inlineStr">
        <is>
          <t>Marzo 2026 PERU.xlsx</t>
        </is>
      </c>
      <c r="Q466" t="inlineStr">
        <is>
          <t>Fila 49</t>
        </is>
      </c>
      <c r="R466" t="inlineStr">
        <is>
          <t>Alta</t>
        </is>
      </c>
      <c r="S466" t="inlineStr">
        <is>
          <t>NO</t>
        </is>
      </c>
      <c r="T466" t="inlineStr">
        <is>
          <t>Servicio profesional jurídico</t>
        </is>
      </c>
    </row>
    <row r="467">
      <c r="A467" t="inlineStr">
        <is>
          <t>2026-03</t>
        </is>
      </c>
      <c r="B467" t="inlineStr">
        <is>
          <t>Peru</t>
        </is>
      </c>
      <c r="C467" t="inlineStr">
        <is>
          <t>PERU</t>
        </is>
      </c>
      <c r="D467" t="inlineStr">
        <is>
          <t>PEN</t>
        </is>
      </c>
      <c r="E467" t="inlineStr">
        <is>
          <t>PL-O-020</t>
        </is>
      </c>
      <c r="F467" t="inlineStr">
        <is>
          <t>Gastos de administración</t>
        </is>
      </c>
      <c r="G467" t="inlineStr">
        <is>
          <t>Honorarios y servicios profesionales</t>
        </is>
      </c>
      <c r="H467" t="inlineStr">
        <is>
          <t>Asesoría financiera</t>
        </is>
      </c>
      <c r="I467" t="inlineStr">
        <is>
          <t>HONORARIOS ASESORIA FINANCIERA</t>
        </is>
      </c>
      <c r="J467" s="41" t="n">
        <v>700</v>
      </c>
      <c r="K467" s="41" t="n">
        <v>1100</v>
      </c>
      <c r="L467" s="41" t="n">
        <v>0</v>
      </c>
      <c r="M467" s="41" t="n">
        <v>1800</v>
      </c>
      <c r="N467" s="41" t="n">
        <v>1800</v>
      </c>
      <c r="O467" s="41" t="n">
        <v>1100</v>
      </c>
      <c r="P467" t="inlineStr">
        <is>
          <t>Marzo 2026 PERU.xlsx</t>
        </is>
      </c>
      <c r="Q467" t="inlineStr">
        <is>
          <t>Fila 51</t>
        </is>
      </c>
      <c r="R467" t="inlineStr">
        <is>
          <t>Alta</t>
        </is>
      </c>
      <c r="S467" t="inlineStr">
        <is>
          <t>NO</t>
        </is>
      </c>
      <c r="T467" t="inlineStr">
        <is>
          <t>Servicio profesional financiero</t>
        </is>
      </c>
    </row>
    <row r="468">
      <c r="A468" t="inlineStr">
        <is>
          <t>2026-03</t>
        </is>
      </c>
      <c r="B468" t="inlineStr">
        <is>
          <t>Peru</t>
        </is>
      </c>
      <c r="C468" t="inlineStr">
        <is>
          <t>PERU</t>
        </is>
      </c>
      <c r="D468" t="inlineStr">
        <is>
          <t>PEN</t>
        </is>
      </c>
      <c r="E468" t="inlineStr">
        <is>
          <t>PL-S-010</t>
        </is>
      </c>
      <c r="F468" t="inlineStr">
        <is>
          <t>Gastos de ventas</t>
        </is>
      </c>
      <c r="G468" t="inlineStr">
        <is>
          <t>Honorarios comerciales y técnicos</t>
        </is>
      </c>
      <c r="H468" t="inlineStr">
        <is>
          <t>Otros honorarios</t>
        </is>
      </c>
      <c r="I468" t="inlineStr">
        <is>
          <t>HONORARIOS OTROS CONCEPTOS</t>
        </is>
      </c>
      <c r="J468" s="41" t="n">
        <v>2127</v>
      </c>
      <c r="K468" s="41" t="n">
        <v>0</v>
      </c>
      <c r="L468" s="41" t="n">
        <v>0</v>
      </c>
      <c r="M468" s="41" t="n">
        <v>2127</v>
      </c>
      <c r="N468" s="41" t="n">
        <v>2127</v>
      </c>
      <c r="O468" s="41" t="n">
        <v>0</v>
      </c>
      <c r="P468" t="inlineStr">
        <is>
          <t>Marzo 2026 PERU.xlsx</t>
        </is>
      </c>
      <c r="Q468" t="inlineStr">
        <is>
          <t>Fila 54</t>
        </is>
      </c>
      <c r="R468" t="inlineStr">
        <is>
          <t>Media</t>
        </is>
      </c>
      <c r="S468" t="inlineStr">
        <is>
          <t>SI</t>
        </is>
      </c>
      <c r="T468" t="inlineStr">
        <is>
          <t>Cuenta genérica de honorarios de ventas</t>
        </is>
      </c>
    </row>
    <row r="469">
      <c r="A469" t="inlineStr">
        <is>
          <t>2026-03</t>
        </is>
      </c>
      <c r="B469" t="inlineStr">
        <is>
          <t>Peru</t>
        </is>
      </c>
      <c r="C469" t="inlineStr">
        <is>
          <t>PERU</t>
        </is>
      </c>
      <c r="D469" t="inlineStr">
        <is>
          <t>PEN</t>
        </is>
      </c>
      <c r="E469" t="inlineStr">
        <is>
          <t>PL-S-020</t>
        </is>
      </c>
      <c r="F469" t="inlineStr">
        <is>
          <t>Gastos de ventas</t>
        </is>
      </c>
      <c r="G469" t="inlineStr">
        <is>
          <t>Mercadeo y publicidad</t>
        </is>
      </c>
      <c r="H469" t="inlineStr">
        <is>
          <t>Propaganda y publicidad</t>
        </is>
      </c>
      <c r="I469" t="inlineStr">
        <is>
          <t>PROPAGANDA Y PUBLICIDAD</t>
        </is>
      </c>
      <c r="J469" s="41" t="n">
        <v>1706.19</v>
      </c>
      <c r="K469" s="41" t="n">
        <v>0</v>
      </c>
      <c r="L469" s="41" t="n">
        <v>0</v>
      </c>
      <c r="M469" s="41" t="n">
        <v>1706.19</v>
      </c>
      <c r="N469" s="41" t="n">
        <v>1706.19</v>
      </c>
      <c r="O469" s="41" t="n">
        <v>0</v>
      </c>
      <c r="P469" t="inlineStr">
        <is>
          <t>Marzo 2026 PERU.xlsx</t>
        </is>
      </c>
      <c r="Q469" t="inlineStr">
        <is>
          <t>Fila 57</t>
        </is>
      </c>
      <c r="R469" t="inlineStr">
        <is>
          <t>Alta</t>
        </is>
      </c>
      <c r="S469" t="inlineStr">
        <is>
          <t>NO</t>
        </is>
      </c>
      <c r="T469" t="inlineStr">
        <is>
          <t>Gasto comercial de publicidad</t>
        </is>
      </c>
    </row>
    <row r="470">
      <c r="A470" t="inlineStr">
        <is>
          <t>2026-03</t>
        </is>
      </c>
      <c r="B470" t="inlineStr">
        <is>
          <t>Peru</t>
        </is>
      </c>
      <c r="C470" t="inlineStr">
        <is>
          <t>PERU</t>
        </is>
      </c>
      <c r="D470" t="inlineStr">
        <is>
          <t>PEN</t>
        </is>
      </c>
      <c r="E470" t="inlineStr">
        <is>
          <t>PL-S-040</t>
        </is>
      </c>
      <c r="F470" t="inlineStr">
        <is>
          <t>Gastos de ventas</t>
        </is>
      </c>
      <c r="G470" t="inlineStr">
        <is>
          <t>Viajes comerciales</t>
        </is>
      </c>
      <c r="H470" t="inlineStr">
        <is>
          <t>Alojamiento y manutención</t>
        </is>
      </c>
      <c r="I470" t="inlineStr">
        <is>
          <t>SERVICIO ALOJAMIENTO</t>
        </is>
      </c>
      <c r="J470" s="41" t="n">
        <v>0</v>
      </c>
      <c r="K470" s="41" t="n">
        <v>267.26</v>
      </c>
      <c r="L470" s="41" t="n">
        <v>0</v>
      </c>
      <c r="M470" s="41" t="n">
        <v>267.26</v>
      </c>
      <c r="N470" s="41" t="n">
        <v>267.26</v>
      </c>
      <c r="O470" s="41" t="n">
        <v>267.26</v>
      </c>
      <c r="P470" t="inlineStr">
        <is>
          <t>Marzo 2026 PERU.xlsx</t>
        </is>
      </c>
      <c r="Q470" t="inlineStr">
        <is>
          <t>Fila 60</t>
        </is>
      </c>
      <c r="R470" t="inlineStr">
        <is>
          <t>Alta</t>
        </is>
      </c>
      <c r="S470" t="inlineStr">
        <is>
          <t>NO</t>
        </is>
      </c>
      <c r="T470" t="inlineStr">
        <is>
          <t>Viajes y alimentación comercial</t>
        </is>
      </c>
    </row>
    <row r="471">
      <c r="A471" t="inlineStr">
        <is>
          <t>2026-03</t>
        </is>
      </c>
      <c r="B471" t="inlineStr">
        <is>
          <t>Peru</t>
        </is>
      </c>
      <c r="C471" t="inlineStr">
        <is>
          <t>PERU</t>
        </is>
      </c>
      <c r="D471" t="inlineStr">
        <is>
          <t>PEN</t>
        </is>
      </c>
      <c r="E471" t="inlineStr">
        <is>
          <t>PL-S-040</t>
        </is>
      </c>
      <c r="F471" t="inlineStr">
        <is>
          <t>Gastos de ventas</t>
        </is>
      </c>
      <c r="G471" t="inlineStr">
        <is>
          <t>Viajes comerciales</t>
        </is>
      </c>
      <c r="H471" t="inlineStr">
        <is>
          <t>Alojamiento y manutención</t>
        </is>
      </c>
      <c r="I471" t="inlineStr">
        <is>
          <t>SERVICIO DE RESTAURANTE</t>
        </is>
      </c>
      <c r="J471" s="41" t="n">
        <v>80.8</v>
      </c>
      <c r="K471" s="41" t="n">
        <v>0</v>
      </c>
      <c r="L471" s="41" t="n">
        <v>0</v>
      </c>
      <c r="M471" s="41" t="n">
        <v>80.8</v>
      </c>
      <c r="N471" s="41" t="n">
        <v>80.8</v>
      </c>
      <c r="O471" s="41" t="n">
        <v>0</v>
      </c>
      <c r="P471" t="inlineStr">
        <is>
          <t>Marzo 2026 PERU.xlsx</t>
        </is>
      </c>
      <c r="Q471" t="inlineStr">
        <is>
          <t>Fila 61</t>
        </is>
      </c>
      <c r="R471" t="inlineStr">
        <is>
          <t>Alta</t>
        </is>
      </c>
      <c r="S471" t="inlineStr">
        <is>
          <t>NO</t>
        </is>
      </c>
      <c r="T471" t="inlineStr">
        <is>
          <t>Viajes y alimentación comercial</t>
        </is>
      </c>
    </row>
    <row r="472">
      <c r="A472" t="inlineStr">
        <is>
          <t>2026-03</t>
        </is>
      </c>
      <c r="B472" t="inlineStr">
        <is>
          <t>Peru</t>
        </is>
      </c>
      <c r="C472" t="inlineStr">
        <is>
          <t>PERU</t>
        </is>
      </c>
      <c r="D472" t="inlineStr">
        <is>
          <t>PEN</t>
        </is>
      </c>
      <c r="E472" t="inlineStr">
        <is>
          <t>PL-S-040</t>
        </is>
      </c>
      <c r="F472" t="inlineStr">
        <is>
          <t>Gastos de ventas</t>
        </is>
      </c>
      <c r="G472" t="inlineStr">
        <is>
          <t>Viajes comerciales</t>
        </is>
      </c>
      <c r="H472" t="inlineStr">
        <is>
          <t>Alojamiento y manutención</t>
        </is>
      </c>
      <c r="I472" t="inlineStr">
        <is>
          <t>SERVICIO DE RESTAURANTE</t>
        </is>
      </c>
      <c r="J472" s="41" t="n">
        <v>0</v>
      </c>
      <c r="K472" s="41" t="n">
        <v>20.68</v>
      </c>
      <c r="L472" s="41" t="n">
        <v>0</v>
      </c>
      <c r="M472" s="41" t="n">
        <v>20.68</v>
      </c>
      <c r="N472" s="41" t="n">
        <v>20.68</v>
      </c>
      <c r="O472" s="41" t="n">
        <v>20.68</v>
      </c>
      <c r="P472" t="inlineStr">
        <is>
          <t>Marzo 2026 PERU.xlsx</t>
        </is>
      </c>
      <c r="Q472" t="inlineStr">
        <is>
          <t>Fila 62</t>
        </is>
      </c>
      <c r="R472" t="inlineStr">
        <is>
          <t>Alta</t>
        </is>
      </c>
      <c r="S472" t="inlineStr">
        <is>
          <t>NO</t>
        </is>
      </c>
      <c r="T472" t="inlineStr">
        <is>
          <t>Viajes y alimentación comercial</t>
        </is>
      </c>
    </row>
    <row r="473">
      <c r="A473" t="inlineStr">
        <is>
          <t>2026-03</t>
        </is>
      </c>
      <c r="B473" t="inlineStr">
        <is>
          <t>Peru</t>
        </is>
      </c>
      <c r="C473" t="inlineStr">
        <is>
          <t>PERU</t>
        </is>
      </c>
      <c r="D473" t="inlineStr">
        <is>
          <t>PEN</t>
        </is>
      </c>
      <c r="E473" t="inlineStr">
        <is>
          <t>PL-S-040</t>
        </is>
      </c>
      <c r="F473" t="inlineStr">
        <is>
          <t>Gastos de ventas</t>
        </is>
      </c>
      <c r="G473" t="inlineStr">
        <is>
          <t>Viajes comerciales</t>
        </is>
      </c>
      <c r="H473" t="inlineStr">
        <is>
          <t>Alojamiento y manutención</t>
        </is>
      </c>
      <c r="I473" t="inlineStr">
        <is>
          <t>SERVICIO DE RESTAURANTE</t>
        </is>
      </c>
      <c r="J473" s="41" t="n">
        <v>114</v>
      </c>
      <c r="K473" s="41" t="n">
        <v>0</v>
      </c>
      <c r="L473" s="41" t="n">
        <v>0</v>
      </c>
      <c r="M473" s="41" t="n">
        <v>114</v>
      </c>
      <c r="N473" s="41" t="n">
        <v>114</v>
      </c>
      <c r="O473" s="41" t="n">
        <v>0</v>
      </c>
      <c r="P473" t="inlineStr">
        <is>
          <t>Marzo 2026 PERU.xlsx</t>
        </is>
      </c>
      <c r="Q473" t="inlineStr">
        <is>
          <t>Fila 63</t>
        </is>
      </c>
      <c r="R473" t="inlineStr">
        <is>
          <t>Alta</t>
        </is>
      </c>
      <c r="S473" t="inlineStr">
        <is>
          <t>NO</t>
        </is>
      </c>
      <c r="T473" t="inlineStr">
        <is>
          <t>Viajes y alimentación comercial</t>
        </is>
      </c>
    </row>
    <row r="474">
      <c r="A474" t="inlineStr">
        <is>
          <t>2026-03</t>
        </is>
      </c>
      <c r="B474" t="inlineStr">
        <is>
          <t>Peru</t>
        </is>
      </c>
      <c r="C474" t="inlineStr">
        <is>
          <t>PERU</t>
        </is>
      </c>
      <c r="D474" t="inlineStr">
        <is>
          <t>PEN</t>
        </is>
      </c>
      <c r="E474" t="inlineStr">
        <is>
          <t>PL-S-040</t>
        </is>
      </c>
      <c r="F474" t="inlineStr">
        <is>
          <t>Gastos de ventas</t>
        </is>
      </c>
      <c r="G474" t="inlineStr">
        <is>
          <t>Viajes comerciales</t>
        </is>
      </c>
      <c r="H474" t="inlineStr">
        <is>
          <t>Alojamiento y manutención</t>
        </is>
      </c>
      <c r="I474" t="inlineStr">
        <is>
          <t>SERVICIO DE RESTAURANTE</t>
        </is>
      </c>
      <c r="J474" s="41" t="n">
        <v>520</v>
      </c>
      <c r="K474" s="41" t="n">
        <v>0</v>
      </c>
      <c r="L474" s="41" t="n">
        <v>0</v>
      </c>
      <c r="M474" s="41" t="n">
        <v>520</v>
      </c>
      <c r="N474" s="41" t="n">
        <v>520</v>
      </c>
      <c r="O474" s="41" t="n">
        <v>0</v>
      </c>
      <c r="P474" t="inlineStr">
        <is>
          <t>Marzo 2026 PERU.xlsx</t>
        </is>
      </c>
      <c r="Q474" t="inlineStr">
        <is>
          <t>Fila 64</t>
        </is>
      </c>
      <c r="R474" t="inlineStr">
        <is>
          <t>Alta</t>
        </is>
      </c>
      <c r="S474" t="inlineStr">
        <is>
          <t>NO</t>
        </is>
      </c>
      <c r="T474" t="inlineStr">
        <is>
          <t>Viajes y alimentación comercial</t>
        </is>
      </c>
    </row>
    <row r="475">
      <c r="A475" t="inlineStr">
        <is>
          <t>2026-03</t>
        </is>
      </c>
      <c r="B475" t="inlineStr">
        <is>
          <t>Peru</t>
        </is>
      </c>
      <c r="C475" t="inlineStr">
        <is>
          <t>PERU</t>
        </is>
      </c>
      <c r="D475" t="inlineStr">
        <is>
          <t>PEN</t>
        </is>
      </c>
      <c r="E475" t="inlineStr">
        <is>
          <t>PL-S-040</t>
        </is>
      </c>
      <c r="F475" t="inlineStr">
        <is>
          <t>Gastos de ventas</t>
        </is>
      </c>
      <c r="G475" t="inlineStr">
        <is>
          <t>Viajes comerciales</t>
        </is>
      </c>
      <c r="H475" t="inlineStr">
        <is>
          <t>Alojamiento y manutención</t>
        </is>
      </c>
      <c r="I475" t="inlineStr">
        <is>
          <t>SERVICIO DE RESTAURANTE</t>
        </is>
      </c>
      <c r="J475" s="41" t="n">
        <v>6</v>
      </c>
      <c r="K475" s="41" t="n">
        <v>0</v>
      </c>
      <c r="L475" s="41" t="n">
        <v>0</v>
      </c>
      <c r="M475" s="41" t="n">
        <v>6</v>
      </c>
      <c r="N475" s="41" t="n">
        <v>6</v>
      </c>
      <c r="O475" s="41" t="n">
        <v>0</v>
      </c>
      <c r="P475" t="inlineStr">
        <is>
          <t>Marzo 2026 PERU.xlsx</t>
        </is>
      </c>
      <c r="Q475" t="inlineStr">
        <is>
          <t>Fila 65</t>
        </is>
      </c>
      <c r="R475" t="inlineStr">
        <is>
          <t>Alta</t>
        </is>
      </c>
      <c r="S475" t="inlineStr">
        <is>
          <t>NO</t>
        </is>
      </c>
      <c r="T475" t="inlineStr">
        <is>
          <t>Viajes y alimentación comercial</t>
        </is>
      </c>
    </row>
    <row r="476">
      <c r="A476" t="inlineStr">
        <is>
          <t>2026-03</t>
        </is>
      </c>
      <c r="B476" t="inlineStr">
        <is>
          <t>Peru</t>
        </is>
      </c>
      <c r="C476" t="inlineStr">
        <is>
          <t>PERU</t>
        </is>
      </c>
      <c r="D476" t="inlineStr">
        <is>
          <t>PEN</t>
        </is>
      </c>
      <c r="E476" t="inlineStr">
        <is>
          <t>PL-S-040</t>
        </is>
      </c>
      <c r="F476" t="inlineStr">
        <is>
          <t>Gastos de ventas</t>
        </is>
      </c>
      <c r="G476" t="inlineStr">
        <is>
          <t>Viajes comerciales</t>
        </is>
      </c>
      <c r="H476" t="inlineStr">
        <is>
          <t>Alojamiento y manutención</t>
        </is>
      </c>
      <c r="I476" t="inlineStr">
        <is>
          <t>SERVICIO DE RESTAURANTE</t>
        </is>
      </c>
      <c r="J476" s="41" t="n">
        <v>0</v>
      </c>
      <c r="K476" s="41" t="n">
        <v>226.33</v>
      </c>
      <c r="L476" s="41" t="n">
        <v>0</v>
      </c>
      <c r="M476" s="41" t="n">
        <v>226.33</v>
      </c>
      <c r="N476" s="41" t="n">
        <v>226.33</v>
      </c>
      <c r="O476" s="41" t="n">
        <v>226.33</v>
      </c>
      <c r="P476" t="inlineStr">
        <is>
          <t>Marzo 2026 PERU.xlsx</t>
        </is>
      </c>
      <c r="Q476" t="inlineStr">
        <is>
          <t>Fila 66</t>
        </is>
      </c>
      <c r="R476" t="inlineStr">
        <is>
          <t>Alta</t>
        </is>
      </c>
      <c r="S476" t="inlineStr">
        <is>
          <t>NO</t>
        </is>
      </c>
      <c r="T476" t="inlineStr">
        <is>
          <t>Viajes y alimentación comercial</t>
        </is>
      </c>
    </row>
    <row r="477">
      <c r="A477" t="inlineStr">
        <is>
          <t>2026-03</t>
        </is>
      </c>
      <c r="B477" t="inlineStr">
        <is>
          <t>Peru</t>
        </is>
      </c>
      <c r="C477" t="inlineStr">
        <is>
          <t>PERU</t>
        </is>
      </c>
      <c r="D477" t="inlineStr">
        <is>
          <t>PEN</t>
        </is>
      </c>
      <c r="E477" t="inlineStr">
        <is>
          <t>PL-S-040</t>
        </is>
      </c>
      <c r="F477" t="inlineStr">
        <is>
          <t>Gastos de ventas</t>
        </is>
      </c>
      <c r="G477" t="inlineStr">
        <is>
          <t>Viajes comerciales</t>
        </is>
      </c>
      <c r="H477" t="inlineStr">
        <is>
          <t>Alojamiento y manutención</t>
        </is>
      </c>
      <c r="I477" t="inlineStr">
        <is>
          <t>SERVICIO DE RESTAURANTE</t>
        </is>
      </c>
      <c r="J477" s="41" t="n">
        <v>280</v>
      </c>
      <c r="K477" s="41" t="n">
        <v>106.7</v>
      </c>
      <c r="L477" s="41" t="n">
        <v>0</v>
      </c>
      <c r="M477" s="41" t="n">
        <v>386.7</v>
      </c>
      <c r="N477" s="41" t="n">
        <v>386.7</v>
      </c>
      <c r="O477" s="41" t="n">
        <v>106.7</v>
      </c>
      <c r="P477" t="inlineStr">
        <is>
          <t>Marzo 2026 PERU.xlsx</t>
        </is>
      </c>
      <c r="Q477" t="inlineStr">
        <is>
          <t>Fila 67</t>
        </is>
      </c>
      <c r="R477" t="inlineStr">
        <is>
          <t>Alta</t>
        </is>
      </c>
      <c r="S477" t="inlineStr">
        <is>
          <t>NO</t>
        </is>
      </c>
      <c r="T477" t="inlineStr">
        <is>
          <t>Viajes y alimentación comercial</t>
        </is>
      </c>
    </row>
    <row r="478">
      <c r="A478" t="inlineStr">
        <is>
          <t>2026-03</t>
        </is>
      </c>
      <c r="B478" t="inlineStr">
        <is>
          <t>Peru</t>
        </is>
      </c>
      <c r="C478" t="inlineStr">
        <is>
          <t>PERU</t>
        </is>
      </c>
      <c r="D478" t="inlineStr">
        <is>
          <t>PEN</t>
        </is>
      </c>
      <c r="E478" t="inlineStr">
        <is>
          <t>PL-S-040</t>
        </is>
      </c>
      <c r="F478" t="inlineStr">
        <is>
          <t>Gastos de ventas</t>
        </is>
      </c>
      <c r="G478" t="inlineStr">
        <is>
          <t>Viajes comerciales</t>
        </is>
      </c>
      <c r="H478" t="inlineStr">
        <is>
          <t>Alojamiento y manutención</t>
        </is>
      </c>
      <c r="I478" t="inlineStr">
        <is>
          <t>SERVICIO DE RESTAURANTE</t>
        </is>
      </c>
      <c r="J478" s="41" t="n">
        <v>0</v>
      </c>
      <c r="K478" s="41" t="n">
        <v>150.72</v>
      </c>
      <c r="L478" s="41" t="n">
        <v>0</v>
      </c>
      <c r="M478" s="41" t="n">
        <v>150.72</v>
      </c>
      <c r="N478" s="41" t="n">
        <v>150.72</v>
      </c>
      <c r="O478" s="41" t="n">
        <v>150.72</v>
      </c>
      <c r="P478" t="inlineStr">
        <is>
          <t>Marzo 2026 PERU.xlsx</t>
        </is>
      </c>
      <c r="Q478" t="inlineStr">
        <is>
          <t>Fila 68</t>
        </is>
      </c>
      <c r="R478" t="inlineStr">
        <is>
          <t>Alta</t>
        </is>
      </c>
      <c r="S478" t="inlineStr">
        <is>
          <t>NO</t>
        </is>
      </c>
      <c r="T478" t="inlineStr">
        <is>
          <t>Viajes y alimentación comercial</t>
        </is>
      </c>
    </row>
    <row r="479">
      <c r="A479" t="inlineStr">
        <is>
          <t>2026-03</t>
        </is>
      </c>
      <c r="B479" t="inlineStr">
        <is>
          <t>Peru</t>
        </is>
      </c>
      <c r="C479" t="inlineStr">
        <is>
          <t>PERU</t>
        </is>
      </c>
      <c r="D479" t="inlineStr">
        <is>
          <t>PEN</t>
        </is>
      </c>
      <c r="E479" t="inlineStr">
        <is>
          <t>PL-S-040</t>
        </is>
      </c>
      <c r="F479" t="inlineStr">
        <is>
          <t>Gastos de ventas</t>
        </is>
      </c>
      <c r="G479" t="inlineStr">
        <is>
          <t>Viajes comerciales</t>
        </is>
      </c>
      <c r="H479" t="inlineStr">
        <is>
          <t>Alojamiento y manutención</t>
        </is>
      </c>
      <c r="I479" t="inlineStr">
        <is>
          <t>SERVICIO DE RESTAURANTE</t>
        </is>
      </c>
      <c r="J479" s="41" t="n">
        <v>24</v>
      </c>
      <c r="K479" s="41" t="n">
        <v>0</v>
      </c>
      <c r="L479" s="41" t="n">
        <v>0</v>
      </c>
      <c r="M479" s="41" t="n">
        <v>24</v>
      </c>
      <c r="N479" s="41" t="n">
        <v>24</v>
      </c>
      <c r="O479" s="41" t="n">
        <v>0</v>
      </c>
      <c r="P479" t="inlineStr">
        <is>
          <t>Marzo 2026 PERU.xlsx</t>
        </is>
      </c>
      <c r="Q479" t="inlineStr">
        <is>
          <t>Fila 69</t>
        </is>
      </c>
      <c r="R479" t="inlineStr">
        <is>
          <t>Alta</t>
        </is>
      </c>
      <c r="S479" t="inlineStr">
        <is>
          <t>NO</t>
        </is>
      </c>
      <c r="T479" t="inlineStr">
        <is>
          <t>Viajes y alimentación comercial</t>
        </is>
      </c>
    </row>
    <row r="480">
      <c r="A480" t="inlineStr">
        <is>
          <t>2026-03</t>
        </is>
      </c>
      <c r="B480" t="inlineStr">
        <is>
          <t>Peru</t>
        </is>
      </c>
      <c r="C480" t="inlineStr">
        <is>
          <t>PERU</t>
        </is>
      </c>
      <c r="D480" t="inlineStr">
        <is>
          <t>PEN</t>
        </is>
      </c>
      <c r="E480" t="inlineStr">
        <is>
          <t>PL-S-040</t>
        </is>
      </c>
      <c r="F480" t="inlineStr">
        <is>
          <t>Gastos de ventas</t>
        </is>
      </c>
      <c r="G480" t="inlineStr">
        <is>
          <t>Viajes comerciales</t>
        </is>
      </c>
      <c r="H480" t="inlineStr">
        <is>
          <t>Alojamiento y manutención</t>
        </is>
      </c>
      <c r="I480" t="inlineStr">
        <is>
          <t>SERVICIO DE RESTAURANTE</t>
        </is>
      </c>
      <c r="J480" s="41" t="n">
        <v>24</v>
      </c>
      <c r="K480" s="41" t="n">
        <v>0</v>
      </c>
      <c r="L480" s="41" t="n">
        <v>0</v>
      </c>
      <c r="M480" s="41" t="n">
        <v>24</v>
      </c>
      <c r="N480" s="41" t="n">
        <v>24</v>
      </c>
      <c r="O480" s="41" t="n">
        <v>0</v>
      </c>
      <c r="P480" t="inlineStr">
        <is>
          <t>Marzo 2026 PERU.xlsx</t>
        </is>
      </c>
      <c r="Q480" t="inlineStr">
        <is>
          <t>Fila 70</t>
        </is>
      </c>
      <c r="R480" t="inlineStr">
        <is>
          <t>Alta</t>
        </is>
      </c>
      <c r="S480" t="inlineStr">
        <is>
          <t>NO</t>
        </is>
      </c>
      <c r="T480" t="inlineStr">
        <is>
          <t>Viajes y alimentación comercial</t>
        </is>
      </c>
    </row>
    <row r="481">
      <c r="A481" t="inlineStr">
        <is>
          <t>2026-03</t>
        </is>
      </c>
      <c r="B481" t="inlineStr">
        <is>
          <t>Peru</t>
        </is>
      </c>
      <c r="C481" t="inlineStr">
        <is>
          <t>PERU</t>
        </is>
      </c>
      <c r="D481" t="inlineStr">
        <is>
          <t>PEN</t>
        </is>
      </c>
      <c r="E481" t="inlineStr">
        <is>
          <t>PL-S-050</t>
        </is>
      </c>
      <c r="F481" t="inlineStr">
        <is>
          <t>Gastos de ventas</t>
        </is>
      </c>
      <c r="G481" t="inlineStr">
        <is>
          <t>Transporte comercial</t>
        </is>
      </c>
      <c r="H481" t="inlineStr">
        <is>
          <t>Taxis y buses</t>
        </is>
      </c>
      <c r="I481" t="inlineStr">
        <is>
          <t>TAXIS Y BUSES</t>
        </is>
      </c>
      <c r="J481" s="41" t="n">
        <v>0</v>
      </c>
      <c r="K481" s="41" t="n">
        <v>78</v>
      </c>
      <c r="L481" s="41" t="n">
        <v>0</v>
      </c>
      <c r="M481" s="41" t="n">
        <v>78</v>
      </c>
      <c r="N481" s="41" t="n">
        <v>78</v>
      </c>
      <c r="O481" s="41" t="n">
        <v>78</v>
      </c>
      <c r="P481" t="inlineStr">
        <is>
          <t>Marzo 2026 PERU.xlsx</t>
        </is>
      </c>
      <c r="Q481" t="inlineStr">
        <is>
          <t>Fila 73</t>
        </is>
      </c>
      <c r="R481" t="inlineStr">
        <is>
          <t>Alta</t>
        </is>
      </c>
      <c r="S481" t="inlineStr">
        <is>
          <t>NO</t>
        </is>
      </c>
      <c r="T481" t="inlineStr">
        <is>
          <t>Transporte local comercial</t>
        </is>
      </c>
    </row>
    <row r="482">
      <c r="A482" t="inlineStr">
        <is>
          <t>2026-03</t>
        </is>
      </c>
      <c r="B482" t="inlineStr">
        <is>
          <t>Peru</t>
        </is>
      </c>
      <c r="C482" t="inlineStr">
        <is>
          <t>PERU</t>
        </is>
      </c>
      <c r="D482" t="inlineStr">
        <is>
          <t>PEN</t>
        </is>
      </c>
      <c r="E482" t="inlineStr">
        <is>
          <t>PL-S-060</t>
        </is>
      </c>
      <c r="F482" t="inlineStr">
        <is>
          <t>Gastos de ventas</t>
        </is>
      </c>
      <c r="G482" t="inlineStr">
        <is>
          <t>Otros gastos comerciales</t>
        </is>
      </c>
      <c r="H482" t="inlineStr">
        <is>
          <t>Otros</t>
        </is>
      </c>
      <c r="I482" t="inlineStr">
        <is>
          <t>MEDICAMENTOS</t>
        </is>
      </c>
      <c r="J482" s="41" t="n">
        <v>1.9</v>
      </c>
      <c r="K482" s="41" t="n">
        <v>0</v>
      </c>
      <c r="L482" s="41" t="n">
        <v>0</v>
      </c>
      <c r="M482" s="41" t="n">
        <v>1.9</v>
      </c>
      <c r="N482" s="41" t="n">
        <v>1.9</v>
      </c>
      <c r="O482" s="41" t="n">
        <v>0</v>
      </c>
      <c r="P482" t="inlineStr">
        <is>
          <t>Marzo 2026 PERU.xlsx</t>
        </is>
      </c>
      <c r="Q482" t="inlineStr">
        <is>
          <t>Fila 75</t>
        </is>
      </c>
      <c r="R482" t="inlineStr">
        <is>
          <t>Media</t>
        </is>
      </c>
      <c r="S482" t="inlineStr">
        <is>
          <t>SI</t>
        </is>
      </c>
      <c r="T482" t="inlineStr">
        <is>
          <t>Cuenta genérica de ventas</t>
        </is>
      </c>
    </row>
    <row r="483">
      <c r="A483" t="inlineStr">
        <is>
          <t>2026-03</t>
        </is>
      </c>
      <c r="B483" t="inlineStr">
        <is>
          <t>Peru</t>
        </is>
      </c>
      <c r="C483" t="inlineStr">
        <is>
          <t>PERU</t>
        </is>
      </c>
      <c r="D483" t="inlineStr">
        <is>
          <t>PEN</t>
        </is>
      </c>
      <c r="E483" t="inlineStr">
        <is>
          <t>PL-F-010</t>
        </is>
      </c>
      <c r="F483" t="inlineStr">
        <is>
          <t>Gastos financieros</t>
        </is>
      </c>
      <c r="G483" t="inlineStr">
        <is>
          <t>Gastos financieros</t>
        </is>
      </c>
      <c r="H483" t="inlineStr">
        <is>
          <t>Gastos bancarios</t>
        </is>
      </c>
      <c r="I483" t="inlineStr">
        <is>
          <t>GASTOS BANCARIOS</t>
        </is>
      </c>
      <c r="J483" s="41" t="n">
        <v>33.06</v>
      </c>
      <c r="K483" s="41" t="n">
        <v>11</v>
      </c>
      <c r="L483" s="41" t="n">
        <v>0</v>
      </c>
      <c r="M483" s="41" t="n">
        <v>44.06</v>
      </c>
      <c r="N483" s="41" t="n">
        <v>44.06</v>
      </c>
      <c r="O483" s="41" t="n">
        <v>11</v>
      </c>
      <c r="P483" t="inlineStr">
        <is>
          <t>Marzo 2026 PERU.xlsx</t>
        </is>
      </c>
      <c r="Q483" t="inlineStr">
        <is>
          <t>Fila 78</t>
        </is>
      </c>
      <c r="R483" t="inlineStr">
        <is>
          <t>Alta</t>
        </is>
      </c>
      <c r="S483" t="inlineStr">
        <is>
          <t>NO</t>
        </is>
      </c>
      <c r="T483" t="inlineStr">
        <is>
          <t>Costo financiero bancario</t>
        </is>
      </c>
    </row>
    <row r="484">
      <c r="A484" t="inlineStr">
        <is>
          <t>2026-03</t>
        </is>
      </c>
      <c r="B484" t="inlineStr">
        <is>
          <t>Peru</t>
        </is>
      </c>
      <c r="C484" t="inlineStr">
        <is>
          <t>PERU</t>
        </is>
      </c>
      <c r="D484" t="inlineStr">
        <is>
          <t>PEN</t>
        </is>
      </c>
      <c r="E484" t="inlineStr">
        <is>
          <t>PL-F-010</t>
        </is>
      </c>
      <c r="F484" t="inlineStr">
        <is>
          <t>Gastos financieros</t>
        </is>
      </c>
      <c r="G484" t="inlineStr">
        <is>
          <t>Gastos financieros</t>
        </is>
      </c>
      <c r="H484" t="inlineStr">
        <is>
          <t>Gastos bancarios</t>
        </is>
      </c>
      <c r="I484" t="inlineStr">
        <is>
          <t>IVA</t>
        </is>
      </c>
      <c r="J484" s="41" t="n">
        <v>5.2</v>
      </c>
      <c r="K484" s="41" t="n">
        <v>0.35</v>
      </c>
      <c r="L484" s="41" t="n">
        <v>0</v>
      </c>
      <c r="M484" s="41" t="n">
        <v>5.55</v>
      </c>
      <c r="N484" s="41" t="n">
        <v>5.55</v>
      </c>
      <c r="O484" s="41" t="n">
        <v>0.35</v>
      </c>
      <c r="P484" t="inlineStr">
        <is>
          <t>Marzo 2026 PERU.xlsx</t>
        </is>
      </c>
      <c r="Q484" t="inlineStr">
        <is>
          <t>Fila 79</t>
        </is>
      </c>
      <c r="R484" t="inlineStr">
        <is>
          <t>Alta</t>
        </is>
      </c>
      <c r="S484" t="inlineStr">
        <is>
          <t>NO</t>
        </is>
      </c>
      <c r="T484" t="inlineStr">
        <is>
          <t>Costo financiero bancario</t>
        </is>
      </c>
    </row>
    <row r="485">
      <c r="A485" t="inlineStr">
        <is>
          <t>2026-03</t>
        </is>
      </c>
      <c r="B485" t="inlineStr">
        <is>
          <t>Peru</t>
        </is>
      </c>
      <c r="C485" t="inlineStr">
        <is>
          <t>PERU</t>
        </is>
      </c>
      <c r="D485" t="inlineStr">
        <is>
          <t>PEN</t>
        </is>
      </c>
      <c r="E485" t="inlineStr">
        <is>
          <t>PL-F-010</t>
        </is>
      </c>
      <c r="F485" t="inlineStr">
        <is>
          <t>Gastos financieros</t>
        </is>
      </c>
      <c r="G485" t="inlineStr">
        <is>
          <t>Gastos financieros</t>
        </is>
      </c>
      <c r="H485" t="inlineStr">
        <is>
          <t>Gastos bancarios</t>
        </is>
      </c>
      <c r="I485" t="inlineStr">
        <is>
          <t>CUOTA MANEJO</t>
        </is>
      </c>
      <c r="J485" s="41" t="n">
        <v>240</v>
      </c>
      <c r="K485" s="41" t="n">
        <v>80</v>
      </c>
      <c r="L485" s="41" t="n">
        <v>0</v>
      </c>
      <c r="M485" s="41" t="n">
        <v>320</v>
      </c>
      <c r="N485" s="41" t="n">
        <v>320</v>
      </c>
      <c r="O485" s="41" t="n">
        <v>80</v>
      </c>
      <c r="P485" t="inlineStr">
        <is>
          <t>Marzo 2026 PERU.xlsx</t>
        </is>
      </c>
      <c r="Q485" t="inlineStr">
        <is>
          <t>Fila 80</t>
        </is>
      </c>
      <c r="R485" t="inlineStr">
        <is>
          <t>Alta</t>
        </is>
      </c>
      <c r="S485" t="inlineStr">
        <is>
          <t>NO</t>
        </is>
      </c>
      <c r="T485" t="inlineStr">
        <is>
          <t>Costo financiero bancario</t>
        </is>
      </c>
    </row>
    <row r="486">
      <c r="A486" t="inlineStr">
        <is>
          <t>2026-03</t>
        </is>
      </c>
      <c r="B486" t="inlineStr">
        <is>
          <t>Estados Unidos</t>
        </is>
      </c>
      <c r="C486" t="inlineStr">
        <is>
          <t>USA</t>
        </is>
      </c>
      <c r="D486" t="inlineStr">
        <is>
          <t>USD</t>
        </is>
      </c>
      <c r="E486" t="inlineStr">
        <is>
          <t>PL-R-010</t>
        </is>
      </c>
      <c r="F486" t="inlineStr">
        <is>
          <t>Ingresos operacionales</t>
        </is>
      </c>
      <c r="G486" t="inlineStr">
        <is>
          <t>Ingresos por servicios</t>
        </is>
      </c>
      <c r="H486" t="inlineStr">
        <is>
          <t>Software y agendamiento</t>
        </is>
      </c>
      <c r="I486" t="inlineStr">
        <is>
          <t>PRESTADORA DE SERVICIOS DE SALUD PREVENTIS SA</t>
        </is>
      </c>
      <c r="J486" s="41" t="n">
        <v>-6730.35</v>
      </c>
      <c r="K486" s="41" t="n">
        <v>0</v>
      </c>
      <c r="L486" s="41" t="n">
        <v>3622</v>
      </c>
      <c r="M486" s="41" t="n">
        <v>-10352.35</v>
      </c>
      <c r="N486" s="41" t="n">
        <v>10352.35</v>
      </c>
      <c r="O486" s="41" t="n">
        <v>3622</v>
      </c>
      <c r="P486" t="inlineStr">
        <is>
          <t>Marzo 2026 USA.xlsx</t>
        </is>
      </c>
      <c r="Q486" t="inlineStr">
        <is>
          <t>Fila 61</t>
        </is>
      </c>
      <c r="R486" t="inlineStr">
        <is>
          <t>Alta</t>
        </is>
      </c>
      <c r="S486" t="inlineStr">
        <is>
          <t>NO</t>
        </is>
      </c>
      <c r="T486" t="inlineStr">
        <is>
          <t>Ingreso operacional principal</t>
        </is>
      </c>
    </row>
    <row r="487">
      <c r="A487" t="inlineStr">
        <is>
          <t>2026-03</t>
        </is>
      </c>
      <c r="B487" t="inlineStr">
        <is>
          <t>Estados Unidos</t>
        </is>
      </c>
      <c r="C487" t="inlineStr">
        <is>
          <t>USA</t>
        </is>
      </c>
      <c r="D487" t="inlineStr">
        <is>
          <t>USD</t>
        </is>
      </c>
      <c r="E487" t="inlineStr">
        <is>
          <t>PL-R-010</t>
        </is>
      </c>
      <c r="F487" t="inlineStr">
        <is>
          <t>Ingresos operacionales</t>
        </is>
      </c>
      <c r="G487" t="inlineStr">
        <is>
          <t>Ingresos por servicios</t>
        </is>
      </c>
      <c r="H487" t="inlineStr">
        <is>
          <t>Software y agendamiento</t>
        </is>
      </c>
      <c r="I487" t="inlineStr">
        <is>
          <t>SERVICIOS HOSPITALARIOS BRISAS SA</t>
        </is>
      </c>
      <c r="J487" s="41" t="n">
        <v>-300</v>
      </c>
      <c r="K487" s="41" t="n">
        <v>0</v>
      </c>
      <c r="L487" s="41" t="n">
        <v>300</v>
      </c>
      <c r="M487" s="41" t="n">
        <v>-600</v>
      </c>
      <c r="N487" s="41" t="n">
        <v>600</v>
      </c>
      <c r="O487" s="41" t="n">
        <v>300</v>
      </c>
      <c r="P487" t="inlineStr">
        <is>
          <t>Marzo 2026 USA.xlsx</t>
        </is>
      </c>
      <c r="Q487" t="inlineStr">
        <is>
          <t>Fila 62</t>
        </is>
      </c>
      <c r="R487" t="inlineStr">
        <is>
          <t>Alta</t>
        </is>
      </c>
      <c r="S487" t="inlineStr">
        <is>
          <t>NO</t>
        </is>
      </c>
      <c r="T487" t="inlineStr">
        <is>
          <t>Ingreso operacional principal</t>
        </is>
      </c>
    </row>
    <row r="488">
      <c r="A488" t="inlineStr">
        <is>
          <t>2026-03</t>
        </is>
      </c>
      <c r="B488" t="inlineStr">
        <is>
          <t>Estados Unidos</t>
        </is>
      </c>
      <c r="C488" t="inlineStr">
        <is>
          <t>USA</t>
        </is>
      </c>
      <c r="D488" t="inlineStr">
        <is>
          <t>USD</t>
        </is>
      </c>
      <c r="E488" t="inlineStr">
        <is>
          <t>PL-R-010</t>
        </is>
      </c>
      <c r="F488" t="inlineStr">
        <is>
          <t>Ingresos operacionales</t>
        </is>
      </c>
      <c r="G488" t="inlineStr">
        <is>
          <t>Ingresos por servicios</t>
        </is>
      </c>
      <c r="H488" t="inlineStr">
        <is>
          <t>Software y agendamiento</t>
        </is>
      </c>
      <c r="I488" t="inlineStr">
        <is>
          <t>ACOSTA BORBON ALEJANDRO</t>
        </is>
      </c>
      <c r="J488" s="41" t="n">
        <v>-217</v>
      </c>
      <c r="K488" s="41" t="n">
        <v>0</v>
      </c>
      <c r="L488" s="41" t="n">
        <v>0</v>
      </c>
      <c r="M488" s="41" t="n">
        <v>-217</v>
      </c>
      <c r="N488" s="41" t="n">
        <v>217</v>
      </c>
      <c r="O488" s="41" t="n">
        <v>0</v>
      </c>
      <c r="P488" t="inlineStr">
        <is>
          <t>Marzo 2026 USA.xlsx</t>
        </is>
      </c>
      <c r="Q488" t="inlineStr">
        <is>
          <t>Fila 63</t>
        </is>
      </c>
      <c r="R488" t="inlineStr">
        <is>
          <t>Alta</t>
        </is>
      </c>
      <c r="S488" t="inlineStr">
        <is>
          <t>NO</t>
        </is>
      </c>
      <c r="T488" t="inlineStr">
        <is>
          <t>Ingreso operacional principal</t>
        </is>
      </c>
    </row>
    <row r="489">
      <c r="A489" t="inlineStr">
        <is>
          <t>2026-03</t>
        </is>
      </c>
      <c r="B489" t="inlineStr">
        <is>
          <t>Estados Unidos</t>
        </is>
      </c>
      <c r="C489" t="inlineStr">
        <is>
          <t>USA</t>
        </is>
      </c>
      <c r="D489" t="inlineStr">
        <is>
          <t>USD</t>
        </is>
      </c>
      <c r="E489" t="inlineStr">
        <is>
          <t>PL-R-010</t>
        </is>
      </c>
      <c r="F489" t="inlineStr">
        <is>
          <t>Ingresos operacionales</t>
        </is>
      </c>
      <c r="G489" t="inlineStr">
        <is>
          <t>Ingresos por servicios</t>
        </is>
      </c>
      <c r="H489" t="inlineStr">
        <is>
          <t>Software y agendamiento</t>
        </is>
      </c>
      <c r="I489" t="inlineStr">
        <is>
          <t>Emmely Esther Coronado Peguero</t>
        </is>
      </c>
      <c r="J489" s="41" t="n">
        <v>-192.9</v>
      </c>
      <c r="K489" s="41" t="n">
        <v>0</v>
      </c>
      <c r="L489" s="41" t="n">
        <v>96.45</v>
      </c>
      <c r="M489" s="41" t="n">
        <v>-289.35</v>
      </c>
      <c r="N489" s="41" t="n">
        <v>289.35</v>
      </c>
      <c r="O489" s="41" t="n">
        <v>96.45</v>
      </c>
      <c r="P489" t="inlineStr">
        <is>
          <t>Marzo 2026 USA.xlsx</t>
        </is>
      </c>
      <c r="Q489" t="inlineStr">
        <is>
          <t>Fila 64</t>
        </is>
      </c>
      <c r="R489" t="inlineStr">
        <is>
          <t>Alta</t>
        </is>
      </c>
      <c r="S489" t="inlineStr">
        <is>
          <t>NO</t>
        </is>
      </c>
      <c r="T489" t="inlineStr">
        <is>
          <t>Ingreso operacional principal</t>
        </is>
      </c>
    </row>
    <row r="490">
      <c r="A490" t="inlineStr">
        <is>
          <t>2026-03</t>
        </is>
      </c>
      <c r="B490" t="inlineStr">
        <is>
          <t>Estados Unidos</t>
        </is>
      </c>
      <c r="C490" t="inlineStr">
        <is>
          <t>USA</t>
        </is>
      </c>
      <c r="D490" t="inlineStr">
        <is>
          <t>USD</t>
        </is>
      </c>
      <c r="E490" t="inlineStr">
        <is>
          <t>PL-R-010</t>
        </is>
      </c>
      <c r="F490" t="inlineStr">
        <is>
          <t>Ingresos operacionales</t>
        </is>
      </c>
      <c r="G490" t="inlineStr">
        <is>
          <t>Ingresos por servicios</t>
        </is>
      </c>
      <c r="H490" t="inlineStr">
        <is>
          <t>Software y agendamiento</t>
        </is>
      </c>
      <c r="I490" t="inlineStr">
        <is>
          <t>Fundacion para la Confianza</t>
        </is>
      </c>
      <c r="J490" s="41" t="n">
        <v>-110</v>
      </c>
      <c r="K490" s="41" t="n">
        <v>0</v>
      </c>
      <c r="L490" s="41" t="n">
        <v>55</v>
      </c>
      <c r="M490" s="41" t="n">
        <v>-165</v>
      </c>
      <c r="N490" s="41" t="n">
        <v>165</v>
      </c>
      <c r="O490" s="41" t="n">
        <v>55</v>
      </c>
      <c r="P490" t="inlineStr">
        <is>
          <t>Marzo 2026 USA.xlsx</t>
        </is>
      </c>
      <c r="Q490" t="inlineStr">
        <is>
          <t>Fila 65</t>
        </is>
      </c>
      <c r="R490" t="inlineStr">
        <is>
          <t>Alta</t>
        </is>
      </c>
      <c r="S490" t="inlineStr">
        <is>
          <t>NO</t>
        </is>
      </c>
      <c r="T490" t="inlineStr">
        <is>
          <t>Ingreso operacional principal</t>
        </is>
      </c>
    </row>
    <row r="491">
      <c r="A491" t="inlineStr">
        <is>
          <t>2026-03</t>
        </is>
      </c>
      <c r="B491" t="inlineStr">
        <is>
          <t>Estados Unidos</t>
        </is>
      </c>
      <c r="C491" t="inlineStr">
        <is>
          <t>USA</t>
        </is>
      </c>
      <c r="D491" t="inlineStr">
        <is>
          <t>USD</t>
        </is>
      </c>
      <c r="E491" t="inlineStr">
        <is>
          <t>PL-NO-010</t>
        </is>
      </c>
      <c r="F491" t="inlineStr">
        <is>
          <t>Ingresos no operacionales</t>
        </is>
      </c>
      <c r="G491" t="inlineStr">
        <is>
          <t>Ingresos financieros</t>
        </is>
      </c>
      <c r="H491" t="inlineStr">
        <is>
          <t>Intereses</t>
        </is>
      </c>
      <c r="I491" t="inlineStr">
        <is>
          <t>PRESTADORA DE SERVICIOS DE SALUD PREVENTIS SA</t>
        </is>
      </c>
      <c r="J491" s="41" t="n">
        <v>-0.35</v>
      </c>
      <c r="K491" s="41" t="n">
        <v>0</v>
      </c>
      <c r="L491" s="41" t="n">
        <v>0</v>
      </c>
      <c r="M491" s="41" t="n">
        <v>-0.35</v>
      </c>
      <c r="N491" s="41" t="n">
        <v>0.35</v>
      </c>
      <c r="O491" s="41" t="n">
        <v>0</v>
      </c>
      <c r="P491" t="inlineStr">
        <is>
          <t>Marzo 2026 USA.xlsx</t>
        </is>
      </c>
      <c r="Q491" t="inlineStr">
        <is>
          <t>Fila 69</t>
        </is>
      </c>
      <c r="R491" t="inlineStr">
        <is>
          <t>Alta</t>
        </is>
      </c>
      <c r="S491" t="inlineStr">
        <is>
          <t>NO</t>
        </is>
      </c>
      <c r="T491" t="inlineStr">
        <is>
          <t>Ingreso financiero</t>
        </is>
      </c>
    </row>
    <row r="492">
      <c r="A492" t="inlineStr">
        <is>
          <t>2026-03</t>
        </is>
      </c>
      <c r="B492" t="inlineStr">
        <is>
          <t>Estados Unidos</t>
        </is>
      </c>
      <c r="C492" t="inlineStr">
        <is>
          <t>USA</t>
        </is>
      </c>
      <c r="D492" t="inlineStr">
        <is>
          <t>USD</t>
        </is>
      </c>
      <c r="E492" t="inlineStr">
        <is>
          <t>PL-NO-010</t>
        </is>
      </c>
      <c r="F492" t="inlineStr">
        <is>
          <t>Ingresos no operacionales</t>
        </is>
      </c>
      <c r="G492" t="inlineStr">
        <is>
          <t>Ingresos financieros</t>
        </is>
      </c>
      <c r="H492" t="inlineStr">
        <is>
          <t>Intereses</t>
        </is>
      </c>
      <c r="I492" t="inlineStr">
        <is>
          <t>SERVICIOS HOSPITALARIOS BRISAS SA</t>
        </is>
      </c>
      <c r="J492" s="41" t="n">
        <v>-83</v>
      </c>
      <c r="K492" s="41" t="n">
        <v>0</v>
      </c>
      <c r="L492" s="41" t="n">
        <v>0</v>
      </c>
      <c r="M492" s="41" t="n">
        <v>-83</v>
      </c>
      <c r="N492" s="41" t="n">
        <v>83</v>
      </c>
      <c r="O492" s="41" t="n">
        <v>0</v>
      </c>
      <c r="P492" t="inlineStr">
        <is>
          <t>Marzo 2026 USA.xlsx</t>
        </is>
      </c>
      <c r="Q492" t="inlineStr">
        <is>
          <t>Fila 70</t>
        </is>
      </c>
      <c r="R492" t="inlineStr">
        <is>
          <t>Alta</t>
        </is>
      </c>
      <c r="S492" t="inlineStr">
        <is>
          <t>NO</t>
        </is>
      </c>
      <c r="T492" t="inlineStr">
        <is>
          <t>Ingreso financiero</t>
        </is>
      </c>
    </row>
    <row r="493">
      <c r="A493" t="inlineStr">
        <is>
          <t>2026-03</t>
        </is>
      </c>
      <c r="B493" t="inlineStr">
        <is>
          <t>Estados Unidos</t>
        </is>
      </c>
      <c r="C493" t="inlineStr">
        <is>
          <t>USA</t>
        </is>
      </c>
      <c r="D493" t="inlineStr">
        <is>
          <t>USD</t>
        </is>
      </c>
      <c r="E493" t="inlineStr">
        <is>
          <t>PL-NO-010</t>
        </is>
      </c>
      <c r="F493" t="inlineStr">
        <is>
          <t>Ingresos no operacionales</t>
        </is>
      </c>
      <c r="G493" t="inlineStr">
        <is>
          <t>Ingresos financieros</t>
        </is>
      </c>
      <c r="H493" t="inlineStr">
        <is>
          <t>Intereses</t>
        </is>
      </c>
      <c r="I493" t="inlineStr">
        <is>
          <t>MERCURY LLC</t>
        </is>
      </c>
      <c r="J493" s="41" t="n">
        <v>-54.63</v>
      </c>
      <c r="K493" s="41" t="n">
        <v>0</v>
      </c>
      <c r="L493" s="41" t="n">
        <v>22.96</v>
      </c>
      <c r="M493" s="41" t="n">
        <v>-77.59</v>
      </c>
      <c r="N493" s="41" t="n">
        <v>77.59</v>
      </c>
      <c r="O493" s="41" t="n">
        <v>22.96</v>
      </c>
      <c r="P493" t="inlineStr">
        <is>
          <t>Marzo 2026 USA.xlsx</t>
        </is>
      </c>
      <c r="Q493" t="inlineStr">
        <is>
          <t>Fila 71</t>
        </is>
      </c>
      <c r="R493" t="inlineStr">
        <is>
          <t>Alta</t>
        </is>
      </c>
      <c r="S493" t="inlineStr">
        <is>
          <t>NO</t>
        </is>
      </c>
      <c r="T493" t="inlineStr">
        <is>
          <t>Ingreso financiero</t>
        </is>
      </c>
    </row>
    <row r="494">
      <c r="A494" t="inlineStr">
        <is>
          <t>2026-03</t>
        </is>
      </c>
      <c r="B494" t="inlineStr">
        <is>
          <t>Estados Unidos</t>
        </is>
      </c>
      <c r="C494" t="inlineStr">
        <is>
          <t>USA</t>
        </is>
      </c>
      <c r="D494" t="inlineStr">
        <is>
          <t>USD</t>
        </is>
      </c>
      <c r="E494" t="inlineStr">
        <is>
          <t>PL-O-010</t>
        </is>
      </c>
      <c r="F494" t="inlineStr">
        <is>
          <t>Gastos de administración</t>
        </is>
      </c>
      <c r="G494" t="inlineStr">
        <is>
          <t>Gastos de personal</t>
        </is>
      </c>
      <c r="H494" t="inlineStr">
        <is>
          <t>Sueldos</t>
        </is>
      </c>
      <c r="I494" t="inlineStr">
        <is>
          <t>Parada Zuluaga Robert Andres</t>
        </is>
      </c>
      <c r="J494" s="41" t="n">
        <v>5184.34</v>
      </c>
      <c r="K494" s="41" t="n">
        <v>2592.17</v>
      </c>
      <c r="L494" s="41" t="n">
        <v>0</v>
      </c>
      <c r="M494" s="41" t="n">
        <v>7776.51</v>
      </c>
      <c r="N494" s="41" t="n">
        <v>7776.51</v>
      </c>
      <c r="O494" s="41" t="n">
        <v>2592.17</v>
      </c>
      <c r="P494" t="inlineStr">
        <is>
          <t>Marzo 2026 USA.xlsx</t>
        </is>
      </c>
      <c r="Q494" t="inlineStr">
        <is>
          <t>Fila 76</t>
        </is>
      </c>
      <c r="R494" t="inlineStr">
        <is>
          <t>Alta</t>
        </is>
      </c>
      <c r="S494" t="inlineStr">
        <is>
          <t>NO</t>
        </is>
      </c>
      <c r="T494" t="inlineStr">
        <is>
          <t>Remuneración laboral</t>
        </is>
      </c>
    </row>
    <row r="495">
      <c r="A495" t="inlineStr">
        <is>
          <t>2026-03</t>
        </is>
      </c>
      <c r="B495" t="inlineStr">
        <is>
          <t>Estados Unidos</t>
        </is>
      </c>
      <c r="C495" t="inlineStr">
        <is>
          <t>USA</t>
        </is>
      </c>
      <c r="D495" t="inlineStr">
        <is>
          <t>USD</t>
        </is>
      </c>
      <c r="E495" t="inlineStr">
        <is>
          <t>PL-O-090</t>
        </is>
      </c>
      <c r="F495" t="inlineStr">
        <is>
          <t>Gastos de administración</t>
        </is>
      </c>
      <c r="G495" t="inlineStr">
        <is>
          <t>Viajes y representación</t>
        </is>
      </c>
      <c r="H495" t="inlineStr">
        <is>
          <t>Viáticos</t>
        </is>
      </c>
      <c r="I495" t="inlineStr">
        <is>
          <t>Lyft</t>
        </is>
      </c>
      <c r="J495" s="41" t="n">
        <v>9.91</v>
      </c>
      <c r="K495" s="41" t="n">
        <v>16.9</v>
      </c>
      <c r="L495" s="41" t="n">
        <v>0</v>
      </c>
      <c r="M495" s="41" t="n">
        <v>26.81</v>
      </c>
      <c r="N495" s="41" t="n">
        <v>26.81</v>
      </c>
      <c r="O495" s="41" t="n">
        <v>16.9</v>
      </c>
      <c r="P495" t="inlineStr">
        <is>
          <t>Marzo 2026 USA.xlsx</t>
        </is>
      </c>
      <c r="Q495" t="inlineStr">
        <is>
          <t>Fila 78</t>
        </is>
      </c>
      <c r="R495" t="inlineStr">
        <is>
          <t>Alta</t>
        </is>
      </c>
      <c r="S495" t="inlineStr">
        <is>
          <t>NO</t>
        </is>
      </c>
      <c r="T495" t="inlineStr">
        <is>
          <t>Viáticos administrativos</t>
        </is>
      </c>
    </row>
    <row r="496">
      <c r="A496" t="inlineStr">
        <is>
          <t>2026-03</t>
        </is>
      </c>
      <c r="B496" t="inlineStr">
        <is>
          <t>Estados Unidos</t>
        </is>
      </c>
      <c r="C496" t="inlineStr">
        <is>
          <t>USA</t>
        </is>
      </c>
      <c r="D496" t="inlineStr">
        <is>
          <t>USD</t>
        </is>
      </c>
      <c r="E496" t="inlineStr">
        <is>
          <t>PL-O-090</t>
        </is>
      </c>
      <c r="F496" t="inlineStr">
        <is>
          <t>Gastos de administración</t>
        </is>
      </c>
      <c r="G496" t="inlineStr">
        <is>
          <t>Viajes y representación</t>
        </is>
      </c>
      <c r="H496" t="inlineStr">
        <is>
          <t>Viáticos</t>
        </is>
      </c>
      <c r="I496" t="inlineStr">
        <is>
          <t>Chapola Cafe</t>
        </is>
      </c>
      <c r="J496" s="41" t="n">
        <v>0</v>
      </c>
      <c r="K496" s="41" t="n">
        <v>35.04</v>
      </c>
      <c r="L496" s="41" t="n">
        <v>0</v>
      </c>
      <c r="M496" s="41" t="n">
        <v>35.04</v>
      </c>
      <c r="N496" s="41" t="n">
        <v>35.04</v>
      </c>
      <c r="O496" s="41" t="n">
        <v>35.04</v>
      </c>
      <c r="P496" t="inlineStr">
        <is>
          <t>Marzo 2026 USA.xlsx</t>
        </is>
      </c>
      <c r="Q496" t="inlineStr">
        <is>
          <t>Fila 79</t>
        </is>
      </c>
      <c r="R496" t="inlineStr">
        <is>
          <t>Alta</t>
        </is>
      </c>
      <c r="S496" t="inlineStr">
        <is>
          <t>NO</t>
        </is>
      </c>
      <c r="T496" t="inlineStr">
        <is>
          <t>Viáticos administrativos</t>
        </is>
      </c>
    </row>
    <row r="497">
      <c r="A497" t="inlineStr">
        <is>
          <t>2026-03</t>
        </is>
      </c>
      <c r="B497" t="inlineStr">
        <is>
          <t>Estados Unidos</t>
        </is>
      </c>
      <c r="C497" t="inlineStr">
        <is>
          <t>USA</t>
        </is>
      </c>
      <c r="D497" t="inlineStr">
        <is>
          <t>USD</t>
        </is>
      </c>
      <c r="E497" t="inlineStr">
        <is>
          <t>PL-O-010</t>
        </is>
      </c>
      <c r="F497" t="inlineStr">
        <is>
          <t>Gastos de administración</t>
        </is>
      </c>
      <c r="G497" t="inlineStr">
        <is>
          <t>Gastos de personal</t>
        </is>
      </c>
      <c r="H497" t="inlineStr">
        <is>
          <t>Auxilios</t>
        </is>
      </c>
      <c r="I497" t="inlineStr">
        <is>
          <t>CAPOTE &amp; CAPOTE PA</t>
        </is>
      </c>
      <c r="J497" s="41" t="n">
        <v>7600</v>
      </c>
      <c r="K497" s="41" t="n">
        <v>0</v>
      </c>
      <c r="L497" s="41" t="n">
        <v>0</v>
      </c>
      <c r="M497" s="41" t="n">
        <v>7600</v>
      </c>
      <c r="N497" s="41" t="n">
        <v>7600</v>
      </c>
      <c r="O497" s="41" t="n">
        <v>0</v>
      </c>
      <c r="P497" t="inlineStr">
        <is>
          <t>Marzo 2026 USA.xlsx</t>
        </is>
      </c>
      <c r="Q497" t="inlineStr">
        <is>
          <t>Fila 81</t>
        </is>
      </c>
      <c r="R497" t="inlineStr">
        <is>
          <t>Media</t>
        </is>
      </c>
      <c r="S497" t="inlineStr">
        <is>
          <t>SI</t>
        </is>
      </c>
      <c r="T497" t="inlineStr">
        <is>
          <t>Algunos terceros no parecen auxilios laborales; revisar soporte</t>
        </is>
      </c>
    </row>
    <row r="498">
      <c r="A498" t="inlineStr">
        <is>
          <t>2026-03</t>
        </is>
      </c>
      <c r="B498" t="inlineStr">
        <is>
          <t>Estados Unidos</t>
        </is>
      </c>
      <c r="C498" t="inlineStr">
        <is>
          <t>USA</t>
        </is>
      </c>
      <c r="D498" t="inlineStr">
        <is>
          <t>USD</t>
        </is>
      </c>
      <c r="E498" t="inlineStr">
        <is>
          <t>PL-O-010</t>
        </is>
      </c>
      <c r="F498" t="inlineStr">
        <is>
          <t>Gastos de administración</t>
        </is>
      </c>
      <c r="G498" t="inlineStr">
        <is>
          <t>Gastos de personal</t>
        </is>
      </c>
      <c r="H498" t="inlineStr">
        <is>
          <t>Dotación y suministros a trabajadores</t>
        </is>
      </c>
      <c r="I498" t="inlineStr">
        <is>
          <t>BEST BUY</t>
        </is>
      </c>
      <c r="J498" s="41" t="n">
        <v>0</v>
      </c>
      <c r="K498" s="41" t="n">
        <v>276.06</v>
      </c>
      <c r="L498" s="41" t="n">
        <v>0</v>
      </c>
      <c r="M498" s="41" t="n">
        <v>276.06</v>
      </c>
      <c r="N498" s="41" t="n">
        <v>276.06</v>
      </c>
      <c r="O498" s="41" t="n">
        <v>276.06</v>
      </c>
      <c r="P498" t="inlineStr">
        <is>
          <t>Marzo 2026 USA.xlsx</t>
        </is>
      </c>
      <c r="Q498" t="inlineStr">
        <is>
          <t>Fila 83</t>
        </is>
      </c>
      <c r="R498" t="inlineStr">
        <is>
          <t>Alta</t>
        </is>
      </c>
      <c r="S498" t="inlineStr">
        <is>
          <t>NO</t>
        </is>
      </c>
      <c r="T498" t="inlineStr">
        <is>
          <t>Beneficios y dotación de personal</t>
        </is>
      </c>
    </row>
    <row r="499">
      <c r="A499" t="inlineStr">
        <is>
          <t>2026-03</t>
        </is>
      </c>
      <c r="B499" t="inlineStr">
        <is>
          <t>Estados Unidos</t>
        </is>
      </c>
      <c r="C499" t="inlineStr">
        <is>
          <t>USA</t>
        </is>
      </c>
      <c r="D499" t="inlineStr">
        <is>
          <t>USD</t>
        </is>
      </c>
      <c r="E499" t="inlineStr">
        <is>
          <t>PL-O-010</t>
        </is>
      </c>
      <c r="F499" t="inlineStr">
        <is>
          <t>Gastos de administración</t>
        </is>
      </c>
      <c r="G499" t="inlineStr">
        <is>
          <t>Gastos de personal</t>
        </is>
      </c>
      <c r="H499" t="inlineStr">
        <is>
          <t>Dotación y suministros a trabajadores</t>
        </is>
      </c>
      <c r="I499" t="inlineStr">
        <is>
          <t>Amazon Comp INC</t>
        </is>
      </c>
      <c r="J499" s="41" t="n">
        <v>0</v>
      </c>
      <c r="K499" s="41" t="n">
        <v>132.38</v>
      </c>
      <c r="L499" s="41" t="n">
        <v>0</v>
      </c>
      <c r="M499" s="41" t="n">
        <v>132.38</v>
      </c>
      <c r="N499" s="41" t="n">
        <v>132.38</v>
      </c>
      <c r="O499" s="41" t="n">
        <v>132.38</v>
      </c>
      <c r="P499" t="inlineStr">
        <is>
          <t>Marzo 2026 USA.xlsx</t>
        </is>
      </c>
      <c r="Q499" t="inlineStr">
        <is>
          <t>Fila 84</t>
        </is>
      </c>
      <c r="R499" t="inlineStr">
        <is>
          <t>Alta</t>
        </is>
      </c>
      <c r="S499" t="inlineStr">
        <is>
          <t>NO</t>
        </is>
      </c>
      <c r="T499" t="inlineStr">
        <is>
          <t>Beneficios y dotación de personal</t>
        </is>
      </c>
    </row>
    <row r="500">
      <c r="A500" t="inlineStr">
        <is>
          <t>2026-03</t>
        </is>
      </c>
      <c r="B500" t="inlineStr">
        <is>
          <t>Estados Unidos</t>
        </is>
      </c>
      <c r="C500" t="inlineStr">
        <is>
          <t>USA</t>
        </is>
      </c>
      <c r="D500" t="inlineStr">
        <is>
          <t>USD</t>
        </is>
      </c>
      <c r="E500" t="inlineStr">
        <is>
          <t>PL-O-010</t>
        </is>
      </c>
      <c r="F500" t="inlineStr">
        <is>
          <t>Gastos de administración</t>
        </is>
      </c>
      <c r="G500" t="inlineStr">
        <is>
          <t>Gastos de personal</t>
        </is>
      </c>
      <c r="H500" t="inlineStr">
        <is>
          <t>Gastos médicos</t>
        </is>
      </c>
      <c r="I500" t="inlineStr">
        <is>
          <t>Oscar Insurance Company</t>
        </is>
      </c>
      <c r="J500" s="41" t="n">
        <v>122.93</v>
      </c>
      <c r="K500" s="41" t="n">
        <v>0</v>
      </c>
      <c r="L500" s="41" t="n">
        <v>0</v>
      </c>
      <c r="M500" s="41" t="n">
        <v>122.93</v>
      </c>
      <c r="N500" s="41" t="n">
        <v>122.93</v>
      </c>
      <c r="O500" s="41" t="n">
        <v>0</v>
      </c>
      <c r="P500" t="inlineStr">
        <is>
          <t>Marzo 2026 USA.xlsx</t>
        </is>
      </c>
      <c r="Q500" t="inlineStr">
        <is>
          <t>Fila 86</t>
        </is>
      </c>
      <c r="R500" t="inlineStr">
        <is>
          <t>Alta</t>
        </is>
      </c>
      <c r="S500" t="inlineStr">
        <is>
          <t>NO</t>
        </is>
      </c>
      <c r="T500" t="inlineStr">
        <is>
          <t>Beneficios de salud</t>
        </is>
      </c>
    </row>
    <row r="501">
      <c r="A501" t="inlineStr">
        <is>
          <t>2026-03</t>
        </is>
      </c>
      <c r="B501" t="inlineStr">
        <is>
          <t>Estados Unidos</t>
        </is>
      </c>
      <c r="C501" t="inlineStr">
        <is>
          <t>USA</t>
        </is>
      </c>
      <c r="D501" t="inlineStr">
        <is>
          <t>USD</t>
        </is>
      </c>
      <c r="E501" t="inlineStr">
        <is>
          <t>PL-O-010</t>
        </is>
      </c>
      <c r="F501" t="inlineStr">
        <is>
          <t>Gastos de administración</t>
        </is>
      </c>
      <c r="G501" t="inlineStr">
        <is>
          <t>Gastos de personal</t>
        </is>
      </c>
      <c r="H501" t="inlineStr">
        <is>
          <t>Otros gastos de personal</t>
        </is>
      </c>
      <c r="I501" t="inlineStr">
        <is>
          <t>Parada Zuluaga Robert Andres</t>
        </is>
      </c>
      <c r="J501" s="41" t="n">
        <v>1571.66</v>
      </c>
      <c r="K501" s="41" t="n">
        <v>670.33</v>
      </c>
      <c r="L501" s="41" t="n">
        <v>0</v>
      </c>
      <c r="M501" s="41" t="n">
        <v>2241.99</v>
      </c>
      <c r="N501" s="41" t="n">
        <v>2241.99</v>
      </c>
      <c r="O501" s="41" t="n">
        <v>670.33</v>
      </c>
      <c r="P501" t="inlineStr">
        <is>
          <t>Marzo 2026 USA.xlsx</t>
        </is>
      </c>
      <c r="Q501" t="inlineStr">
        <is>
          <t>Fila 88</t>
        </is>
      </c>
      <c r="R501" t="inlineStr">
        <is>
          <t>Media</t>
        </is>
      </c>
      <c r="S501" t="inlineStr">
        <is>
          <t>SI</t>
        </is>
      </c>
      <c r="T501" t="inlineStr">
        <is>
          <t>Cuenta genérica de personal</t>
        </is>
      </c>
    </row>
    <row r="502">
      <c r="A502" t="inlineStr">
        <is>
          <t>2026-03</t>
        </is>
      </c>
      <c r="B502" t="inlineStr">
        <is>
          <t>Estados Unidos</t>
        </is>
      </c>
      <c r="C502" t="inlineStr">
        <is>
          <t>USA</t>
        </is>
      </c>
      <c r="D502" t="inlineStr">
        <is>
          <t>USD</t>
        </is>
      </c>
      <c r="E502" t="inlineStr">
        <is>
          <t>PL-O-020</t>
        </is>
      </c>
      <c r="F502" t="inlineStr">
        <is>
          <t>Gastos de administración</t>
        </is>
      </c>
      <c r="G502" t="inlineStr">
        <is>
          <t>Honorarios y servicios profesionales</t>
        </is>
      </c>
      <c r="H502" t="inlineStr">
        <is>
          <t>Asesoría financiera</t>
        </is>
      </c>
      <c r="I502" t="inlineStr">
        <is>
          <t>Tenant Evaluation LLC</t>
        </is>
      </c>
      <c r="J502" s="41" t="n">
        <v>445</v>
      </c>
      <c r="K502" s="41" t="n">
        <v>0</v>
      </c>
      <c r="L502" s="41" t="n">
        <v>0</v>
      </c>
      <c r="M502" s="41" t="n">
        <v>445</v>
      </c>
      <c r="N502" s="41" t="n">
        <v>445</v>
      </c>
      <c r="O502" s="41" t="n">
        <v>0</v>
      </c>
      <c r="P502" t="inlineStr">
        <is>
          <t>Marzo 2026 USA.xlsx</t>
        </is>
      </c>
      <c r="Q502" t="inlineStr">
        <is>
          <t>Fila 91</t>
        </is>
      </c>
      <c r="R502" t="inlineStr">
        <is>
          <t>Alta</t>
        </is>
      </c>
      <c r="S502" t="inlineStr">
        <is>
          <t>NO</t>
        </is>
      </c>
      <c r="T502" t="inlineStr">
        <is>
          <t>Servicio profesional financiero</t>
        </is>
      </c>
    </row>
    <row r="503">
      <c r="A503" t="inlineStr">
        <is>
          <t>2026-03</t>
        </is>
      </c>
      <c r="B503" t="inlineStr">
        <is>
          <t>Estados Unidos</t>
        </is>
      </c>
      <c r="C503" t="inlineStr">
        <is>
          <t>USA</t>
        </is>
      </c>
      <c r="D503" t="inlineStr">
        <is>
          <t>USD</t>
        </is>
      </c>
      <c r="E503" t="inlineStr">
        <is>
          <t>PL-O-030</t>
        </is>
      </c>
      <c r="F503" t="inlineStr">
        <is>
          <t>Gastos de administración</t>
        </is>
      </c>
      <c r="G503" t="inlineStr">
        <is>
          <t>Impuestos y contribuciones</t>
        </is>
      </c>
      <c r="H503" t="inlineStr">
        <is>
          <t>Industria, comercio y otros</t>
        </is>
      </c>
      <c r="I503" t="inlineStr">
        <is>
          <t>IRS IMPUESTO FEDERALES</t>
        </is>
      </c>
      <c r="J503" s="41" t="n">
        <v>4021.87</v>
      </c>
      <c r="K503" s="41" t="n">
        <v>2.18</v>
      </c>
      <c r="L503" s="41" t="n">
        <v>0</v>
      </c>
      <c r="M503" s="41" t="n">
        <v>4024.05</v>
      </c>
      <c r="N503" s="41" t="n">
        <v>4024.05</v>
      </c>
      <c r="O503" s="41" t="n">
        <v>2.18</v>
      </c>
      <c r="P503" t="inlineStr">
        <is>
          <t>Marzo 2026 USA.xlsx</t>
        </is>
      </c>
      <c r="Q503" t="inlineStr">
        <is>
          <t>Fila 94</t>
        </is>
      </c>
      <c r="R503" t="inlineStr">
        <is>
          <t>Alta</t>
        </is>
      </c>
      <c r="S503" t="inlineStr">
        <is>
          <t>NO</t>
        </is>
      </c>
      <c r="T503" t="inlineStr">
        <is>
          <t>Impuestos no asociados a renta</t>
        </is>
      </c>
    </row>
    <row r="504">
      <c r="A504" t="inlineStr">
        <is>
          <t>2026-03</t>
        </is>
      </c>
      <c r="B504" t="inlineStr">
        <is>
          <t>Estados Unidos</t>
        </is>
      </c>
      <c r="C504" t="inlineStr">
        <is>
          <t>USA</t>
        </is>
      </c>
      <c r="D504" t="inlineStr">
        <is>
          <t>USD</t>
        </is>
      </c>
      <c r="E504" t="inlineStr">
        <is>
          <t>PL-O-060</t>
        </is>
      </c>
      <c r="F504" t="inlineStr">
        <is>
          <t>Gastos de administración</t>
        </is>
      </c>
      <c r="G504" t="inlineStr">
        <is>
          <t>Tecnología y procesamiento de datos</t>
        </is>
      </c>
      <c r="H504" t="inlineStr">
        <is>
          <t>Plataformas y software</t>
        </is>
      </c>
      <c r="I504" t="inlineStr">
        <is>
          <t>WIX INC</t>
        </is>
      </c>
      <c r="J504" s="41" t="n">
        <v>225.35</v>
      </c>
      <c r="K504" s="41" t="n">
        <v>0</v>
      </c>
      <c r="L504" s="41" t="n">
        <v>0</v>
      </c>
      <c r="M504" s="41" t="n">
        <v>225.35</v>
      </c>
      <c r="N504" s="41" t="n">
        <v>225.35</v>
      </c>
      <c r="O504" s="41" t="n">
        <v>0</v>
      </c>
      <c r="P504" t="inlineStr">
        <is>
          <t>Marzo 2026 USA.xlsx</t>
        </is>
      </c>
      <c r="Q504" t="inlineStr">
        <is>
          <t>Fila 97</t>
        </is>
      </c>
      <c r="R504" t="inlineStr">
        <is>
          <t>Alta</t>
        </is>
      </c>
      <c r="S504" t="inlineStr">
        <is>
          <t>SI</t>
        </is>
      </c>
      <c r="T504" t="inlineStr">
        <is>
          <t>Revisar proveedores de telecomunicaciones registrados aquí</t>
        </is>
      </c>
    </row>
    <row r="505">
      <c r="A505" t="inlineStr">
        <is>
          <t>2026-03</t>
        </is>
      </c>
      <c r="B505" t="inlineStr">
        <is>
          <t>Estados Unidos</t>
        </is>
      </c>
      <c r="C505" t="inlineStr">
        <is>
          <t>USA</t>
        </is>
      </c>
      <c r="D505" t="inlineStr">
        <is>
          <t>USD</t>
        </is>
      </c>
      <c r="E505" t="inlineStr">
        <is>
          <t>PL-O-060</t>
        </is>
      </c>
      <c r="F505" t="inlineStr">
        <is>
          <t>Gastos de administración</t>
        </is>
      </c>
      <c r="G505" t="inlineStr">
        <is>
          <t>Tecnología y procesamiento de datos</t>
        </is>
      </c>
      <c r="H505" t="inlineStr">
        <is>
          <t>Plataformas y software</t>
        </is>
      </c>
      <c r="I505" t="inlineStr">
        <is>
          <t>Ahaslides</t>
        </is>
      </c>
      <c r="J505" s="41" t="n">
        <v>191.4</v>
      </c>
      <c r="K505" s="41" t="n">
        <v>0</v>
      </c>
      <c r="L505" s="41" t="n">
        <v>0</v>
      </c>
      <c r="M505" s="41" t="n">
        <v>191.4</v>
      </c>
      <c r="N505" s="41" t="n">
        <v>191.4</v>
      </c>
      <c r="O505" s="41" t="n">
        <v>0</v>
      </c>
      <c r="P505" t="inlineStr">
        <is>
          <t>Marzo 2026 USA.xlsx</t>
        </is>
      </c>
      <c r="Q505" t="inlineStr">
        <is>
          <t>Fila 98</t>
        </is>
      </c>
      <c r="R505" t="inlineStr">
        <is>
          <t>Alta</t>
        </is>
      </c>
      <c r="S505" t="inlineStr">
        <is>
          <t>SI</t>
        </is>
      </c>
      <c r="T505" t="inlineStr">
        <is>
          <t>Revisar proveedores de telecomunicaciones registrados aquí</t>
        </is>
      </c>
    </row>
    <row r="506">
      <c r="A506" t="inlineStr">
        <is>
          <t>2026-03</t>
        </is>
      </c>
      <c r="B506" t="inlineStr">
        <is>
          <t>Estados Unidos</t>
        </is>
      </c>
      <c r="C506" t="inlineStr">
        <is>
          <t>USA</t>
        </is>
      </c>
      <c r="D506" t="inlineStr">
        <is>
          <t>USD</t>
        </is>
      </c>
      <c r="E506" t="inlineStr">
        <is>
          <t>PL-O-060</t>
        </is>
      </c>
      <c r="F506" t="inlineStr">
        <is>
          <t>Gastos de administración</t>
        </is>
      </c>
      <c r="G506" t="inlineStr">
        <is>
          <t>Tecnología y procesamiento de datos</t>
        </is>
      </c>
      <c r="H506" t="inlineStr">
        <is>
          <t>Plataformas y software</t>
        </is>
      </c>
      <c r="I506" t="inlineStr">
        <is>
          <t>Open AI</t>
        </is>
      </c>
      <c r="J506" s="41" t="n">
        <v>40</v>
      </c>
      <c r="K506" s="41" t="n">
        <v>20</v>
      </c>
      <c r="L506" s="41" t="n">
        <v>0</v>
      </c>
      <c r="M506" s="41" t="n">
        <v>60</v>
      </c>
      <c r="N506" s="41" t="n">
        <v>60</v>
      </c>
      <c r="O506" s="41" t="n">
        <v>20</v>
      </c>
      <c r="P506" t="inlineStr">
        <is>
          <t>Marzo 2026 USA.xlsx</t>
        </is>
      </c>
      <c r="Q506" t="inlineStr">
        <is>
          <t>Fila 99</t>
        </is>
      </c>
      <c r="R506" t="inlineStr">
        <is>
          <t>Alta</t>
        </is>
      </c>
      <c r="S506" t="inlineStr">
        <is>
          <t>SI</t>
        </is>
      </c>
      <c r="T506" t="inlineStr">
        <is>
          <t>Revisar proveedores de telecomunicaciones registrados aquí</t>
        </is>
      </c>
    </row>
    <row r="507">
      <c r="A507" t="inlineStr">
        <is>
          <t>2026-03</t>
        </is>
      </c>
      <c r="B507" t="inlineStr">
        <is>
          <t>Estados Unidos</t>
        </is>
      </c>
      <c r="C507" t="inlineStr">
        <is>
          <t>USA</t>
        </is>
      </c>
      <c r="D507" t="inlineStr">
        <is>
          <t>USD</t>
        </is>
      </c>
      <c r="E507" t="inlineStr">
        <is>
          <t>PL-O-080</t>
        </is>
      </c>
      <c r="F507" t="inlineStr">
        <is>
          <t>Gastos de administración</t>
        </is>
      </c>
      <c r="G507" t="inlineStr">
        <is>
          <t>Correo y mensajería</t>
        </is>
      </c>
      <c r="H507" t="inlineStr">
        <is>
          <t>Correo, portes y telegramas</t>
        </is>
      </c>
      <c r="I507" t="inlineStr">
        <is>
          <t>Anytime Mailbox</t>
        </is>
      </c>
      <c r="J507" s="41" t="n">
        <v>22.9</v>
      </c>
      <c r="K507" s="41" t="n">
        <v>11.39</v>
      </c>
      <c r="L507" s="41" t="n">
        <v>0</v>
      </c>
      <c r="M507" s="41" t="n">
        <v>34.29</v>
      </c>
      <c r="N507" s="41" t="n">
        <v>34.29</v>
      </c>
      <c r="O507" s="41" t="n">
        <v>11.39</v>
      </c>
      <c r="P507" t="inlineStr">
        <is>
          <t>Marzo 2026 USA.xlsx</t>
        </is>
      </c>
      <c r="Q507" t="inlineStr">
        <is>
          <t>Fila 101</t>
        </is>
      </c>
      <c r="R507" t="inlineStr">
        <is>
          <t>Alta</t>
        </is>
      </c>
      <c r="S507" t="inlineStr">
        <is>
          <t>NO</t>
        </is>
      </c>
      <c r="T507" t="inlineStr">
        <is>
          <t>Mensajería y correo</t>
        </is>
      </c>
    </row>
    <row r="508">
      <c r="A508" t="inlineStr">
        <is>
          <t>2026-03</t>
        </is>
      </c>
      <c r="B508" t="inlineStr">
        <is>
          <t>Estados Unidos</t>
        </is>
      </c>
      <c r="C508" t="inlineStr">
        <is>
          <t>USA</t>
        </is>
      </c>
      <c r="D508" t="inlineStr">
        <is>
          <t>USD</t>
        </is>
      </c>
      <c r="E508" t="inlineStr">
        <is>
          <t>PL-O-100</t>
        </is>
      </c>
      <c r="F508" t="inlineStr">
        <is>
          <t>Gastos de administración</t>
        </is>
      </c>
      <c r="G508" t="inlineStr">
        <is>
          <t>Otros servicios administrativos</t>
        </is>
      </c>
      <c r="H508" t="inlineStr">
        <is>
          <t>Otros</t>
        </is>
      </c>
      <c r="I508" t="inlineStr">
        <is>
          <t>AT&amp;T</t>
        </is>
      </c>
      <c r="J508" s="41" t="n">
        <v>405.87</v>
      </c>
      <c r="K508" s="41" t="n">
        <v>172.4</v>
      </c>
      <c r="L508" s="41" t="n">
        <v>0</v>
      </c>
      <c r="M508" s="41" t="n">
        <v>578.27</v>
      </c>
      <c r="N508" s="41" t="n">
        <v>578.27</v>
      </c>
      <c r="O508" s="41" t="n">
        <v>172.4</v>
      </c>
      <c r="P508" t="inlineStr">
        <is>
          <t>Marzo 2026 USA.xlsx</t>
        </is>
      </c>
      <c r="Q508" t="inlineStr">
        <is>
          <t>Fila 103</t>
        </is>
      </c>
      <c r="R508" t="inlineStr">
        <is>
          <t>Media</t>
        </is>
      </c>
      <c r="S508" t="inlineStr">
        <is>
          <t>SI</t>
        </is>
      </c>
      <c r="T508" t="inlineStr">
        <is>
          <t>Cuenta genérica; revisar partidas materiales</t>
        </is>
      </c>
    </row>
    <row r="509">
      <c r="A509" t="inlineStr">
        <is>
          <t>2026-03</t>
        </is>
      </c>
      <c r="B509" t="inlineStr">
        <is>
          <t>Estados Unidos</t>
        </is>
      </c>
      <c r="C509" t="inlineStr">
        <is>
          <t>USA</t>
        </is>
      </c>
      <c r="D509" t="inlineStr">
        <is>
          <t>USD</t>
        </is>
      </c>
      <c r="E509" t="inlineStr">
        <is>
          <t>PL-O-110</t>
        </is>
      </c>
      <c r="F509" t="inlineStr">
        <is>
          <t>Gastos de administración</t>
        </is>
      </c>
      <c r="G509" t="inlineStr">
        <is>
          <t>Suministros y oficina</t>
        </is>
      </c>
      <c r="H509" t="inlineStr">
        <is>
          <t>Aseo y limpieza</t>
        </is>
      </c>
      <c r="I509" t="inlineStr">
        <is>
          <t>Chapola Cafe</t>
        </is>
      </c>
      <c r="J509" s="41" t="n">
        <v>0</v>
      </c>
      <c r="K509" s="41" t="n">
        <v>35.1</v>
      </c>
      <c r="L509" s="41" t="n">
        <v>0</v>
      </c>
      <c r="M509" s="41" t="n">
        <v>35.1</v>
      </c>
      <c r="N509" s="41" t="n">
        <v>35.1</v>
      </c>
      <c r="O509" s="41" t="n">
        <v>35.1</v>
      </c>
      <c r="P509" t="inlineStr">
        <is>
          <t>Marzo 2026 USA.xlsx</t>
        </is>
      </c>
      <c r="Q509" t="inlineStr">
        <is>
          <t>Fila 106</t>
        </is>
      </c>
      <c r="R509" t="inlineStr">
        <is>
          <t>Alta</t>
        </is>
      </c>
      <c r="S509" t="inlineStr">
        <is>
          <t>SI</t>
        </is>
      </c>
      <c r="T509" t="inlineStr">
        <is>
          <t>Se detectaron comercios de alimentos; revisar clasificación</t>
        </is>
      </c>
    </row>
    <row r="510">
      <c r="A510" t="inlineStr">
        <is>
          <t>2026-03</t>
        </is>
      </c>
      <c r="B510" t="inlineStr">
        <is>
          <t>Estados Unidos</t>
        </is>
      </c>
      <c r="C510" t="inlineStr">
        <is>
          <t>USA</t>
        </is>
      </c>
      <c r="D510" t="inlineStr">
        <is>
          <t>USD</t>
        </is>
      </c>
      <c r="E510" t="inlineStr">
        <is>
          <t>PL-O-110</t>
        </is>
      </c>
      <c r="F510" t="inlineStr">
        <is>
          <t>Gastos de administración</t>
        </is>
      </c>
      <c r="G510" t="inlineStr">
        <is>
          <t>Suministros y oficina</t>
        </is>
      </c>
      <c r="H510" t="inlineStr">
        <is>
          <t>Aseo y limpieza</t>
        </is>
      </c>
      <c r="I510" t="inlineStr">
        <is>
          <t>Latin Cafe</t>
        </is>
      </c>
      <c r="J510" s="41" t="n">
        <v>50.73</v>
      </c>
      <c r="K510" s="41" t="n">
        <v>31.85</v>
      </c>
      <c r="L510" s="41" t="n">
        <v>0</v>
      </c>
      <c r="M510" s="41" t="n">
        <v>82.58</v>
      </c>
      <c r="N510" s="41" t="n">
        <v>82.58</v>
      </c>
      <c r="O510" s="41" t="n">
        <v>31.85</v>
      </c>
      <c r="P510" t="inlineStr">
        <is>
          <t>Marzo 2026 USA.xlsx</t>
        </is>
      </c>
      <c r="Q510" t="inlineStr">
        <is>
          <t>Fila 107</t>
        </is>
      </c>
      <c r="R510" t="inlineStr">
        <is>
          <t>Alta</t>
        </is>
      </c>
      <c r="S510" t="inlineStr">
        <is>
          <t>SI</t>
        </is>
      </c>
      <c r="T510" t="inlineStr">
        <is>
          <t>Se detectaron comercios de alimentos; revisar clasificación</t>
        </is>
      </c>
    </row>
    <row r="511">
      <c r="A511" t="inlineStr">
        <is>
          <t>2026-03</t>
        </is>
      </c>
      <c r="B511" t="inlineStr">
        <is>
          <t>Estados Unidos</t>
        </is>
      </c>
      <c r="C511" t="inlineStr">
        <is>
          <t>USA</t>
        </is>
      </c>
      <c r="D511" t="inlineStr">
        <is>
          <t>USD</t>
        </is>
      </c>
      <c r="E511" t="inlineStr">
        <is>
          <t>PL-O-120</t>
        </is>
      </c>
      <c r="F511" t="inlineStr">
        <is>
          <t>Gastos de administración</t>
        </is>
      </c>
      <c r="G511" t="inlineStr">
        <is>
          <t>Alimentación y restaurante</t>
        </is>
      </c>
      <c r="H511" t="inlineStr">
        <is>
          <t>Casino y restaurante</t>
        </is>
      </c>
      <c r="I511" t="inlineStr">
        <is>
          <t>Pollos &amp; Jarras</t>
        </is>
      </c>
      <c r="J511" s="41" t="n">
        <v>0</v>
      </c>
      <c r="K511" s="41" t="n">
        <v>125.13</v>
      </c>
      <c r="L511" s="41" t="n">
        <v>0</v>
      </c>
      <c r="M511" s="41" t="n">
        <v>125.13</v>
      </c>
      <c r="N511" s="41" t="n">
        <v>125.13</v>
      </c>
      <c r="O511" s="41" t="n">
        <v>125.13</v>
      </c>
      <c r="P511" t="inlineStr">
        <is>
          <t>Marzo 2026 USA.xlsx</t>
        </is>
      </c>
      <c r="Q511" t="inlineStr">
        <is>
          <t>Fila 109</t>
        </is>
      </c>
      <c r="R511" t="inlineStr">
        <is>
          <t>Alta</t>
        </is>
      </c>
      <c r="S511" t="inlineStr">
        <is>
          <t>SI</t>
        </is>
      </c>
      <c r="T511" t="inlineStr">
        <is>
          <t>Se detectó un comercio minorista; revisar esa partida</t>
        </is>
      </c>
    </row>
    <row r="512">
      <c r="A512" t="inlineStr">
        <is>
          <t>2026-03</t>
        </is>
      </c>
      <c r="B512" t="inlineStr">
        <is>
          <t>Estados Unidos</t>
        </is>
      </c>
      <c r="C512" t="inlineStr">
        <is>
          <t>USA</t>
        </is>
      </c>
      <c r="D512" t="inlineStr">
        <is>
          <t>USD</t>
        </is>
      </c>
      <c r="E512" t="inlineStr">
        <is>
          <t>PL-O-120</t>
        </is>
      </c>
      <c r="F512" t="inlineStr">
        <is>
          <t>Gastos de administración</t>
        </is>
      </c>
      <c r="G512" t="inlineStr">
        <is>
          <t>Alimentación y restaurante</t>
        </is>
      </c>
      <c r="H512" t="inlineStr">
        <is>
          <t>Casino y restaurante</t>
        </is>
      </c>
      <c r="I512" t="inlineStr">
        <is>
          <t>Rice House Of Kabob</t>
        </is>
      </c>
      <c r="J512" s="41" t="n">
        <v>0</v>
      </c>
      <c r="K512" s="41" t="n">
        <v>63.15</v>
      </c>
      <c r="L512" s="41" t="n">
        <v>0</v>
      </c>
      <c r="M512" s="41" t="n">
        <v>63.15</v>
      </c>
      <c r="N512" s="41" t="n">
        <v>63.15</v>
      </c>
      <c r="O512" s="41" t="n">
        <v>63.15</v>
      </c>
      <c r="P512" t="inlineStr">
        <is>
          <t>Marzo 2026 USA.xlsx</t>
        </is>
      </c>
      <c r="Q512" t="inlineStr">
        <is>
          <t>Fila 110</t>
        </is>
      </c>
      <c r="R512" t="inlineStr">
        <is>
          <t>Alta</t>
        </is>
      </c>
      <c r="S512" t="inlineStr">
        <is>
          <t>SI</t>
        </is>
      </c>
      <c r="T512" t="inlineStr">
        <is>
          <t>Se detectó un comercio minorista; revisar esa partida</t>
        </is>
      </c>
    </row>
    <row r="513">
      <c r="A513" t="inlineStr">
        <is>
          <t>2026-03</t>
        </is>
      </c>
      <c r="B513" t="inlineStr">
        <is>
          <t>Estados Unidos</t>
        </is>
      </c>
      <c r="C513" t="inlineStr">
        <is>
          <t>USA</t>
        </is>
      </c>
      <c r="D513" t="inlineStr">
        <is>
          <t>USD</t>
        </is>
      </c>
      <c r="E513" t="inlineStr">
        <is>
          <t>PL-O-120</t>
        </is>
      </c>
      <c r="F513" t="inlineStr">
        <is>
          <t>Gastos de administración</t>
        </is>
      </c>
      <c r="G513" t="inlineStr">
        <is>
          <t>Alimentación y restaurante</t>
        </is>
      </c>
      <c r="H513" t="inlineStr">
        <is>
          <t>Casino y restaurante</t>
        </is>
      </c>
      <c r="I513" t="inlineStr">
        <is>
          <t>North Italia</t>
        </is>
      </c>
      <c r="J513" s="41" t="n">
        <v>177.68</v>
      </c>
      <c r="K513" s="41" t="n">
        <v>0</v>
      </c>
      <c r="L513" s="41" t="n">
        <v>0</v>
      </c>
      <c r="M513" s="41" t="n">
        <v>177.68</v>
      </c>
      <c r="N513" s="41" t="n">
        <v>177.68</v>
      </c>
      <c r="O513" s="41" t="n">
        <v>0</v>
      </c>
      <c r="P513" t="inlineStr">
        <is>
          <t>Marzo 2026 USA.xlsx</t>
        </is>
      </c>
      <c r="Q513" t="inlineStr">
        <is>
          <t>Fila 111</t>
        </is>
      </c>
      <c r="R513" t="inlineStr">
        <is>
          <t>Alta</t>
        </is>
      </c>
      <c r="S513" t="inlineStr">
        <is>
          <t>SI</t>
        </is>
      </c>
      <c r="T513" t="inlineStr">
        <is>
          <t>Se detectó un comercio minorista; revisar esa partida</t>
        </is>
      </c>
    </row>
    <row r="514">
      <c r="A514" t="inlineStr">
        <is>
          <t>2026-03</t>
        </is>
      </c>
      <c r="B514" t="inlineStr">
        <is>
          <t>Estados Unidos</t>
        </is>
      </c>
      <c r="C514" t="inlineStr">
        <is>
          <t>USA</t>
        </is>
      </c>
      <c r="D514" t="inlineStr">
        <is>
          <t>USD</t>
        </is>
      </c>
      <c r="E514" t="inlineStr">
        <is>
          <t>PL-O-120</t>
        </is>
      </c>
      <c r="F514" t="inlineStr">
        <is>
          <t>Gastos de administración</t>
        </is>
      </c>
      <c r="G514" t="inlineStr">
        <is>
          <t>Alimentación y restaurante</t>
        </is>
      </c>
      <c r="H514" t="inlineStr">
        <is>
          <t>Casino y restaurante</t>
        </is>
      </c>
      <c r="I514" t="inlineStr">
        <is>
          <t>Fogo de Chão</t>
        </is>
      </c>
      <c r="J514" s="41" t="n">
        <v>248</v>
      </c>
      <c r="K514" s="41" t="n">
        <v>0</v>
      </c>
      <c r="L514" s="41" t="n">
        <v>0</v>
      </c>
      <c r="M514" s="41" t="n">
        <v>248</v>
      </c>
      <c r="N514" s="41" t="n">
        <v>248</v>
      </c>
      <c r="O514" s="41" t="n">
        <v>0</v>
      </c>
      <c r="P514" t="inlineStr">
        <is>
          <t>Marzo 2026 USA.xlsx</t>
        </is>
      </c>
      <c r="Q514" t="inlineStr">
        <is>
          <t>Fila 112</t>
        </is>
      </c>
      <c r="R514" t="inlineStr">
        <is>
          <t>Alta</t>
        </is>
      </c>
      <c r="S514" t="inlineStr">
        <is>
          <t>SI</t>
        </is>
      </c>
      <c r="T514" t="inlineStr">
        <is>
          <t>Se detectó un comercio minorista; revisar esa partida</t>
        </is>
      </c>
    </row>
    <row r="515">
      <c r="A515" t="inlineStr">
        <is>
          <t>2026-03</t>
        </is>
      </c>
      <c r="B515" t="inlineStr">
        <is>
          <t>Estados Unidos</t>
        </is>
      </c>
      <c r="C515" t="inlineStr">
        <is>
          <t>USA</t>
        </is>
      </c>
      <c r="D515" t="inlineStr">
        <is>
          <t>USD</t>
        </is>
      </c>
      <c r="E515" t="inlineStr">
        <is>
          <t>PL-O-120</t>
        </is>
      </c>
      <c r="F515" t="inlineStr">
        <is>
          <t>Gastos de administración</t>
        </is>
      </c>
      <c r="G515" t="inlineStr">
        <is>
          <t>Alimentación y restaurante</t>
        </is>
      </c>
      <c r="H515" t="inlineStr">
        <is>
          <t>Casino y restaurante</t>
        </is>
      </c>
      <c r="I515" t="inlineStr">
        <is>
          <t>Crepes &amp; Waffles</t>
        </is>
      </c>
      <c r="J515" s="41" t="n">
        <v>30.09</v>
      </c>
      <c r="K515" s="41" t="n">
        <v>0</v>
      </c>
      <c r="L515" s="41" t="n">
        <v>0</v>
      </c>
      <c r="M515" s="41" t="n">
        <v>30.09</v>
      </c>
      <c r="N515" s="41" t="n">
        <v>30.09</v>
      </c>
      <c r="O515" s="41" t="n">
        <v>0</v>
      </c>
      <c r="P515" t="inlineStr">
        <is>
          <t>Marzo 2026 USA.xlsx</t>
        </is>
      </c>
      <c r="Q515" t="inlineStr">
        <is>
          <t>Fila 113</t>
        </is>
      </c>
      <c r="R515" t="inlineStr">
        <is>
          <t>Alta</t>
        </is>
      </c>
      <c r="S515" t="inlineStr">
        <is>
          <t>SI</t>
        </is>
      </c>
      <c r="T515" t="inlineStr">
        <is>
          <t>Se detectó un comercio minorista; revisar esa partida</t>
        </is>
      </c>
    </row>
    <row r="516">
      <c r="A516" t="inlineStr">
        <is>
          <t>2026-03</t>
        </is>
      </c>
      <c r="B516" t="inlineStr">
        <is>
          <t>Estados Unidos</t>
        </is>
      </c>
      <c r="C516" t="inlineStr">
        <is>
          <t>USA</t>
        </is>
      </c>
      <c r="D516" t="inlineStr">
        <is>
          <t>USD</t>
        </is>
      </c>
      <c r="E516" t="inlineStr">
        <is>
          <t>PL-O-120</t>
        </is>
      </c>
      <c r="F516" t="inlineStr">
        <is>
          <t>Gastos de administración</t>
        </is>
      </c>
      <c r="G516" t="inlineStr">
        <is>
          <t>Alimentación y restaurante</t>
        </is>
      </c>
      <c r="H516" t="inlineStr">
        <is>
          <t>Casino y restaurante</t>
        </is>
      </c>
      <c r="I516" t="inlineStr">
        <is>
          <t>La Carretera</t>
        </is>
      </c>
      <c r="J516" s="41" t="n">
        <v>0</v>
      </c>
      <c r="K516" s="41" t="n">
        <v>7.03</v>
      </c>
      <c r="L516" s="41" t="n">
        <v>0</v>
      </c>
      <c r="M516" s="41" t="n">
        <v>7.03</v>
      </c>
      <c r="N516" s="41" t="n">
        <v>7.03</v>
      </c>
      <c r="O516" s="41" t="n">
        <v>7.03</v>
      </c>
      <c r="P516" t="inlineStr">
        <is>
          <t>Marzo 2026 USA.xlsx</t>
        </is>
      </c>
      <c r="Q516" t="inlineStr">
        <is>
          <t>Fila 114</t>
        </is>
      </c>
      <c r="R516" t="inlineStr">
        <is>
          <t>Alta</t>
        </is>
      </c>
      <c r="S516" t="inlineStr">
        <is>
          <t>SI</t>
        </is>
      </c>
      <c r="T516" t="inlineStr">
        <is>
          <t>Se detectó un comercio minorista; revisar esa partida</t>
        </is>
      </c>
    </row>
    <row r="517">
      <c r="A517" t="inlineStr">
        <is>
          <t>2026-03</t>
        </is>
      </c>
      <c r="B517" t="inlineStr">
        <is>
          <t>Estados Unidos</t>
        </is>
      </c>
      <c r="C517" t="inlineStr">
        <is>
          <t>USA</t>
        </is>
      </c>
      <c r="D517" t="inlineStr">
        <is>
          <t>USD</t>
        </is>
      </c>
      <c r="E517" t="inlineStr">
        <is>
          <t>PL-O-120</t>
        </is>
      </c>
      <c r="F517" t="inlineStr">
        <is>
          <t>Gastos de administración</t>
        </is>
      </c>
      <c r="G517" t="inlineStr">
        <is>
          <t>Alimentación y restaurante</t>
        </is>
      </c>
      <c r="H517" t="inlineStr">
        <is>
          <t>Casino y restaurante</t>
        </is>
      </c>
      <c r="I517" t="inlineStr">
        <is>
          <t>Estadero y Asados Dona</t>
        </is>
      </c>
      <c r="J517" s="41" t="n">
        <v>0</v>
      </c>
      <c r="K517" s="41" t="n">
        <v>72.54000000000001</v>
      </c>
      <c r="L517" s="41" t="n">
        <v>0</v>
      </c>
      <c r="M517" s="41" t="n">
        <v>72.54000000000001</v>
      </c>
      <c r="N517" s="41" t="n">
        <v>72.54000000000001</v>
      </c>
      <c r="O517" s="41" t="n">
        <v>72.54000000000001</v>
      </c>
      <c r="P517" t="inlineStr">
        <is>
          <t>Marzo 2026 USA.xlsx</t>
        </is>
      </c>
      <c r="Q517" t="inlineStr">
        <is>
          <t>Fila 115</t>
        </is>
      </c>
      <c r="R517" t="inlineStr">
        <is>
          <t>Alta</t>
        </is>
      </c>
      <c r="S517" t="inlineStr">
        <is>
          <t>SI</t>
        </is>
      </c>
      <c r="T517" t="inlineStr">
        <is>
          <t>Se detectó un comercio minorista; revisar esa partida</t>
        </is>
      </c>
    </row>
    <row r="518">
      <c r="A518" t="inlineStr">
        <is>
          <t>2026-03</t>
        </is>
      </c>
      <c r="B518" t="inlineStr">
        <is>
          <t>Estados Unidos</t>
        </is>
      </c>
      <c r="C518" t="inlineStr">
        <is>
          <t>USA</t>
        </is>
      </c>
      <c r="D518" t="inlineStr">
        <is>
          <t>USD</t>
        </is>
      </c>
      <c r="E518" t="inlineStr">
        <is>
          <t>PL-O-020</t>
        </is>
      </c>
      <c r="F518" t="inlineStr">
        <is>
          <t>Gastos de administración</t>
        </is>
      </c>
      <c r="G518" t="inlineStr">
        <is>
          <t>Honorarios y servicios profesionales</t>
        </is>
      </c>
      <c r="H518" t="inlineStr">
        <is>
          <t>Revisoría fiscal</t>
        </is>
      </c>
      <c r="I518" t="inlineStr">
        <is>
          <t>Paba Serje Mauricio</t>
        </is>
      </c>
      <c r="J518" s="41" t="n">
        <v>0</v>
      </c>
      <c r="K518" s="41" t="n">
        <v>2557.46</v>
      </c>
      <c r="L518" s="41" t="n">
        <v>0</v>
      </c>
      <c r="M518" s="41" t="n">
        <v>2557.46</v>
      </c>
      <c r="N518" s="41" t="n">
        <v>2557.46</v>
      </c>
      <c r="O518" s="41" t="n">
        <v>2557.46</v>
      </c>
      <c r="P518" t="inlineStr">
        <is>
          <t>Marzo 2026 USA.xlsx</t>
        </is>
      </c>
      <c r="Q518" t="inlineStr">
        <is>
          <t>Fila 119</t>
        </is>
      </c>
      <c r="R518" t="inlineStr">
        <is>
          <t>Alta</t>
        </is>
      </c>
      <c r="S518" t="inlineStr">
        <is>
          <t>NO</t>
        </is>
      </c>
      <c r="T518" t="inlineStr">
        <is>
          <t>Reclasificado desde ventas por su naturaleza administrativa</t>
        </is>
      </c>
    </row>
    <row r="519">
      <c r="A519" t="inlineStr">
        <is>
          <t>2026-03</t>
        </is>
      </c>
      <c r="B519" t="inlineStr">
        <is>
          <t>Estados Unidos</t>
        </is>
      </c>
      <c r="C519" t="inlineStr">
        <is>
          <t>USA</t>
        </is>
      </c>
      <c r="D519" t="inlineStr">
        <is>
          <t>USD</t>
        </is>
      </c>
      <c r="E519" t="inlineStr">
        <is>
          <t>PL-O-020</t>
        </is>
      </c>
      <c r="F519" t="inlineStr">
        <is>
          <t>Gastos de administración</t>
        </is>
      </c>
      <c r="G519" t="inlineStr">
        <is>
          <t>Honorarios y servicios profesionales</t>
        </is>
      </c>
      <c r="H519" t="inlineStr">
        <is>
          <t>Revisoría fiscal</t>
        </is>
      </c>
      <c r="I519" t="inlineStr">
        <is>
          <t>Paba Serje Mauricio</t>
        </is>
      </c>
      <c r="J519" s="41" t="n">
        <v>1500</v>
      </c>
      <c r="K519" s="41" t="n">
        <v>0</v>
      </c>
      <c r="L519" s="41" t="n">
        <v>0</v>
      </c>
      <c r="M519" s="41" t="n">
        <v>1500</v>
      </c>
      <c r="N519" s="41" t="n">
        <v>1500</v>
      </c>
      <c r="O519" s="41" t="n">
        <v>0</v>
      </c>
      <c r="P519" t="inlineStr">
        <is>
          <t>Marzo 2026 USA.xlsx</t>
        </is>
      </c>
      <c r="Q519" t="inlineStr">
        <is>
          <t>Fila 120</t>
        </is>
      </c>
      <c r="R519" t="inlineStr">
        <is>
          <t>Alta</t>
        </is>
      </c>
      <c r="S519" t="inlineStr">
        <is>
          <t>NO</t>
        </is>
      </c>
      <c r="T519" t="inlineStr">
        <is>
          <t>Reclasificado desde ventas por su naturaleza administrativa</t>
        </is>
      </c>
    </row>
    <row r="520">
      <c r="A520" t="inlineStr">
        <is>
          <t>2026-03</t>
        </is>
      </c>
      <c r="B520" t="inlineStr">
        <is>
          <t>Estados Unidos</t>
        </is>
      </c>
      <c r="C520" t="inlineStr">
        <is>
          <t>USA</t>
        </is>
      </c>
      <c r="D520" t="inlineStr">
        <is>
          <t>USD</t>
        </is>
      </c>
      <c r="E520" t="inlineStr">
        <is>
          <t>PL-S-020</t>
        </is>
      </c>
      <c r="F520" t="inlineStr">
        <is>
          <t>Gastos de ventas</t>
        </is>
      </c>
      <c r="G520" t="inlineStr">
        <is>
          <t>Mercadeo y publicidad</t>
        </is>
      </c>
      <c r="H520" t="inlineStr">
        <is>
          <t>Propaganda y publicidad</t>
        </is>
      </c>
      <c r="I520" t="inlineStr">
        <is>
          <t>Magnimindin</t>
        </is>
      </c>
      <c r="J520" s="41" t="n">
        <v>0</v>
      </c>
      <c r="K520" s="41" t="n">
        <v>400</v>
      </c>
      <c r="L520" s="41" t="n">
        <v>0</v>
      </c>
      <c r="M520" s="41" t="n">
        <v>400</v>
      </c>
      <c r="N520" s="41" t="n">
        <v>400</v>
      </c>
      <c r="O520" s="41" t="n">
        <v>400</v>
      </c>
      <c r="P520" t="inlineStr">
        <is>
          <t>Marzo 2026 USA.xlsx</t>
        </is>
      </c>
      <c r="Q520" t="inlineStr">
        <is>
          <t>Fila 123</t>
        </is>
      </c>
      <c r="R520" t="inlineStr">
        <is>
          <t>Alta</t>
        </is>
      </c>
      <c r="S520" t="inlineStr">
        <is>
          <t>NO</t>
        </is>
      </c>
      <c r="T520" t="inlineStr">
        <is>
          <t>Gasto comercial de publicidad</t>
        </is>
      </c>
    </row>
    <row r="521">
      <c r="A521" t="inlineStr">
        <is>
          <t>2026-03</t>
        </is>
      </c>
      <c r="B521" t="inlineStr">
        <is>
          <t>Estados Unidos</t>
        </is>
      </c>
      <c r="C521" t="inlineStr">
        <is>
          <t>USA</t>
        </is>
      </c>
      <c r="D521" t="inlineStr">
        <is>
          <t>USD</t>
        </is>
      </c>
      <c r="E521" t="inlineStr">
        <is>
          <t>PL-S-030</t>
        </is>
      </c>
      <c r="F521" t="inlineStr">
        <is>
          <t>Gastos de ventas</t>
        </is>
      </c>
      <c r="G521" t="inlineStr">
        <is>
          <t>Otros servicios comerciales</t>
        </is>
      </c>
      <c r="H521" t="inlineStr">
        <is>
          <t>Otros</t>
        </is>
      </c>
      <c r="I521" t="inlineStr">
        <is>
          <t>Tech + Startups Community</t>
        </is>
      </c>
      <c r="J521" s="41" t="n">
        <v>648</v>
      </c>
      <c r="K521" s="41" t="n">
        <v>0</v>
      </c>
      <c r="L521" s="41" t="n">
        <v>0</v>
      </c>
      <c r="M521" s="41" t="n">
        <v>648</v>
      </c>
      <c r="N521" s="41" t="n">
        <v>648</v>
      </c>
      <c r="O521" s="41" t="n">
        <v>0</v>
      </c>
      <c r="P521" t="inlineStr">
        <is>
          <t>Marzo 2026 USA.xlsx</t>
        </is>
      </c>
      <c r="Q521" t="inlineStr">
        <is>
          <t>Fila 125</t>
        </is>
      </c>
      <c r="R521" t="inlineStr">
        <is>
          <t>Media</t>
        </is>
      </c>
      <c r="S521" t="inlineStr">
        <is>
          <t>SI</t>
        </is>
      </c>
      <c r="T521" t="inlineStr">
        <is>
          <t>Cuenta genérica de servicios comerciales</t>
        </is>
      </c>
    </row>
    <row r="522">
      <c r="A522" t="inlineStr">
        <is>
          <t>2026-03</t>
        </is>
      </c>
      <c r="B522" t="inlineStr">
        <is>
          <t>Estados Unidos</t>
        </is>
      </c>
      <c r="C522" t="inlineStr">
        <is>
          <t>USA</t>
        </is>
      </c>
      <c r="D522" t="inlineStr">
        <is>
          <t>USD</t>
        </is>
      </c>
      <c r="E522" t="inlineStr">
        <is>
          <t>PL-F-010</t>
        </is>
      </c>
      <c r="F522" t="inlineStr">
        <is>
          <t>Gastos financieros</t>
        </is>
      </c>
      <c r="G522" t="inlineStr">
        <is>
          <t>Gastos financieros</t>
        </is>
      </c>
      <c r="H522" t="inlineStr">
        <is>
          <t>Comisiones</t>
        </is>
      </c>
      <c r="I522" t="inlineStr">
        <is>
          <t>STRIPE</t>
        </is>
      </c>
      <c r="J522" s="41" t="n">
        <v>5.22</v>
      </c>
      <c r="K522" s="41" t="n">
        <v>5.22</v>
      </c>
      <c r="L522" s="41" t="n">
        <v>0</v>
      </c>
      <c r="M522" s="41" t="n">
        <v>10.44</v>
      </c>
      <c r="N522" s="41" t="n">
        <v>10.44</v>
      </c>
      <c r="O522" s="41" t="n">
        <v>5.22</v>
      </c>
      <c r="P522" t="inlineStr">
        <is>
          <t>Marzo 2026 USA.xlsx</t>
        </is>
      </c>
      <c r="Q522" t="inlineStr">
        <is>
          <t>Fila 129</t>
        </is>
      </c>
      <c r="R522" t="inlineStr">
        <is>
          <t>Alta</t>
        </is>
      </c>
      <c r="S522" t="inlineStr">
        <is>
          <t>NO</t>
        </is>
      </c>
      <c r="T522" t="inlineStr">
        <is>
          <t>Comisiones financieras</t>
        </is>
      </c>
    </row>
    <row r="523">
      <c r="A523" t="inlineStr">
        <is>
          <t>2026-03</t>
        </is>
      </c>
      <c r="B523" t="inlineStr">
        <is>
          <t>Estados Unidos</t>
        </is>
      </c>
      <c r="C523" t="inlineStr">
        <is>
          <t>USA</t>
        </is>
      </c>
      <c r="D523" t="inlineStr">
        <is>
          <t>USD</t>
        </is>
      </c>
      <c r="E523" t="inlineStr">
        <is>
          <t>PL-F-010</t>
        </is>
      </c>
      <c r="F523" t="inlineStr">
        <is>
          <t>Gastos financieros</t>
        </is>
      </c>
      <c r="G523" t="inlineStr">
        <is>
          <t>Gastos financieros</t>
        </is>
      </c>
      <c r="H523" t="inlineStr">
        <is>
          <t>Comisiones</t>
        </is>
      </c>
      <c r="I523" t="inlineStr">
        <is>
          <t>Fundacion para la Confianza</t>
        </is>
      </c>
      <c r="J523" s="41" t="n">
        <v>0</v>
      </c>
      <c r="K523" s="41" t="n">
        <v>3.11</v>
      </c>
      <c r="L523" s="41" t="n">
        <v>0</v>
      </c>
      <c r="M523" s="41" t="n">
        <v>3.11</v>
      </c>
      <c r="N523" s="41" t="n">
        <v>3.11</v>
      </c>
      <c r="O523" s="41" t="n">
        <v>3.11</v>
      </c>
      <c r="P523" t="inlineStr">
        <is>
          <t>Marzo 2026 USA.xlsx</t>
        </is>
      </c>
      <c r="Q523" t="inlineStr">
        <is>
          <t>Fila 130</t>
        </is>
      </c>
      <c r="R523" t="inlineStr">
        <is>
          <t>Alta</t>
        </is>
      </c>
      <c r="S523" t="inlineStr">
        <is>
          <t>NO</t>
        </is>
      </c>
      <c r="T523" t="inlineStr">
        <is>
          <t>Comisiones financieras</t>
        </is>
      </c>
    </row>
    <row r="524">
      <c r="A524" t="inlineStr">
        <is>
          <t>2026-03</t>
        </is>
      </c>
      <c r="B524" t="inlineStr">
        <is>
          <t>Estados Unidos</t>
        </is>
      </c>
      <c r="C524" t="inlineStr">
        <is>
          <t>USA</t>
        </is>
      </c>
      <c r="D524" t="inlineStr">
        <is>
          <t>USD</t>
        </is>
      </c>
      <c r="E524" t="inlineStr">
        <is>
          <t>PL-F-010</t>
        </is>
      </c>
      <c r="F524" t="inlineStr">
        <is>
          <t>Gastos financieros</t>
        </is>
      </c>
      <c r="G524" t="inlineStr">
        <is>
          <t>Gastos financieros</t>
        </is>
      </c>
      <c r="H524" t="inlineStr">
        <is>
          <t>Comisiones</t>
        </is>
      </c>
      <c r="I524" t="inlineStr">
        <is>
          <t>ADP</t>
        </is>
      </c>
      <c r="J524" s="41" t="n">
        <v>152.85</v>
      </c>
      <c r="K524" s="41" t="n">
        <v>0</v>
      </c>
      <c r="L524" s="41" t="n">
        <v>0</v>
      </c>
      <c r="M524" s="41" t="n">
        <v>152.85</v>
      </c>
      <c r="N524" s="41" t="n">
        <v>152.85</v>
      </c>
      <c r="O524" s="41" t="n">
        <v>0</v>
      </c>
      <c r="P524" t="inlineStr">
        <is>
          <t>Marzo 2026 USA.xlsx</t>
        </is>
      </c>
      <c r="Q524" t="inlineStr">
        <is>
          <t>Fila 131</t>
        </is>
      </c>
      <c r="R524" t="inlineStr">
        <is>
          <t>Alta</t>
        </is>
      </c>
      <c r="S524" t="inlineStr">
        <is>
          <t>NO</t>
        </is>
      </c>
      <c r="T524" t="inlineStr">
        <is>
          <t>Comisiones financieras</t>
        </is>
      </c>
    </row>
    <row r="525">
      <c r="A525" t="inlineStr">
        <is>
          <t>2026-03</t>
        </is>
      </c>
      <c r="B525" t="inlineStr">
        <is>
          <t>Estados Unidos</t>
        </is>
      </c>
      <c r="C525" t="inlineStr">
        <is>
          <t>USA</t>
        </is>
      </c>
      <c r="D525" t="inlineStr">
        <is>
          <t>USD</t>
        </is>
      </c>
      <c r="E525" t="inlineStr">
        <is>
          <t>PL-F-010</t>
        </is>
      </c>
      <c r="F525" t="inlineStr">
        <is>
          <t>Gastos financieros</t>
        </is>
      </c>
      <c r="G525" t="inlineStr">
        <is>
          <t>Gastos financieros</t>
        </is>
      </c>
      <c r="H525" t="inlineStr">
        <is>
          <t>Comisiones</t>
        </is>
      </c>
      <c r="I525" t="inlineStr">
        <is>
          <t>MERCURY LLC</t>
        </is>
      </c>
      <c r="J525" s="41" t="n">
        <v>0.9</v>
      </c>
      <c r="K525" s="41" t="n">
        <v>0</v>
      </c>
      <c r="L525" s="41" t="n">
        <v>0</v>
      </c>
      <c r="M525" s="41" t="n">
        <v>0.9</v>
      </c>
      <c r="N525" s="41" t="n">
        <v>0.9</v>
      </c>
      <c r="O525" s="41" t="n">
        <v>0</v>
      </c>
      <c r="P525" t="inlineStr">
        <is>
          <t>Marzo 2026 USA.xlsx</t>
        </is>
      </c>
      <c r="Q525" t="inlineStr">
        <is>
          <t>Fila 132</t>
        </is>
      </c>
      <c r="R525" t="inlineStr">
        <is>
          <t>Alta</t>
        </is>
      </c>
      <c r="S525" t="inlineStr">
        <is>
          <t>NO</t>
        </is>
      </c>
      <c r="T525" t="inlineStr">
        <is>
          <t>Comisiones financieras</t>
        </is>
      </c>
    </row>
    <row r="526">
      <c r="A526" t="inlineStr">
        <is>
          <t>2026-05</t>
        </is>
      </c>
      <c r="B526" t="inlineStr">
        <is>
          <t>Costa Rica</t>
        </is>
      </c>
      <c r="C526" t="inlineStr">
        <is>
          <t>CR</t>
        </is>
      </c>
      <c r="D526" t="inlineStr">
        <is>
          <t>USD</t>
        </is>
      </c>
      <c r="E526" t="inlineStr">
        <is>
          <t>PL-O-010</t>
        </is>
      </c>
      <c r="F526" t="inlineStr">
        <is>
          <t>Gastos de administración</t>
        </is>
      </c>
      <c r="G526" t="inlineStr">
        <is>
          <t>Gastos de personal</t>
        </is>
      </c>
      <c r="H526" t="inlineStr">
        <is>
          <t>Sueldos</t>
        </is>
      </c>
      <c r="I526" t="inlineStr">
        <is>
          <t>NARANJO BUSTOS MARIAM</t>
        </is>
      </c>
      <c r="J526" s="41" t="n">
        <v>4800</v>
      </c>
      <c r="K526" s="41" t="n">
        <v>600</v>
      </c>
      <c r="L526" s="41" t="n">
        <v>0</v>
      </c>
      <c r="M526" s="41" t="n">
        <v>5400</v>
      </c>
      <c r="N526" s="41" t="n">
        <v>5400</v>
      </c>
      <c r="O526" s="41" t="n">
        <v>600</v>
      </c>
      <c r="P526" t="inlineStr">
        <is>
          <t>Mayo 2026 CR.xlsx</t>
        </is>
      </c>
      <c r="Q526" t="inlineStr">
        <is>
          <t>Fila 28</t>
        </is>
      </c>
      <c r="R526" t="inlineStr">
        <is>
          <t>Alta</t>
        </is>
      </c>
      <c r="S526" t="inlineStr">
        <is>
          <t>NO</t>
        </is>
      </c>
      <c r="T526" t="inlineStr">
        <is>
          <t>Remuneración laboral</t>
        </is>
      </c>
    </row>
    <row r="527">
      <c r="A527" t="inlineStr">
        <is>
          <t>2026-05</t>
        </is>
      </c>
      <c r="B527" t="inlineStr">
        <is>
          <t>Costa Rica</t>
        </is>
      </c>
      <c r="C527" t="inlineStr">
        <is>
          <t>CR</t>
        </is>
      </c>
      <c r="D527" t="inlineStr">
        <is>
          <t>USD</t>
        </is>
      </c>
      <c r="E527" t="inlineStr">
        <is>
          <t>PL-O-090</t>
        </is>
      </c>
      <c r="F527" t="inlineStr">
        <is>
          <t>Gastos de administración</t>
        </is>
      </c>
      <c r="G527" t="inlineStr">
        <is>
          <t>Viajes y representación</t>
        </is>
      </c>
      <c r="H527" t="inlineStr">
        <is>
          <t>Viáticos</t>
        </is>
      </c>
      <c r="J527" s="41" t="n">
        <v>1200</v>
      </c>
      <c r="K527" s="41" t="n">
        <v>300</v>
      </c>
      <c r="L527" s="41" t="n">
        <v>0</v>
      </c>
      <c r="M527" s="41" t="n">
        <v>1500</v>
      </c>
      <c r="N527" s="41" t="n">
        <v>1500</v>
      </c>
      <c r="O527" s="41" t="n">
        <v>300</v>
      </c>
      <c r="P527" t="inlineStr">
        <is>
          <t>Mayo 2026 CR.xlsx</t>
        </is>
      </c>
      <c r="Q527" t="inlineStr">
        <is>
          <t>Fila 30</t>
        </is>
      </c>
      <c r="R527" t="inlineStr">
        <is>
          <t>Alta</t>
        </is>
      </c>
      <c r="S527" t="inlineStr">
        <is>
          <t>NO</t>
        </is>
      </c>
      <c r="T527" t="inlineStr">
        <is>
          <t>Viáticos administrativos</t>
        </is>
      </c>
    </row>
    <row r="528">
      <c r="A528" t="inlineStr">
        <is>
          <t>2026-05</t>
        </is>
      </c>
      <c r="B528" t="inlineStr">
        <is>
          <t>Costa Rica</t>
        </is>
      </c>
      <c r="C528" t="inlineStr">
        <is>
          <t>CR</t>
        </is>
      </c>
      <c r="D528" t="inlineStr">
        <is>
          <t>USD</t>
        </is>
      </c>
      <c r="E528" t="inlineStr">
        <is>
          <t>PL-O-010</t>
        </is>
      </c>
      <c r="F528" t="inlineStr">
        <is>
          <t>Gastos de administración</t>
        </is>
      </c>
      <c r="G528" t="inlineStr">
        <is>
          <t>Gastos de personal</t>
        </is>
      </c>
      <c r="H528" t="inlineStr">
        <is>
          <t>Prestaciones sociales</t>
        </is>
      </c>
      <c r="I528" t="inlineStr">
        <is>
          <t>NARANJO BUSTOS MARIAM</t>
        </is>
      </c>
      <c r="J528" s="41" t="n">
        <v>1612.37</v>
      </c>
      <c r="K528" s="41" t="n">
        <v>400</v>
      </c>
      <c r="L528" s="41" t="n">
        <v>0</v>
      </c>
      <c r="M528" s="41" t="n">
        <v>2012.37</v>
      </c>
      <c r="N528" s="41" t="n">
        <v>2012.37</v>
      </c>
      <c r="O528" s="41" t="n">
        <v>400</v>
      </c>
      <c r="P528" t="inlineStr">
        <is>
          <t>Mayo 2026 CR.xlsx</t>
        </is>
      </c>
      <c r="Q528" t="inlineStr">
        <is>
          <t>Fila 32</t>
        </is>
      </c>
      <c r="R528" t="inlineStr">
        <is>
          <t>Alta</t>
        </is>
      </c>
      <c r="S528" t="inlineStr">
        <is>
          <t>NO</t>
        </is>
      </c>
      <c r="T528" t="inlineStr">
        <is>
          <t>Prestaciones laborales</t>
        </is>
      </c>
    </row>
    <row r="529">
      <c r="A529" t="inlineStr">
        <is>
          <t>2026-05</t>
        </is>
      </c>
      <c r="B529" t="inlineStr">
        <is>
          <t>Costa Rica</t>
        </is>
      </c>
      <c r="C529" t="inlineStr">
        <is>
          <t>CR</t>
        </is>
      </c>
      <c r="D529" t="inlineStr">
        <is>
          <t>USD</t>
        </is>
      </c>
      <c r="E529" t="inlineStr">
        <is>
          <t>PL-O-020</t>
        </is>
      </c>
      <c r="F529" t="inlineStr">
        <is>
          <t>Gastos de administración</t>
        </is>
      </c>
      <c r="G529" t="inlineStr">
        <is>
          <t>Honorarios y servicios profesionales</t>
        </is>
      </c>
      <c r="H529" t="inlineStr">
        <is>
          <t>Asesoría jurídica</t>
        </is>
      </c>
      <c r="I529" t="inlineStr">
        <is>
          <t>MUÑOZ CHACON FRANCISCO JAVIER</t>
        </is>
      </c>
      <c r="J529" s="41" t="n">
        <v>270.35</v>
      </c>
      <c r="K529" s="41" t="n">
        <v>0</v>
      </c>
      <c r="L529" s="41" t="n">
        <v>0</v>
      </c>
      <c r="M529" s="41" t="n">
        <v>270.35</v>
      </c>
      <c r="N529" s="41" t="n">
        <v>270.35</v>
      </c>
      <c r="O529" s="41" t="n">
        <v>0</v>
      </c>
      <c r="P529" t="inlineStr">
        <is>
          <t>Mayo 2026 CR.xlsx</t>
        </is>
      </c>
      <c r="Q529" t="inlineStr">
        <is>
          <t>Fila 35</t>
        </is>
      </c>
      <c r="R529" t="inlineStr">
        <is>
          <t>Alta</t>
        </is>
      </c>
      <c r="S529" t="inlineStr">
        <is>
          <t>NO</t>
        </is>
      </c>
      <c r="T529" t="inlineStr">
        <is>
          <t>Servicio profesional jurídico</t>
        </is>
      </c>
    </row>
    <row r="530">
      <c r="A530" t="inlineStr">
        <is>
          <t>2026-05</t>
        </is>
      </c>
      <c r="B530" t="inlineStr">
        <is>
          <t>Costa Rica</t>
        </is>
      </c>
      <c r="C530" t="inlineStr">
        <is>
          <t>CR</t>
        </is>
      </c>
      <c r="D530" t="inlineStr">
        <is>
          <t>USD</t>
        </is>
      </c>
      <c r="E530" t="inlineStr">
        <is>
          <t>PL-O-030</t>
        </is>
      </c>
      <c r="F530" t="inlineStr">
        <is>
          <t>Gastos de administración</t>
        </is>
      </c>
      <c r="G530" t="inlineStr">
        <is>
          <t>Impuestos y contribuciones</t>
        </is>
      </c>
      <c r="H530" t="inlineStr">
        <is>
          <t>Industria, comercio y otros</t>
        </is>
      </c>
      <c r="I530" t="inlineStr">
        <is>
          <t>MINISTERIO DE HACIENDA</t>
        </is>
      </c>
      <c r="J530" s="41" t="n">
        <v>252.73</v>
      </c>
      <c r="K530" s="41" t="n">
        <v>0</v>
      </c>
      <c r="L530" s="41" t="n">
        <v>0</v>
      </c>
      <c r="M530" s="41" t="n">
        <v>252.73</v>
      </c>
      <c r="N530" s="41" t="n">
        <v>252.73</v>
      </c>
      <c r="O530" s="41" t="n">
        <v>0</v>
      </c>
      <c r="P530" t="inlineStr">
        <is>
          <t>Mayo 2026 CR.xlsx</t>
        </is>
      </c>
      <c r="Q530" t="inlineStr">
        <is>
          <t>Fila 38</t>
        </is>
      </c>
      <c r="R530" t="inlineStr">
        <is>
          <t>Alta</t>
        </is>
      </c>
      <c r="S530" t="inlineStr">
        <is>
          <t>NO</t>
        </is>
      </c>
      <c r="T530" t="inlineStr">
        <is>
          <t>Impuestos no asociados a renta</t>
        </is>
      </c>
    </row>
    <row r="531">
      <c r="A531" t="inlineStr">
        <is>
          <t>2026-05</t>
        </is>
      </c>
      <c r="B531" t="inlineStr">
        <is>
          <t>Costa Rica</t>
        </is>
      </c>
      <c r="C531" t="inlineStr">
        <is>
          <t>CR</t>
        </is>
      </c>
      <c r="D531" t="inlineStr">
        <is>
          <t>USD</t>
        </is>
      </c>
      <c r="E531" t="inlineStr">
        <is>
          <t>PL-O-030</t>
        </is>
      </c>
      <c r="F531" t="inlineStr">
        <is>
          <t>Gastos de administración</t>
        </is>
      </c>
      <c r="G531" t="inlineStr">
        <is>
          <t>Impuestos y contribuciones</t>
        </is>
      </c>
      <c r="H531" t="inlineStr">
        <is>
          <t>Industria, comercio y otros</t>
        </is>
      </c>
      <c r="I531" t="inlineStr">
        <is>
          <t>MINISTERIO DE HACIENDA</t>
        </is>
      </c>
      <c r="J531" s="41" t="n">
        <v>142.19</v>
      </c>
      <c r="K531" s="41" t="n">
        <v>0</v>
      </c>
      <c r="L531" s="41" t="n">
        <v>0</v>
      </c>
      <c r="M531" s="41" t="n">
        <v>142.19</v>
      </c>
      <c r="N531" s="41" t="n">
        <v>142.19</v>
      </c>
      <c r="O531" s="41" t="n">
        <v>0</v>
      </c>
      <c r="P531" t="inlineStr">
        <is>
          <t>Mayo 2026 CR.xlsx</t>
        </is>
      </c>
      <c r="Q531" t="inlineStr">
        <is>
          <t>Fila 39</t>
        </is>
      </c>
      <c r="R531" t="inlineStr">
        <is>
          <t>Alta</t>
        </is>
      </c>
      <c r="S531" t="inlineStr">
        <is>
          <t>NO</t>
        </is>
      </c>
      <c r="T531" t="inlineStr">
        <is>
          <t>Impuestos no asociados a renta</t>
        </is>
      </c>
    </row>
    <row r="532">
      <c r="A532" t="inlineStr">
        <is>
          <t>2026-05</t>
        </is>
      </c>
      <c r="B532" t="inlineStr">
        <is>
          <t>Costa Rica</t>
        </is>
      </c>
      <c r="C532" t="inlineStr">
        <is>
          <t>CR</t>
        </is>
      </c>
      <c r="D532" t="inlineStr">
        <is>
          <t>USD</t>
        </is>
      </c>
      <c r="E532" t="inlineStr">
        <is>
          <t>PL-O-030</t>
        </is>
      </c>
      <c r="F532" t="inlineStr">
        <is>
          <t>Gastos de administración</t>
        </is>
      </c>
      <c r="G532" t="inlineStr">
        <is>
          <t>Impuestos y contribuciones</t>
        </is>
      </c>
      <c r="H532" t="inlineStr">
        <is>
          <t>Contribuciones y afiliaciones</t>
        </is>
      </c>
      <c r="I532" t="inlineStr">
        <is>
          <t>MINISTERIO DE SALUD</t>
        </is>
      </c>
      <c r="J532" s="41" t="n">
        <v>64.79000000000001</v>
      </c>
      <c r="K532" s="41" t="n">
        <v>0</v>
      </c>
      <c r="L532" s="41" t="n">
        <v>0</v>
      </c>
      <c r="M532" s="41" t="n">
        <v>64.79000000000001</v>
      </c>
      <c r="N532" s="41" t="n">
        <v>64.79000000000001</v>
      </c>
      <c r="O532" s="41" t="n">
        <v>0</v>
      </c>
      <c r="P532" t="inlineStr">
        <is>
          <t>Mayo 2026 CR.xlsx</t>
        </is>
      </c>
      <c r="Q532" t="inlineStr">
        <is>
          <t>Fila 42</t>
        </is>
      </c>
      <c r="R532" t="inlineStr">
        <is>
          <t>Alta</t>
        </is>
      </c>
      <c r="S532" t="inlineStr">
        <is>
          <t>NO</t>
        </is>
      </c>
      <c r="T532" t="inlineStr">
        <is>
          <t>Contribuciones</t>
        </is>
      </c>
    </row>
    <row r="533">
      <c r="A533" t="inlineStr">
        <is>
          <t>2026-05</t>
        </is>
      </c>
      <c r="B533" t="inlineStr">
        <is>
          <t>Costa Rica</t>
        </is>
      </c>
      <c r="C533" t="inlineStr">
        <is>
          <t>CR</t>
        </is>
      </c>
      <c r="D533" t="inlineStr">
        <is>
          <t>USD</t>
        </is>
      </c>
      <c r="E533" t="inlineStr">
        <is>
          <t>PL-O-050</t>
        </is>
      </c>
      <c r="F533" t="inlineStr">
        <is>
          <t>Gastos de administración</t>
        </is>
      </c>
      <c r="G533" t="inlineStr">
        <is>
          <t>Seguros</t>
        </is>
      </c>
      <c r="H533" t="inlineStr">
        <is>
          <t>Otros seguros</t>
        </is>
      </c>
      <c r="I533" t="inlineStr">
        <is>
          <t>RADIOGRAFICA COSTARRICENSE SA</t>
        </is>
      </c>
      <c r="J533" s="41" t="n">
        <v>9205.719999999999</v>
      </c>
      <c r="K533" s="41" t="n">
        <v>0</v>
      </c>
      <c r="L533" s="41" t="n">
        <v>0</v>
      </c>
      <c r="M533" s="41" t="n">
        <v>9205.719999999999</v>
      </c>
      <c r="N533" s="41" t="n">
        <v>9205.719999999999</v>
      </c>
      <c r="O533" s="41" t="n">
        <v>0</v>
      </c>
      <c r="P533" t="inlineStr">
        <is>
          <t>Mayo 2026 CR.xlsx</t>
        </is>
      </c>
      <c r="Q533" t="inlineStr">
        <is>
          <t>Fila 45</t>
        </is>
      </c>
      <c r="R533" t="inlineStr">
        <is>
          <t>Media</t>
        </is>
      </c>
      <c r="S533" t="inlineStr">
        <is>
          <t>SI</t>
        </is>
      </c>
      <c r="T533" t="inlineStr">
        <is>
          <t>Cuenta fuente de seguros con descripción genérica</t>
        </is>
      </c>
    </row>
    <row r="534">
      <c r="A534" t="inlineStr">
        <is>
          <t>2026-05</t>
        </is>
      </c>
      <c r="B534" t="inlineStr">
        <is>
          <t>Costa Rica</t>
        </is>
      </c>
      <c r="C534" t="inlineStr">
        <is>
          <t>CR</t>
        </is>
      </c>
      <c r="D534" t="inlineStr">
        <is>
          <t>USD</t>
        </is>
      </c>
      <c r="E534" t="inlineStr">
        <is>
          <t>PL-O-050</t>
        </is>
      </c>
      <c r="F534" t="inlineStr">
        <is>
          <t>Gastos de administración</t>
        </is>
      </c>
      <c r="G534" t="inlineStr">
        <is>
          <t>Seguros</t>
        </is>
      </c>
      <c r="H534" t="inlineStr">
        <is>
          <t>Otros seguros</t>
        </is>
      </c>
      <c r="I534" t="inlineStr">
        <is>
          <t>SEGUROS INS</t>
        </is>
      </c>
      <c r="J534" s="41" t="n">
        <v>70.81</v>
      </c>
      <c r="K534" s="41" t="n">
        <v>0</v>
      </c>
      <c r="L534" s="41" t="n">
        <v>0</v>
      </c>
      <c r="M534" s="41" t="n">
        <v>70.81</v>
      </c>
      <c r="N534" s="41" t="n">
        <v>70.81</v>
      </c>
      <c r="O534" s="41" t="n">
        <v>0</v>
      </c>
      <c r="P534" t="inlineStr">
        <is>
          <t>Mayo 2026 CR.xlsx</t>
        </is>
      </c>
      <c r="Q534" t="inlineStr">
        <is>
          <t>Fila 46</t>
        </is>
      </c>
      <c r="R534" t="inlineStr">
        <is>
          <t>Media</t>
        </is>
      </c>
      <c r="S534" t="inlineStr">
        <is>
          <t>SI</t>
        </is>
      </c>
      <c r="T534" t="inlineStr">
        <is>
          <t>Cuenta fuente de seguros con descripción genérica</t>
        </is>
      </c>
    </row>
    <row r="535">
      <c r="A535" t="inlineStr">
        <is>
          <t>2026-05</t>
        </is>
      </c>
      <c r="B535" t="inlineStr">
        <is>
          <t>Costa Rica</t>
        </is>
      </c>
      <c r="C535" t="inlineStr">
        <is>
          <t>CR</t>
        </is>
      </c>
      <c r="D535" t="inlineStr">
        <is>
          <t>USD</t>
        </is>
      </c>
      <c r="E535" t="inlineStr">
        <is>
          <t>PL-O-060</t>
        </is>
      </c>
      <c r="F535" t="inlineStr">
        <is>
          <t>Gastos de administración</t>
        </is>
      </c>
      <c r="G535" t="inlineStr">
        <is>
          <t>Tecnología y procesamiento de datos</t>
        </is>
      </c>
      <c r="H535" t="inlineStr">
        <is>
          <t>Plataformas y software</t>
        </is>
      </c>
      <c r="I535" t="inlineStr">
        <is>
          <t>CAJA COSTARRICENSE DE SEGURO SOCIAL</t>
        </is>
      </c>
      <c r="J535" s="41" t="n">
        <v>57.71</v>
      </c>
      <c r="K535" s="41" t="n">
        <v>57.8</v>
      </c>
      <c r="L535" s="41" t="n">
        <v>0</v>
      </c>
      <c r="M535" s="41" t="n">
        <v>115.51</v>
      </c>
      <c r="N535" s="41" t="n">
        <v>115.51</v>
      </c>
      <c r="O535" s="41" t="n">
        <v>57.8</v>
      </c>
      <c r="P535" t="inlineStr">
        <is>
          <t>Mayo 2026 CR.xlsx</t>
        </is>
      </c>
      <c r="Q535" t="inlineStr">
        <is>
          <t>Fila 49</t>
        </is>
      </c>
      <c r="R535" t="inlineStr">
        <is>
          <t>Alta</t>
        </is>
      </c>
      <c r="S535" t="inlineStr">
        <is>
          <t>SI</t>
        </is>
      </c>
      <c r="T535" t="inlineStr">
        <is>
          <t>Revisar proveedores de telecomunicaciones registrados aquí</t>
        </is>
      </c>
    </row>
    <row r="536">
      <c r="A536" t="inlineStr">
        <is>
          <t>2026-05</t>
        </is>
      </c>
      <c r="B536" t="inlineStr">
        <is>
          <t>Costa Rica</t>
        </is>
      </c>
      <c r="C536" t="inlineStr">
        <is>
          <t>CR</t>
        </is>
      </c>
      <c r="D536" t="inlineStr">
        <is>
          <t>USD</t>
        </is>
      </c>
      <c r="E536" t="inlineStr">
        <is>
          <t>PL-O-110</t>
        </is>
      </c>
      <c r="F536" t="inlineStr">
        <is>
          <t>Gastos de administración</t>
        </is>
      </c>
      <c r="G536" t="inlineStr">
        <is>
          <t>Suministros y oficina</t>
        </is>
      </c>
      <c r="H536" t="inlineStr">
        <is>
          <t>Útiles, papelería y fotocopias</t>
        </is>
      </c>
      <c r="I536" t="inlineStr">
        <is>
          <t>FERRETERIA EPA S.A.</t>
        </is>
      </c>
      <c r="J536" s="41" t="n">
        <v>39.61</v>
      </c>
      <c r="K536" s="41" t="n">
        <v>0</v>
      </c>
      <c r="L536" s="41" t="n">
        <v>0</v>
      </c>
      <c r="M536" s="41" t="n">
        <v>39.61</v>
      </c>
      <c r="N536" s="41" t="n">
        <v>39.61</v>
      </c>
      <c r="O536" s="41" t="n">
        <v>0</v>
      </c>
      <c r="P536" t="inlineStr">
        <is>
          <t>Mayo 2026 CR.xlsx</t>
        </is>
      </c>
      <c r="Q536" t="inlineStr">
        <is>
          <t>Fila 52</t>
        </is>
      </c>
      <c r="R536" t="inlineStr">
        <is>
          <t>Alta</t>
        </is>
      </c>
      <c r="S536" t="inlineStr">
        <is>
          <t>NO</t>
        </is>
      </c>
      <c r="T536" t="inlineStr">
        <is>
          <t>Suministros de oficina</t>
        </is>
      </c>
    </row>
    <row r="537">
      <c r="A537" t="inlineStr">
        <is>
          <t>2026-05</t>
        </is>
      </c>
      <c r="B537" t="inlineStr">
        <is>
          <t>Costa Rica</t>
        </is>
      </c>
      <c r="C537" t="inlineStr">
        <is>
          <t>CR</t>
        </is>
      </c>
      <c r="D537" t="inlineStr">
        <is>
          <t>USD</t>
        </is>
      </c>
      <c r="E537" t="inlineStr">
        <is>
          <t>PL-O-110</t>
        </is>
      </c>
      <c r="F537" t="inlineStr">
        <is>
          <t>Gastos de administración</t>
        </is>
      </c>
      <c r="G537" t="inlineStr">
        <is>
          <t>Suministros y oficina</t>
        </is>
      </c>
      <c r="H537" t="inlineStr">
        <is>
          <t>Útiles, papelería y fotocopias</t>
        </is>
      </c>
      <c r="I537" t="inlineStr">
        <is>
          <t>ISTORE SAN PEDRO</t>
        </is>
      </c>
      <c r="J537" s="41" t="n">
        <v>74.31</v>
      </c>
      <c r="K537" s="41" t="n">
        <v>0</v>
      </c>
      <c r="L537" s="41" t="n">
        <v>0</v>
      </c>
      <c r="M537" s="41" t="n">
        <v>74.31</v>
      </c>
      <c r="N537" s="41" t="n">
        <v>74.31</v>
      </c>
      <c r="O537" s="41" t="n">
        <v>0</v>
      </c>
      <c r="P537" t="inlineStr">
        <is>
          <t>Mayo 2026 CR.xlsx</t>
        </is>
      </c>
      <c r="Q537" t="inlineStr">
        <is>
          <t>Fila 53</t>
        </is>
      </c>
      <c r="R537" t="inlineStr">
        <is>
          <t>Alta</t>
        </is>
      </c>
      <c r="S537" t="inlineStr">
        <is>
          <t>NO</t>
        </is>
      </c>
      <c r="T537" t="inlineStr">
        <is>
          <t>Suministros de oficina</t>
        </is>
      </c>
    </row>
    <row r="538">
      <c r="A538" t="inlineStr">
        <is>
          <t>2026-05</t>
        </is>
      </c>
      <c r="B538" t="inlineStr">
        <is>
          <t>Costa Rica</t>
        </is>
      </c>
      <c r="C538" t="inlineStr">
        <is>
          <t>CR</t>
        </is>
      </c>
      <c r="D538" t="inlineStr">
        <is>
          <t>USD</t>
        </is>
      </c>
      <c r="E538" t="inlineStr">
        <is>
          <t>PL-O-110</t>
        </is>
      </c>
      <c r="F538" t="inlineStr">
        <is>
          <t>Gastos de administración</t>
        </is>
      </c>
      <c r="G538" t="inlineStr">
        <is>
          <t>Suministros y oficina</t>
        </is>
      </c>
      <c r="H538" t="inlineStr">
        <is>
          <t>Útiles, papelería y fotocopias</t>
        </is>
      </c>
      <c r="I538" t="inlineStr">
        <is>
          <t>MUNDO TECNOLOGIA</t>
        </is>
      </c>
      <c r="J538" s="41" t="n">
        <v>15</v>
      </c>
      <c r="K538" s="41" t="n">
        <v>0</v>
      </c>
      <c r="L538" s="41" t="n">
        <v>0</v>
      </c>
      <c r="M538" s="41" t="n">
        <v>15</v>
      </c>
      <c r="N538" s="41" t="n">
        <v>15</v>
      </c>
      <c r="O538" s="41" t="n">
        <v>0</v>
      </c>
      <c r="P538" t="inlineStr">
        <is>
          <t>Mayo 2026 CR.xlsx</t>
        </is>
      </c>
      <c r="Q538" t="inlineStr">
        <is>
          <t>Fila 54</t>
        </is>
      </c>
      <c r="R538" t="inlineStr">
        <is>
          <t>Alta</t>
        </is>
      </c>
      <c r="S538" t="inlineStr">
        <is>
          <t>NO</t>
        </is>
      </c>
      <c r="T538" t="inlineStr">
        <is>
          <t>Suministros de oficina</t>
        </is>
      </c>
    </row>
    <row r="539">
      <c r="A539" t="inlineStr">
        <is>
          <t>2026-05</t>
        </is>
      </c>
      <c r="B539" t="inlineStr">
        <is>
          <t>Costa Rica</t>
        </is>
      </c>
      <c r="C539" t="inlineStr">
        <is>
          <t>CR</t>
        </is>
      </c>
      <c r="D539" t="inlineStr">
        <is>
          <t>USD</t>
        </is>
      </c>
      <c r="E539" t="inlineStr">
        <is>
          <t>PL-O-110</t>
        </is>
      </c>
      <c r="F539" t="inlineStr">
        <is>
          <t>Gastos de administración</t>
        </is>
      </c>
      <c r="G539" t="inlineStr">
        <is>
          <t>Suministros y oficina</t>
        </is>
      </c>
      <c r="H539" t="inlineStr">
        <is>
          <t>Útiles, papelería y fotocopias</t>
        </is>
      </c>
      <c r="I539" t="inlineStr">
        <is>
          <t>REGISTRO NACIONAL REPUBLICA DE COSTA RICA</t>
        </is>
      </c>
      <c r="J539" s="41" t="n">
        <v>7</v>
      </c>
      <c r="K539" s="41" t="n">
        <v>0</v>
      </c>
      <c r="L539" s="41" t="n">
        <v>0</v>
      </c>
      <c r="M539" s="41" t="n">
        <v>7</v>
      </c>
      <c r="N539" s="41" t="n">
        <v>7</v>
      </c>
      <c r="O539" s="41" t="n">
        <v>0</v>
      </c>
      <c r="P539" t="inlineStr">
        <is>
          <t>Mayo 2026 CR.xlsx</t>
        </is>
      </c>
      <c r="Q539" t="inlineStr">
        <is>
          <t>Fila 55</t>
        </is>
      </c>
      <c r="R539" t="inlineStr">
        <is>
          <t>Alta</t>
        </is>
      </c>
      <c r="S539" t="inlineStr">
        <is>
          <t>NO</t>
        </is>
      </c>
      <c r="T539" t="inlineStr">
        <is>
          <t>Suministros de oficina</t>
        </is>
      </c>
    </row>
    <row r="540">
      <c r="A540" t="inlineStr">
        <is>
          <t>2026-05</t>
        </is>
      </c>
      <c r="B540" t="inlineStr">
        <is>
          <t>Costa Rica</t>
        </is>
      </c>
      <c r="C540" t="inlineStr">
        <is>
          <t>CR</t>
        </is>
      </c>
      <c r="D540" t="inlineStr">
        <is>
          <t>USD</t>
        </is>
      </c>
      <c r="E540" t="inlineStr">
        <is>
          <t>PL-F-010</t>
        </is>
      </c>
      <c r="F540" t="inlineStr">
        <is>
          <t>Gastos financieros</t>
        </is>
      </c>
      <c r="G540" t="inlineStr">
        <is>
          <t>Gastos financieros</t>
        </is>
      </c>
      <c r="H540" t="inlineStr">
        <is>
          <t>Gastos bancarios</t>
        </is>
      </c>
      <c r="I540" t="inlineStr">
        <is>
          <t>BAC CREDOMATIC</t>
        </is>
      </c>
      <c r="J540" s="41" t="n">
        <v>120</v>
      </c>
      <c r="K540" s="41" t="n">
        <v>30</v>
      </c>
      <c r="L540" s="41" t="n">
        <v>0</v>
      </c>
      <c r="M540" s="41" t="n">
        <v>150</v>
      </c>
      <c r="N540" s="41" t="n">
        <v>150</v>
      </c>
      <c r="O540" s="41" t="n">
        <v>30</v>
      </c>
      <c r="P540" t="inlineStr">
        <is>
          <t>Mayo 2026 CR.xlsx</t>
        </is>
      </c>
      <c r="Q540" t="inlineStr">
        <is>
          <t>Fila 59</t>
        </is>
      </c>
      <c r="R540" t="inlineStr">
        <is>
          <t>Alta</t>
        </is>
      </c>
      <c r="S540" t="inlineStr">
        <is>
          <t>NO</t>
        </is>
      </c>
      <c r="T540" t="inlineStr">
        <is>
          <t>Costo financiero bancario</t>
        </is>
      </c>
    </row>
    <row r="541">
      <c r="A541" t="inlineStr">
        <is>
          <t>2026-05</t>
        </is>
      </c>
      <c r="B541" t="inlineStr">
        <is>
          <t>Costa Rica</t>
        </is>
      </c>
      <c r="C541" t="inlineStr">
        <is>
          <t>CR</t>
        </is>
      </c>
      <c r="D541" t="inlineStr">
        <is>
          <t>USD</t>
        </is>
      </c>
      <c r="E541" t="inlineStr">
        <is>
          <t>PL-F-010</t>
        </is>
      </c>
      <c r="F541" t="inlineStr">
        <is>
          <t>Gastos financieros</t>
        </is>
      </c>
      <c r="G541" t="inlineStr">
        <is>
          <t>Gastos financieros</t>
        </is>
      </c>
      <c r="H541" t="inlineStr">
        <is>
          <t>Gastos bancarios</t>
        </is>
      </c>
      <c r="I541" t="inlineStr">
        <is>
          <t>BAC CREDOMATIC</t>
        </is>
      </c>
      <c r="J541" s="41" t="n">
        <v>0</v>
      </c>
      <c r="K541" s="41" t="n">
        <v>6</v>
      </c>
      <c r="L541" s="41" t="n">
        <v>0</v>
      </c>
      <c r="M541" s="41" t="n">
        <v>6</v>
      </c>
      <c r="N541" s="41" t="n">
        <v>6</v>
      </c>
      <c r="O541" s="41" t="n">
        <v>6</v>
      </c>
      <c r="P541" t="inlineStr">
        <is>
          <t>Mayo 2026 CR.xlsx</t>
        </is>
      </c>
      <c r="Q541" t="inlineStr">
        <is>
          <t>Fila 60</t>
        </is>
      </c>
      <c r="R541" t="inlineStr">
        <is>
          <t>Alta</t>
        </is>
      </c>
      <c r="S541" t="inlineStr">
        <is>
          <t>NO</t>
        </is>
      </c>
      <c r="T541" t="inlineStr">
        <is>
          <t>Costo financiero bancario</t>
        </is>
      </c>
    </row>
    <row r="542">
      <c r="A542" t="inlineStr">
        <is>
          <t>2026-05</t>
        </is>
      </c>
      <c r="B542" t="inlineStr">
        <is>
          <t>Peru</t>
        </is>
      </c>
      <c r="C542" t="inlineStr">
        <is>
          <t>PERU</t>
        </is>
      </c>
      <c r="D542" t="inlineStr">
        <is>
          <t>PEN</t>
        </is>
      </c>
      <c r="E542" t="inlineStr">
        <is>
          <t>PL-R-010</t>
        </is>
      </c>
      <c r="F542" t="inlineStr">
        <is>
          <t>Ingresos operacionales</t>
        </is>
      </c>
      <c r="G542" t="inlineStr">
        <is>
          <t>Ingresos por servicios</t>
        </is>
      </c>
      <c r="H542" t="inlineStr">
        <is>
          <t>Software y agendamiento</t>
        </is>
      </c>
      <c r="I542" t="inlineStr">
        <is>
          <t>IMPLEMENTACION- EXCLUIDA</t>
        </is>
      </c>
      <c r="J542" s="41" t="n">
        <v>-1808.92</v>
      </c>
      <c r="K542" s="41" t="n">
        <v>0</v>
      </c>
      <c r="L542" s="41" t="n">
        <v>0</v>
      </c>
      <c r="M542" s="41" t="n">
        <v>-1808.92</v>
      </c>
      <c r="N542" s="41" t="n">
        <v>1808.92</v>
      </c>
      <c r="O542" s="41" t="n">
        <v>0</v>
      </c>
      <c r="P542" t="inlineStr">
        <is>
          <t>Mayo 2026 PERU.xlsx</t>
        </is>
      </c>
      <c r="Q542" t="inlineStr">
        <is>
          <t>Fila 40</t>
        </is>
      </c>
      <c r="R542" t="inlineStr">
        <is>
          <t>Alta</t>
        </is>
      </c>
      <c r="S542" t="inlineStr">
        <is>
          <t>NO</t>
        </is>
      </c>
      <c r="T542" t="inlineStr">
        <is>
          <t>Ingreso operacional principal</t>
        </is>
      </c>
    </row>
    <row r="543">
      <c r="A543" t="inlineStr">
        <is>
          <t>2026-05</t>
        </is>
      </c>
      <c r="B543" t="inlineStr">
        <is>
          <t>Peru</t>
        </is>
      </c>
      <c r="C543" t="inlineStr">
        <is>
          <t>PERU</t>
        </is>
      </c>
      <c r="D543" t="inlineStr">
        <is>
          <t>PEN</t>
        </is>
      </c>
      <c r="E543" t="inlineStr">
        <is>
          <t>PL-R-010</t>
        </is>
      </c>
      <c r="F543" t="inlineStr">
        <is>
          <t>Ingresos operacionales</t>
        </is>
      </c>
      <c r="G543" t="inlineStr">
        <is>
          <t>Ingresos por servicios</t>
        </is>
      </c>
      <c r="H543" t="inlineStr">
        <is>
          <t>Software y agendamiento</t>
        </is>
      </c>
      <c r="I543" t="inlineStr">
        <is>
          <t>AGENDAMIENTO EN LA NUBE</t>
        </is>
      </c>
      <c r="J543" s="41" t="n">
        <v>-8482.110000000001</v>
      </c>
      <c r="K543" s="41" t="n">
        <v>0</v>
      </c>
      <c r="L543" s="41" t="n">
        <v>2813.98</v>
      </c>
      <c r="M543" s="41" t="n">
        <v>-11296.09</v>
      </c>
      <c r="N543" s="41" t="n">
        <v>11296.09</v>
      </c>
      <c r="O543" s="41" t="n">
        <v>2813.98</v>
      </c>
      <c r="P543" t="inlineStr">
        <is>
          <t>Mayo 2026 PERU.xlsx</t>
        </is>
      </c>
      <c r="Q543" t="inlineStr">
        <is>
          <t>Fila 41</t>
        </is>
      </c>
      <c r="R543" t="inlineStr">
        <is>
          <t>Alta</t>
        </is>
      </c>
      <c r="S543" t="inlineStr">
        <is>
          <t>NO</t>
        </is>
      </c>
      <c r="T543" t="inlineStr">
        <is>
          <t>Ingreso operacional principal</t>
        </is>
      </c>
    </row>
    <row r="544">
      <c r="A544" t="inlineStr">
        <is>
          <t>2026-05</t>
        </is>
      </c>
      <c r="B544" t="inlineStr">
        <is>
          <t>Peru</t>
        </is>
      </c>
      <c r="C544" t="inlineStr">
        <is>
          <t>PERU</t>
        </is>
      </c>
      <c r="D544" t="inlineStr">
        <is>
          <t>PEN</t>
        </is>
      </c>
      <c r="E544" t="inlineStr">
        <is>
          <t>PL-NO-020</t>
        </is>
      </c>
      <c r="F544" t="inlineStr">
        <is>
          <t>Ingresos no operacionales</t>
        </is>
      </c>
      <c r="G544" t="inlineStr">
        <is>
          <t>Otros ingresos</t>
        </is>
      </c>
      <c r="H544" t="inlineStr">
        <is>
          <t>Otros ingresos</t>
        </is>
      </c>
      <c r="I544" t="inlineStr">
        <is>
          <t>OTROS INGRESOS</t>
        </is>
      </c>
      <c r="J544" s="41" t="n">
        <v>-64960.94</v>
      </c>
      <c r="K544" s="41" t="n">
        <v>0</v>
      </c>
      <c r="L544" s="41" t="n">
        <v>0</v>
      </c>
      <c r="M544" s="41" t="n">
        <v>-64960.94</v>
      </c>
      <c r="N544" s="41" t="n">
        <v>64960.94</v>
      </c>
      <c r="O544" s="41" t="n">
        <v>0</v>
      </c>
      <c r="P544" t="inlineStr">
        <is>
          <t>Mayo 2026 PERU.xlsx</t>
        </is>
      </c>
      <c r="Q544" t="inlineStr">
        <is>
          <t>Fila 44</t>
        </is>
      </c>
      <c r="R544" t="inlineStr">
        <is>
          <t>Media</t>
        </is>
      </c>
      <c r="S544" t="inlineStr">
        <is>
          <t>SI</t>
        </is>
      </c>
      <c r="T544" t="inlineStr">
        <is>
          <t>Cuenta genérica y material en Perú; validar naturaleza</t>
        </is>
      </c>
    </row>
    <row r="545">
      <c r="A545" t="inlineStr">
        <is>
          <t>2026-05</t>
        </is>
      </c>
      <c r="B545" t="inlineStr">
        <is>
          <t>Peru</t>
        </is>
      </c>
      <c r="C545" t="inlineStr">
        <is>
          <t>PERU</t>
        </is>
      </c>
      <c r="D545" t="inlineStr">
        <is>
          <t>PEN</t>
        </is>
      </c>
      <c r="E545" t="inlineStr">
        <is>
          <t>PL-O-020</t>
        </is>
      </c>
      <c r="F545" t="inlineStr">
        <is>
          <t>Gastos de administración</t>
        </is>
      </c>
      <c r="G545" t="inlineStr">
        <is>
          <t>Honorarios y servicios profesionales</t>
        </is>
      </c>
      <c r="H545" t="inlineStr">
        <is>
          <t>Asesoría jurídica</t>
        </is>
      </c>
      <c r="I545" t="inlineStr">
        <is>
          <t>HONORARIOS ASESORIA JURIDICA</t>
        </is>
      </c>
      <c r="J545" s="41" t="n">
        <v>1539.6</v>
      </c>
      <c r="K545" s="41" t="n">
        <v>529.35</v>
      </c>
      <c r="L545" s="41" t="n">
        <v>0</v>
      </c>
      <c r="M545" s="41" t="n">
        <v>2068.95</v>
      </c>
      <c r="N545" s="41" t="n">
        <v>2068.95</v>
      </c>
      <c r="O545" s="41" t="n">
        <v>529.35</v>
      </c>
      <c r="P545" t="inlineStr">
        <is>
          <t>Mayo 2026 PERU.xlsx</t>
        </is>
      </c>
      <c r="Q545" t="inlineStr">
        <is>
          <t>Fila 48</t>
        </is>
      </c>
      <c r="R545" t="inlineStr">
        <is>
          <t>Alta</t>
        </is>
      </c>
      <c r="S545" t="inlineStr">
        <is>
          <t>NO</t>
        </is>
      </c>
      <c r="T545" t="inlineStr">
        <is>
          <t>Servicio profesional jurídico</t>
        </is>
      </c>
    </row>
    <row r="546">
      <c r="A546" t="inlineStr">
        <is>
          <t>2026-05</t>
        </is>
      </c>
      <c r="B546" t="inlineStr">
        <is>
          <t>Peru</t>
        </is>
      </c>
      <c r="C546" t="inlineStr">
        <is>
          <t>PERU</t>
        </is>
      </c>
      <c r="D546" t="inlineStr">
        <is>
          <t>PEN</t>
        </is>
      </c>
      <c r="E546" t="inlineStr">
        <is>
          <t>PL-O-020</t>
        </is>
      </c>
      <c r="F546" t="inlineStr">
        <is>
          <t>Gastos de administración</t>
        </is>
      </c>
      <c r="G546" t="inlineStr">
        <is>
          <t>Honorarios y servicios profesionales</t>
        </is>
      </c>
      <c r="H546" t="inlineStr">
        <is>
          <t>Asesoría financiera</t>
        </is>
      </c>
      <c r="I546" t="inlineStr">
        <is>
          <t>HONORARIOS ASESORIA FINANCIERA</t>
        </is>
      </c>
      <c r="J546" s="41" t="n">
        <v>1800</v>
      </c>
      <c r="K546" s="41" t="n">
        <v>700</v>
      </c>
      <c r="L546" s="41" t="n">
        <v>0</v>
      </c>
      <c r="M546" s="41" t="n">
        <v>2500</v>
      </c>
      <c r="N546" s="41" t="n">
        <v>2500</v>
      </c>
      <c r="O546" s="41" t="n">
        <v>700</v>
      </c>
      <c r="P546" t="inlineStr">
        <is>
          <t>Mayo 2026 PERU.xlsx</t>
        </is>
      </c>
      <c r="Q546" t="inlineStr">
        <is>
          <t>Fila 50</t>
        </is>
      </c>
      <c r="R546" t="inlineStr">
        <is>
          <t>Alta</t>
        </is>
      </c>
      <c r="S546" t="inlineStr">
        <is>
          <t>NO</t>
        </is>
      </c>
      <c r="T546" t="inlineStr">
        <is>
          <t>Servicio profesional financiero</t>
        </is>
      </c>
    </row>
    <row r="547">
      <c r="A547" t="inlineStr">
        <is>
          <t>2026-05</t>
        </is>
      </c>
      <c r="B547" t="inlineStr">
        <is>
          <t>Peru</t>
        </is>
      </c>
      <c r="C547" t="inlineStr">
        <is>
          <t>PERU</t>
        </is>
      </c>
      <c r="D547" t="inlineStr">
        <is>
          <t>PEN</t>
        </is>
      </c>
      <c r="E547" t="inlineStr">
        <is>
          <t>PL-S-010</t>
        </is>
      </c>
      <c r="F547" t="inlineStr">
        <is>
          <t>Gastos de ventas</t>
        </is>
      </c>
      <c r="G547" t="inlineStr">
        <is>
          <t>Honorarios comerciales y técnicos</t>
        </is>
      </c>
      <c r="H547" t="inlineStr">
        <is>
          <t>Asesoría técnica</t>
        </is>
      </c>
      <c r="I547" t="inlineStr">
        <is>
          <t>HONORARIOS ASESORIA</t>
        </is>
      </c>
      <c r="J547" s="41" t="n">
        <v>0</v>
      </c>
      <c r="K547" s="41" t="n">
        <v>7400.3</v>
      </c>
      <c r="L547" s="41" t="n">
        <v>0</v>
      </c>
      <c r="M547" s="41" t="n">
        <v>7400.3</v>
      </c>
      <c r="N547" s="41" t="n">
        <v>7400.3</v>
      </c>
      <c r="O547" s="41" t="n">
        <v>7400.3</v>
      </c>
      <c r="P547" t="inlineStr">
        <is>
          <t>Mayo 2026 PERU.xlsx</t>
        </is>
      </c>
      <c r="Q547" t="inlineStr">
        <is>
          <t>Fila 53</t>
        </is>
      </c>
      <c r="R547" t="inlineStr">
        <is>
          <t>Media</t>
        </is>
      </c>
      <c r="S547" t="inlineStr">
        <is>
          <t>SI</t>
        </is>
      </c>
      <c r="T547" t="inlineStr">
        <is>
          <t>Confirmar si el servicio apoya ventas o administración</t>
        </is>
      </c>
    </row>
    <row r="548">
      <c r="A548" t="inlineStr">
        <is>
          <t>2026-05</t>
        </is>
      </c>
      <c r="B548" t="inlineStr">
        <is>
          <t>Peru</t>
        </is>
      </c>
      <c r="C548" t="inlineStr">
        <is>
          <t>PERU</t>
        </is>
      </c>
      <c r="D548" t="inlineStr">
        <is>
          <t>PEN</t>
        </is>
      </c>
      <c r="E548" t="inlineStr">
        <is>
          <t>PL-S-010</t>
        </is>
      </c>
      <c r="F548" t="inlineStr">
        <is>
          <t>Gastos de ventas</t>
        </is>
      </c>
      <c r="G548" t="inlineStr">
        <is>
          <t>Honorarios comerciales y técnicos</t>
        </is>
      </c>
      <c r="H548" t="inlineStr">
        <is>
          <t>Asesoría técnica</t>
        </is>
      </c>
      <c r="I548" t="inlineStr">
        <is>
          <t>HONORARIOS ASESORIA</t>
        </is>
      </c>
      <c r="J548" s="41" t="n">
        <v>0</v>
      </c>
      <c r="K548" s="41" t="n">
        <v>15383.22</v>
      </c>
      <c r="L548" s="41" t="n">
        <v>0</v>
      </c>
      <c r="M548" s="41" t="n">
        <v>15383.22</v>
      </c>
      <c r="N548" s="41" t="n">
        <v>15383.22</v>
      </c>
      <c r="O548" s="41" t="n">
        <v>15383.22</v>
      </c>
      <c r="P548" t="inlineStr">
        <is>
          <t>Mayo 2026 PERU.xlsx</t>
        </is>
      </c>
      <c r="Q548" t="inlineStr">
        <is>
          <t>Fila 54</t>
        </is>
      </c>
      <c r="R548" t="inlineStr">
        <is>
          <t>Media</t>
        </is>
      </c>
      <c r="S548" t="inlineStr">
        <is>
          <t>SI</t>
        </is>
      </c>
      <c r="T548" t="inlineStr">
        <is>
          <t>Confirmar si el servicio apoya ventas o administración</t>
        </is>
      </c>
    </row>
    <row r="549">
      <c r="A549" t="inlineStr">
        <is>
          <t>2026-05</t>
        </is>
      </c>
      <c r="B549" t="inlineStr">
        <is>
          <t>Peru</t>
        </is>
      </c>
      <c r="C549" t="inlineStr">
        <is>
          <t>PERU</t>
        </is>
      </c>
      <c r="D549" t="inlineStr">
        <is>
          <t>PEN</t>
        </is>
      </c>
      <c r="E549" t="inlineStr">
        <is>
          <t>PL-S-010</t>
        </is>
      </c>
      <c r="F549" t="inlineStr">
        <is>
          <t>Gastos de ventas</t>
        </is>
      </c>
      <c r="G549" t="inlineStr">
        <is>
          <t>Honorarios comerciales y técnicos</t>
        </is>
      </c>
      <c r="H549" t="inlineStr">
        <is>
          <t>Asesoría técnica</t>
        </is>
      </c>
      <c r="I549" t="inlineStr">
        <is>
          <t>HONORARIOS ASESORIA</t>
        </is>
      </c>
      <c r="J549" s="41" t="n">
        <v>0</v>
      </c>
      <c r="K549" s="41" t="n">
        <v>7400.3</v>
      </c>
      <c r="L549" s="41" t="n">
        <v>0</v>
      </c>
      <c r="M549" s="41" t="n">
        <v>7400.3</v>
      </c>
      <c r="N549" s="41" t="n">
        <v>7400.3</v>
      </c>
      <c r="O549" s="41" t="n">
        <v>7400.3</v>
      </c>
      <c r="P549" t="inlineStr">
        <is>
          <t>Mayo 2026 PERU.xlsx</t>
        </is>
      </c>
      <c r="Q549" t="inlineStr">
        <is>
          <t>Fila 55</t>
        </is>
      </c>
      <c r="R549" t="inlineStr">
        <is>
          <t>Media</t>
        </is>
      </c>
      <c r="S549" t="inlineStr">
        <is>
          <t>SI</t>
        </is>
      </c>
      <c r="T549" t="inlineStr">
        <is>
          <t>Confirmar si el servicio apoya ventas o administración</t>
        </is>
      </c>
    </row>
    <row r="550">
      <c r="A550" t="inlineStr">
        <is>
          <t>2026-05</t>
        </is>
      </c>
      <c r="B550" t="inlineStr">
        <is>
          <t>Peru</t>
        </is>
      </c>
      <c r="C550" t="inlineStr">
        <is>
          <t>PERU</t>
        </is>
      </c>
      <c r="D550" t="inlineStr">
        <is>
          <t>PEN</t>
        </is>
      </c>
      <c r="E550" t="inlineStr">
        <is>
          <t>PL-S-010</t>
        </is>
      </c>
      <c r="F550" t="inlineStr">
        <is>
          <t>Gastos de ventas</t>
        </is>
      </c>
      <c r="G550" t="inlineStr">
        <is>
          <t>Honorarios comerciales y técnicos</t>
        </is>
      </c>
      <c r="H550" t="inlineStr">
        <is>
          <t>Otros honorarios</t>
        </is>
      </c>
      <c r="I550" t="inlineStr">
        <is>
          <t>HONORARIOS OTROS CONCEPTOS</t>
        </is>
      </c>
      <c r="J550" s="41" t="n">
        <v>2127</v>
      </c>
      <c r="K550" s="41" t="n">
        <v>0</v>
      </c>
      <c r="L550" s="41" t="n">
        <v>0</v>
      </c>
      <c r="M550" s="41" t="n">
        <v>2127</v>
      </c>
      <c r="N550" s="41" t="n">
        <v>2127</v>
      </c>
      <c r="O550" s="41" t="n">
        <v>0</v>
      </c>
      <c r="P550" t="inlineStr">
        <is>
          <t>Mayo 2026 PERU.xlsx</t>
        </is>
      </c>
      <c r="Q550" t="inlineStr">
        <is>
          <t>Fila 57</t>
        </is>
      </c>
      <c r="R550" t="inlineStr">
        <is>
          <t>Media</t>
        </is>
      </c>
      <c r="S550" t="inlineStr">
        <is>
          <t>SI</t>
        </is>
      </c>
      <c r="T550" t="inlineStr">
        <is>
          <t>Cuenta genérica de honorarios de ventas</t>
        </is>
      </c>
    </row>
    <row r="551">
      <c r="A551" t="inlineStr">
        <is>
          <t>2026-05</t>
        </is>
      </c>
      <c r="B551" t="inlineStr">
        <is>
          <t>Peru</t>
        </is>
      </c>
      <c r="C551" t="inlineStr">
        <is>
          <t>PERU</t>
        </is>
      </c>
      <c r="D551" t="inlineStr">
        <is>
          <t>PEN</t>
        </is>
      </c>
      <c r="E551" t="inlineStr">
        <is>
          <t>PL-S-020</t>
        </is>
      </c>
      <c r="F551" t="inlineStr">
        <is>
          <t>Gastos de ventas</t>
        </is>
      </c>
      <c r="G551" t="inlineStr">
        <is>
          <t>Mercadeo y publicidad</t>
        </is>
      </c>
      <c r="H551" t="inlineStr">
        <is>
          <t>Propaganda y publicidad</t>
        </is>
      </c>
      <c r="I551" t="inlineStr">
        <is>
          <t>PROPAGANDA Y PUBLICIDAD</t>
        </is>
      </c>
      <c r="J551" s="41" t="n">
        <v>1706.19</v>
      </c>
      <c r="K551" s="41" t="n">
        <v>0</v>
      </c>
      <c r="L551" s="41" t="n">
        <v>0</v>
      </c>
      <c r="M551" s="41" t="n">
        <v>1706.19</v>
      </c>
      <c r="N551" s="41" t="n">
        <v>1706.19</v>
      </c>
      <c r="O551" s="41" t="n">
        <v>0</v>
      </c>
      <c r="P551" t="inlineStr">
        <is>
          <t>Mayo 2026 PERU.xlsx</t>
        </is>
      </c>
      <c r="Q551" t="inlineStr">
        <is>
          <t>Fila 60</t>
        </is>
      </c>
      <c r="R551" t="inlineStr">
        <is>
          <t>Alta</t>
        </is>
      </c>
      <c r="S551" t="inlineStr">
        <is>
          <t>NO</t>
        </is>
      </c>
      <c r="T551" t="inlineStr">
        <is>
          <t>Gasto comercial de publicidad</t>
        </is>
      </c>
    </row>
    <row r="552">
      <c r="A552" t="inlineStr">
        <is>
          <t>2026-05</t>
        </is>
      </c>
      <c r="B552" t="inlineStr">
        <is>
          <t>Peru</t>
        </is>
      </c>
      <c r="C552" t="inlineStr">
        <is>
          <t>PERU</t>
        </is>
      </c>
      <c r="D552" t="inlineStr">
        <is>
          <t>PEN</t>
        </is>
      </c>
      <c r="E552" t="inlineStr">
        <is>
          <t>PL-S-040</t>
        </is>
      </c>
      <c r="F552" t="inlineStr">
        <is>
          <t>Gastos de ventas</t>
        </is>
      </c>
      <c r="G552" t="inlineStr">
        <is>
          <t>Viajes comerciales</t>
        </is>
      </c>
      <c r="H552" t="inlineStr">
        <is>
          <t>Alojamiento y manutención</t>
        </is>
      </c>
      <c r="I552" t="inlineStr">
        <is>
          <t>SERVICIO ALOJAMIENTO</t>
        </is>
      </c>
      <c r="J552" s="41" t="n">
        <v>267.26</v>
      </c>
      <c r="K552" s="41" t="n">
        <v>0</v>
      </c>
      <c r="L552" s="41" t="n">
        <v>0</v>
      </c>
      <c r="M552" s="41" t="n">
        <v>267.26</v>
      </c>
      <c r="N552" s="41" t="n">
        <v>267.26</v>
      </c>
      <c r="O552" s="41" t="n">
        <v>0</v>
      </c>
      <c r="P552" t="inlineStr">
        <is>
          <t>Mayo 2026 PERU.xlsx</t>
        </is>
      </c>
      <c r="Q552" t="inlineStr">
        <is>
          <t>Fila 63</t>
        </is>
      </c>
      <c r="R552" t="inlineStr">
        <is>
          <t>Alta</t>
        </is>
      </c>
      <c r="S552" t="inlineStr">
        <is>
          <t>NO</t>
        </is>
      </c>
      <c r="T552" t="inlineStr">
        <is>
          <t>Viajes y alimentación comercial</t>
        </is>
      </c>
    </row>
    <row r="553">
      <c r="A553" t="inlineStr">
        <is>
          <t>2026-05</t>
        </is>
      </c>
      <c r="B553" t="inlineStr">
        <is>
          <t>Peru</t>
        </is>
      </c>
      <c r="C553" t="inlineStr">
        <is>
          <t>PERU</t>
        </is>
      </c>
      <c r="D553" t="inlineStr">
        <is>
          <t>PEN</t>
        </is>
      </c>
      <c r="E553" t="inlineStr">
        <is>
          <t>PL-S-040</t>
        </is>
      </c>
      <c r="F553" t="inlineStr">
        <is>
          <t>Gastos de ventas</t>
        </is>
      </c>
      <c r="G553" t="inlineStr">
        <is>
          <t>Viajes comerciales</t>
        </is>
      </c>
      <c r="H553" t="inlineStr">
        <is>
          <t>Alojamiento y manutención</t>
        </is>
      </c>
      <c r="I553" t="inlineStr">
        <is>
          <t>SERVICIO DE RESTAURANTE</t>
        </is>
      </c>
      <c r="J553" s="41" t="n">
        <v>80.8</v>
      </c>
      <c r="K553" s="41" t="n">
        <v>0</v>
      </c>
      <c r="L553" s="41" t="n">
        <v>0</v>
      </c>
      <c r="M553" s="41" t="n">
        <v>80.8</v>
      </c>
      <c r="N553" s="41" t="n">
        <v>80.8</v>
      </c>
      <c r="O553" s="41" t="n">
        <v>0</v>
      </c>
      <c r="P553" t="inlineStr">
        <is>
          <t>Mayo 2026 PERU.xlsx</t>
        </is>
      </c>
      <c r="Q553" t="inlineStr">
        <is>
          <t>Fila 64</t>
        </is>
      </c>
      <c r="R553" t="inlineStr">
        <is>
          <t>Alta</t>
        </is>
      </c>
      <c r="S553" t="inlineStr">
        <is>
          <t>NO</t>
        </is>
      </c>
      <c r="T553" t="inlineStr">
        <is>
          <t>Viajes y alimentación comercial</t>
        </is>
      </c>
    </row>
    <row r="554">
      <c r="A554" t="inlineStr">
        <is>
          <t>2026-05</t>
        </is>
      </c>
      <c r="B554" t="inlineStr">
        <is>
          <t>Peru</t>
        </is>
      </c>
      <c r="C554" t="inlineStr">
        <is>
          <t>PERU</t>
        </is>
      </c>
      <c r="D554" t="inlineStr">
        <is>
          <t>PEN</t>
        </is>
      </c>
      <c r="E554" t="inlineStr">
        <is>
          <t>PL-S-040</t>
        </is>
      </c>
      <c r="F554" t="inlineStr">
        <is>
          <t>Gastos de ventas</t>
        </is>
      </c>
      <c r="G554" t="inlineStr">
        <is>
          <t>Viajes comerciales</t>
        </is>
      </c>
      <c r="H554" t="inlineStr">
        <is>
          <t>Alojamiento y manutención</t>
        </is>
      </c>
      <c r="I554" t="inlineStr">
        <is>
          <t>SERVICIO DE RESTAURANTE</t>
        </is>
      </c>
      <c r="J554" s="41" t="n">
        <v>20.68</v>
      </c>
      <c r="K554" s="41" t="n">
        <v>0</v>
      </c>
      <c r="L554" s="41" t="n">
        <v>0</v>
      </c>
      <c r="M554" s="41" t="n">
        <v>20.68</v>
      </c>
      <c r="N554" s="41" t="n">
        <v>20.68</v>
      </c>
      <c r="O554" s="41" t="n">
        <v>0</v>
      </c>
      <c r="P554" t="inlineStr">
        <is>
          <t>Mayo 2026 PERU.xlsx</t>
        </is>
      </c>
      <c r="Q554" t="inlineStr">
        <is>
          <t>Fila 65</t>
        </is>
      </c>
      <c r="R554" t="inlineStr">
        <is>
          <t>Alta</t>
        </is>
      </c>
      <c r="S554" t="inlineStr">
        <is>
          <t>NO</t>
        </is>
      </c>
      <c r="T554" t="inlineStr">
        <is>
          <t>Viajes y alimentación comercial</t>
        </is>
      </c>
    </row>
    <row r="555">
      <c r="A555" t="inlineStr">
        <is>
          <t>2026-05</t>
        </is>
      </c>
      <c r="B555" t="inlineStr">
        <is>
          <t>Peru</t>
        </is>
      </c>
      <c r="C555" t="inlineStr">
        <is>
          <t>PERU</t>
        </is>
      </c>
      <c r="D555" t="inlineStr">
        <is>
          <t>PEN</t>
        </is>
      </c>
      <c r="E555" t="inlineStr">
        <is>
          <t>PL-S-040</t>
        </is>
      </c>
      <c r="F555" t="inlineStr">
        <is>
          <t>Gastos de ventas</t>
        </is>
      </c>
      <c r="G555" t="inlineStr">
        <is>
          <t>Viajes comerciales</t>
        </is>
      </c>
      <c r="H555" t="inlineStr">
        <is>
          <t>Alojamiento y manutención</t>
        </is>
      </c>
      <c r="I555" t="inlineStr">
        <is>
          <t>SERVICIO DE RESTAURANTE</t>
        </is>
      </c>
      <c r="J555" s="41" t="n">
        <v>114</v>
      </c>
      <c r="K555" s="41" t="n">
        <v>0</v>
      </c>
      <c r="L555" s="41" t="n">
        <v>0</v>
      </c>
      <c r="M555" s="41" t="n">
        <v>114</v>
      </c>
      <c r="N555" s="41" t="n">
        <v>114</v>
      </c>
      <c r="O555" s="41" t="n">
        <v>0</v>
      </c>
      <c r="P555" t="inlineStr">
        <is>
          <t>Mayo 2026 PERU.xlsx</t>
        </is>
      </c>
      <c r="Q555" t="inlineStr">
        <is>
          <t>Fila 66</t>
        </is>
      </c>
      <c r="R555" t="inlineStr">
        <is>
          <t>Alta</t>
        </is>
      </c>
      <c r="S555" t="inlineStr">
        <is>
          <t>NO</t>
        </is>
      </c>
      <c r="T555" t="inlineStr">
        <is>
          <t>Viajes y alimentación comercial</t>
        </is>
      </c>
    </row>
    <row r="556">
      <c r="A556" t="inlineStr">
        <is>
          <t>2026-05</t>
        </is>
      </c>
      <c r="B556" t="inlineStr">
        <is>
          <t>Peru</t>
        </is>
      </c>
      <c r="C556" t="inlineStr">
        <is>
          <t>PERU</t>
        </is>
      </c>
      <c r="D556" t="inlineStr">
        <is>
          <t>PEN</t>
        </is>
      </c>
      <c r="E556" t="inlineStr">
        <is>
          <t>PL-S-040</t>
        </is>
      </c>
      <c r="F556" t="inlineStr">
        <is>
          <t>Gastos de ventas</t>
        </is>
      </c>
      <c r="G556" t="inlineStr">
        <is>
          <t>Viajes comerciales</t>
        </is>
      </c>
      <c r="H556" t="inlineStr">
        <is>
          <t>Alojamiento y manutención</t>
        </is>
      </c>
      <c r="I556" t="inlineStr">
        <is>
          <t>SERVICIO DE RESTAURANTE</t>
        </is>
      </c>
      <c r="J556" s="41" t="n">
        <v>520</v>
      </c>
      <c r="K556" s="41" t="n">
        <v>0</v>
      </c>
      <c r="L556" s="41" t="n">
        <v>0</v>
      </c>
      <c r="M556" s="41" t="n">
        <v>520</v>
      </c>
      <c r="N556" s="41" t="n">
        <v>520</v>
      </c>
      <c r="O556" s="41" t="n">
        <v>0</v>
      </c>
      <c r="P556" t="inlineStr">
        <is>
          <t>Mayo 2026 PERU.xlsx</t>
        </is>
      </c>
      <c r="Q556" t="inlineStr">
        <is>
          <t>Fila 67</t>
        </is>
      </c>
      <c r="R556" t="inlineStr">
        <is>
          <t>Alta</t>
        </is>
      </c>
      <c r="S556" t="inlineStr">
        <is>
          <t>NO</t>
        </is>
      </c>
      <c r="T556" t="inlineStr">
        <is>
          <t>Viajes y alimentación comercial</t>
        </is>
      </c>
    </row>
    <row r="557">
      <c r="A557" t="inlineStr">
        <is>
          <t>2026-05</t>
        </is>
      </c>
      <c r="B557" t="inlineStr">
        <is>
          <t>Peru</t>
        </is>
      </c>
      <c r="C557" t="inlineStr">
        <is>
          <t>PERU</t>
        </is>
      </c>
      <c r="D557" t="inlineStr">
        <is>
          <t>PEN</t>
        </is>
      </c>
      <c r="E557" t="inlineStr">
        <is>
          <t>PL-S-040</t>
        </is>
      </c>
      <c r="F557" t="inlineStr">
        <is>
          <t>Gastos de ventas</t>
        </is>
      </c>
      <c r="G557" t="inlineStr">
        <is>
          <t>Viajes comerciales</t>
        </is>
      </c>
      <c r="H557" t="inlineStr">
        <is>
          <t>Alojamiento y manutención</t>
        </is>
      </c>
      <c r="I557" t="inlineStr">
        <is>
          <t>SERVICIO DE RESTAURANTE</t>
        </is>
      </c>
      <c r="J557" s="41" t="n">
        <v>6</v>
      </c>
      <c r="K557" s="41" t="n">
        <v>0</v>
      </c>
      <c r="L557" s="41" t="n">
        <v>0</v>
      </c>
      <c r="M557" s="41" t="n">
        <v>6</v>
      </c>
      <c r="N557" s="41" t="n">
        <v>6</v>
      </c>
      <c r="O557" s="41" t="n">
        <v>0</v>
      </c>
      <c r="P557" t="inlineStr">
        <is>
          <t>Mayo 2026 PERU.xlsx</t>
        </is>
      </c>
      <c r="Q557" t="inlineStr">
        <is>
          <t>Fila 68</t>
        </is>
      </c>
      <c r="R557" t="inlineStr">
        <is>
          <t>Alta</t>
        </is>
      </c>
      <c r="S557" t="inlineStr">
        <is>
          <t>NO</t>
        </is>
      </c>
      <c r="T557" t="inlineStr">
        <is>
          <t>Viajes y alimentación comercial</t>
        </is>
      </c>
    </row>
    <row r="558">
      <c r="A558" t="inlineStr">
        <is>
          <t>2026-05</t>
        </is>
      </c>
      <c r="B558" t="inlineStr">
        <is>
          <t>Peru</t>
        </is>
      </c>
      <c r="C558" t="inlineStr">
        <is>
          <t>PERU</t>
        </is>
      </c>
      <c r="D558" t="inlineStr">
        <is>
          <t>PEN</t>
        </is>
      </c>
      <c r="E558" t="inlineStr">
        <is>
          <t>PL-S-040</t>
        </is>
      </c>
      <c r="F558" t="inlineStr">
        <is>
          <t>Gastos de ventas</t>
        </is>
      </c>
      <c r="G558" t="inlineStr">
        <is>
          <t>Viajes comerciales</t>
        </is>
      </c>
      <c r="H558" t="inlineStr">
        <is>
          <t>Alojamiento y manutención</t>
        </is>
      </c>
      <c r="I558" t="inlineStr">
        <is>
          <t>SERVICIO DE RESTAURANTE</t>
        </is>
      </c>
      <c r="J558" s="41" t="n">
        <v>226.33</v>
      </c>
      <c r="K558" s="41" t="n">
        <v>0</v>
      </c>
      <c r="L558" s="41" t="n">
        <v>0</v>
      </c>
      <c r="M558" s="41" t="n">
        <v>226.33</v>
      </c>
      <c r="N558" s="41" t="n">
        <v>226.33</v>
      </c>
      <c r="O558" s="41" t="n">
        <v>0</v>
      </c>
      <c r="P558" t="inlineStr">
        <is>
          <t>Mayo 2026 PERU.xlsx</t>
        </is>
      </c>
      <c r="Q558" t="inlineStr">
        <is>
          <t>Fila 69</t>
        </is>
      </c>
      <c r="R558" t="inlineStr">
        <is>
          <t>Alta</t>
        </is>
      </c>
      <c r="S558" t="inlineStr">
        <is>
          <t>NO</t>
        </is>
      </c>
      <c r="T558" t="inlineStr">
        <is>
          <t>Viajes y alimentación comercial</t>
        </is>
      </c>
    </row>
    <row r="559">
      <c r="A559" t="inlineStr">
        <is>
          <t>2026-05</t>
        </is>
      </c>
      <c r="B559" t="inlineStr">
        <is>
          <t>Peru</t>
        </is>
      </c>
      <c r="C559" t="inlineStr">
        <is>
          <t>PERU</t>
        </is>
      </c>
      <c r="D559" t="inlineStr">
        <is>
          <t>PEN</t>
        </is>
      </c>
      <c r="E559" t="inlineStr">
        <is>
          <t>PL-S-040</t>
        </is>
      </c>
      <c r="F559" t="inlineStr">
        <is>
          <t>Gastos de ventas</t>
        </is>
      </c>
      <c r="G559" t="inlineStr">
        <is>
          <t>Viajes comerciales</t>
        </is>
      </c>
      <c r="H559" t="inlineStr">
        <is>
          <t>Alojamiento y manutención</t>
        </is>
      </c>
      <c r="I559" t="inlineStr">
        <is>
          <t>SERVICIO DE RESTAURANTE</t>
        </is>
      </c>
      <c r="J559" s="41" t="n">
        <v>386.7</v>
      </c>
      <c r="K559" s="41" t="n">
        <v>0</v>
      </c>
      <c r="L559" s="41" t="n">
        <v>0</v>
      </c>
      <c r="M559" s="41" t="n">
        <v>386.7</v>
      </c>
      <c r="N559" s="41" t="n">
        <v>386.7</v>
      </c>
      <c r="O559" s="41" t="n">
        <v>0</v>
      </c>
      <c r="P559" t="inlineStr">
        <is>
          <t>Mayo 2026 PERU.xlsx</t>
        </is>
      </c>
      <c r="Q559" t="inlineStr">
        <is>
          <t>Fila 70</t>
        </is>
      </c>
      <c r="R559" t="inlineStr">
        <is>
          <t>Alta</t>
        </is>
      </c>
      <c r="S559" t="inlineStr">
        <is>
          <t>NO</t>
        </is>
      </c>
      <c r="T559" t="inlineStr">
        <is>
          <t>Viajes y alimentación comercial</t>
        </is>
      </c>
    </row>
    <row r="560">
      <c r="A560" t="inlineStr">
        <is>
          <t>2026-05</t>
        </is>
      </c>
      <c r="B560" t="inlineStr">
        <is>
          <t>Peru</t>
        </is>
      </c>
      <c r="C560" t="inlineStr">
        <is>
          <t>PERU</t>
        </is>
      </c>
      <c r="D560" t="inlineStr">
        <is>
          <t>PEN</t>
        </is>
      </c>
      <c r="E560" t="inlineStr">
        <is>
          <t>PL-S-040</t>
        </is>
      </c>
      <c r="F560" t="inlineStr">
        <is>
          <t>Gastos de ventas</t>
        </is>
      </c>
      <c r="G560" t="inlineStr">
        <is>
          <t>Viajes comerciales</t>
        </is>
      </c>
      <c r="H560" t="inlineStr">
        <is>
          <t>Alojamiento y manutención</t>
        </is>
      </c>
      <c r="I560" t="inlineStr">
        <is>
          <t>SERVICIO DE RESTAURANTE</t>
        </is>
      </c>
      <c r="J560" s="41" t="n">
        <v>150.72</v>
      </c>
      <c r="K560" s="41" t="n">
        <v>0</v>
      </c>
      <c r="L560" s="41" t="n">
        <v>0</v>
      </c>
      <c r="M560" s="41" t="n">
        <v>150.72</v>
      </c>
      <c r="N560" s="41" t="n">
        <v>150.72</v>
      </c>
      <c r="O560" s="41" t="n">
        <v>0</v>
      </c>
      <c r="P560" t="inlineStr">
        <is>
          <t>Mayo 2026 PERU.xlsx</t>
        </is>
      </c>
      <c r="Q560" t="inlineStr">
        <is>
          <t>Fila 71</t>
        </is>
      </c>
      <c r="R560" t="inlineStr">
        <is>
          <t>Alta</t>
        </is>
      </c>
      <c r="S560" t="inlineStr">
        <is>
          <t>NO</t>
        </is>
      </c>
      <c r="T560" t="inlineStr">
        <is>
          <t>Viajes y alimentación comercial</t>
        </is>
      </c>
    </row>
    <row r="561">
      <c r="A561" t="inlineStr">
        <is>
          <t>2026-05</t>
        </is>
      </c>
      <c r="B561" t="inlineStr">
        <is>
          <t>Peru</t>
        </is>
      </c>
      <c r="C561" t="inlineStr">
        <is>
          <t>PERU</t>
        </is>
      </c>
      <c r="D561" t="inlineStr">
        <is>
          <t>PEN</t>
        </is>
      </c>
      <c r="E561" t="inlineStr">
        <is>
          <t>PL-S-040</t>
        </is>
      </c>
      <c r="F561" t="inlineStr">
        <is>
          <t>Gastos de ventas</t>
        </is>
      </c>
      <c r="G561" t="inlineStr">
        <is>
          <t>Viajes comerciales</t>
        </is>
      </c>
      <c r="H561" t="inlineStr">
        <is>
          <t>Alojamiento y manutención</t>
        </is>
      </c>
      <c r="I561" t="inlineStr">
        <is>
          <t>SERVICIO DE RESTAURANTE</t>
        </is>
      </c>
      <c r="J561" s="41" t="n">
        <v>24</v>
      </c>
      <c r="K561" s="41" t="n">
        <v>0</v>
      </c>
      <c r="L561" s="41" t="n">
        <v>0</v>
      </c>
      <c r="M561" s="41" t="n">
        <v>24</v>
      </c>
      <c r="N561" s="41" t="n">
        <v>24</v>
      </c>
      <c r="O561" s="41" t="n">
        <v>0</v>
      </c>
      <c r="P561" t="inlineStr">
        <is>
          <t>Mayo 2026 PERU.xlsx</t>
        </is>
      </c>
      <c r="Q561" t="inlineStr">
        <is>
          <t>Fila 72</t>
        </is>
      </c>
      <c r="R561" t="inlineStr">
        <is>
          <t>Alta</t>
        </is>
      </c>
      <c r="S561" t="inlineStr">
        <is>
          <t>NO</t>
        </is>
      </c>
      <c r="T561" t="inlineStr">
        <is>
          <t>Viajes y alimentación comercial</t>
        </is>
      </c>
    </row>
    <row r="562">
      <c r="A562" t="inlineStr">
        <is>
          <t>2026-05</t>
        </is>
      </c>
      <c r="B562" t="inlineStr">
        <is>
          <t>Peru</t>
        </is>
      </c>
      <c r="C562" t="inlineStr">
        <is>
          <t>PERU</t>
        </is>
      </c>
      <c r="D562" t="inlineStr">
        <is>
          <t>PEN</t>
        </is>
      </c>
      <c r="E562" t="inlineStr">
        <is>
          <t>PL-S-040</t>
        </is>
      </c>
      <c r="F562" t="inlineStr">
        <is>
          <t>Gastos de ventas</t>
        </is>
      </c>
      <c r="G562" t="inlineStr">
        <is>
          <t>Viajes comerciales</t>
        </is>
      </c>
      <c r="H562" t="inlineStr">
        <is>
          <t>Alojamiento y manutención</t>
        </is>
      </c>
      <c r="I562" t="inlineStr">
        <is>
          <t>SERVICIO DE RESTAURANTE</t>
        </is>
      </c>
      <c r="J562" s="41" t="n">
        <v>24</v>
      </c>
      <c r="K562" s="41" t="n">
        <v>0</v>
      </c>
      <c r="L562" s="41" t="n">
        <v>0</v>
      </c>
      <c r="M562" s="41" t="n">
        <v>24</v>
      </c>
      <c r="N562" s="41" t="n">
        <v>24</v>
      </c>
      <c r="O562" s="41" t="n">
        <v>0</v>
      </c>
      <c r="P562" t="inlineStr">
        <is>
          <t>Mayo 2026 PERU.xlsx</t>
        </is>
      </c>
      <c r="Q562" t="inlineStr">
        <is>
          <t>Fila 73</t>
        </is>
      </c>
      <c r="R562" t="inlineStr">
        <is>
          <t>Alta</t>
        </is>
      </c>
      <c r="S562" t="inlineStr">
        <is>
          <t>NO</t>
        </is>
      </c>
      <c r="T562" t="inlineStr">
        <is>
          <t>Viajes y alimentación comercial</t>
        </is>
      </c>
    </row>
    <row r="563">
      <c r="A563" t="inlineStr">
        <is>
          <t>2026-05</t>
        </is>
      </c>
      <c r="B563" t="inlineStr">
        <is>
          <t>Peru</t>
        </is>
      </c>
      <c r="C563" t="inlineStr">
        <is>
          <t>PERU</t>
        </is>
      </c>
      <c r="D563" t="inlineStr">
        <is>
          <t>PEN</t>
        </is>
      </c>
      <c r="E563" t="inlineStr">
        <is>
          <t>PL-S-040</t>
        </is>
      </c>
      <c r="F563" t="inlineStr">
        <is>
          <t>Gastos de ventas</t>
        </is>
      </c>
      <c r="G563" t="inlineStr">
        <is>
          <t>Viajes comerciales</t>
        </is>
      </c>
      <c r="H563" t="inlineStr">
        <is>
          <t>Pasajes aéreos</t>
        </is>
      </c>
      <c r="I563" t="inlineStr">
        <is>
          <t>PASAJE AEREO</t>
        </is>
      </c>
      <c r="J563" s="41" t="n">
        <v>0</v>
      </c>
      <c r="K563" s="41" t="n">
        <v>5146.2</v>
      </c>
      <c r="L563" s="41" t="n">
        <v>0</v>
      </c>
      <c r="M563" s="41" t="n">
        <v>5146.2</v>
      </c>
      <c r="N563" s="41" t="n">
        <v>5146.2</v>
      </c>
      <c r="O563" s="41" t="n">
        <v>5146.2</v>
      </c>
      <c r="P563" t="inlineStr">
        <is>
          <t>Mayo 2026 PERU.xlsx</t>
        </is>
      </c>
      <c r="Q563" t="inlineStr">
        <is>
          <t>Fila 75</t>
        </is>
      </c>
      <c r="R563" t="inlineStr">
        <is>
          <t>Alta</t>
        </is>
      </c>
      <c r="S563" t="inlineStr">
        <is>
          <t>NO</t>
        </is>
      </c>
      <c r="T563" t="inlineStr">
        <is>
          <t>Viajes comerciales</t>
        </is>
      </c>
    </row>
    <row r="564">
      <c r="A564" t="inlineStr">
        <is>
          <t>2026-05</t>
        </is>
      </c>
      <c r="B564" t="inlineStr">
        <is>
          <t>Peru</t>
        </is>
      </c>
      <c r="C564" t="inlineStr">
        <is>
          <t>PERU</t>
        </is>
      </c>
      <c r="D564" t="inlineStr">
        <is>
          <t>PEN</t>
        </is>
      </c>
      <c r="E564" t="inlineStr">
        <is>
          <t>PL-S-050</t>
        </is>
      </c>
      <c r="F564" t="inlineStr">
        <is>
          <t>Gastos de ventas</t>
        </is>
      </c>
      <c r="G564" t="inlineStr">
        <is>
          <t>Transporte comercial</t>
        </is>
      </c>
      <c r="H564" t="inlineStr">
        <is>
          <t>Taxis y buses</t>
        </is>
      </c>
      <c r="I564" t="inlineStr">
        <is>
          <t>TAXIS Y BUSES</t>
        </is>
      </c>
      <c r="J564" s="41" t="n">
        <v>78</v>
      </c>
      <c r="K564" s="41" t="n">
        <v>0</v>
      </c>
      <c r="L564" s="41" t="n">
        <v>0</v>
      </c>
      <c r="M564" s="41" t="n">
        <v>78</v>
      </c>
      <c r="N564" s="41" t="n">
        <v>78</v>
      </c>
      <c r="O564" s="41" t="n">
        <v>0</v>
      </c>
      <c r="P564" t="inlineStr">
        <is>
          <t>Mayo 2026 PERU.xlsx</t>
        </is>
      </c>
      <c r="Q564" t="inlineStr">
        <is>
          <t>Fila 78</t>
        </is>
      </c>
      <c r="R564" t="inlineStr">
        <is>
          <t>Alta</t>
        </is>
      </c>
      <c r="S564" t="inlineStr">
        <is>
          <t>NO</t>
        </is>
      </c>
      <c r="T564" t="inlineStr">
        <is>
          <t>Transporte local comercial</t>
        </is>
      </c>
    </row>
    <row r="565">
      <c r="A565" t="inlineStr">
        <is>
          <t>2026-05</t>
        </is>
      </c>
      <c r="B565" t="inlineStr">
        <is>
          <t>Peru</t>
        </is>
      </c>
      <c r="C565" t="inlineStr">
        <is>
          <t>PERU</t>
        </is>
      </c>
      <c r="D565" t="inlineStr">
        <is>
          <t>PEN</t>
        </is>
      </c>
      <c r="E565" t="inlineStr">
        <is>
          <t>PL-S-060</t>
        </is>
      </c>
      <c r="F565" t="inlineStr">
        <is>
          <t>Gastos de ventas</t>
        </is>
      </c>
      <c r="G565" t="inlineStr">
        <is>
          <t>Otros gastos comerciales</t>
        </is>
      </c>
      <c r="H565" t="inlineStr">
        <is>
          <t>Otros</t>
        </is>
      </c>
      <c r="I565" t="inlineStr">
        <is>
          <t>MEDICAMENTOS</t>
        </is>
      </c>
      <c r="J565" s="41" t="n">
        <v>1.9</v>
      </c>
      <c r="K565" s="41" t="n">
        <v>0</v>
      </c>
      <c r="L565" s="41" t="n">
        <v>0</v>
      </c>
      <c r="M565" s="41" t="n">
        <v>1.9</v>
      </c>
      <c r="N565" s="41" t="n">
        <v>1.9</v>
      </c>
      <c r="O565" s="41" t="n">
        <v>0</v>
      </c>
      <c r="P565" t="inlineStr">
        <is>
          <t>Mayo 2026 PERU.xlsx</t>
        </is>
      </c>
      <c r="Q565" t="inlineStr">
        <is>
          <t>Fila 80</t>
        </is>
      </c>
      <c r="R565" t="inlineStr">
        <is>
          <t>Media</t>
        </is>
      </c>
      <c r="S565" t="inlineStr">
        <is>
          <t>SI</t>
        </is>
      </c>
      <c r="T565" t="inlineStr">
        <is>
          <t>Cuenta genérica de ventas</t>
        </is>
      </c>
    </row>
    <row r="566">
      <c r="A566" t="inlineStr">
        <is>
          <t>2026-05</t>
        </is>
      </c>
      <c r="B566" t="inlineStr">
        <is>
          <t>Peru</t>
        </is>
      </c>
      <c r="C566" t="inlineStr">
        <is>
          <t>PERU</t>
        </is>
      </c>
      <c r="D566" t="inlineStr">
        <is>
          <t>PEN</t>
        </is>
      </c>
      <c r="E566" t="inlineStr">
        <is>
          <t>PL-F-010</t>
        </is>
      </c>
      <c r="F566" t="inlineStr">
        <is>
          <t>Gastos financieros</t>
        </is>
      </c>
      <c r="G566" t="inlineStr">
        <is>
          <t>Gastos financieros</t>
        </is>
      </c>
      <c r="H566" t="inlineStr">
        <is>
          <t>Gastos bancarios</t>
        </is>
      </c>
      <c r="I566" t="inlineStr">
        <is>
          <t>GASTOS BANCARIOS</t>
        </is>
      </c>
      <c r="J566" s="41" t="n">
        <v>44.06</v>
      </c>
      <c r="K566" s="41" t="n">
        <v>183.1</v>
      </c>
      <c r="L566" s="41" t="n">
        <v>0</v>
      </c>
      <c r="M566" s="41" t="n">
        <v>227.16</v>
      </c>
      <c r="N566" s="41" t="n">
        <v>227.16</v>
      </c>
      <c r="O566" s="41" t="n">
        <v>183.1</v>
      </c>
      <c r="P566" t="inlineStr">
        <is>
          <t>Mayo 2026 PERU.xlsx</t>
        </is>
      </c>
      <c r="Q566" t="inlineStr">
        <is>
          <t>Fila 83</t>
        </is>
      </c>
      <c r="R566" t="inlineStr">
        <is>
          <t>Alta</t>
        </is>
      </c>
      <c r="S566" t="inlineStr">
        <is>
          <t>NO</t>
        </is>
      </c>
      <c r="T566" t="inlineStr">
        <is>
          <t>Costo financiero bancario</t>
        </is>
      </c>
    </row>
    <row r="567">
      <c r="A567" t="inlineStr">
        <is>
          <t>2026-05</t>
        </is>
      </c>
      <c r="B567" t="inlineStr">
        <is>
          <t>Peru</t>
        </is>
      </c>
      <c r="C567" t="inlineStr">
        <is>
          <t>PERU</t>
        </is>
      </c>
      <c r="D567" t="inlineStr">
        <is>
          <t>PEN</t>
        </is>
      </c>
      <c r="E567" t="inlineStr">
        <is>
          <t>PL-F-010</t>
        </is>
      </c>
      <c r="F567" t="inlineStr">
        <is>
          <t>Gastos financieros</t>
        </is>
      </c>
      <c r="G567" t="inlineStr">
        <is>
          <t>Gastos financieros</t>
        </is>
      </c>
      <c r="H567" t="inlineStr">
        <is>
          <t>Gastos bancarios</t>
        </is>
      </c>
      <c r="I567" t="inlineStr">
        <is>
          <t>GASTOS BANCARIOS</t>
        </is>
      </c>
      <c r="J567" s="41" t="n">
        <v>0</v>
      </c>
      <c r="K567" s="41" t="n">
        <v>4.29</v>
      </c>
      <c r="L567" s="41" t="n">
        <v>0</v>
      </c>
      <c r="M567" s="41" t="n">
        <v>4.29</v>
      </c>
      <c r="N567" s="41" t="n">
        <v>4.29</v>
      </c>
      <c r="O567" s="41" t="n">
        <v>4.29</v>
      </c>
      <c r="P567" t="inlineStr">
        <is>
          <t>Mayo 2026 PERU.xlsx</t>
        </is>
      </c>
      <c r="Q567" t="inlineStr">
        <is>
          <t>Fila 84</t>
        </is>
      </c>
      <c r="R567" t="inlineStr">
        <is>
          <t>Alta</t>
        </is>
      </c>
      <c r="S567" t="inlineStr">
        <is>
          <t>NO</t>
        </is>
      </c>
      <c r="T567" t="inlineStr">
        <is>
          <t>Costo financiero bancario</t>
        </is>
      </c>
    </row>
    <row r="568">
      <c r="A568" t="inlineStr">
        <is>
          <t>2026-05</t>
        </is>
      </c>
      <c r="B568" t="inlineStr">
        <is>
          <t>Peru</t>
        </is>
      </c>
      <c r="C568" t="inlineStr">
        <is>
          <t>PERU</t>
        </is>
      </c>
      <c r="D568" t="inlineStr">
        <is>
          <t>PEN</t>
        </is>
      </c>
      <c r="E568" t="inlineStr">
        <is>
          <t>PL-F-010</t>
        </is>
      </c>
      <c r="F568" t="inlineStr">
        <is>
          <t>Gastos financieros</t>
        </is>
      </c>
      <c r="G568" t="inlineStr">
        <is>
          <t>Gastos financieros</t>
        </is>
      </c>
      <c r="H568" t="inlineStr">
        <is>
          <t>Gastos bancarios</t>
        </is>
      </c>
      <c r="I568" t="inlineStr">
        <is>
          <t>GASTOS BANCARIOS</t>
        </is>
      </c>
      <c r="J568" s="41" t="n">
        <v>0</v>
      </c>
      <c r="K568" s="41" t="n">
        <v>172.1</v>
      </c>
      <c r="L568" s="41" t="n">
        <v>0</v>
      </c>
      <c r="M568" s="41" t="n">
        <v>172.1</v>
      </c>
      <c r="N568" s="41" t="n">
        <v>172.1</v>
      </c>
      <c r="O568" s="41" t="n">
        <v>172.1</v>
      </c>
      <c r="P568" t="inlineStr">
        <is>
          <t>Mayo 2026 PERU.xlsx</t>
        </is>
      </c>
      <c r="Q568" t="inlineStr">
        <is>
          <t>Fila 85</t>
        </is>
      </c>
      <c r="R568" t="inlineStr">
        <is>
          <t>Alta</t>
        </is>
      </c>
      <c r="S568" t="inlineStr">
        <is>
          <t>NO</t>
        </is>
      </c>
      <c r="T568" t="inlineStr">
        <is>
          <t>Costo financiero bancario</t>
        </is>
      </c>
    </row>
    <row r="569">
      <c r="A569" t="inlineStr">
        <is>
          <t>2026-05</t>
        </is>
      </c>
      <c r="B569" t="inlineStr">
        <is>
          <t>Peru</t>
        </is>
      </c>
      <c r="C569" t="inlineStr">
        <is>
          <t>PERU</t>
        </is>
      </c>
      <c r="D569" t="inlineStr">
        <is>
          <t>PEN</t>
        </is>
      </c>
      <c r="E569" t="inlineStr">
        <is>
          <t>PL-F-010</t>
        </is>
      </c>
      <c r="F569" t="inlineStr">
        <is>
          <t>Gastos financieros</t>
        </is>
      </c>
      <c r="G569" t="inlineStr">
        <is>
          <t>Gastos financieros</t>
        </is>
      </c>
      <c r="H569" t="inlineStr">
        <is>
          <t>Gastos bancarios</t>
        </is>
      </c>
      <c r="I569" t="inlineStr">
        <is>
          <t>IVA</t>
        </is>
      </c>
      <c r="J569" s="41" t="n">
        <v>5.55</v>
      </c>
      <c r="K569" s="41" t="n">
        <v>1.85</v>
      </c>
      <c r="L569" s="41" t="n">
        <v>0</v>
      </c>
      <c r="M569" s="41" t="n">
        <v>7.4</v>
      </c>
      <c r="N569" s="41" t="n">
        <v>7.4</v>
      </c>
      <c r="O569" s="41" t="n">
        <v>1.85</v>
      </c>
      <c r="P569" t="inlineStr">
        <is>
          <t>Mayo 2026 PERU.xlsx</t>
        </is>
      </c>
      <c r="Q569" t="inlineStr">
        <is>
          <t>Fila 86</t>
        </is>
      </c>
      <c r="R569" t="inlineStr">
        <is>
          <t>Alta</t>
        </is>
      </c>
      <c r="S569" t="inlineStr">
        <is>
          <t>NO</t>
        </is>
      </c>
      <c r="T569" t="inlineStr">
        <is>
          <t>Costo financiero bancario</t>
        </is>
      </c>
    </row>
    <row r="570">
      <c r="A570" t="inlineStr">
        <is>
          <t>2026-05</t>
        </is>
      </c>
      <c r="B570" t="inlineStr">
        <is>
          <t>Peru</t>
        </is>
      </c>
      <c r="C570" t="inlineStr">
        <is>
          <t>PERU</t>
        </is>
      </c>
      <c r="D570" t="inlineStr">
        <is>
          <t>PEN</t>
        </is>
      </c>
      <c r="E570" t="inlineStr">
        <is>
          <t>PL-F-010</t>
        </is>
      </c>
      <c r="F570" t="inlineStr">
        <is>
          <t>Gastos financieros</t>
        </is>
      </c>
      <c r="G570" t="inlineStr">
        <is>
          <t>Gastos financieros</t>
        </is>
      </c>
      <c r="H570" t="inlineStr">
        <is>
          <t>Gastos bancarios</t>
        </is>
      </c>
      <c r="I570" t="inlineStr">
        <is>
          <t>CUOTA MANEJO</t>
        </is>
      </c>
      <c r="J570" s="41" t="n">
        <v>320</v>
      </c>
      <c r="K570" s="41" t="n">
        <v>121.87</v>
      </c>
      <c r="L570" s="41" t="n">
        <v>0</v>
      </c>
      <c r="M570" s="41" t="n">
        <v>441.87</v>
      </c>
      <c r="N570" s="41" t="n">
        <v>441.87</v>
      </c>
      <c r="O570" s="41" t="n">
        <v>121.87</v>
      </c>
      <c r="P570" t="inlineStr">
        <is>
          <t>Mayo 2026 PERU.xlsx</t>
        </is>
      </c>
      <c r="Q570" t="inlineStr">
        <is>
          <t>Fila 87</t>
        </is>
      </c>
      <c r="R570" t="inlineStr">
        <is>
          <t>Alta</t>
        </is>
      </c>
      <c r="S570" t="inlineStr">
        <is>
          <t>NO</t>
        </is>
      </c>
      <c r="T570" t="inlineStr">
        <is>
          <t>Costo financiero bancario</t>
        </is>
      </c>
    </row>
    <row r="571">
      <c r="A571" t="inlineStr">
        <is>
          <t>2026-05</t>
        </is>
      </c>
      <c r="B571" t="inlineStr">
        <is>
          <t>Peru</t>
        </is>
      </c>
      <c r="C571" t="inlineStr">
        <is>
          <t>PERU</t>
        </is>
      </c>
      <c r="D571" t="inlineStr">
        <is>
          <t>PEN</t>
        </is>
      </c>
      <c r="E571" t="inlineStr">
        <is>
          <t>PL-F-010</t>
        </is>
      </c>
      <c r="F571" t="inlineStr">
        <is>
          <t>Gastos financieros</t>
        </is>
      </c>
      <c r="G571" t="inlineStr">
        <is>
          <t>Gastos financieros</t>
        </is>
      </c>
      <c r="H571" t="inlineStr">
        <is>
          <t>Comisiones</t>
        </is>
      </c>
      <c r="I571" t="inlineStr">
        <is>
          <t>COMISIONES BANCARIAS</t>
        </is>
      </c>
      <c r="J571" s="41" t="n">
        <v>0</v>
      </c>
      <c r="K571" s="41" t="n">
        <v>4.29</v>
      </c>
      <c r="L571" s="41" t="n">
        <v>0</v>
      </c>
      <c r="M571" s="41" t="n">
        <v>4.29</v>
      </c>
      <c r="N571" s="41" t="n">
        <v>4.29</v>
      </c>
      <c r="O571" s="41" t="n">
        <v>4.29</v>
      </c>
      <c r="P571" t="inlineStr">
        <is>
          <t>Mayo 2026 PERU.xlsx</t>
        </is>
      </c>
      <c r="Q571" t="inlineStr">
        <is>
          <t>Fila 89</t>
        </is>
      </c>
      <c r="R571" t="inlineStr">
        <is>
          <t>Alta</t>
        </is>
      </c>
      <c r="S571" t="inlineStr">
        <is>
          <t>NO</t>
        </is>
      </c>
      <c r="T571" t="inlineStr">
        <is>
          <t>Comisiones financieras</t>
        </is>
      </c>
    </row>
    <row r="572">
      <c r="A572" t="inlineStr">
        <is>
          <t>2026-05</t>
        </is>
      </c>
      <c r="B572" t="inlineStr">
        <is>
          <t>Peru</t>
        </is>
      </c>
      <c r="C572" t="inlineStr">
        <is>
          <t>PERU</t>
        </is>
      </c>
      <c r="D572" t="inlineStr">
        <is>
          <t>PEN</t>
        </is>
      </c>
      <c r="E572" t="inlineStr">
        <is>
          <t>PL-F-010</t>
        </is>
      </c>
      <c r="F572" t="inlineStr">
        <is>
          <t>Gastos financieros</t>
        </is>
      </c>
      <c r="G572" t="inlineStr">
        <is>
          <t>Gastos financieros</t>
        </is>
      </c>
      <c r="H572" t="inlineStr">
        <is>
          <t>Comisiones</t>
        </is>
      </c>
      <c r="I572" t="inlineStr">
        <is>
          <t>COMISIONES BANCARIAS</t>
        </is>
      </c>
      <c r="J572" s="41" t="n">
        <v>0</v>
      </c>
      <c r="K572" s="41" t="n">
        <v>0</v>
      </c>
      <c r="L572" s="41" t="n">
        <v>4.29</v>
      </c>
      <c r="M572" s="41" t="n">
        <v>-4.29</v>
      </c>
      <c r="N572" s="41" t="n">
        <v>-4.29</v>
      </c>
      <c r="O572" s="41" t="n">
        <v>-4.29</v>
      </c>
      <c r="P572" t="inlineStr">
        <is>
          <t>Mayo 2026 PERU.xlsx</t>
        </is>
      </c>
      <c r="Q572" t="inlineStr">
        <is>
          <t>Fila 90</t>
        </is>
      </c>
      <c r="R572" t="inlineStr">
        <is>
          <t>Alta</t>
        </is>
      </c>
      <c r="S572" t="inlineStr">
        <is>
          <t>NO</t>
        </is>
      </c>
      <c r="T572" t="inlineStr">
        <is>
          <t>Comisiones financieras</t>
        </is>
      </c>
    </row>
    <row r="573">
      <c r="A573" t="inlineStr">
        <is>
          <t>2026-05</t>
        </is>
      </c>
      <c r="B573" t="inlineStr">
        <is>
          <t>Estados Unidos</t>
        </is>
      </c>
      <c r="C573" t="inlineStr">
        <is>
          <t>USA</t>
        </is>
      </c>
      <c r="D573" t="inlineStr">
        <is>
          <t>USD</t>
        </is>
      </c>
      <c r="E573" t="inlineStr">
        <is>
          <t>PL-R-010</t>
        </is>
      </c>
      <c r="F573" t="inlineStr">
        <is>
          <t>Ingresos operacionales</t>
        </is>
      </c>
      <c r="G573" t="inlineStr">
        <is>
          <t>Ingresos por servicios</t>
        </is>
      </c>
      <c r="H573" t="inlineStr">
        <is>
          <t>Software y agendamiento</t>
        </is>
      </c>
      <c r="I573" t="inlineStr">
        <is>
          <t>PRESTADORA DE SERVICIOS DE SALUD PREVENTIS SA</t>
        </is>
      </c>
      <c r="J573" s="41" t="n">
        <v>-15893.35</v>
      </c>
      <c r="K573" s="41" t="n">
        <v>0</v>
      </c>
      <c r="L573" s="41" t="n">
        <v>5255</v>
      </c>
      <c r="M573" s="41" t="n">
        <v>-21148.35</v>
      </c>
      <c r="N573" s="41" t="n">
        <v>21148.35</v>
      </c>
      <c r="O573" s="41" t="n">
        <v>5255</v>
      </c>
      <c r="P573" t="inlineStr">
        <is>
          <t>Mayo 2026 USA.xlsx</t>
        </is>
      </c>
      <c r="Q573" t="inlineStr">
        <is>
          <t>Fila 59</t>
        </is>
      </c>
      <c r="R573" t="inlineStr">
        <is>
          <t>Alta</t>
        </is>
      </c>
      <c r="S573" t="inlineStr">
        <is>
          <t>NO</t>
        </is>
      </c>
      <c r="T573" t="inlineStr">
        <is>
          <t>Ingreso operacional principal</t>
        </is>
      </c>
    </row>
    <row r="574">
      <c r="A574" t="inlineStr">
        <is>
          <t>2026-05</t>
        </is>
      </c>
      <c r="B574" t="inlineStr">
        <is>
          <t>Estados Unidos</t>
        </is>
      </c>
      <c r="C574" t="inlineStr">
        <is>
          <t>USA</t>
        </is>
      </c>
      <c r="D574" t="inlineStr">
        <is>
          <t>USD</t>
        </is>
      </c>
      <c r="E574" t="inlineStr">
        <is>
          <t>PL-R-010</t>
        </is>
      </c>
      <c r="F574" t="inlineStr">
        <is>
          <t>Ingresos operacionales</t>
        </is>
      </c>
      <c r="G574" t="inlineStr">
        <is>
          <t>Ingresos por servicios</t>
        </is>
      </c>
      <c r="H574" t="inlineStr">
        <is>
          <t>Software y agendamiento</t>
        </is>
      </c>
      <c r="I574" t="inlineStr">
        <is>
          <t>SERVICIOS HOSPITALARIOS BRISAS SA</t>
        </is>
      </c>
      <c r="J574" s="41" t="n">
        <v>-900</v>
      </c>
      <c r="K574" s="41" t="n">
        <v>0</v>
      </c>
      <c r="L574" s="41" t="n">
        <v>300</v>
      </c>
      <c r="M574" s="41" t="n">
        <v>-1200</v>
      </c>
      <c r="N574" s="41" t="n">
        <v>1200</v>
      </c>
      <c r="O574" s="41" t="n">
        <v>300</v>
      </c>
      <c r="P574" t="inlineStr">
        <is>
          <t>Mayo 2026 USA.xlsx</t>
        </is>
      </c>
      <c r="Q574" t="inlineStr">
        <is>
          <t>Fila 60</t>
        </is>
      </c>
      <c r="R574" t="inlineStr">
        <is>
          <t>Alta</t>
        </is>
      </c>
      <c r="S574" t="inlineStr">
        <is>
          <t>NO</t>
        </is>
      </c>
      <c r="T574" t="inlineStr">
        <is>
          <t>Ingreso operacional principal</t>
        </is>
      </c>
    </row>
    <row r="575">
      <c r="A575" t="inlineStr">
        <is>
          <t>2026-05</t>
        </is>
      </c>
      <c r="B575" t="inlineStr">
        <is>
          <t>Estados Unidos</t>
        </is>
      </c>
      <c r="C575" t="inlineStr">
        <is>
          <t>USA</t>
        </is>
      </c>
      <c r="D575" t="inlineStr">
        <is>
          <t>USD</t>
        </is>
      </c>
      <c r="E575" t="inlineStr">
        <is>
          <t>PL-R-010</t>
        </is>
      </c>
      <c r="F575" t="inlineStr">
        <is>
          <t>Ingresos operacionales</t>
        </is>
      </c>
      <c r="G575" t="inlineStr">
        <is>
          <t>Ingresos por servicios</t>
        </is>
      </c>
      <c r="H575" t="inlineStr">
        <is>
          <t>Software y agendamiento</t>
        </is>
      </c>
      <c r="I575" t="inlineStr">
        <is>
          <t>COCO TECH AI PERU S.A.C.</t>
        </is>
      </c>
      <c r="J575" s="41" t="n">
        <v>0</v>
      </c>
      <c r="K575" s="41" t="n">
        <v>0</v>
      </c>
      <c r="L575" s="41" t="n">
        <v>4010</v>
      </c>
      <c r="M575" s="41" t="n">
        <v>-4010</v>
      </c>
      <c r="N575" s="41" t="n">
        <v>4010</v>
      </c>
      <c r="O575" s="41" t="n">
        <v>4010</v>
      </c>
      <c r="P575" t="inlineStr">
        <is>
          <t>Mayo 2026 USA.xlsx</t>
        </is>
      </c>
      <c r="Q575" t="inlineStr">
        <is>
          <t>Fila 61</t>
        </is>
      </c>
      <c r="R575" t="inlineStr">
        <is>
          <t>Alta</t>
        </is>
      </c>
      <c r="S575" t="inlineStr">
        <is>
          <t>NO</t>
        </is>
      </c>
      <c r="T575" t="inlineStr">
        <is>
          <t>Ingreso operacional principal</t>
        </is>
      </c>
    </row>
    <row r="576">
      <c r="A576" t="inlineStr">
        <is>
          <t>2026-05</t>
        </is>
      </c>
      <c r="B576" t="inlineStr">
        <is>
          <t>Estados Unidos</t>
        </is>
      </c>
      <c r="C576" t="inlineStr">
        <is>
          <t>USA</t>
        </is>
      </c>
      <c r="D576" t="inlineStr">
        <is>
          <t>USD</t>
        </is>
      </c>
      <c r="E576" t="inlineStr">
        <is>
          <t>PL-R-010</t>
        </is>
      </c>
      <c r="F576" t="inlineStr">
        <is>
          <t>Ingresos operacionales</t>
        </is>
      </c>
      <c r="G576" t="inlineStr">
        <is>
          <t>Ingresos por servicios</t>
        </is>
      </c>
      <c r="H576" t="inlineStr">
        <is>
          <t>Software y agendamiento</t>
        </is>
      </c>
      <c r="I576" t="inlineStr">
        <is>
          <t>ACOSTA BORBON ALEJANDRO</t>
        </is>
      </c>
      <c r="J576" s="41" t="n">
        <v>-217</v>
      </c>
      <c r="K576" s="41" t="n">
        <v>0</v>
      </c>
      <c r="L576" s="41" t="n">
        <v>0</v>
      </c>
      <c r="M576" s="41" t="n">
        <v>-217</v>
      </c>
      <c r="N576" s="41" t="n">
        <v>217</v>
      </c>
      <c r="O576" s="41" t="n">
        <v>0</v>
      </c>
      <c r="P576" t="inlineStr">
        <is>
          <t>Mayo 2026 USA.xlsx</t>
        </is>
      </c>
      <c r="Q576" t="inlineStr">
        <is>
          <t>Fila 62</t>
        </is>
      </c>
      <c r="R576" t="inlineStr">
        <is>
          <t>Alta</t>
        </is>
      </c>
      <c r="S576" t="inlineStr">
        <is>
          <t>NO</t>
        </is>
      </c>
      <c r="T576" t="inlineStr">
        <is>
          <t>Ingreso operacional principal</t>
        </is>
      </c>
    </row>
    <row r="577">
      <c r="A577" t="inlineStr">
        <is>
          <t>2026-05</t>
        </is>
      </c>
      <c r="B577" t="inlineStr">
        <is>
          <t>Estados Unidos</t>
        </is>
      </c>
      <c r="C577" t="inlineStr">
        <is>
          <t>USA</t>
        </is>
      </c>
      <c r="D577" t="inlineStr">
        <is>
          <t>USD</t>
        </is>
      </c>
      <c r="E577" t="inlineStr">
        <is>
          <t>PL-R-010</t>
        </is>
      </c>
      <c r="F577" t="inlineStr">
        <is>
          <t>Ingresos operacionales</t>
        </is>
      </c>
      <c r="G577" t="inlineStr">
        <is>
          <t>Ingresos por servicios</t>
        </is>
      </c>
      <c r="H577" t="inlineStr">
        <is>
          <t>Software y agendamiento</t>
        </is>
      </c>
      <c r="I577" t="inlineStr">
        <is>
          <t>Emmely Esther Coronado Peguero</t>
        </is>
      </c>
      <c r="J577" s="41" t="n">
        <v>-385.8</v>
      </c>
      <c r="K577" s="41" t="n">
        <v>0</v>
      </c>
      <c r="L577" s="41" t="n">
        <v>96.45</v>
      </c>
      <c r="M577" s="41" t="n">
        <v>-482.25</v>
      </c>
      <c r="N577" s="41" t="n">
        <v>482.25</v>
      </c>
      <c r="O577" s="41" t="n">
        <v>96.45</v>
      </c>
      <c r="P577" t="inlineStr">
        <is>
          <t>Mayo 2026 USA.xlsx</t>
        </is>
      </c>
      <c r="Q577" t="inlineStr">
        <is>
          <t>Fila 63</t>
        </is>
      </c>
      <c r="R577" t="inlineStr">
        <is>
          <t>Alta</t>
        </is>
      </c>
      <c r="S577" t="inlineStr">
        <is>
          <t>NO</t>
        </is>
      </c>
      <c r="T577" t="inlineStr">
        <is>
          <t>Ingreso operacional principal</t>
        </is>
      </c>
    </row>
    <row r="578">
      <c r="A578" t="inlineStr">
        <is>
          <t>2026-05</t>
        </is>
      </c>
      <c r="B578" t="inlineStr">
        <is>
          <t>Estados Unidos</t>
        </is>
      </c>
      <c r="C578" t="inlineStr">
        <is>
          <t>USA</t>
        </is>
      </c>
      <c r="D578" t="inlineStr">
        <is>
          <t>USD</t>
        </is>
      </c>
      <c r="E578" t="inlineStr">
        <is>
          <t>PL-R-010</t>
        </is>
      </c>
      <c r="F578" t="inlineStr">
        <is>
          <t>Ingresos operacionales</t>
        </is>
      </c>
      <c r="G578" t="inlineStr">
        <is>
          <t>Ingresos por servicios</t>
        </is>
      </c>
      <c r="H578" t="inlineStr">
        <is>
          <t>Software y agendamiento</t>
        </is>
      </c>
      <c r="I578" t="inlineStr">
        <is>
          <t>Fundacion para la Confianza</t>
        </is>
      </c>
      <c r="J578" s="41" t="n">
        <v>-220</v>
      </c>
      <c r="K578" s="41" t="n">
        <v>0</v>
      </c>
      <c r="L578" s="41" t="n">
        <v>55</v>
      </c>
      <c r="M578" s="41" t="n">
        <v>-275</v>
      </c>
      <c r="N578" s="41" t="n">
        <v>275</v>
      </c>
      <c r="O578" s="41" t="n">
        <v>55</v>
      </c>
      <c r="P578" t="inlineStr">
        <is>
          <t>Mayo 2026 USA.xlsx</t>
        </is>
      </c>
      <c r="Q578" t="inlineStr">
        <is>
          <t>Fila 64</t>
        </is>
      </c>
      <c r="R578" t="inlineStr">
        <is>
          <t>Alta</t>
        </is>
      </c>
      <c r="S578" t="inlineStr">
        <is>
          <t>NO</t>
        </is>
      </c>
      <c r="T578" t="inlineStr">
        <is>
          <t>Ingreso operacional principal</t>
        </is>
      </c>
    </row>
    <row r="579">
      <c r="A579" t="inlineStr">
        <is>
          <t>2026-05</t>
        </is>
      </c>
      <c r="B579" t="inlineStr">
        <is>
          <t>Estados Unidos</t>
        </is>
      </c>
      <c r="C579" t="inlineStr">
        <is>
          <t>USA</t>
        </is>
      </c>
      <c r="D579" t="inlineStr">
        <is>
          <t>USD</t>
        </is>
      </c>
      <c r="E579" t="inlineStr">
        <is>
          <t>PL-NO-010</t>
        </is>
      </c>
      <c r="F579" t="inlineStr">
        <is>
          <t>Ingresos no operacionales</t>
        </is>
      </c>
      <c r="G579" t="inlineStr">
        <is>
          <t>Ingresos financieros</t>
        </is>
      </c>
      <c r="H579" t="inlineStr">
        <is>
          <t>Intereses</t>
        </is>
      </c>
      <c r="I579" t="inlineStr">
        <is>
          <t>PRESTADORA DE SERVICIOS DE SALUD PREVENTIS SA</t>
        </is>
      </c>
      <c r="J579" s="41" t="n">
        <v>-0.35</v>
      </c>
      <c r="K579" s="41" t="n">
        <v>0</v>
      </c>
      <c r="L579" s="41" t="n">
        <v>0</v>
      </c>
      <c r="M579" s="41" t="n">
        <v>-0.35</v>
      </c>
      <c r="N579" s="41" t="n">
        <v>0.35</v>
      </c>
      <c r="O579" s="41" t="n">
        <v>0</v>
      </c>
      <c r="P579" t="inlineStr">
        <is>
          <t>Mayo 2026 USA.xlsx</t>
        </is>
      </c>
      <c r="Q579" t="inlineStr">
        <is>
          <t>Fila 68</t>
        </is>
      </c>
      <c r="R579" t="inlineStr">
        <is>
          <t>Alta</t>
        </is>
      </c>
      <c r="S579" t="inlineStr">
        <is>
          <t>NO</t>
        </is>
      </c>
      <c r="T579" t="inlineStr">
        <is>
          <t>Ingreso financiero</t>
        </is>
      </c>
    </row>
    <row r="580">
      <c r="A580" t="inlineStr">
        <is>
          <t>2026-05</t>
        </is>
      </c>
      <c r="B580" t="inlineStr">
        <is>
          <t>Estados Unidos</t>
        </is>
      </c>
      <c r="C580" t="inlineStr">
        <is>
          <t>USA</t>
        </is>
      </c>
      <c r="D580" t="inlineStr">
        <is>
          <t>USD</t>
        </is>
      </c>
      <c r="E580" t="inlineStr">
        <is>
          <t>PL-NO-010</t>
        </is>
      </c>
      <c r="F580" t="inlineStr">
        <is>
          <t>Ingresos no operacionales</t>
        </is>
      </c>
      <c r="G580" t="inlineStr">
        <is>
          <t>Ingresos financieros</t>
        </is>
      </c>
      <c r="H580" t="inlineStr">
        <is>
          <t>Intereses</t>
        </is>
      </c>
      <c r="I580" t="inlineStr">
        <is>
          <t>SERVICIOS HOSPITALARIOS BRISAS SA</t>
        </is>
      </c>
      <c r="J580" s="41" t="n">
        <v>-83</v>
      </c>
      <c r="K580" s="41" t="n">
        <v>0</v>
      </c>
      <c r="L580" s="41" t="n">
        <v>0</v>
      </c>
      <c r="M580" s="41" t="n">
        <v>-83</v>
      </c>
      <c r="N580" s="41" t="n">
        <v>83</v>
      </c>
      <c r="O580" s="41" t="n">
        <v>0</v>
      </c>
      <c r="P580" t="inlineStr">
        <is>
          <t>Mayo 2026 USA.xlsx</t>
        </is>
      </c>
      <c r="Q580" t="inlineStr">
        <is>
          <t>Fila 69</t>
        </is>
      </c>
      <c r="R580" t="inlineStr">
        <is>
          <t>Alta</t>
        </is>
      </c>
      <c r="S580" t="inlineStr">
        <is>
          <t>NO</t>
        </is>
      </c>
      <c r="T580" t="inlineStr">
        <is>
          <t>Ingreso financiero</t>
        </is>
      </c>
    </row>
    <row r="581">
      <c r="A581" t="inlineStr">
        <is>
          <t>2026-05</t>
        </is>
      </c>
      <c r="B581" t="inlineStr">
        <is>
          <t>Estados Unidos</t>
        </is>
      </c>
      <c r="C581" t="inlineStr">
        <is>
          <t>USA</t>
        </is>
      </c>
      <c r="D581" t="inlineStr">
        <is>
          <t>USD</t>
        </is>
      </c>
      <c r="E581" t="inlineStr">
        <is>
          <t>PL-NO-010</t>
        </is>
      </c>
      <c r="F581" t="inlineStr">
        <is>
          <t>Ingresos no operacionales</t>
        </is>
      </c>
      <c r="G581" t="inlineStr">
        <is>
          <t>Ingresos financieros</t>
        </is>
      </c>
      <c r="H581" t="inlineStr">
        <is>
          <t>Intereses</t>
        </is>
      </c>
      <c r="I581" t="inlineStr">
        <is>
          <t>MERCURY LLC</t>
        </is>
      </c>
      <c r="J581" s="41" t="n">
        <v>-128.77</v>
      </c>
      <c r="K581" s="41" t="n">
        <v>0</v>
      </c>
      <c r="L581" s="41" t="n">
        <v>188.15</v>
      </c>
      <c r="M581" s="41" t="n">
        <v>-316.92</v>
      </c>
      <c r="N581" s="41" t="n">
        <v>316.92</v>
      </c>
      <c r="O581" s="41" t="n">
        <v>188.15</v>
      </c>
      <c r="P581" t="inlineStr">
        <is>
          <t>Mayo 2026 USA.xlsx</t>
        </is>
      </c>
      <c r="Q581" t="inlineStr">
        <is>
          <t>Fila 70</t>
        </is>
      </c>
      <c r="R581" t="inlineStr">
        <is>
          <t>Alta</t>
        </is>
      </c>
      <c r="S581" t="inlineStr">
        <is>
          <t>NO</t>
        </is>
      </c>
      <c r="T581" t="inlineStr">
        <is>
          <t>Ingreso financiero</t>
        </is>
      </c>
    </row>
    <row r="582">
      <c r="A582" t="inlineStr">
        <is>
          <t>2026-05</t>
        </is>
      </c>
      <c r="B582" t="inlineStr">
        <is>
          <t>Estados Unidos</t>
        </is>
      </c>
      <c r="C582" t="inlineStr">
        <is>
          <t>USA</t>
        </is>
      </c>
      <c r="D582" t="inlineStr">
        <is>
          <t>USD</t>
        </is>
      </c>
      <c r="E582" t="inlineStr">
        <is>
          <t>PL-O-010</t>
        </is>
      </c>
      <c r="F582" t="inlineStr">
        <is>
          <t>Gastos de administración</t>
        </is>
      </c>
      <c r="G582" t="inlineStr">
        <is>
          <t>Gastos de personal</t>
        </is>
      </c>
      <c r="H582" t="inlineStr">
        <is>
          <t>Sueldos</t>
        </is>
      </c>
      <c r="I582" t="inlineStr">
        <is>
          <t>Parada Zuluaga Robert Andres</t>
        </is>
      </c>
      <c r="J582" s="41" t="n">
        <v>10368.68</v>
      </c>
      <c r="K582" s="41" t="n">
        <v>2592.17</v>
      </c>
      <c r="L582" s="41" t="n">
        <v>0</v>
      </c>
      <c r="M582" s="41" t="n">
        <v>12960.85</v>
      </c>
      <c r="N582" s="41" t="n">
        <v>12960.85</v>
      </c>
      <c r="O582" s="41" t="n">
        <v>2592.17</v>
      </c>
      <c r="P582" t="inlineStr">
        <is>
          <t>Mayo 2026 USA.xlsx</t>
        </is>
      </c>
      <c r="Q582" t="inlineStr">
        <is>
          <t>Fila 75</t>
        </is>
      </c>
      <c r="R582" t="inlineStr">
        <is>
          <t>Alta</t>
        </is>
      </c>
      <c r="S582" t="inlineStr">
        <is>
          <t>NO</t>
        </is>
      </c>
      <c r="T582" t="inlineStr">
        <is>
          <t>Remuneración laboral</t>
        </is>
      </c>
    </row>
    <row r="583">
      <c r="A583" t="inlineStr">
        <is>
          <t>2026-05</t>
        </is>
      </c>
      <c r="B583" t="inlineStr">
        <is>
          <t>Estados Unidos</t>
        </is>
      </c>
      <c r="C583" t="inlineStr">
        <is>
          <t>USA</t>
        </is>
      </c>
      <c r="D583" t="inlineStr">
        <is>
          <t>USD</t>
        </is>
      </c>
      <c r="E583" t="inlineStr">
        <is>
          <t>PL-O-090</t>
        </is>
      </c>
      <c r="F583" t="inlineStr">
        <is>
          <t>Gastos de administración</t>
        </is>
      </c>
      <c r="G583" t="inlineStr">
        <is>
          <t>Viajes y representación</t>
        </is>
      </c>
      <c r="H583" t="inlineStr">
        <is>
          <t>Viáticos</t>
        </is>
      </c>
      <c r="I583" t="inlineStr">
        <is>
          <t>HILTON HOLDING INC</t>
        </is>
      </c>
      <c r="J583" s="41" t="n">
        <v>0</v>
      </c>
      <c r="K583" s="41" t="n">
        <v>78.43000000000001</v>
      </c>
      <c r="L583" s="41" t="n">
        <v>0</v>
      </c>
      <c r="M583" s="41" t="n">
        <v>78.43000000000001</v>
      </c>
      <c r="N583" s="41" t="n">
        <v>78.43000000000001</v>
      </c>
      <c r="O583" s="41" t="n">
        <v>78.43000000000001</v>
      </c>
      <c r="P583" t="inlineStr">
        <is>
          <t>Mayo 2026 USA.xlsx</t>
        </is>
      </c>
      <c r="Q583" t="inlineStr">
        <is>
          <t>Fila 77</t>
        </is>
      </c>
      <c r="R583" t="inlineStr">
        <is>
          <t>Alta</t>
        </is>
      </c>
      <c r="S583" t="inlineStr">
        <is>
          <t>NO</t>
        </is>
      </c>
      <c r="T583" t="inlineStr">
        <is>
          <t>Viáticos administrativos</t>
        </is>
      </c>
    </row>
    <row r="584">
      <c r="A584" t="inlineStr">
        <is>
          <t>2026-05</t>
        </is>
      </c>
      <c r="B584" t="inlineStr">
        <is>
          <t>Estados Unidos</t>
        </is>
      </c>
      <c r="C584" t="inlineStr">
        <is>
          <t>USA</t>
        </is>
      </c>
      <c r="D584" t="inlineStr">
        <is>
          <t>USD</t>
        </is>
      </c>
      <c r="E584" t="inlineStr">
        <is>
          <t>PL-O-090</t>
        </is>
      </c>
      <c r="F584" t="inlineStr">
        <is>
          <t>Gastos de administración</t>
        </is>
      </c>
      <c r="G584" t="inlineStr">
        <is>
          <t>Viajes y representación</t>
        </is>
      </c>
      <c r="H584" t="inlineStr">
        <is>
          <t>Viáticos</t>
        </is>
      </c>
      <c r="I584" t="inlineStr">
        <is>
          <t>Lyft</t>
        </is>
      </c>
      <c r="J584" s="41" t="n">
        <v>64.79000000000001</v>
      </c>
      <c r="K584" s="41" t="n">
        <v>0</v>
      </c>
      <c r="L584" s="41" t="n">
        <v>0</v>
      </c>
      <c r="M584" s="41" t="n">
        <v>64.79000000000001</v>
      </c>
      <c r="N584" s="41" t="n">
        <v>64.79000000000001</v>
      </c>
      <c r="O584" s="41" t="n">
        <v>0</v>
      </c>
      <c r="P584" t="inlineStr">
        <is>
          <t>Mayo 2026 USA.xlsx</t>
        </is>
      </c>
      <c r="Q584" t="inlineStr">
        <is>
          <t>Fila 78</t>
        </is>
      </c>
      <c r="R584" t="inlineStr">
        <is>
          <t>Alta</t>
        </is>
      </c>
      <c r="S584" t="inlineStr">
        <is>
          <t>NO</t>
        </is>
      </c>
      <c r="T584" t="inlineStr">
        <is>
          <t>Viáticos administrativos</t>
        </is>
      </c>
    </row>
    <row r="585">
      <c r="A585" t="inlineStr">
        <is>
          <t>2026-05</t>
        </is>
      </c>
      <c r="B585" t="inlineStr">
        <is>
          <t>Estados Unidos</t>
        </is>
      </c>
      <c r="C585" t="inlineStr">
        <is>
          <t>USA</t>
        </is>
      </c>
      <c r="D585" t="inlineStr">
        <is>
          <t>USD</t>
        </is>
      </c>
      <c r="E585" t="inlineStr">
        <is>
          <t>PL-O-090</t>
        </is>
      </c>
      <c r="F585" t="inlineStr">
        <is>
          <t>Gastos de administración</t>
        </is>
      </c>
      <c r="G585" t="inlineStr">
        <is>
          <t>Viajes y representación</t>
        </is>
      </c>
      <c r="H585" t="inlineStr">
        <is>
          <t>Viáticos</t>
        </is>
      </c>
      <c r="I585" t="inlineStr">
        <is>
          <t>Chapola Cafe</t>
        </is>
      </c>
      <c r="J585" s="41" t="n">
        <v>35.04</v>
      </c>
      <c r="K585" s="41" t="n">
        <v>0</v>
      </c>
      <c r="L585" s="41" t="n">
        <v>0</v>
      </c>
      <c r="M585" s="41" t="n">
        <v>35.04</v>
      </c>
      <c r="N585" s="41" t="n">
        <v>35.04</v>
      </c>
      <c r="O585" s="41" t="n">
        <v>0</v>
      </c>
      <c r="P585" t="inlineStr">
        <is>
          <t>Mayo 2026 USA.xlsx</t>
        </is>
      </c>
      <c r="Q585" t="inlineStr">
        <is>
          <t>Fila 79</t>
        </is>
      </c>
      <c r="R585" t="inlineStr">
        <is>
          <t>Alta</t>
        </is>
      </c>
      <c r="S585" t="inlineStr">
        <is>
          <t>NO</t>
        </is>
      </c>
      <c r="T585" t="inlineStr">
        <is>
          <t>Viáticos administrativos</t>
        </is>
      </c>
    </row>
    <row r="586">
      <c r="A586" t="inlineStr">
        <is>
          <t>2026-05</t>
        </is>
      </c>
      <c r="B586" t="inlineStr">
        <is>
          <t>Estados Unidos</t>
        </is>
      </c>
      <c r="C586" t="inlineStr">
        <is>
          <t>USA</t>
        </is>
      </c>
      <c r="D586" t="inlineStr">
        <is>
          <t>USD</t>
        </is>
      </c>
      <c r="E586" t="inlineStr">
        <is>
          <t>PL-O-090</t>
        </is>
      </c>
      <c r="F586" t="inlineStr">
        <is>
          <t>Gastos de administración</t>
        </is>
      </c>
      <c r="G586" t="inlineStr">
        <is>
          <t>Viajes y representación</t>
        </is>
      </c>
      <c r="H586" t="inlineStr">
        <is>
          <t>Viáticos</t>
        </is>
      </c>
      <c r="I586" t="inlineStr">
        <is>
          <t>Mestiza Cafe</t>
        </is>
      </c>
      <c r="J586" s="41" t="n">
        <v>22.14</v>
      </c>
      <c r="K586" s="41" t="n">
        <v>0</v>
      </c>
      <c r="L586" s="41" t="n">
        <v>0</v>
      </c>
      <c r="M586" s="41" t="n">
        <v>22.14</v>
      </c>
      <c r="N586" s="41" t="n">
        <v>22.14</v>
      </c>
      <c r="O586" s="41" t="n">
        <v>0</v>
      </c>
      <c r="P586" t="inlineStr">
        <is>
          <t>Mayo 2026 USA.xlsx</t>
        </is>
      </c>
      <c r="Q586" t="inlineStr">
        <is>
          <t>Fila 80</t>
        </is>
      </c>
      <c r="R586" t="inlineStr">
        <is>
          <t>Alta</t>
        </is>
      </c>
      <c r="S586" t="inlineStr">
        <is>
          <t>NO</t>
        </is>
      </c>
      <c r="T586" t="inlineStr">
        <is>
          <t>Viáticos administrativos</t>
        </is>
      </c>
    </row>
    <row r="587">
      <c r="A587" t="inlineStr">
        <is>
          <t>2026-05</t>
        </is>
      </c>
      <c r="B587" t="inlineStr">
        <is>
          <t>Estados Unidos</t>
        </is>
      </c>
      <c r="C587" t="inlineStr">
        <is>
          <t>USA</t>
        </is>
      </c>
      <c r="D587" t="inlineStr">
        <is>
          <t>USD</t>
        </is>
      </c>
      <c r="E587" t="inlineStr">
        <is>
          <t>PL-O-090</t>
        </is>
      </c>
      <c r="F587" t="inlineStr">
        <is>
          <t>Gastos de administración</t>
        </is>
      </c>
      <c r="G587" t="inlineStr">
        <is>
          <t>Viajes y representación</t>
        </is>
      </c>
      <c r="H587" t="inlineStr">
        <is>
          <t>Viáticos</t>
        </is>
      </c>
      <c r="I587" t="inlineStr">
        <is>
          <t>Chapola Cafe</t>
        </is>
      </c>
      <c r="J587" s="41" t="n">
        <v>13.54</v>
      </c>
      <c r="K587" s="41" t="n">
        <v>0</v>
      </c>
      <c r="L587" s="41" t="n">
        <v>0</v>
      </c>
      <c r="M587" s="41" t="n">
        <v>13.54</v>
      </c>
      <c r="N587" s="41" t="n">
        <v>13.54</v>
      </c>
      <c r="O587" s="41" t="n">
        <v>0</v>
      </c>
      <c r="P587" t="inlineStr">
        <is>
          <t>Mayo 2026 USA.xlsx</t>
        </is>
      </c>
      <c r="Q587" t="inlineStr">
        <is>
          <t>Fila 81</t>
        </is>
      </c>
      <c r="R587" t="inlineStr">
        <is>
          <t>Alta</t>
        </is>
      </c>
      <c r="S587" t="inlineStr">
        <is>
          <t>NO</t>
        </is>
      </c>
      <c r="T587" t="inlineStr">
        <is>
          <t>Viáticos administrativos</t>
        </is>
      </c>
    </row>
    <row r="588">
      <c r="A588" t="inlineStr">
        <is>
          <t>2026-05</t>
        </is>
      </c>
      <c r="B588" t="inlineStr">
        <is>
          <t>Estados Unidos</t>
        </is>
      </c>
      <c r="C588" t="inlineStr">
        <is>
          <t>USA</t>
        </is>
      </c>
      <c r="D588" t="inlineStr">
        <is>
          <t>USD</t>
        </is>
      </c>
      <c r="E588" t="inlineStr">
        <is>
          <t>PL-O-010</t>
        </is>
      </c>
      <c r="F588" t="inlineStr">
        <is>
          <t>Gastos de administración</t>
        </is>
      </c>
      <c r="G588" t="inlineStr">
        <is>
          <t>Gastos de personal</t>
        </is>
      </c>
      <c r="H588" t="inlineStr">
        <is>
          <t>Auxilios</t>
        </is>
      </c>
      <c r="I588" t="inlineStr">
        <is>
          <t>CAPOTE &amp; CAPOTE PA</t>
        </is>
      </c>
      <c r="J588" s="41" t="n">
        <v>7600</v>
      </c>
      <c r="K588" s="41" t="n">
        <v>0</v>
      </c>
      <c r="L588" s="41" t="n">
        <v>0</v>
      </c>
      <c r="M588" s="41" t="n">
        <v>7600</v>
      </c>
      <c r="N588" s="41" t="n">
        <v>7600</v>
      </c>
      <c r="O588" s="41" t="n">
        <v>0</v>
      </c>
      <c r="P588" t="inlineStr">
        <is>
          <t>Mayo 2026 USA.xlsx</t>
        </is>
      </c>
      <c r="Q588" t="inlineStr">
        <is>
          <t>Fila 83</t>
        </is>
      </c>
      <c r="R588" t="inlineStr">
        <is>
          <t>Media</t>
        </is>
      </c>
      <c r="S588" t="inlineStr">
        <is>
          <t>SI</t>
        </is>
      </c>
      <c r="T588" t="inlineStr">
        <is>
          <t>Algunos terceros no parecen auxilios laborales; revisar soporte</t>
        </is>
      </c>
    </row>
    <row r="589">
      <c r="A589" t="inlineStr">
        <is>
          <t>2026-05</t>
        </is>
      </c>
      <c r="B589" t="inlineStr">
        <is>
          <t>Estados Unidos</t>
        </is>
      </c>
      <c r="C589" t="inlineStr">
        <is>
          <t>USA</t>
        </is>
      </c>
      <c r="D589" t="inlineStr">
        <is>
          <t>USD</t>
        </is>
      </c>
      <c r="E589" t="inlineStr">
        <is>
          <t>PL-O-010</t>
        </is>
      </c>
      <c r="F589" t="inlineStr">
        <is>
          <t>Gastos de administración</t>
        </is>
      </c>
      <c r="G589" t="inlineStr">
        <is>
          <t>Gastos de personal</t>
        </is>
      </c>
      <c r="H589" t="inlineStr">
        <is>
          <t>Dotación y suministros a trabajadores</t>
        </is>
      </c>
      <c r="I589" t="inlineStr">
        <is>
          <t>BEST BUY</t>
        </is>
      </c>
      <c r="J589" s="41" t="n">
        <v>276.06</v>
      </c>
      <c r="K589" s="41" t="n">
        <v>0</v>
      </c>
      <c r="L589" s="41" t="n">
        <v>0</v>
      </c>
      <c r="M589" s="41" t="n">
        <v>276.06</v>
      </c>
      <c r="N589" s="41" t="n">
        <v>276.06</v>
      </c>
      <c r="O589" s="41" t="n">
        <v>0</v>
      </c>
      <c r="P589" t="inlineStr">
        <is>
          <t>Mayo 2026 USA.xlsx</t>
        </is>
      </c>
      <c r="Q589" t="inlineStr">
        <is>
          <t>Fila 85</t>
        </is>
      </c>
      <c r="R589" t="inlineStr">
        <is>
          <t>Alta</t>
        </is>
      </c>
      <c r="S589" t="inlineStr">
        <is>
          <t>NO</t>
        </is>
      </c>
      <c r="T589" t="inlineStr">
        <is>
          <t>Beneficios y dotación de personal</t>
        </is>
      </c>
    </row>
    <row r="590">
      <c r="A590" t="inlineStr">
        <is>
          <t>2026-05</t>
        </is>
      </c>
      <c r="B590" t="inlineStr">
        <is>
          <t>Estados Unidos</t>
        </is>
      </c>
      <c r="C590" t="inlineStr">
        <is>
          <t>USA</t>
        </is>
      </c>
      <c r="D590" t="inlineStr">
        <is>
          <t>USD</t>
        </is>
      </c>
      <c r="E590" t="inlineStr">
        <is>
          <t>PL-O-010</t>
        </is>
      </c>
      <c r="F590" t="inlineStr">
        <is>
          <t>Gastos de administración</t>
        </is>
      </c>
      <c r="G590" t="inlineStr">
        <is>
          <t>Gastos de personal</t>
        </is>
      </c>
      <c r="H590" t="inlineStr">
        <is>
          <t>Dotación y suministros a trabajadores</t>
        </is>
      </c>
      <c r="I590" t="inlineStr">
        <is>
          <t>Ross Dress for Less</t>
        </is>
      </c>
      <c r="J590" s="41" t="n">
        <v>13.9</v>
      </c>
      <c r="K590" s="41" t="n">
        <v>0</v>
      </c>
      <c r="L590" s="41" t="n">
        <v>0</v>
      </c>
      <c r="M590" s="41" t="n">
        <v>13.9</v>
      </c>
      <c r="N590" s="41" t="n">
        <v>13.9</v>
      </c>
      <c r="O590" s="41" t="n">
        <v>0</v>
      </c>
      <c r="P590" t="inlineStr">
        <is>
          <t>Mayo 2026 USA.xlsx</t>
        </is>
      </c>
      <c r="Q590" t="inlineStr">
        <is>
          <t>Fila 86</t>
        </is>
      </c>
      <c r="R590" t="inlineStr">
        <is>
          <t>Alta</t>
        </is>
      </c>
      <c r="S590" t="inlineStr">
        <is>
          <t>NO</t>
        </is>
      </c>
      <c r="T590" t="inlineStr">
        <is>
          <t>Beneficios y dotación de personal</t>
        </is>
      </c>
    </row>
    <row r="591">
      <c r="A591" t="inlineStr">
        <is>
          <t>2026-05</t>
        </is>
      </c>
      <c r="B591" t="inlineStr">
        <is>
          <t>Estados Unidos</t>
        </is>
      </c>
      <c r="C591" t="inlineStr">
        <is>
          <t>USA</t>
        </is>
      </c>
      <c r="D591" t="inlineStr">
        <is>
          <t>USD</t>
        </is>
      </c>
      <c r="E591" t="inlineStr">
        <is>
          <t>PL-O-010</t>
        </is>
      </c>
      <c r="F591" t="inlineStr">
        <is>
          <t>Gastos de administración</t>
        </is>
      </c>
      <c r="G591" t="inlineStr">
        <is>
          <t>Gastos de personal</t>
        </is>
      </c>
      <c r="H591" t="inlineStr">
        <is>
          <t>Dotación y suministros a trabajadores</t>
        </is>
      </c>
      <c r="I591" t="inlineStr">
        <is>
          <t>Office Depot</t>
        </is>
      </c>
      <c r="J591" s="41" t="n">
        <v>15.3</v>
      </c>
      <c r="K591" s="41" t="n">
        <v>0</v>
      </c>
      <c r="L591" s="41" t="n">
        <v>0</v>
      </c>
      <c r="M591" s="41" t="n">
        <v>15.3</v>
      </c>
      <c r="N591" s="41" t="n">
        <v>15.3</v>
      </c>
      <c r="O591" s="41" t="n">
        <v>0</v>
      </c>
      <c r="P591" t="inlineStr">
        <is>
          <t>Mayo 2026 USA.xlsx</t>
        </is>
      </c>
      <c r="Q591" t="inlineStr">
        <is>
          <t>Fila 87</t>
        </is>
      </c>
      <c r="R591" t="inlineStr">
        <is>
          <t>Alta</t>
        </is>
      </c>
      <c r="S591" t="inlineStr">
        <is>
          <t>NO</t>
        </is>
      </c>
      <c r="T591" t="inlineStr">
        <is>
          <t>Beneficios y dotación de personal</t>
        </is>
      </c>
    </row>
    <row r="592">
      <c r="A592" t="inlineStr">
        <is>
          <t>2026-05</t>
        </is>
      </c>
      <c r="B592" t="inlineStr">
        <is>
          <t>Estados Unidos</t>
        </is>
      </c>
      <c r="C592" t="inlineStr">
        <is>
          <t>USA</t>
        </is>
      </c>
      <c r="D592" t="inlineStr">
        <is>
          <t>USD</t>
        </is>
      </c>
      <c r="E592" t="inlineStr">
        <is>
          <t>PL-O-010</t>
        </is>
      </c>
      <c r="F592" t="inlineStr">
        <is>
          <t>Gastos de administración</t>
        </is>
      </c>
      <c r="G592" t="inlineStr">
        <is>
          <t>Gastos de personal</t>
        </is>
      </c>
      <c r="H592" t="inlineStr">
        <is>
          <t>Dotación y suministros a trabajadores</t>
        </is>
      </c>
      <c r="I592" t="inlineStr">
        <is>
          <t>Amazon Comp INC</t>
        </is>
      </c>
      <c r="J592" s="41" t="n">
        <v>1507.28</v>
      </c>
      <c r="K592" s="41" t="n">
        <v>846.65</v>
      </c>
      <c r="L592" s="41" t="n">
        <v>540.92</v>
      </c>
      <c r="M592" s="41" t="n">
        <v>1813.01</v>
      </c>
      <c r="N592" s="41" t="n">
        <v>1813.01</v>
      </c>
      <c r="O592" s="41" t="n">
        <v>305.73</v>
      </c>
      <c r="P592" t="inlineStr">
        <is>
          <t>Mayo 2026 USA.xlsx</t>
        </is>
      </c>
      <c r="Q592" t="inlineStr">
        <is>
          <t>Fila 88</t>
        </is>
      </c>
      <c r="R592" t="inlineStr">
        <is>
          <t>Alta</t>
        </is>
      </c>
      <c r="S592" t="inlineStr">
        <is>
          <t>NO</t>
        </is>
      </c>
      <c r="T592" t="inlineStr">
        <is>
          <t>Beneficios y dotación de personal</t>
        </is>
      </c>
    </row>
    <row r="593">
      <c r="A593" t="inlineStr">
        <is>
          <t>2026-05</t>
        </is>
      </c>
      <c r="B593" t="inlineStr">
        <is>
          <t>Estados Unidos</t>
        </is>
      </c>
      <c r="C593" t="inlineStr">
        <is>
          <t>USA</t>
        </is>
      </c>
      <c r="D593" t="inlineStr">
        <is>
          <t>USD</t>
        </is>
      </c>
      <c r="E593" t="inlineStr">
        <is>
          <t>PL-O-010</t>
        </is>
      </c>
      <c r="F593" t="inlineStr">
        <is>
          <t>Gastos de administración</t>
        </is>
      </c>
      <c r="G593" t="inlineStr">
        <is>
          <t>Gastos de personal</t>
        </is>
      </c>
      <c r="H593" t="inlineStr">
        <is>
          <t>Dotación y suministros a trabajadores</t>
        </is>
      </c>
      <c r="I593" t="inlineStr">
        <is>
          <t>ADIDAS AMERICA INC</t>
        </is>
      </c>
      <c r="J593" s="41" t="n">
        <v>0</v>
      </c>
      <c r="K593" s="41" t="n">
        <v>139.1</v>
      </c>
      <c r="L593" s="41" t="n">
        <v>0</v>
      </c>
      <c r="M593" s="41" t="n">
        <v>139.1</v>
      </c>
      <c r="N593" s="41" t="n">
        <v>139.1</v>
      </c>
      <c r="O593" s="41" t="n">
        <v>139.1</v>
      </c>
      <c r="P593" t="inlineStr">
        <is>
          <t>Mayo 2026 USA.xlsx</t>
        </is>
      </c>
      <c r="Q593" t="inlineStr">
        <is>
          <t>Fila 89</t>
        </is>
      </c>
      <c r="R593" t="inlineStr">
        <is>
          <t>Alta</t>
        </is>
      </c>
      <c r="S593" t="inlineStr">
        <is>
          <t>NO</t>
        </is>
      </c>
      <c r="T593" t="inlineStr">
        <is>
          <t>Beneficios y dotación de personal</t>
        </is>
      </c>
    </row>
    <row r="594">
      <c r="A594" t="inlineStr">
        <is>
          <t>2026-05</t>
        </is>
      </c>
      <c r="B594" t="inlineStr">
        <is>
          <t>Estados Unidos</t>
        </is>
      </c>
      <c r="C594" t="inlineStr">
        <is>
          <t>USA</t>
        </is>
      </c>
      <c r="D594" t="inlineStr">
        <is>
          <t>USD</t>
        </is>
      </c>
      <c r="E594" t="inlineStr">
        <is>
          <t>PL-O-010</t>
        </is>
      </c>
      <c r="F594" t="inlineStr">
        <is>
          <t>Gastos de administración</t>
        </is>
      </c>
      <c r="G594" t="inlineStr">
        <is>
          <t>Gastos de personal</t>
        </is>
      </c>
      <c r="H594" t="inlineStr">
        <is>
          <t>Dotación y suministros a trabajadores</t>
        </is>
      </c>
      <c r="I594" t="inlineStr">
        <is>
          <t>MERCURY LLC</t>
        </is>
      </c>
      <c r="J594" s="41" t="n">
        <v>0</v>
      </c>
      <c r="K594" s="41" t="n">
        <v>0</v>
      </c>
      <c r="L594" s="41" t="n">
        <v>540.92</v>
      </c>
      <c r="M594" s="41" t="n">
        <v>-540.92</v>
      </c>
      <c r="N594" s="41" t="n">
        <v>-540.92</v>
      </c>
      <c r="O594" s="41" t="n">
        <v>-540.92</v>
      </c>
      <c r="P594" t="inlineStr">
        <is>
          <t>Mayo 2026 USA.xlsx</t>
        </is>
      </c>
      <c r="Q594" t="inlineStr">
        <is>
          <t>Fila 90</t>
        </is>
      </c>
      <c r="R594" t="inlineStr">
        <is>
          <t>Alta</t>
        </is>
      </c>
      <c r="S594" t="inlineStr">
        <is>
          <t>NO</t>
        </is>
      </c>
      <c r="T594" t="inlineStr">
        <is>
          <t>Beneficios y dotación de personal</t>
        </is>
      </c>
    </row>
    <row r="595">
      <c r="A595" t="inlineStr">
        <is>
          <t>2026-05</t>
        </is>
      </c>
      <c r="B595" t="inlineStr">
        <is>
          <t>Estados Unidos</t>
        </is>
      </c>
      <c r="C595" t="inlineStr">
        <is>
          <t>USA</t>
        </is>
      </c>
      <c r="D595" t="inlineStr">
        <is>
          <t>USD</t>
        </is>
      </c>
      <c r="E595" t="inlineStr">
        <is>
          <t>PL-O-010</t>
        </is>
      </c>
      <c r="F595" t="inlineStr">
        <is>
          <t>Gastos de administración</t>
        </is>
      </c>
      <c r="G595" t="inlineStr">
        <is>
          <t>Gastos de personal</t>
        </is>
      </c>
      <c r="H595" t="inlineStr">
        <is>
          <t>Gastos médicos</t>
        </is>
      </c>
      <c r="I595" t="inlineStr">
        <is>
          <t>Oscar Insurance Company</t>
        </is>
      </c>
      <c r="J595" s="41" t="n">
        <v>122.93</v>
      </c>
      <c r="K595" s="41" t="n">
        <v>0</v>
      </c>
      <c r="L595" s="41" t="n">
        <v>0</v>
      </c>
      <c r="M595" s="41" t="n">
        <v>122.93</v>
      </c>
      <c r="N595" s="41" t="n">
        <v>122.93</v>
      </c>
      <c r="O595" s="41" t="n">
        <v>0</v>
      </c>
      <c r="P595" t="inlineStr">
        <is>
          <t>Mayo 2026 USA.xlsx</t>
        </is>
      </c>
      <c r="Q595" t="inlineStr">
        <is>
          <t>Fila 92</t>
        </is>
      </c>
      <c r="R595" t="inlineStr">
        <is>
          <t>Alta</t>
        </is>
      </c>
      <c r="S595" t="inlineStr">
        <is>
          <t>NO</t>
        </is>
      </c>
      <c r="T595" t="inlineStr">
        <is>
          <t>Beneficios de salud</t>
        </is>
      </c>
    </row>
    <row r="596">
      <c r="A596" t="inlineStr">
        <is>
          <t>2026-05</t>
        </is>
      </c>
      <c r="B596" t="inlineStr">
        <is>
          <t>Estados Unidos</t>
        </is>
      </c>
      <c r="C596" t="inlineStr">
        <is>
          <t>USA</t>
        </is>
      </c>
      <c r="D596" t="inlineStr">
        <is>
          <t>USD</t>
        </is>
      </c>
      <c r="E596" t="inlineStr">
        <is>
          <t>PL-O-010</t>
        </is>
      </c>
      <c r="F596" t="inlineStr">
        <is>
          <t>Gastos de administración</t>
        </is>
      </c>
      <c r="G596" t="inlineStr">
        <is>
          <t>Gastos de personal</t>
        </is>
      </c>
      <c r="H596" t="inlineStr">
        <is>
          <t>Gastos médicos</t>
        </is>
      </c>
      <c r="I596" t="inlineStr">
        <is>
          <t>Amazon Comp INC</t>
        </is>
      </c>
      <c r="J596" s="41" t="n">
        <v>0</v>
      </c>
      <c r="K596" s="41" t="n">
        <v>56.7</v>
      </c>
      <c r="L596" s="41" t="n">
        <v>0</v>
      </c>
      <c r="M596" s="41" t="n">
        <v>56.7</v>
      </c>
      <c r="N596" s="41" t="n">
        <v>56.7</v>
      </c>
      <c r="O596" s="41" t="n">
        <v>56.7</v>
      </c>
      <c r="P596" t="inlineStr">
        <is>
          <t>Mayo 2026 USA.xlsx</t>
        </is>
      </c>
      <c r="Q596" t="inlineStr">
        <is>
          <t>Fila 93</t>
        </is>
      </c>
      <c r="R596" t="inlineStr">
        <is>
          <t>Alta</t>
        </is>
      </c>
      <c r="S596" t="inlineStr">
        <is>
          <t>NO</t>
        </is>
      </c>
      <c r="T596" t="inlineStr">
        <is>
          <t>Beneficios de salud</t>
        </is>
      </c>
    </row>
    <row r="597">
      <c r="A597" t="inlineStr">
        <is>
          <t>2026-05</t>
        </is>
      </c>
      <c r="B597" t="inlineStr">
        <is>
          <t>Estados Unidos</t>
        </is>
      </c>
      <c r="C597" t="inlineStr">
        <is>
          <t>USA</t>
        </is>
      </c>
      <c r="D597" t="inlineStr">
        <is>
          <t>USD</t>
        </is>
      </c>
      <c r="E597" t="inlineStr">
        <is>
          <t>PL-O-010</t>
        </is>
      </c>
      <c r="F597" t="inlineStr">
        <is>
          <t>Gastos de administración</t>
        </is>
      </c>
      <c r="G597" t="inlineStr">
        <is>
          <t>Gastos de personal</t>
        </is>
      </c>
      <c r="H597" t="inlineStr">
        <is>
          <t>Otros gastos de personal</t>
        </is>
      </c>
      <c r="I597" t="inlineStr">
        <is>
          <t>Parada Zuluaga Robert Andres</t>
        </is>
      </c>
      <c r="J597" s="41" t="n">
        <v>2879.32</v>
      </c>
      <c r="K597" s="41" t="n">
        <v>637.33</v>
      </c>
      <c r="L597" s="41" t="n">
        <v>0</v>
      </c>
      <c r="M597" s="41" t="n">
        <v>3516.65</v>
      </c>
      <c r="N597" s="41" t="n">
        <v>3516.65</v>
      </c>
      <c r="O597" s="41" t="n">
        <v>637.33</v>
      </c>
      <c r="P597" t="inlineStr">
        <is>
          <t>Mayo 2026 USA.xlsx</t>
        </is>
      </c>
      <c r="Q597" t="inlineStr">
        <is>
          <t>Fila 95</t>
        </is>
      </c>
      <c r="R597" t="inlineStr">
        <is>
          <t>Media</t>
        </is>
      </c>
      <c r="S597" t="inlineStr">
        <is>
          <t>SI</t>
        </is>
      </c>
      <c r="T597" t="inlineStr">
        <is>
          <t>Cuenta genérica de personal</t>
        </is>
      </c>
    </row>
    <row r="598">
      <c r="A598" t="inlineStr">
        <is>
          <t>2026-05</t>
        </is>
      </c>
      <c r="B598" t="inlineStr">
        <is>
          <t>Estados Unidos</t>
        </is>
      </c>
      <c r="C598" t="inlineStr">
        <is>
          <t>USA</t>
        </is>
      </c>
      <c r="D598" t="inlineStr">
        <is>
          <t>USD</t>
        </is>
      </c>
      <c r="E598" t="inlineStr">
        <is>
          <t>PL-O-020</t>
        </is>
      </c>
      <c r="F598" t="inlineStr">
        <is>
          <t>Gastos de administración</t>
        </is>
      </c>
      <c r="G598" t="inlineStr">
        <is>
          <t>Honorarios y servicios profesionales</t>
        </is>
      </c>
      <c r="H598" t="inlineStr">
        <is>
          <t>Asesoría financiera</t>
        </is>
      </c>
      <c r="I598" t="inlineStr">
        <is>
          <t>Tenant Evaluation LLC</t>
        </is>
      </c>
      <c r="J598" s="41" t="n">
        <v>445</v>
      </c>
      <c r="K598" s="41" t="n">
        <v>0</v>
      </c>
      <c r="L598" s="41" t="n">
        <v>0</v>
      </c>
      <c r="M598" s="41" t="n">
        <v>445</v>
      </c>
      <c r="N598" s="41" t="n">
        <v>445</v>
      </c>
      <c r="O598" s="41" t="n">
        <v>0</v>
      </c>
      <c r="P598" t="inlineStr">
        <is>
          <t>Mayo 2026 USA.xlsx</t>
        </is>
      </c>
      <c r="Q598" t="inlineStr">
        <is>
          <t>Fila 98</t>
        </is>
      </c>
      <c r="R598" t="inlineStr">
        <is>
          <t>Alta</t>
        </is>
      </c>
      <c r="S598" t="inlineStr">
        <is>
          <t>NO</t>
        </is>
      </c>
      <c r="T598" t="inlineStr">
        <is>
          <t>Servicio profesional financiero</t>
        </is>
      </c>
    </row>
    <row r="599">
      <c r="A599" t="inlineStr">
        <is>
          <t>2026-05</t>
        </is>
      </c>
      <c r="B599" t="inlineStr">
        <is>
          <t>Estados Unidos</t>
        </is>
      </c>
      <c r="C599" t="inlineStr">
        <is>
          <t>USA</t>
        </is>
      </c>
      <c r="D599" t="inlineStr">
        <is>
          <t>USD</t>
        </is>
      </c>
      <c r="E599" t="inlineStr">
        <is>
          <t>PL-O-030</t>
        </is>
      </c>
      <c r="F599" t="inlineStr">
        <is>
          <t>Gastos de administración</t>
        </is>
      </c>
      <c r="G599" t="inlineStr">
        <is>
          <t>Impuestos y contribuciones</t>
        </is>
      </c>
      <c r="H599" t="inlineStr">
        <is>
          <t>Industria, comercio y otros</t>
        </is>
      </c>
      <c r="I599" t="inlineStr">
        <is>
          <t>IRS IMPUESTO FEDERALES</t>
        </is>
      </c>
      <c r="J599" s="41" t="n">
        <v>4024.05</v>
      </c>
      <c r="K599" s="41" t="n">
        <v>0</v>
      </c>
      <c r="L599" s="41" t="n">
        <v>0</v>
      </c>
      <c r="M599" s="41" t="n">
        <v>4024.05</v>
      </c>
      <c r="N599" s="41" t="n">
        <v>4024.05</v>
      </c>
      <c r="O599" s="41" t="n">
        <v>0</v>
      </c>
      <c r="P599" t="inlineStr">
        <is>
          <t>Mayo 2026 USA.xlsx</t>
        </is>
      </c>
      <c r="Q599" t="inlineStr">
        <is>
          <t>Fila 101</t>
        </is>
      </c>
      <c r="R599" t="inlineStr">
        <is>
          <t>Alta</t>
        </is>
      </c>
      <c r="S599" t="inlineStr">
        <is>
          <t>NO</t>
        </is>
      </c>
      <c r="T599" t="inlineStr">
        <is>
          <t>Impuestos no asociados a renta</t>
        </is>
      </c>
    </row>
    <row r="600">
      <c r="A600" t="inlineStr">
        <is>
          <t>2026-05</t>
        </is>
      </c>
      <c r="B600" t="inlineStr">
        <is>
          <t>Estados Unidos</t>
        </is>
      </c>
      <c r="C600" t="inlineStr">
        <is>
          <t>USA</t>
        </is>
      </c>
      <c r="D600" t="inlineStr">
        <is>
          <t>USD</t>
        </is>
      </c>
      <c r="E600" t="inlineStr">
        <is>
          <t>PL-O-060</t>
        </is>
      </c>
      <c r="F600" t="inlineStr">
        <is>
          <t>Gastos de administración</t>
        </is>
      </c>
      <c r="G600" t="inlineStr">
        <is>
          <t>Tecnología y procesamiento de datos</t>
        </is>
      </c>
      <c r="H600" t="inlineStr">
        <is>
          <t>Plataformas y software</t>
        </is>
      </c>
      <c r="I600" t="inlineStr">
        <is>
          <t>WIX INC</t>
        </is>
      </c>
      <c r="J600" s="41" t="n">
        <v>225.35</v>
      </c>
      <c r="K600" s="41" t="n">
        <v>0</v>
      </c>
      <c r="L600" s="41" t="n">
        <v>0</v>
      </c>
      <c r="M600" s="41" t="n">
        <v>225.35</v>
      </c>
      <c r="N600" s="41" t="n">
        <v>225.35</v>
      </c>
      <c r="O600" s="41" t="n">
        <v>0</v>
      </c>
      <c r="P600" t="inlineStr">
        <is>
          <t>Mayo 2026 USA.xlsx</t>
        </is>
      </c>
      <c r="Q600" t="inlineStr">
        <is>
          <t>Fila 104</t>
        </is>
      </c>
      <c r="R600" t="inlineStr">
        <is>
          <t>Alta</t>
        </is>
      </c>
      <c r="S600" t="inlineStr">
        <is>
          <t>SI</t>
        </is>
      </c>
      <c r="T600" t="inlineStr">
        <is>
          <t>Revisar proveedores de telecomunicaciones registrados aquí</t>
        </is>
      </c>
    </row>
    <row r="601">
      <c r="A601" t="inlineStr">
        <is>
          <t>2026-05</t>
        </is>
      </c>
      <c r="B601" t="inlineStr">
        <is>
          <t>Estados Unidos</t>
        </is>
      </c>
      <c r="C601" t="inlineStr">
        <is>
          <t>USA</t>
        </is>
      </c>
      <c r="D601" t="inlineStr">
        <is>
          <t>USD</t>
        </is>
      </c>
      <c r="E601" t="inlineStr">
        <is>
          <t>PL-O-060</t>
        </is>
      </c>
      <c r="F601" t="inlineStr">
        <is>
          <t>Gastos de administración</t>
        </is>
      </c>
      <c r="G601" t="inlineStr">
        <is>
          <t>Tecnología y procesamiento de datos</t>
        </is>
      </c>
      <c r="H601" t="inlineStr">
        <is>
          <t>Plataformas y software</t>
        </is>
      </c>
      <c r="I601" t="inlineStr">
        <is>
          <t>Ahaslides</t>
        </is>
      </c>
      <c r="J601" s="41" t="n">
        <v>191.4</v>
      </c>
      <c r="K601" s="41" t="n">
        <v>0</v>
      </c>
      <c r="L601" s="41" t="n">
        <v>0</v>
      </c>
      <c r="M601" s="41" t="n">
        <v>191.4</v>
      </c>
      <c r="N601" s="41" t="n">
        <v>191.4</v>
      </c>
      <c r="O601" s="41" t="n">
        <v>0</v>
      </c>
      <c r="P601" t="inlineStr">
        <is>
          <t>Mayo 2026 USA.xlsx</t>
        </is>
      </c>
      <c r="Q601" t="inlineStr">
        <is>
          <t>Fila 105</t>
        </is>
      </c>
      <c r="R601" t="inlineStr">
        <is>
          <t>Alta</t>
        </is>
      </c>
      <c r="S601" t="inlineStr">
        <is>
          <t>SI</t>
        </is>
      </c>
      <c r="T601" t="inlineStr">
        <is>
          <t>Revisar proveedores de telecomunicaciones registrados aquí</t>
        </is>
      </c>
    </row>
    <row r="602">
      <c r="A602" t="inlineStr">
        <is>
          <t>2026-05</t>
        </is>
      </c>
      <c r="B602" t="inlineStr">
        <is>
          <t>Estados Unidos</t>
        </is>
      </c>
      <c r="C602" t="inlineStr">
        <is>
          <t>USA</t>
        </is>
      </c>
      <c r="D602" t="inlineStr">
        <is>
          <t>USD</t>
        </is>
      </c>
      <c r="E602" t="inlineStr">
        <is>
          <t>PL-O-060</t>
        </is>
      </c>
      <c r="F602" t="inlineStr">
        <is>
          <t>Gastos de administración</t>
        </is>
      </c>
      <c r="G602" t="inlineStr">
        <is>
          <t>Tecnología y procesamiento de datos</t>
        </is>
      </c>
      <c r="H602" t="inlineStr">
        <is>
          <t>Plataformas y software</t>
        </is>
      </c>
      <c r="I602" t="inlineStr">
        <is>
          <t>T-Mobile</t>
        </is>
      </c>
      <c r="J602" s="41" t="n">
        <v>32.1</v>
      </c>
      <c r="K602" s="41" t="n">
        <v>0</v>
      </c>
      <c r="L602" s="41" t="n">
        <v>0</v>
      </c>
      <c r="M602" s="41" t="n">
        <v>32.1</v>
      </c>
      <c r="N602" s="41" t="n">
        <v>32.1</v>
      </c>
      <c r="O602" s="41" t="n">
        <v>0</v>
      </c>
      <c r="P602" t="inlineStr">
        <is>
          <t>Mayo 2026 USA.xlsx</t>
        </is>
      </c>
      <c r="Q602" t="inlineStr">
        <is>
          <t>Fila 106</t>
        </is>
      </c>
      <c r="R602" t="inlineStr">
        <is>
          <t>Alta</t>
        </is>
      </c>
      <c r="S602" t="inlineStr">
        <is>
          <t>SI</t>
        </is>
      </c>
      <c r="T602" t="inlineStr">
        <is>
          <t>Revisar proveedores de telecomunicaciones registrados aquí</t>
        </is>
      </c>
    </row>
    <row r="603">
      <c r="A603" t="inlineStr">
        <is>
          <t>2026-05</t>
        </is>
      </c>
      <c r="B603" t="inlineStr">
        <is>
          <t>Estados Unidos</t>
        </is>
      </c>
      <c r="C603" t="inlineStr">
        <is>
          <t>USA</t>
        </is>
      </c>
      <c r="D603" t="inlineStr">
        <is>
          <t>USD</t>
        </is>
      </c>
      <c r="E603" t="inlineStr">
        <is>
          <t>PL-O-060</t>
        </is>
      </c>
      <c r="F603" t="inlineStr">
        <is>
          <t>Gastos de administración</t>
        </is>
      </c>
      <c r="G603" t="inlineStr">
        <is>
          <t>Tecnología y procesamiento de datos</t>
        </is>
      </c>
      <c r="H603" t="inlineStr">
        <is>
          <t>Plataformas y software</t>
        </is>
      </c>
      <c r="I603" t="inlineStr">
        <is>
          <t>Open AI</t>
        </is>
      </c>
      <c r="J603" s="41" t="n">
        <v>80</v>
      </c>
      <c r="K603" s="41" t="n">
        <v>0</v>
      </c>
      <c r="L603" s="41" t="n">
        <v>0</v>
      </c>
      <c r="M603" s="41" t="n">
        <v>80</v>
      </c>
      <c r="N603" s="41" t="n">
        <v>80</v>
      </c>
      <c r="O603" s="41" t="n">
        <v>0</v>
      </c>
      <c r="P603" t="inlineStr">
        <is>
          <t>Mayo 2026 USA.xlsx</t>
        </is>
      </c>
      <c r="Q603" t="inlineStr">
        <is>
          <t>Fila 107</t>
        </is>
      </c>
      <c r="R603" t="inlineStr">
        <is>
          <t>Alta</t>
        </is>
      </c>
      <c r="S603" t="inlineStr">
        <is>
          <t>SI</t>
        </is>
      </c>
      <c r="T603" t="inlineStr">
        <is>
          <t>Revisar proveedores de telecomunicaciones registrados aquí</t>
        </is>
      </c>
    </row>
    <row r="604">
      <c r="A604" t="inlineStr">
        <is>
          <t>2026-05</t>
        </is>
      </c>
      <c r="B604" t="inlineStr">
        <is>
          <t>Estados Unidos</t>
        </is>
      </c>
      <c r="C604" t="inlineStr">
        <is>
          <t>USA</t>
        </is>
      </c>
      <c r="D604" t="inlineStr">
        <is>
          <t>USD</t>
        </is>
      </c>
      <c r="E604" t="inlineStr">
        <is>
          <t>PL-O-060</t>
        </is>
      </c>
      <c r="F604" t="inlineStr">
        <is>
          <t>Gastos de administración</t>
        </is>
      </c>
      <c r="G604" t="inlineStr">
        <is>
          <t>Tecnología y procesamiento de datos</t>
        </is>
      </c>
      <c r="H604" t="inlineStr">
        <is>
          <t>Plataformas y software</t>
        </is>
      </c>
      <c r="I604" t="inlineStr">
        <is>
          <t>VITALLY INC</t>
        </is>
      </c>
      <c r="J604" s="41" t="n">
        <v>0</v>
      </c>
      <c r="K604" s="41" t="n">
        <v>7500</v>
      </c>
      <c r="L604" s="41" t="n">
        <v>0</v>
      </c>
      <c r="M604" s="41" t="n">
        <v>7500</v>
      </c>
      <c r="N604" s="41" t="n">
        <v>7500</v>
      </c>
      <c r="O604" s="41" t="n">
        <v>7500</v>
      </c>
      <c r="P604" t="inlineStr">
        <is>
          <t>Mayo 2026 USA.xlsx</t>
        </is>
      </c>
      <c r="Q604" t="inlineStr">
        <is>
          <t>Fila 108</t>
        </is>
      </c>
      <c r="R604" t="inlineStr">
        <is>
          <t>Alta</t>
        </is>
      </c>
      <c r="S604" t="inlineStr">
        <is>
          <t>SI</t>
        </is>
      </c>
      <c r="T604" t="inlineStr">
        <is>
          <t>Revisar proveedores de telecomunicaciones registrados aquí</t>
        </is>
      </c>
    </row>
    <row r="605">
      <c r="A605" t="inlineStr">
        <is>
          <t>2026-05</t>
        </is>
      </c>
      <c r="B605" t="inlineStr">
        <is>
          <t>Estados Unidos</t>
        </is>
      </c>
      <c r="C605" t="inlineStr">
        <is>
          <t>USA</t>
        </is>
      </c>
      <c r="D605" t="inlineStr">
        <is>
          <t>USD</t>
        </is>
      </c>
      <c r="E605" t="inlineStr">
        <is>
          <t>PL-O-060</t>
        </is>
      </c>
      <c r="F605" t="inlineStr">
        <is>
          <t>Gastos de administración</t>
        </is>
      </c>
      <c r="G605" t="inlineStr">
        <is>
          <t>Tecnología y procesamiento de datos</t>
        </is>
      </c>
      <c r="H605" t="inlineStr">
        <is>
          <t>Plataformas y software</t>
        </is>
      </c>
      <c r="I605" t="inlineStr">
        <is>
          <t>Inverdoral 131 LLC</t>
        </is>
      </c>
      <c r="J605" s="41" t="n">
        <v>957.65</v>
      </c>
      <c r="K605" s="41" t="n">
        <v>69.55</v>
      </c>
      <c r="L605" s="41" t="n">
        <v>0</v>
      </c>
      <c r="M605" s="41" t="n">
        <v>1027.2</v>
      </c>
      <c r="N605" s="41" t="n">
        <v>1027.2</v>
      </c>
      <c r="O605" s="41" t="n">
        <v>69.55</v>
      </c>
      <c r="P605" t="inlineStr">
        <is>
          <t>Mayo 2026 USA.xlsx</t>
        </is>
      </c>
      <c r="Q605" t="inlineStr">
        <is>
          <t>Fila 109</t>
        </is>
      </c>
      <c r="R605" t="inlineStr">
        <is>
          <t>Alta</t>
        </is>
      </c>
      <c r="S605" t="inlineStr">
        <is>
          <t>SI</t>
        </is>
      </c>
      <c r="T605" t="inlineStr">
        <is>
          <t>Revisar proveedores de telecomunicaciones registrados aquí</t>
        </is>
      </c>
    </row>
    <row r="606">
      <c r="A606" t="inlineStr">
        <is>
          <t>2026-05</t>
        </is>
      </c>
      <c r="B606" t="inlineStr">
        <is>
          <t>Estados Unidos</t>
        </is>
      </c>
      <c r="C606" t="inlineStr">
        <is>
          <t>USA</t>
        </is>
      </c>
      <c r="D606" t="inlineStr">
        <is>
          <t>USD</t>
        </is>
      </c>
      <c r="E606" t="inlineStr">
        <is>
          <t>PL-O-060</t>
        </is>
      </c>
      <c r="F606" t="inlineStr">
        <is>
          <t>Gastos de administración</t>
        </is>
      </c>
      <c r="G606" t="inlineStr">
        <is>
          <t>Tecnología y procesamiento de datos</t>
        </is>
      </c>
      <c r="H606" t="inlineStr">
        <is>
          <t>Plataformas y software</t>
        </is>
      </c>
      <c r="I606" t="inlineStr">
        <is>
          <t>Apple INC</t>
        </is>
      </c>
      <c r="J606" s="41" t="n">
        <v>0</v>
      </c>
      <c r="K606" s="41" t="n">
        <v>191.53</v>
      </c>
      <c r="L606" s="41" t="n">
        <v>0</v>
      </c>
      <c r="M606" s="41" t="n">
        <v>191.53</v>
      </c>
      <c r="N606" s="41" t="n">
        <v>191.53</v>
      </c>
      <c r="O606" s="41" t="n">
        <v>191.53</v>
      </c>
      <c r="P606" t="inlineStr">
        <is>
          <t>Mayo 2026 USA.xlsx</t>
        </is>
      </c>
      <c r="Q606" t="inlineStr">
        <is>
          <t>Fila 110</t>
        </is>
      </c>
      <c r="R606" t="inlineStr">
        <is>
          <t>Alta</t>
        </is>
      </c>
      <c r="S606" t="inlineStr">
        <is>
          <t>SI</t>
        </is>
      </c>
      <c r="T606" t="inlineStr">
        <is>
          <t>Revisar proveedores de telecomunicaciones registrados aquí</t>
        </is>
      </c>
    </row>
    <row r="607">
      <c r="A607" t="inlineStr">
        <is>
          <t>2026-05</t>
        </is>
      </c>
      <c r="B607" t="inlineStr">
        <is>
          <t>Estados Unidos</t>
        </is>
      </c>
      <c r="C607" t="inlineStr">
        <is>
          <t>USA</t>
        </is>
      </c>
      <c r="D607" t="inlineStr">
        <is>
          <t>USD</t>
        </is>
      </c>
      <c r="E607" t="inlineStr">
        <is>
          <t>PL-O-070</t>
        </is>
      </c>
      <c r="F607" t="inlineStr">
        <is>
          <t>Gastos de administración</t>
        </is>
      </c>
      <c r="G607" t="inlineStr">
        <is>
          <t>Telecomunicaciones</t>
        </is>
      </c>
      <c r="H607" t="inlineStr">
        <is>
          <t>Telefonía</t>
        </is>
      </c>
      <c r="I607" t="inlineStr">
        <is>
          <t>T-Mobile</t>
        </is>
      </c>
      <c r="J607" s="41" t="n">
        <v>0</v>
      </c>
      <c r="K607" s="41" t="n">
        <v>153.6</v>
      </c>
      <c r="L607" s="41" t="n">
        <v>0</v>
      </c>
      <c r="M607" s="41" t="n">
        <v>153.6</v>
      </c>
      <c r="N607" s="41" t="n">
        <v>153.6</v>
      </c>
      <c r="O607" s="41" t="n">
        <v>153.6</v>
      </c>
      <c r="P607" t="inlineStr">
        <is>
          <t>Mayo 2026 USA.xlsx</t>
        </is>
      </c>
      <c r="Q607" t="inlineStr">
        <is>
          <t>Fila 112</t>
        </is>
      </c>
      <c r="R607" t="inlineStr">
        <is>
          <t>Alta</t>
        </is>
      </c>
      <c r="S607" t="inlineStr">
        <is>
          <t>NO</t>
        </is>
      </c>
      <c r="T607" t="inlineStr">
        <is>
          <t>Servicio telefónico</t>
        </is>
      </c>
    </row>
    <row r="608">
      <c r="A608" t="inlineStr">
        <is>
          <t>2026-05</t>
        </is>
      </c>
      <c r="B608" t="inlineStr">
        <is>
          <t>Estados Unidos</t>
        </is>
      </c>
      <c r="C608" t="inlineStr">
        <is>
          <t>USA</t>
        </is>
      </c>
      <c r="D608" t="inlineStr">
        <is>
          <t>USD</t>
        </is>
      </c>
      <c r="E608" t="inlineStr">
        <is>
          <t>PL-O-080</t>
        </is>
      </c>
      <c r="F608" t="inlineStr">
        <is>
          <t>Gastos de administración</t>
        </is>
      </c>
      <c r="G608" t="inlineStr">
        <is>
          <t>Correo y mensajería</t>
        </is>
      </c>
      <c r="H608" t="inlineStr">
        <is>
          <t>Correo, portes y telegramas</t>
        </is>
      </c>
      <c r="I608" t="inlineStr">
        <is>
          <t>Anytime Mailbox</t>
        </is>
      </c>
      <c r="J608" s="41" t="n">
        <v>45.83</v>
      </c>
      <c r="K608" s="41" t="n">
        <v>11.49</v>
      </c>
      <c r="L608" s="41" t="n">
        <v>0</v>
      </c>
      <c r="M608" s="41" t="n">
        <v>57.32</v>
      </c>
      <c r="N608" s="41" t="n">
        <v>57.32</v>
      </c>
      <c r="O608" s="41" t="n">
        <v>11.49</v>
      </c>
      <c r="P608" t="inlineStr">
        <is>
          <t>Mayo 2026 USA.xlsx</t>
        </is>
      </c>
      <c r="Q608" t="inlineStr">
        <is>
          <t>Fila 114</t>
        </is>
      </c>
      <c r="R608" t="inlineStr">
        <is>
          <t>Alta</t>
        </is>
      </c>
      <c r="S608" t="inlineStr">
        <is>
          <t>NO</t>
        </is>
      </c>
      <c r="T608" t="inlineStr">
        <is>
          <t>Mensajería y correo</t>
        </is>
      </c>
    </row>
    <row r="609">
      <c r="A609" t="inlineStr">
        <is>
          <t>2026-05</t>
        </is>
      </c>
      <c r="B609" t="inlineStr">
        <is>
          <t>Estados Unidos</t>
        </is>
      </c>
      <c r="C609" t="inlineStr">
        <is>
          <t>USA</t>
        </is>
      </c>
      <c r="D609" t="inlineStr">
        <is>
          <t>USD</t>
        </is>
      </c>
      <c r="E609" t="inlineStr">
        <is>
          <t>PL-O-100</t>
        </is>
      </c>
      <c r="F609" t="inlineStr">
        <is>
          <t>Gastos de administración</t>
        </is>
      </c>
      <c r="G609" t="inlineStr">
        <is>
          <t>Otros servicios administrativos</t>
        </is>
      </c>
      <c r="H609" t="inlineStr">
        <is>
          <t>Otros</t>
        </is>
      </c>
      <c r="I609" t="inlineStr">
        <is>
          <t>AT&amp;T</t>
        </is>
      </c>
      <c r="J609" s="41" t="n">
        <v>759.9400000000001</v>
      </c>
      <c r="K609" s="41" t="n">
        <v>14.05</v>
      </c>
      <c r="L609" s="41" t="n">
        <v>0</v>
      </c>
      <c r="M609" s="41" t="n">
        <v>773.99</v>
      </c>
      <c r="N609" s="41" t="n">
        <v>773.99</v>
      </c>
      <c r="O609" s="41" t="n">
        <v>14.05</v>
      </c>
      <c r="P609" t="inlineStr">
        <is>
          <t>Mayo 2026 USA.xlsx</t>
        </is>
      </c>
      <c r="Q609" t="inlineStr">
        <is>
          <t>Fila 116</t>
        </is>
      </c>
      <c r="R609" t="inlineStr">
        <is>
          <t>Media</t>
        </is>
      </c>
      <c r="S609" t="inlineStr">
        <is>
          <t>SI</t>
        </is>
      </c>
      <c r="T609" t="inlineStr">
        <is>
          <t>Cuenta genérica; revisar partidas materiales</t>
        </is>
      </c>
    </row>
    <row r="610">
      <c r="A610" t="inlineStr">
        <is>
          <t>2026-05</t>
        </is>
      </c>
      <c r="B610" t="inlineStr">
        <is>
          <t>Estados Unidos</t>
        </is>
      </c>
      <c r="C610" t="inlineStr">
        <is>
          <t>USA</t>
        </is>
      </c>
      <c r="D610" t="inlineStr">
        <is>
          <t>USD</t>
        </is>
      </c>
      <c r="E610" t="inlineStr">
        <is>
          <t>PL-O-110</t>
        </is>
      </c>
      <c r="F610" t="inlineStr">
        <is>
          <t>Gastos de administración</t>
        </is>
      </c>
      <c r="G610" t="inlineStr">
        <is>
          <t>Suministros y oficina</t>
        </is>
      </c>
      <c r="H610" t="inlineStr">
        <is>
          <t>Aseo y limpieza</t>
        </is>
      </c>
      <c r="I610" t="inlineStr">
        <is>
          <t>Chapola Cafe</t>
        </is>
      </c>
      <c r="J610" s="41" t="n">
        <v>35.1</v>
      </c>
      <c r="K610" s="41" t="n">
        <v>0</v>
      </c>
      <c r="L610" s="41" t="n">
        <v>0</v>
      </c>
      <c r="M610" s="41" t="n">
        <v>35.1</v>
      </c>
      <c r="N610" s="41" t="n">
        <v>35.1</v>
      </c>
      <c r="O610" s="41" t="n">
        <v>0</v>
      </c>
      <c r="P610" t="inlineStr">
        <is>
          <t>Mayo 2026 USA.xlsx</t>
        </is>
      </c>
      <c r="Q610" t="inlineStr">
        <is>
          <t>Fila 119</t>
        </is>
      </c>
      <c r="R610" t="inlineStr">
        <is>
          <t>Alta</t>
        </is>
      </c>
      <c r="S610" t="inlineStr">
        <is>
          <t>SI</t>
        </is>
      </c>
      <c r="T610" t="inlineStr">
        <is>
          <t>Se detectaron comercios de alimentos; revisar clasificación</t>
        </is>
      </c>
    </row>
    <row r="611">
      <c r="A611" t="inlineStr">
        <is>
          <t>2026-05</t>
        </is>
      </c>
      <c r="B611" t="inlineStr">
        <is>
          <t>Estados Unidos</t>
        </is>
      </c>
      <c r="C611" t="inlineStr">
        <is>
          <t>USA</t>
        </is>
      </c>
      <c r="D611" t="inlineStr">
        <is>
          <t>USD</t>
        </is>
      </c>
      <c r="E611" t="inlineStr">
        <is>
          <t>PL-O-110</t>
        </is>
      </c>
      <c r="F611" t="inlineStr">
        <is>
          <t>Gastos de administración</t>
        </is>
      </c>
      <c r="G611" t="inlineStr">
        <is>
          <t>Suministros y oficina</t>
        </is>
      </c>
      <c r="H611" t="inlineStr">
        <is>
          <t>Aseo y limpieza</t>
        </is>
      </c>
      <c r="I611" t="inlineStr">
        <is>
          <t>Latin Cafe</t>
        </is>
      </c>
      <c r="J611" s="41" t="n">
        <v>82.58</v>
      </c>
      <c r="K611" s="41" t="n">
        <v>0</v>
      </c>
      <c r="L611" s="41" t="n">
        <v>0</v>
      </c>
      <c r="M611" s="41" t="n">
        <v>82.58</v>
      </c>
      <c r="N611" s="41" t="n">
        <v>82.58</v>
      </c>
      <c r="O611" s="41" t="n">
        <v>0</v>
      </c>
      <c r="P611" t="inlineStr">
        <is>
          <t>Mayo 2026 USA.xlsx</t>
        </is>
      </c>
      <c r="Q611" t="inlineStr">
        <is>
          <t>Fila 120</t>
        </is>
      </c>
      <c r="R611" t="inlineStr">
        <is>
          <t>Alta</t>
        </is>
      </c>
      <c r="S611" t="inlineStr">
        <is>
          <t>SI</t>
        </is>
      </c>
      <c r="T611" t="inlineStr">
        <is>
          <t>Se detectaron comercios de alimentos; revisar clasificación</t>
        </is>
      </c>
    </row>
    <row r="612">
      <c r="A612" t="inlineStr">
        <is>
          <t>2026-05</t>
        </is>
      </c>
      <c r="B612" t="inlineStr">
        <is>
          <t>Estados Unidos</t>
        </is>
      </c>
      <c r="C612" t="inlineStr">
        <is>
          <t>USA</t>
        </is>
      </c>
      <c r="D612" t="inlineStr">
        <is>
          <t>USD</t>
        </is>
      </c>
      <c r="E612" t="inlineStr">
        <is>
          <t>PL-O-120</t>
        </is>
      </c>
      <c r="F612" t="inlineStr">
        <is>
          <t>Gastos de administración</t>
        </is>
      </c>
      <c r="G612" t="inlineStr">
        <is>
          <t>Alimentación y restaurante</t>
        </is>
      </c>
      <c r="H612" t="inlineStr">
        <is>
          <t>Casino y restaurante</t>
        </is>
      </c>
      <c r="I612" t="inlineStr">
        <is>
          <t>Pollos &amp; Jarras</t>
        </is>
      </c>
      <c r="J612" s="41" t="n">
        <v>254.29</v>
      </c>
      <c r="K612" s="41" t="n">
        <v>0</v>
      </c>
      <c r="L612" s="41" t="n">
        <v>0</v>
      </c>
      <c r="M612" s="41" t="n">
        <v>254.29</v>
      </c>
      <c r="N612" s="41" t="n">
        <v>254.29</v>
      </c>
      <c r="O612" s="41" t="n">
        <v>0</v>
      </c>
      <c r="P612" t="inlineStr">
        <is>
          <t>Mayo 2026 USA.xlsx</t>
        </is>
      </c>
      <c r="Q612" t="inlineStr">
        <is>
          <t>Fila 122</t>
        </is>
      </c>
      <c r="R612" t="inlineStr">
        <is>
          <t>Alta</t>
        </is>
      </c>
      <c r="S612" t="inlineStr">
        <is>
          <t>SI</t>
        </is>
      </c>
      <c r="T612" t="inlineStr">
        <is>
          <t>Se detectó un comercio minorista; revisar esa partida</t>
        </is>
      </c>
    </row>
    <row r="613">
      <c r="A613" t="inlineStr">
        <is>
          <t>2026-05</t>
        </is>
      </c>
      <c r="B613" t="inlineStr">
        <is>
          <t>Estados Unidos</t>
        </is>
      </c>
      <c r="C613" t="inlineStr">
        <is>
          <t>USA</t>
        </is>
      </c>
      <c r="D613" t="inlineStr">
        <is>
          <t>USD</t>
        </is>
      </c>
      <c r="E613" t="inlineStr">
        <is>
          <t>PL-O-120</t>
        </is>
      </c>
      <c r="F613" t="inlineStr">
        <is>
          <t>Gastos de administración</t>
        </is>
      </c>
      <c r="G613" t="inlineStr">
        <is>
          <t>Alimentación y restaurante</t>
        </is>
      </c>
      <c r="H613" t="inlineStr">
        <is>
          <t>Casino y restaurante</t>
        </is>
      </c>
      <c r="I613" t="inlineStr">
        <is>
          <t>Rice House Of Kabob</t>
        </is>
      </c>
      <c r="J613" s="41" t="n">
        <v>63.15</v>
      </c>
      <c r="K613" s="41" t="n">
        <v>0</v>
      </c>
      <c r="L613" s="41" t="n">
        <v>0</v>
      </c>
      <c r="M613" s="41" t="n">
        <v>63.15</v>
      </c>
      <c r="N613" s="41" t="n">
        <v>63.15</v>
      </c>
      <c r="O613" s="41" t="n">
        <v>0</v>
      </c>
      <c r="P613" t="inlineStr">
        <is>
          <t>Mayo 2026 USA.xlsx</t>
        </is>
      </c>
      <c r="Q613" t="inlineStr">
        <is>
          <t>Fila 123</t>
        </is>
      </c>
      <c r="R613" t="inlineStr">
        <is>
          <t>Alta</t>
        </is>
      </c>
      <c r="S613" t="inlineStr">
        <is>
          <t>SI</t>
        </is>
      </c>
      <c r="T613" t="inlineStr">
        <is>
          <t>Se detectó un comercio minorista; revisar esa partida</t>
        </is>
      </c>
    </row>
    <row r="614">
      <c r="A614" t="inlineStr">
        <is>
          <t>2026-05</t>
        </is>
      </c>
      <c r="B614" t="inlineStr">
        <is>
          <t>Estados Unidos</t>
        </is>
      </c>
      <c r="C614" t="inlineStr">
        <is>
          <t>USA</t>
        </is>
      </c>
      <c r="D614" t="inlineStr">
        <is>
          <t>USD</t>
        </is>
      </c>
      <c r="E614" t="inlineStr">
        <is>
          <t>PL-O-120</t>
        </is>
      </c>
      <c r="F614" t="inlineStr">
        <is>
          <t>Gastos de administración</t>
        </is>
      </c>
      <c r="G614" t="inlineStr">
        <is>
          <t>Alimentación y restaurante</t>
        </is>
      </c>
      <c r="H614" t="inlineStr">
        <is>
          <t>Casino y restaurante</t>
        </is>
      </c>
      <c r="I614" t="inlineStr">
        <is>
          <t>Rice House Of Kabob</t>
        </is>
      </c>
      <c r="J614" s="41" t="n">
        <v>55.93</v>
      </c>
      <c r="K614" s="41" t="n">
        <v>0</v>
      </c>
      <c r="L614" s="41" t="n">
        <v>0</v>
      </c>
      <c r="M614" s="41" t="n">
        <v>55.93</v>
      </c>
      <c r="N614" s="41" t="n">
        <v>55.93</v>
      </c>
      <c r="O614" s="41" t="n">
        <v>0</v>
      </c>
      <c r="P614" t="inlineStr">
        <is>
          <t>Mayo 2026 USA.xlsx</t>
        </is>
      </c>
      <c r="Q614" t="inlineStr">
        <is>
          <t>Fila 124</t>
        </is>
      </c>
      <c r="R614" t="inlineStr">
        <is>
          <t>Alta</t>
        </is>
      </c>
      <c r="S614" t="inlineStr">
        <is>
          <t>SI</t>
        </is>
      </c>
      <c r="T614" t="inlineStr">
        <is>
          <t>Se detectó un comercio minorista; revisar esa partida</t>
        </is>
      </c>
    </row>
    <row r="615">
      <c r="A615" t="inlineStr">
        <is>
          <t>2026-05</t>
        </is>
      </c>
      <c r="B615" t="inlineStr">
        <is>
          <t>Estados Unidos</t>
        </is>
      </c>
      <c r="C615" t="inlineStr">
        <is>
          <t>USA</t>
        </is>
      </c>
      <c r="D615" t="inlineStr">
        <is>
          <t>USD</t>
        </is>
      </c>
      <c r="E615" t="inlineStr">
        <is>
          <t>PL-O-120</t>
        </is>
      </c>
      <c r="F615" t="inlineStr">
        <is>
          <t>Gastos de administración</t>
        </is>
      </c>
      <c r="G615" t="inlineStr">
        <is>
          <t>Alimentación y restaurante</t>
        </is>
      </c>
      <c r="H615" t="inlineStr">
        <is>
          <t>Casino y restaurante</t>
        </is>
      </c>
      <c r="I615" t="inlineStr">
        <is>
          <t>Ross Dress for Less</t>
        </is>
      </c>
      <c r="J615" s="41" t="n">
        <v>145.96</v>
      </c>
      <c r="K615" s="41" t="n">
        <v>0</v>
      </c>
      <c r="L615" s="41" t="n">
        <v>0</v>
      </c>
      <c r="M615" s="41" t="n">
        <v>145.96</v>
      </c>
      <c r="N615" s="41" t="n">
        <v>145.96</v>
      </c>
      <c r="O615" s="41" t="n">
        <v>0</v>
      </c>
      <c r="P615" t="inlineStr">
        <is>
          <t>Mayo 2026 USA.xlsx</t>
        </is>
      </c>
      <c r="Q615" t="inlineStr">
        <is>
          <t>Fila 125</t>
        </is>
      </c>
      <c r="R615" t="inlineStr">
        <is>
          <t>Alta</t>
        </is>
      </c>
      <c r="S615" t="inlineStr">
        <is>
          <t>SI</t>
        </is>
      </c>
      <c r="T615" t="inlineStr">
        <is>
          <t>Se detectó un comercio minorista; revisar esa partida</t>
        </is>
      </c>
    </row>
    <row r="616">
      <c r="A616" t="inlineStr">
        <is>
          <t>2026-05</t>
        </is>
      </c>
      <c r="B616" t="inlineStr">
        <is>
          <t>Estados Unidos</t>
        </is>
      </c>
      <c r="C616" t="inlineStr">
        <is>
          <t>USA</t>
        </is>
      </c>
      <c r="D616" t="inlineStr">
        <is>
          <t>USD</t>
        </is>
      </c>
      <c r="E616" t="inlineStr">
        <is>
          <t>PL-O-120</t>
        </is>
      </c>
      <c r="F616" t="inlineStr">
        <is>
          <t>Gastos de administración</t>
        </is>
      </c>
      <c r="G616" t="inlineStr">
        <is>
          <t>Alimentación y restaurante</t>
        </is>
      </c>
      <c r="H616" t="inlineStr">
        <is>
          <t>Casino y restaurante</t>
        </is>
      </c>
      <c r="I616" t="inlineStr">
        <is>
          <t>Milanezza Kitchen Bar &amp; Market</t>
        </is>
      </c>
      <c r="J616" s="41" t="n">
        <v>92.97</v>
      </c>
      <c r="K616" s="41" t="n">
        <v>0</v>
      </c>
      <c r="L616" s="41" t="n">
        <v>0</v>
      </c>
      <c r="M616" s="41" t="n">
        <v>92.97</v>
      </c>
      <c r="N616" s="41" t="n">
        <v>92.97</v>
      </c>
      <c r="O616" s="41" t="n">
        <v>0</v>
      </c>
      <c r="P616" t="inlineStr">
        <is>
          <t>Mayo 2026 USA.xlsx</t>
        </is>
      </c>
      <c r="Q616" t="inlineStr">
        <is>
          <t>Fila 126</t>
        </is>
      </c>
      <c r="R616" t="inlineStr">
        <is>
          <t>Alta</t>
        </is>
      </c>
      <c r="S616" t="inlineStr">
        <is>
          <t>SI</t>
        </is>
      </c>
      <c r="T616" t="inlineStr">
        <is>
          <t>Se detectó un comercio minorista; revisar esa partida</t>
        </is>
      </c>
    </row>
    <row r="617">
      <c r="A617" t="inlineStr">
        <is>
          <t>2026-05</t>
        </is>
      </c>
      <c r="B617" t="inlineStr">
        <is>
          <t>Estados Unidos</t>
        </is>
      </c>
      <c r="C617" t="inlineStr">
        <is>
          <t>USA</t>
        </is>
      </c>
      <c r="D617" t="inlineStr">
        <is>
          <t>USD</t>
        </is>
      </c>
      <c r="E617" t="inlineStr">
        <is>
          <t>PL-O-120</t>
        </is>
      </c>
      <c r="F617" t="inlineStr">
        <is>
          <t>Gastos de administración</t>
        </is>
      </c>
      <c r="G617" t="inlineStr">
        <is>
          <t>Alimentación y restaurante</t>
        </is>
      </c>
      <c r="H617" t="inlineStr">
        <is>
          <t>Casino y restaurante</t>
        </is>
      </c>
      <c r="I617" t="inlineStr">
        <is>
          <t>Sushi Club</t>
        </is>
      </c>
      <c r="J617" s="41" t="n">
        <v>122.49</v>
      </c>
      <c r="K617" s="41" t="n">
        <v>0</v>
      </c>
      <c r="L617" s="41" t="n">
        <v>0</v>
      </c>
      <c r="M617" s="41" t="n">
        <v>122.49</v>
      </c>
      <c r="N617" s="41" t="n">
        <v>122.49</v>
      </c>
      <c r="O617" s="41" t="n">
        <v>0</v>
      </c>
      <c r="P617" t="inlineStr">
        <is>
          <t>Mayo 2026 USA.xlsx</t>
        </is>
      </c>
      <c r="Q617" t="inlineStr">
        <is>
          <t>Fila 127</t>
        </is>
      </c>
      <c r="R617" t="inlineStr">
        <is>
          <t>Alta</t>
        </is>
      </c>
      <c r="S617" t="inlineStr">
        <is>
          <t>SI</t>
        </is>
      </c>
      <c r="T617" t="inlineStr">
        <is>
          <t>Se detectó un comercio minorista; revisar esa partida</t>
        </is>
      </c>
    </row>
    <row r="618">
      <c r="A618" t="inlineStr">
        <is>
          <t>2026-05</t>
        </is>
      </c>
      <c r="B618" t="inlineStr">
        <is>
          <t>Estados Unidos</t>
        </is>
      </c>
      <c r="C618" t="inlineStr">
        <is>
          <t>USA</t>
        </is>
      </c>
      <c r="D618" t="inlineStr">
        <is>
          <t>USD</t>
        </is>
      </c>
      <c r="E618" t="inlineStr">
        <is>
          <t>PL-O-120</t>
        </is>
      </c>
      <c r="F618" t="inlineStr">
        <is>
          <t>Gastos de administración</t>
        </is>
      </c>
      <c r="G618" t="inlineStr">
        <is>
          <t>Alimentación y restaurante</t>
        </is>
      </c>
      <c r="H618" t="inlineStr">
        <is>
          <t>Casino y restaurante</t>
        </is>
      </c>
      <c r="I618" t="inlineStr">
        <is>
          <t>The Cheesecake Factory</t>
        </is>
      </c>
      <c r="J618" s="41" t="n">
        <v>184.6</v>
      </c>
      <c r="K618" s="41" t="n">
        <v>0</v>
      </c>
      <c r="L618" s="41" t="n">
        <v>0</v>
      </c>
      <c r="M618" s="41" t="n">
        <v>184.6</v>
      </c>
      <c r="N618" s="41" t="n">
        <v>184.6</v>
      </c>
      <c r="O618" s="41" t="n">
        <v>0</v>
      </c>
      <c r="P618" t="inlineStr">
        <is>
          <t>Mayo 2026 USA.xlsx</t>
        </is>
      </c>
      <c r="Q618" t="inlineStr">
        <is>
          <t>Fila 128</t>
        </is>
      </c>
      <c r="R618" t="inlineStr">
        <is>
          <t>Alta</t>
        </is>
      </c>
      <c r="S618" t="inlineStr">
        <is>
          <t>SI</t>
        </is>
      </c>
      <c r="T618" t="inlineStr">
        <is>
          <t>Se detectó un comercio minorista; revisar esa partida</t>
        </is>
      </c>
    </row>
    <row r="619">
      <c r="A619" t="inlineStr">
        <is>
          <t>2026-05</t>
        </is>
      </c>
      <c r="B619" t="inlineStr">
        <is>
          <t>Estados Unidos</t>
        </is>
      </c>
      <c r="C619" t="inlineStr">
        <is>
          <t>USA</t>
        </is>
      </c>
      <c r="D619" t="inlineStr">
        <is>
          <t>USD</t>
        </is>
      </c>
      <c r="E619" t="inlineStr">
        <is>
          <t>PL-O-120</t>
        </is>
      </c>
      <c r="F619" t="inlineStr">
        <is>
          <t>Gastos de administración</t>
        </is>
      </c>
      <c r="G619" t="inlineStr">
        <is>
          <t>Alimentación y restaurante</t>
        </is>
      </c>
      <c r="H619" t="inlineStr">
        <is>
          <t>Casino y restaurante</t>
        </is>
      </c>
      <c r="I619" t="inlineStr">
        <is>
          <t>Ai Tallarin</t>
        </is>
      </c>
      <c r="J619" s="41" t="n">
        <v>80.39</v>
      </c>
      <c r="K619" s="41" t="n">
        <v>0</v>
      </c>
      <c r="L619" s="41" t="n">
        <v>0</v>
      </c>
      <c r="M619" s="41" t="n">
        <v>80.39</v>
      </c>
      <c r="N619" s="41" t="n">
        <v>80.39</v>
      </c>
      <c r="O619" s="41" t="n">
        <v>0</v>
      </c>
      <c r="P619" t="inlineStr">
        <is>
          <t>Mayo 2026 USA.xlsx</t>
        </is>
      </c>
      <c r="Q619" t="inlineStr">
        <is>
          <t>Fila 129</t>
        </is>
      </c>
      <c r="R619" t="inlineStr">
        <is>
          <t>Alta</t>
        </is>
      </c>
      <c r="S619" t="inlineStr">
        <is>
          <t>SI</t>
        </is>
      </c>
      <c r="T619" t="inlineStr">
        <is>
          <t>Se detectó un comercio minorista; revisar esa partida</t>
        </is>
      </c>
    </row>
    <row r="620">
      <c r="A620" t="inlineStr">
        <is>
          <t>2026-05</t>
        </is>
      </c>
      <c r="B620" t="inlineStr">
        <is>
          <t>Estados Unidos</t>
        </is>
      </c>
      <c r="C620" t="inlineStr">
        <is>
          <t>USA</t>
        </is>
      </c>
      <c r="D620" t="inlineStr">
        <is>
          <t>USD</t>
        </is>
      </c>
      <c r="E620" t="inlineStr">
        <is>
          <t>PL-O-120</t>
        </is>
      </c>
      <c r="F620" t="inlineStr">
        <is>
          <t>Gastos de administración</t>
        </is>
      </c>
      <c r="G620" t="inlineStr">
        <is>
          <t>Alimentación y restaurante</t>
        </is>
      </c>
      <c r="H620" t="inlineStr">
        <is>
          <t>Casino y restaurante</t>
        </is>
      </c>
      <c r="I620" t="inlineStr">
        <is>
          <t>AGO Miami</t>
        </is>
      </c>
      <c r="J620" s="41" t="n">
        <v>34.92</v>
      </c>
      <c r="K620" s="41" t="n">
        <v>179.4</v>
      </c>
      <c r="L620" s="41" t="n">
        <v>0</v>
      </c>
      <c r="M620" s="41" t="n">
        <v>214.32</v>
      </c>
      <c r="N620" s="41" t="n">
        <v>214.32</v>
      </c>
      <c r="O620" s="41" t="n">
        <v>179.4</v>
      </c>
      <c r="P620" t="inlineStr">
        <is>
          <t>Mayo 2026 USA.xlsx</t>
        </is>
      </c>
      <c r="Q620" t="inlineStr">
        <is>
          <t>Fila 130</t>
        </is>
      </c>
      <c r="R620" t="inlineStr">
        <is>
          <t>Alta</t>
        </is>
      </c>
      <c r="S620" t="inlineStr">
        <is>
          <t>SI</t>
        </is>
      </c>
      <c r="T620" t="inlineStr">
        <is>
          <t>Se detectó un comercio minorista; revisar esa partida</t>
        </is>
      </c>
    </row>
    <row r="621">
      <c r="A621" t="inlineStr">
        <is>
          <t>2026-05</t>
        </is>
      </c>
      <c r="B621" t="inlineStr">
        <is>
          <t>Estados Unidos</t>
        </is>
      </c>
      <c r="C621" t="inlineStr">
        <is>
          <t>USA</t>
        </is>
      </c>
      <c r="D621" t="inlineStr">
        <is>
          <t>USD</t>
        </is>
      </c>
      <c r="E621" t="inlineStr">
        <is>
          <t>PL-O-120</t>
        </is>
      </c>
      <c r="F621" t="inlineStr">
        <is>
          <t>Gastos de administración</t>
        </is>
      </c>
      <c r="G621" t="inlineStr">
        <is>
          <t>Alimentación y restaurante</t>
        </is>
      </c>
      <c r="H621" t="inlineStr">
        <is>
          <t>Casino y restaurante</t>
        </is>
      </c>
      <c r="I621" t="inlineStr">
        <is>
          <t>North Italia</t>
        </is>
      </c>
      <c r="J621" s="41" t="n">
        <v>177.68</v>
      </c>
      <c r="K621" s="41" t="n">
        <v>0</v>
      </c>
      <c r="L621" s="41" t="n">
        <v>0</v>
      </c>
      <c r="M621" s="41" t="n">
        <v>177.68</v>
      </c>
      <c r="N621" s="41" t="n">
        <v>177.68</v>
      </c>
      <c r="O621" s="41" t="n">
        <v>0</v>
      </c>
      <c r="P621" t="inlineStr">
        <is>
          <t>Mayo 2026 USA.xlsx</t>
        </is>
      </c>
      <c r="Q621" t="inlineStr">
        <is>
          <t>Fila 131</t>
        </is>
      </c>
      <c r="R621" t="inlineStr">
        <is>
          <t>Alta</t>
        </is>
      </c>
      <c r="S621" t="inlineStr">
        <is>
          <t>SI</t>
        </is>
      </c>
      <c r="T621" t="inlineStr">
        <is>
          <t>Se detectó un comercio minorista; revisar esa partida</t>
        </is>
      </c>
    </row>
    <row r="622">
      <c r="A622" t="inlineStr">
        <is>
          <t>2026-05</t>
        </is>
      </c>
      <c r="B622" t="inlineStr">
        <is>
          <t>Estados Unidos</t>
        </is>
      </c>
      <c r="C622" t="inlineStr">
        <is>
          <t>USA</t>
        </is>
      </c>
      <c r="D622" t="inlineStr">
        <is>
          <t>USD</t>
        </is>
      </c>
      <c r="E622" t="inlineStr">
        <is>
          <t>PL-O-120</t>
        </is>
      </c>
      <c r="F622" t="inlineStr">
        <is>
          <t>Gastos de administración</t>
        </is>
      </c>
      <c r="G622" t="inlineStr">
        <is>
          <t>Alimentación y restaurante</t>
        </is>
      </c>
      <c r="H622" t="inlineStr">
        <is>
          <t>Casino y restaurante</t>
        </is>
      </c>
      <c r="I622" t="inlineStr">
        <is>
          <t>Fogo de Chão</t>
        </is>
      </c>
      <c r="J622" s="41" t="n">
        <v>248</v>
      </c>
      <c r="K622" s="41" t="n">
        <v>0</v>
      </c>
      <c r="L622" s="41" t="n">
        <v>0</v>
      </c>
      <c r="M622" s="41" t="n">
        <v>248</v>
      </c>
      <c r="N622" s="41" t="n">
        <v>248</v>
      </c>
      <c r="O622" s="41" t="n">
        <v>0</v>
      </c>
      <c r="P622" t="inlineStr">
        <is>
          <t>Mayo 2026 USA.xlsx</t>
        </is>
      </c>
      <c r="Q622" t="inlineStr">
        <is>
          <t>Fila 132</t>
        </is>
      </c>
      <c r="R622" t="inlineStr">
        <is>
          <t>Alta</t>
        </is>
      </c>
      <c r="S622" t="inlineStr">
        <is>
          <t>SI</t>
        </is>
      </c>
      <c r="T622" t="inlineStr">
        <is>
          <t>Se detectó un comercio minorista; revisar esa partida</t>
        </is>
      </c>
    </row>
    <row r="623">
      <c r="A623" t="inlineStr">
        <is>
          <t>2026-05</t>
        </is>
      </c>
      <c r="B623" t="inlineStr">
        <is>
          <t>Estados Unidos</t>
        </is>
      </c>
      <c r="C623" t="inlineStr">
        <is>
          <t>USA</t>
        </is>
      </c>
      <c r="D623" t="inlineStr">
        <is>
          <t>USD</t>
        </is>
      </c>
      <c r="E623" t="inlineStr">
        <is>
          <t>PL-O-120</t>
        </is>
      </c>
      <c r="F623" t="inlineStr">
        <is>
          <t>Gastos de administración</t>
        </is>
      </c>
      <c r="G623" t="inlineStr">
        <is>
          <t>Alimentación y restaurante</t>
        </is>
      </c>
      <c r="H623" t="inlineStr">
        <is>
          <t>Casino y restaurante</t>
        </is>
      </c>
      <c r="I623" t="inlineStr">
        <is>
          <t>Crepes &amp; Waffles</t>
        </is>
      </c>
      <c r="J623" s="41" t="n">
        <v>30.09</v>
      </c>
      <c r="K623" s="41" t="n">
        <v>0</v>
      </c>
      <c r="L623" s="41" t="n">
        <v>0</v>
      </c>
      <c r="M623" s="41" t="n">
        <v>30.09</v>
      </c>
      <c r="N623" s="41" t="n">
        <v>30.09</v>
      </c>
      <c r="O623" s="41" t="n">
        <v>0</v>
      </c>
      <c r="P623" t="inlineStr">
        <is>
          <t>Mayo 2026 USA.xlsx</t>
        </is>
      </c>
      <c r="Q623" t="inlineStr">
        <is>
          <t>Fila 133</t>
        </is>
      </c>
      <c r="R623" t="inlineStr">
        <is>
          <t>Alta</t>
        </is>
      </c>
      <c r="S623" t="inlineStr">
        <is>
          <t>SI</t>
        </is>
      </c>
      <c r="T623" t="inlineStr">
        <is>
          <t>Se detectó un comercio minorista; revisar esa partida</t>
        </is>
      </c>
    </row>
    <row r="624">
      <c r="A624" t="inlineStr">
        <is>
          <t>2026-05</t>
        </is>
      </c>
      <c r="B624" t="inlineStr">
        <is>
          <t>Estados Unidos</t>
        </is>
      </c>
      <c r="C624" t="inlineStr">
        <is>
          <t>USA</t>
        </is>
      </c>
      <c r="D624" t="inlineStr">
        <is>
          <t>USD</t>
        </is>
      </c>
      <c r="E624" t="inlineStr">
        <is>
          <t>PL-O-120</t>
        </is>
      </c>
      <c r="F624" t="inlineStr">
        <is>
          <t>Gastos de administración</t>
        </is>
      </c>
      <c r="G624" t="inlineStr">
        <is>
          <t>Alimentación y restaurante</t>
        </is>
      </c>
      <c r="H624" t="inlineStr">
        <is>
          <t>Casino y restaurante</t>
        </is>
      </c>
      <c r="I624" t="inlineStr">
        <is>
          <t>Sunny Side- Miami</t>
        </is>
      </c>
      <c r="J624" s="41" t="n">
        <v>182.88</v>
      </c>
      <c r="K624" s="41" t="n">
        <v>0</v>
      </c>
      <c r="L624" s="41" t="n">
        <v>0</v>
      </c>
      <c r="M624" s="41" t="n">
        <v>182.88</v>
      </c>
      <c r="N624" s="41" t="n">
        <v>182.88</v>
      </c>
      <c r="O624" s="41" t="n">
        <v>0</v>
      </c>
      <c r="P624" t="inlineStr">
        <is>
          <t>Mayo 2026 USA.xlsx</t>
        </is>
      </c>
      <c r="Q624" t="inlineStr">
        <is>
          <t>Fila 134</t>
        </is>
      </c>
      <c r="R624" t="inlineStr">
        <is>
          <t>Alta</t>
        </is>
      </c>
      <c r="S624" t="inlineStr">
        <is>
          <t>SI</t>
        </is>
      </c>
      <c r="T624" t="inlineStr">
        <is>
          <t>Se detectó un comercio minorista; revisar esa partida</t>
        </is>
      </c>
    </row>
    <row r="625">
      <c r="A625" t="inlineStr">
        <is>
          <t>2026-05</t>
        </is>
      </c>
      <c r="B625" t="inlineStr">
        <is>
          <t>Estados Unidos</t>
        </is>
      </c>
      <c r="C625" t="inlineStr">
        <is>
          <t>USA</t>
        </is>
      </c>
      <c r="D625" t="inlineStr">
        <is>
          <t>USD</t>
        </is>
      </c>
      <c r="E625" t="inlineStr">
        <is>
          <t>PL-O-120</t>
        </is>
      </c>
      <c r="F625" t="inlineStr">
        <is>
          <t>Gastos de administración</t>
        </is>
      </c>
      <c r="G625" t="inlineStr">
        <is>
          <t>Alimentación y restaurante</t>
        </is>
      </c>
      <c r="H625" t="inlineStr">
        <is>
          <t>Casino y restaurante</t>
        </is>
      </c>
      <c r="I625" t="inlineStr">
        <is>
          <t>La Carretera</t>
        </is>
      </c>
      <c r="J625" s="41" t="n">
        <v>7.03</v>
      </c>
      <c r="K625" s="41" t="n">
        <v>0</v>
      </c>
      <c r="L625" s="41" t="n">
        <v>0</v>
      </c>
      <c r="M625" s="41" t="n">
        <v>7.03</v>
      </c>
      <c r="N625" s="41" t="n">
        <v>7.03</v>
      </c>
      <c r="O625" s="41" t="n">
        <v>0</v>
      </c>
      <c r="P625" t="inlineStr">
        <is>
          <t>Mayo 2026 USA.xlsx</t>
        </is>
      </c>
      <c r="Q625" t="inlineStr">
        <is>
          <t>Fila 135</t>
        </is>
      </c>
      <c r="R625" t="inlineStr">
        <is>
          <t>Alta</t>
        </is>
      </c>
      <c r="S625" t="inlineStr">
        <is>
          <t>SI</t>
        </is>
      </c>
      <c r="T625" t="inlineStr">
        <is>
          <t>Se detectó un comercio minorista; revisar esa partida</t>
        </is>
      </c>
    </row>
    <row r="626">
      <c r="A626" t="inlineStr">
        <is>
          <t>2026-05</t>
        </is>
      </c>
      <c r="B626" t="inlineStr">
        <is>
          <t>Estados Unidos</t>
        </is>
      </c>
      <c r="C626" t="inlineStr">
        <is>
          <t>USA</t>
        </is>
      </c>
      <c r="D626" t="inlineStr">
        <is>
          <t>USD</t>
        </is>
      </c>
      <c r="E626" t="inlineStr">
        <is>
          <t>PL-O-120</t>
        </is>
      </c>
      <c r="F626" t="inlineStr">
        <is>
          <t>Gastos de administración</t>
        </is>
      </c>
      <c r="G626" t="inlineStr">
        <is>
          <t>Alimentación y restaurante</t>
        </is>
      </c>
      <c r="H626" t="inlineStr">
        <is>
          <t>Casino y restaurante</t>
        </is>
      </c>
      <c r="I626" t="inlineStr">
        <is>
          <t>Fiorito</t>
        </is>
      </c>
      <c r="J626" s="41" t="n">
        <v>127.26</v>
      </c>
      <c r="K626" s="41" t="n">
        <v>0</v>
      </c>
      <c r="L626" s="41" t="n">
        <v>0</v>
      </c>
      <c r="M626" s="41" t="n">
        <v>127.26</v>
      </c>
      <c r="N626" s="41" t="n">
        <v>127.26</v>
      </c>
      <c r="O626" s="41" t="n">
        <v>0</v>
      </c>
      <c r="P626" t="inlineStr">
        <is>
          <t>Mayo 2026 USA.xlsx</t>
        </is>
      </c>
      <c r="Q626" t="inlineStr">
        <is>
          <t>Fila 136</t>
        </is>
      </c>
      <c r="R626" t="inlineStr">
        <is>
          <t>Alta</t>
        </is>
      </c>
      <c r="S626" t="inlineStr">
        <is>
          <t>SI</t>
        </is>
      </c>
      <c r="T626" t="inlineStr">
        <is>
          <t>Se detectó un comercio minorista; revisar esa partida</t>
        </is>
      </c>
    </row>
    <row r="627">
      <c r="A627" t="inlineStr">
        <is>
          <t>2026-05</t>
        </is>
      </c>
      <c r="B627" t="inlineStr">
        <is>
          <t>Estados Unidos</t>
        </is>
      </c>
      <c r="C627" t="inlineStr">
        <is>
          <t>USA</t>
        </is>
      </c>
      <c r="D627" t="inlineStr">
        <is>
          <t>USD</t>
        </is>
      </c>
      <c r="E627" t="inlineStr">
        <is>
          <t>PL-O-120</t>
        </is>
      </c>
      <c r="F627" t="inlineStr">
        <is>
          <t>Gastos de administración</t>
        </is>
      </c>
      <c r="G627" t="inlineStr">
        <is>
          <t>Alimentación y restaurante</t>
        </is>
      </c>
      <c r="H627" t="inlineStr">
        <is>
          <t>Casino y restaurante</t>
        </is>
      </c>
      <c r="I627" t="inlineStr">
        <is>
          <t>Door Dash</t>
        </is>
      </c>
      <c r="J627" s="41" t="n">
        <v>27.93</v>
      </c>
      <c r="K627" s="41" t="n">
        <v>0</v>
      </c>
      <c r="L627" s="41" t="n">
        <v>0</v>
      </c>
      <c r="M627" s="41" t="n">
        <v>27.93</v>
      </c>
      <c r="N627" s="41" t="n">
        <v>27.93</v>
      </c>
      <c r="O627" s="41" t="n">
        <v>0</v>
      </c>
      <c r="P627" t="inlineStr">
        <is>
          <t>Mayo 2026 USA.xlsx</t>
        </is>
      </c>
      <c r="Q627" t="inlineStr">
        <is>
          <t>Fila 137</t>
        </is>
      </c>
      <c r="R627" t="inlineStr">
        <is>
          <t>Alta</t>
        </is>
      </c>
      <c r="S627" t="inlineStr">
        <is>
          <t>SI</t>
        </is>
      </c>
      <c r="T627" t="inlineStr">
        <is>
          <t>Se detectó un comercio minorista; revisar esa partida</t>
        </is>
      </c>
    </row>
    <row r="628">
      <c r="A628" t="inlineStr">
        <is>
          <t>2026-05</t>
        </is>
      </c>
      <c r="B628" t="inlineStr">
        <is>
          <t>Estados Unidos</t>
        </is>
      </c>
      <c r="C628" t="inlineStr">
        <is>
          <t>USA</t>
        </is>
      </c>
      <c r="D628" t="inlineStr">
        <is>
          <t>USD</t>
        </is>
      </c>
      <c r="E628" t="inlineStr">
        <is>
          <t>PL-O-120</t>
        </is>
      </c>
      <c r="F628" t="inlineStr">
        <is>
          <t>Gastos de administración</t>
        </is>
      </c>
      <c r="G628" t="inlineStr">
        <is>
          <t>Alimentación y restaurante</t>
        </is>
      </c>
      <c r="H628" t="inlineStr">
        <is>
          <t>Casino y restaurante</t>
        </is>
      </c>
      <c r="I628" t="inlineStr">
        <is>
          <t>Estadero y Asados Dona</t>
        </is>
      </c>
      <c r="J628" s="41" t="n">
        <v>72.54000000000001</v>
      </c>
      <c r="K628" s="41" t="n">
        <v>0</v>
      </c>
      <c r="L628" s="41" t="n">
        <v>0</v>
      </c>
      <c r="M628" s="41" t="n">
        <v>72.54000000000001</v>
      </c>
      <c r="N628" s="41" t="n">
        <v>72.54000000000001</v>
      </c>
      <c r="O628" s="41" t="n">
        <v>0</v>
      </c>
      <c r="P628" t="inlineStr">
        <is>
          <t>Mayo 2026 USA.xlsx</t>
        </is>
      </c>
      <c r="Q628" t="inlineStr">
        <is>
          <t>Fila 138</t>
        </is>
      </c>
      <c r="R628" t="inlineStr">
        <is>
          <t>Alta</t>
        </is>
      </c>
      <c r="S628" t="inlineStr">
        <is>
          <t>SI</t>
        </is>
      </c>
      <c r="T628" t="inlineStr">
        <is>
          <t>Se detectó un comercio minorista; revisar esa partida</t>
        </is>
      </c>
    </row>
    <row r="629">
      <c r="A629" t="inlineStr">
        <is>
          <t>2026-05</t>
        </is>
      </c>
      <c r="B629" t="inlineStr">
        <is>
          <t>Estados Unidos</t>
        </is>
      </c>
      <c r="C629" t="inlineStr">
        <is>
          <t>USA</t>
        </is>
      </c>
      <c r="D629" t="inlineStr">
        <is>
          <t>USD</t>
        </is>
      </c>
      <c r="E629" t="inlineStr">
        <is>
          <t>PL-O-120</t>
        </is>
      </c>
      <c r="F629" t="inlineStr">
        <is>
          <t>Gastos de administración</t>
        </is>
      </c>
      <c r="G629" t="inlineStr">
        <is>
          <t>Alimentación y restaurante</t>
        </is>
      </c>
      <c r="H629" t="inlineStr">
        <is>
          <t>Casino y restaurante</t>
        </is>
      </c>
      <c r="I629" t="inlineStr">
        <is>
          <t>Bistro Cafe</t>
        </is>
      </c>
      <c r="J629" s="41" t="n">
        <v>0</v>
      </c>
      <c r="K629" s="41" t="n">
        <v>236.25</v>
      </c>
      <c r="L629" s="41" t="n">
        <v>0</v>
      </c>
      <c r="M629" s="41" t="n">
        <v>236.25</v>
      </c>
      <c r="N629" s="41" t="n">
        <v>236.25</v>
      </c>
      <c r="O629" s="41" t="n">
        <v>236.25</v>
      </c>
      <c r="P629" t="inlineStr">
        <is>
          <t>Mayo 2026 USA.xlsx</t>
        </is>
      </c>
      <c r="Q629" t="inlineStr">
        <is>
          <t>Fila 139</t>
        </is>
      </c>
      <c r="R629" t="inlineStr">
        <is>
          <t>Alta</t>
        </is>
      </c>
      <c r="S629" t="inlineStr">
        <is>
          <t>SI</t>
        </is>
      </c>
      <c r="T629" t="inlineStr">
        <is>
          <t>Se detectó un comercio minorista; revisar esa partida</t>
        </is>
      </c>
    </row>
    <row r="630">
      <c r="A630" t="inlineStr">
        <is>
          <t>2026-05</t>
        </is>
      </c>
      <c r="B630" t="inlineStr">
        <is>
          <t>Estados Unidos</t>
        </is>
      </c>
      <c r="C630" t="inlineStr">
        <is>
          <t>USA</t>
        </is>
      </c>
      <c r="D630" t="inlineStr">
        <is>
          <t>USD</t>
        </is>
      </c>
      <c r="E630" t="inlineStr">
        <is>
          <t>PL-O-120</t>
        </is>
      </c>
      <c r="F630" t="inlineStr">
        <is>
          <t>Gastos de administración</t>
        </is>
      </c>
      <c r="G630" t="inlineStr">
        <is>
          <t>Alimentación y restaurante</t>
        </is>
      </c>
      <c r="H630" t="inlineStr">
        <is>
          <t>Casino y restaurante</t>
        </is>
      </c>
      <c r="I630" t="inlineStr">
        <is>
          <t>El Turco Turkish</t>
        </is>
      </c>
      <c r="J630" s="41" t="n">
        <v>0</v>
      </c>
      <c r="K630" s="41" t="n">
        <v>259.2</v>
      </c>
      <c r="L630" s="41" t="n">
        <v>0</v>
      </c>
      <c r="M630" s="41" t="n">
        <v>259.2</v>
      </c>
      <c r="N630" s="41" t="n">
        <v>259.2</v>
      </c>
      <c r="O630" s="41" t="n">
        <v>259.2</v>
      </c>
      <c r="P630" t="inlineStr">
        <is>
          <t>Mayo 2026 USA.xlsx</t>
        </is>
      </c>
      <c r="Q630" t="inlineStr">
        <is>
          <t>Fila 140</t>
        </is>
      </c>
      <c r="R630" t="inlineStr">
        <is>
          <t>Alta</t>
        </is>
      </c>
      <c r="S630" t="inlineStr">
        <is>
          <t>SI</t>
        </is>
      </c>
      <c r="T630" t="inlineStr">
        <is>
          <t>Se detectó un comercio minorista; revisar esa partida</t>
        </is>
      </c>
    </row>
    <row r="631">
      <c r="A631" t="inlineStr">
        <is>
          <t>2026-05</t>
        </is>
      </c>
      <c r="B631" t="inlineStr">
        <is>
          <t>Estados Unidos</t>
        </is>
      </c>
      <c r="C631" t="inlineStr">
        <is>
          <t>USA</t>
        </is>
      </c>
      <c r="D631" t="inlineStr">
        <is>
          <t>USD</t>
        </is>
      </c>
      <c r="E631" t="inlineStr">
        <is>
          <t>PL-O-130</t>
        </is>
      </c>
      <c r="F631" t="inlineStr">
        <is>
          <t>Gastos de administración</t>
        </is>
      </c>
      <c r="G631" t="inlineStr">
        <is>
          <t>Transporte local y parqueaderos</t>
        </is>
      </c>
      <c r="H631" t="inlineStr">
        <is>
          <t>Parqueaderos</t>
        </is>
      </c>
      <c r="I631" t="inlineStr">
        <is>
          <t>LAZ Parking</t>
        </is>
      </c>
      <c r="J631" s="41" t="n">
        <v>10</v>
      </c>
      <c r="K631" s="41" t="n">
        <v>0</v>
      </c>
      <c r="L631" s="41" t="n">
        <v>0</v>
      </c>
      <c r="M631" s="41" t="n">
        <v>10</v>
      </c>
      <c r="N631" s="41" t="n">
        <v>10</v>
      </c>
      <c r="O631" s="41" t="n">
        <v>0</v>
      </c>
      <c r="P631" t="inlineStr">
        <is>
          <t>Mayo 2026 USA.xlsx</t>
        </is>
      </c>
      <c r="Q631" t="inlineStr">
        <is>
          <t>Fila 142</t>
        </is>
      </c>
      <c r="R631" t="inlineStr">
        <is>
          <t>Alta</t>
        </is>
      </c>
      <c r="S631" t="inlineStr">
        <is>
          <t>NO</t>
        </is>
      </c>
      <c r="T631" t="inlineStr">
        <is>
          <t>Parqueaderos</t>
        </is>
      </c>
    </row>
    <row r="632">
      <c r="A632" t="inlineStr">
        <is>
          <t>2026-05</t>
        </is>
      </c>
      <c r="B632" t="inlineStr">
        <is>
          <t>Estados Unidos</t>
        </is>
      </c>
      <c r="C632" t="inlineStr">
        <is>
          <t>USA</t>
        </is>
      </c>
      <c r="D632" t="inlineStr">
        <is>
          <t>USD</t>
        </is>
      </c>
      <c r="E632" t="inlineStr">
        <is>
          <t>PL-O-130</t>
        </is>
      </c>
      <c r="F632" t="inlineStr">
        <is>
          <t>Gastos de administración</t>
        </is>
      </c>
      <c r="G632" t="inlineStr">
        <is>
          <t>Transporte local y parqueaderos</t>
        </is>
      </c>
      <c r="H632" t="inlineStr">
        <is>
          <t>Parqueaderos</t>
        </is>
      </c>
      <c r="I632" t="inlineStr">
        <is>
          <t>Southern Parking</t>
        </is>
      </c>
      <c r="J632" s="41" t="n">
        <v>12.75</v>
      </c>
      <c r="K632" s="41" t="n">
        <v>0</v>
      </c>
      <c r="L632" s="41" t="n">
        <v>0</v>
      </c>
      <c r="M632" s="41" t="n">
        <v>12.75</v>
      </c>
      <c r="N632" s="41" t="n">
        <v>12.75</v>
      </c>
      <c r="O632" s="41" t="n">
        <v>0</v>
      </c>
      <c r="P632" t="inlineStr">
        <is>
          <t>Mayo 2026 USA.xlsx</t>
        </is>
      </c>
      <c r="Q632" t="inlineStr">
        <is>
          <t>Fila 143</t>
        </is>
      </c>
      <c r="R632" t="inlineStr">
        <is>
          <t>Alta</t>
        </is>
      </c>
      <c r="S632" t="inlineStr">
        <is>
          <t>NO</t>
        </is>
      </c>
      <c r="T632" t="inlineStr">
        <is>
          <t>Parqueaderos</t>
        </is>
      </c>
    </row>
    <row r="633">
      <c r="A633" t="inlineStr">
        <is>
          <t>2026-05</t>
        </is>
      </c>
      <c r="B633" t="inlineStr">
        <is>
          <t>Estados Unidos</t>
        </is>
      </c>
      <c r="C633" t="inlineStr">
        <is>
          <t>USA</t>
        </is>
      </c>
      <c r="D633" t="inlineStr">
        <is>
          <t>USD</t>
        </is>
      </c>
      <c r="E633" t="inlineStr">
        <is>
          <t>PL-O-020</t>
        </is>
      </c>
      <c r="F633" t="inlineStr">
        <is>
          <t>Gastos de administración</t>
        </is>
      </c>
      <c r="G633" t="inlineStr">
        <is>
          <t>Honorarios y servicios profesionales</t>
        </is>
      </c>
      <c r="H633" t="inlineStr">
        <is>
          <t>Revisoría fiscal</t>
        </is>
      </c>
      <c r="I633" t="inlineStr">
        <is>
          <t>Paba Serje Mauricio</t>
        </is>
      </c>
      <c r="J633" s="41" t="n">
        <v>0</v>
      </c>
      <c r="K633" s="41" t="n">
        <v>2333.33</v>
      </c>
      <c r="L633" s="41" t="n">
        <v>0</v>
      </c>
      <c r="M633" s="41" t="n">
        <v>2333.33</v>
      </c>
      <c r="N633" s="41" t="n">
        <v>2333.33</v>
      </c>
      <c r="O633" s="41" t="n">
        <v>2333.33</v>
      </c>
      <c r="P633" t="inlineStr">
        <is>
          <t>Mayo 2026 USA.xlsx</t>
        </is>
      </c>
      <c r="Q633" t="inlineStr">
        <is>
          <t>Fila 147</t>
        </is>
      </c>
      <c r="R633" t="inlineStr">
        <is>
          <t>Alta</t>
        </is>
      </c>
      <c r="S633" t="inlineStr">
        <is>
          <t>NO</t>
        </is>
      </c>
      <c r="T633" t="inlineStr">
        <is>
          <t>Reclasificado desde ventas por su naturaleza administrativa</t>
        </is>
      </c>
    </row>
    <row r="634">
      <c r="A634" t="inlineStr">
        <is>
          <t>2026-05</t>
        </is>
      </c>
      <c r="B634" t="inlineStr">
        <is>
          <t>Estados Unidos</t>
        </is>
      </c>
      <c r="C634" t="inlineStr">
        <is>
          <t>USA</t>
        </is>
      </c>
      <c r="D634" t="inlineStr">
        <is>
          <t>USD</t>
        </is>
      </c>
      <c r="E634" t="inlineStr">
        <is>
          <t>PL-O-020</t>
        </is>
      </c>
      <c r="F634" t="inlineStr">
        <is>
          <t>Gastos de administración</t>
        </is>
      </c>
      <c r="G634" t="inlineStr">
        <is>
          <t>Honorarios y servicios profesionales</t>
        </is>
      </c>
      <c r="H634" t="inlineStr">
        <is>
          <t>Revisoría fiscal</t>
        </is>
      </c>
      <c r="I634" t="inlineStr">
        <is>
          <t>Paba Serje Mauricio</t>
        </is>
      </c>
      <c r="J634" s="41" t="n">
        <v>2557.46</v>
      </c>
      <c r="K634" s="41" t="n">
        <v>0</v>
      </c>
      <c r="L634" s="41" t="n">
        <v>0</v>
      </c>
      <c r="M634" s="41" t="n">
        <v>2557.46</v>
      </c>
      <c r="N634" s="41" t="n">
        <v>2557.46</v>
      </c>
      <c r="O634" s="41" t="n">
        <v>0</v>
      </c>
      <c r="P634" t="inlineStr">
        <is>
          <t>Mayo 2026 USA.xlsx</t>
        </is>
      </c>
      <c r="Q634" t="inlineStr">
        <is>
          <t>Fila 148</t>
        </is>
      </c>
      <c r="R634" t="inlineStr">
        <is>
          <t>Alta</t>
        </is>
      </c>
      <c r="S634" t="inlineStr">
        <is>
          <t>NO</t>
        </is>
      </c>
      <c r="T634" t="inlineStr">
        <is>
          <t>Reclasificado desde ventas por su naturaleza administrativa</t>
        </is>
      </c>
    </row>
    <row r="635">
      <c r="A635" t="inlineStr">
        <is>
          <t>2026-05</t>
        </is>
      </c>
      <c r="B635" t="inlineStr">
        <is>
          <t>Estados Unidos</t>
        </is>
      </c>
      <c r="C635" t="inlineStr">
        <is>
          <t>USA</t>
        </is>
      </c>
      <c r="D635" t="inlineStr">
        <is>
          <t>USD</t>
        </is>
      </c>
      <c r="E635" t="inlineStr">
        <is>
          <t>PL-O-020</t>
        </is>
      </c>
      <c r="F635" t="inlineStr">
        <is>
          <t>Gastos de administración</t>
        </is>
      </c>
      <c r="G635" t="inlineStr">
        <is>
          <t>Honorarios y servicios profesionales</t>
        </is>
      </c>
      <c r="H635" t="inlineStr">
        <is>
          <t>Revisoría fiscal</t>
        </is>
      </c>
      <c r="I635" t="inlineStr">
        <is>
          <t>Paba Serje Mauricio</t>
        </is>
      </c>
      <c r="J635" s="41" t="n">
        <v>1500</v>
      </c>
      <c r="K635" s="41" t="n">
        <v>1666.67</v>
      </c>
      <c r="L635" s="41" t="n">
        <v>0</v>
      </c>
      <c r="M635" s="41" t="n">
        <v>3166.67</v>
      </c>
      <c r="N635" s="41" t="n">
        <v>3166.67</v>
      </c>
      <c r="O635" s="41" t="n">
        <v>1666.67</v>
      </c>
      <c r="P635" t="inlineStr">
        <is>
          <t>Mayo 2026 USA.xlsx</t>
        </is>
      </c>
      <c r="Q635" t="inlineStr">
        <is>
          <t>Fila 149</t>
        </is>
      </c>
      <c r="R635" t="inlineStr">
        <is>
          <t>Alta</t>
        </is>
      </c>
      <c r="S635" t="inlineStr">
        <is>
          <t>NO</t>
        </is>
      </c>
      <c r="T635" t="inlineStr">
        <is>
          <t>Reclasificado desde ventas por su naturaleza administrativa</t>
        </is>
      </c>
    </row>
    <row r="636">
      <c r="A636" t="inlineStr">
        <is>
          <t>2026-05</t>
        </is>
      </c>
      <c r="B636" t="inlineStr">
        <is>
          <t>Estados Unidos</t>
        </is>
      </c>
      <c r="C636" t="inlineStr">
        <is>
          <t>USA</t>
        </is>
      </c>
      <c r="D636" t="inlineStr">
        <is>
          <t>USD</t>
        </is>
      </c>
      <c r="E636" t="inlineStr">
        <is>
          <t>PL-S-020</t>
        </is>
      </c>
      <c r="F636" t="inlineStr">
        <is>
          <t>Gastos de ventas</t>
        </is>
      </c>
      <c r="G636" t="inlineStr">
        <is>
          <t>Mercadeo y publicidad</t>
        </is>
      </c>
      <c r="H636" t="inlineStr">
        <is>
          <t>Propaganda y publicidad</t>
        </is>
      </c>
      <c r="I636" t="inlineStr">
        <is>
          <t>Magnimindin</t>
        </is>
      </c>
      <c r="J636" s="41" t="n">
        <v>400</v>
      </c>
      <c r="K636" s="41" t="n">
        <v>0</v>
      </c>
      <c r="L636" s="41" t="n">
        <v>0</v>
      </c>
      <c r="M636" s="41" t="n">
        <v>400</v>
      </c>
      <c r="N636" s="41" t="n">
        <v>400</v>
      </c>
      <c r="O636" s="41" t="n">
        <v>0</v>
      </c>
      <c r="P636" t="inlineStr">
        <is>
          <t>Mayo 2026 USA.xlsx</t>
        </is>
      </c>
      <c r="Q636" t="inlineStr">
        <is>
          <t>Fila 152</t>
        </is>
      </c>
      <c r="R636" t="inlineStr">
        <is>
          <t>Alta</t>
        </is>
      </c>
      <c r="S636" t="inlineStr">
        <is>
          <t>NO</t>
        </is>
      </c>
      <c r="T636" t="inlineStr">
        <is>
          <t>Gasto comercial de publicidad</t>
        </is>
      </c>
    </row>
    <row r="637">
      <c r="A637" t="inlineStr">
        <is>
          <t>2026-05</t>
        </is>
      </c>
      <c r="B637" t="inlineStr">
        <is>
          <t>Estados Unidos</t>
        </is>
      </c>
      <c r="C637" t="inlineStr">
        <is>
          <t>USA</t>
        </is>
      </c>
      <c r="D637" t="inlineStr">
        <is>
          <t>USD</t>
        </is>
      </c>
      <c r="E637" t="inlineStr">
        <is>
          <t>PL-S-030</t>
        </is>
      </c>
      <c r="F637" t="inlineStr">
        <is>
          <t>Gastos de ventas</t>
        </is>
      </c>
      <c r="G637" t="inlineStr">
        <is>
          <t>Otros servicios comerciales</t>
        </is>
      </c>
      <c r="H637" t="inlineStr">
        <is>
          <t>Otros</t>
        </is>
      </c>
      <c r="I637" t="inlineStr">
        <is>
          <t>Emerge Americas LLC</t>
        </is>
      </c>
      <c r="J637" s="41" t="n">
        <v>0</v>
      </c>
      <c r="K637" s="41" t="n">
        <v>3500</v>
      </c>
      <c r="L637" s="41" t="n">
        <v>0</v>
      </c>
      <c r="M637" s="41" t="n">
        <v>3500</v>
      </c>
      <c r="N637" s="41" t="n">
        <v>3500</v>
      </c>
      <c r="O637" s="41" t="n">
        <v>3500</v>
      </c>
      <c r="P637" t="inlineStr">
        <is>
          <t>Mayo 2026 USA.xlsx</t>
        </is>
      </c>
      <c r="Q637" t="inlineStr">
        <is>
          <t>Fila 154</t>
        </is>
      </c>
      <c r="R637" t="inlineStr">
        <is>
          <t>Media</t>
        </is>
      </c>
      <c r="S637" t="inlineStr">
        <is>
          <t>SI</t>
        </is>
      </c>
      <c r="T637" t="inlineStr">
        <is>
          <t>Cuenta genérica de servicios comerciales</t>
        </is>
      </c>
    </row>
    <row r="638">
      <c r="A638" t="inlineStr">
        <is>
          <t>2026-05</t>
        </is>
      </c>
      <c r="B638" t="inlineStr">
        <is>
          <t>Estados Unidos</t>
        </is>
      </c>
      <c r="C638" t="inlineStr">
        <is>
          <t>USA</t>
        </is>
      </c>
      <c r="D638" t="inlineStr">
        <is>
          <t>USD</t>
        </is>
      </c>
      <c r="E638" t="inlineStr">
        <is>
          <t>PL-S-030</t>
        </is>
      </c>
      <c r="F638" t="inlineStr">
        <is>
          <t>Gastos de ventas</t>
        </is>
      </c>
      <c r="G638" t="inlineStr">
        <is>
          <t>Otros servicios comerciales</t>
        </is>
      </c>
      <c r="H638" t="inlineStr">
        <is>
          <t>Otros</t>
        </is>
      </c>
      <c r="I638" t="inlineStr">
        <is>
          <t>Tech + Startups Community</t>
        </is>
      </c>
      <c r="J638" s="41" t="n">
        <v>648</v>
      </c>
      <c r="K638" s="41" t="n">
        <v>0</v>
      </c>
      <c r="L638" s="41" t="n">
        <v>0</v>
      </c>
      <c r="M638" s="41" t="n">
        <v>648</v>
      </c>
      <c r="N638" s="41" t="n">
        <v>648</v>
      </c>
      <c r="O638" s="41" t="n">
        <v>0</v>
      </c>
      <c r="P638" t="inlineStr">
        <is>
          <t>Mayo 2026 USA.xlsx</t>
        </is>
      </c>
      <c r="Q638" t="inlineStr">
        <is>
          <t>Fila 155</t>
        </is>
      </c>
      <c r="R638" t="inlineStr">
        <is>
          <t>Media</t>
        </is>
      </c>
      <c r="S638" t="inlineStr">
        <is>
          <t>SI</t>
        </is>
      </c>
      <c r="T638" t="inlineStr">
        <is>
          <t>Cuenta genérica de servicios comerciales</t>
        </is>
      </c>
    </row>
    <row r="639">
      <c r="A639" t="inlineStr">
        <is>
          <t>2026-05</t>
        </is>
      </c>
      <c r="B639" t="inlineStr">
        <is>
          <t>Estados Unidos</t>
        </is>
      </c>
      <c r="C639" t="inlineStr">
        <is>
          <t>USA</t>
        </is>
      </c>
      <c r="D639" t="inlineStr">
        <is>
          <t>USD</t>
        </is>
      </c>
      <c r="E639" t="inlineStr">
        <is>
          <t>PL-F-010</t>
        </is>
      </c>
      <c r="F639" t="inlineStr">
        <is>
          <t>Gastos financieros</t>
        </is>
      </c>
      <c r="G639" t="inlineStr">
        <is>
          <t>Gastos financieros</t>
        </is>
      </c>
      <c r="H639" t="inlineStr">
        <is>
          <t>Gastos bancarios</t>
        </is>
      </c>
      <c r="I639" t="inlineStr">
        <is>
          <t>BANK OF AMERICA NA</t>
        </is>
      </c>
      <c r="J639" s="41" t="n">
        <v>0.34</v>
      </c>
      <c r="K639" s="41" t="n">
        <v>0</v>
      </c>
      <c r="L639" s="41" t="n">
        <v>0</v>
      </c>
      <c r="M639" s="41" t="n">
        <v>0.34</v>
      </c>
      <c r="N639" s="41" t="n">
        <v>0.34</v>
      </c>
      <c r="O639" s="41" t="n">
        <v>0</v>
      </c>
      <c r="P639" t="inlineStr">
        <is>
          <t>Mayo 2026 USA.xlsx</t>
        </is>
      </c>
      <c r="Q639" t="inlineStr">
        <is>
          <t>Fila 159</t>
        </is>
      </c>
      <c r="R639" t="inlineStr">
        <is>
          <t>Alta</t>
        </is>
      </c>
      <c r="S639" t="inlineStr">
        <is>
          <t>NO</t>
        </is>
      </c>
      <c r="T639" t="inlineStr">
        <is>
          <t>Costo financiero bancario</t>
        </is>
      </c>
    </row>
    <row r="640">
      <c r="A640" t="inlineStr">
        <is>
          <t>2026-05</t>
        </is>
      </c>
      <c r="B640" t="inlineStr">
        <is>
          <t>Estados Unidos</t>
        </is>
      </c>
      <c r="C640" t="inlineStr">
        <is>
          <t>USA</t>
        </is>
      </c>
      <c r="D640" t="inlineStr">
        <is>
          <t>USD</t>
        </is>
      </c>
      <c r="E640" t="inlineStr">
        <is>
          <t>PL-F-010</t>
        </is>
      </c>
      <c r="F640" t="inlineStr">
        <is>
          <t>Gastos financieros</t>
        </is>
      </c>
      <c r="G640" t="inlineStr">
        <is>
          <t>Gastos financieros</t>
        </is>
      </c>
      <c r="H640" t="inlineStr">
        <is>
          <t>Gastos bancarios</t>
        </is>
      </c>
      <c r="I640" t="inlineStr">
        <is>
          <t>MERCURY LLC</t>
        </is>
      </c>
      <c r="J640" s="41" t="n">
        <v>15</v>
      </c>
      <c r="K640" s="41" t="n">
        <v>0</v>
      </c>
      <c r="L640" s="41" t="n">
        <v>0</v>
      </c>
      <c r="M640" s="41" t="n">
        <v>15</v>
      </c>
      <c r="N640" s="41" t="n">
        <v>15</v>
      </c>
      <c r="O640" s="41" t="n">
        <v>0</v>
      </c>
      <c r="P640" t="inlineStr">
        <is>
          <t>Mayo 2026 USA.xlsx</t>
        </is>
      </c>
      <c r="Q640" t="inlineStr">
        <is>
          <t>Fila 160</t>
        </is>
      </c>
      <c r="R640" t="inlineStr">
        <is>
          <t>Alta</t>
        </is>
      </c>
      <c r="S640" t="inlineStr">
        <is>
          <t>NO</t>
        </is>
      </c>
      <c r="T640" t="inlineStr">
        <is>
          <t>Costo financiero bancario</t>
        </is>
      </c>
    </row>
    <row r="641">
      <c r="A641" t="inlineStr">
        <is>
          <t>2026-05</t>
        </is>
      </c>
      <c r="B641" t="inlineStr">
        <is>
          <t>Estados Unidos</t>
        </is>
      </c>
      <c r="C641" t="inlineStr">
        <is>
          <t>USA</t>
        </is>
      </c>
      <c r="D641" t="inlineStr">
        <is>
          <t>USD</t>
        </is>
      </c>
      <c r="E641" t="inlineStr">
        <is>
          <t>PL-F-010</t>
        </is>
      </c>
      <c r="F641" t="inlineStr">
        <is>
          <t>Gastos financieros</t>
        </is>
      </c>
      <c r="G641" t="inlineStr">
        <is>
          <t>Gastos financieros</t>
        </is>
      </c>
      <c r="H641" t="inlineStr">
        <is>
          <t>Comisiones</t>
        </is>
      </c>
      <c r="I641" t="inlineStr">
        <is>
          <t>STRIPE</t>
        </is>
      </c>
      <c r="J641" s="41" t="n">
        <v>18.38</v>
      </c>
      <c r="K641" s="41" t="n">
        <v>8.720000000000001</v>
      </c>
      <c r="L641" s="41" t="n">
        <v>0</v>
      </c>
      <c r="M641" s="41" t="n">
        <v>27.1</v>
      </c>
      <c r="N641" s="41" t="n">
        <v>27.1</v>
      </c>
      <c r="O641" s="41" t="n">
        <v>8.720000000000001</v>
      </c>
      <c r="P641" t="inlineStr">
        <is>
          <t>Mayo 2026 USA.xlsx</t>
        </is>
      </c>
      <c r="Q641" t="inlineStr">
        <is>
          <t>Fila 162</t>
        </is>
      </c>
      <c r="R641" t="inlineStr">
        <is>
          <t>Alta</t>
        </is>
      </c>
      <c r="S641" t="inlineStr">
        <is>
          <t>NO</t>
        </is>
      </c>
      <c r="T641" t="inlineStr">
        <is>
          <t>Comisiones financieras</t>
        </is>
      </c>
    </row>
    <row r="642">
      <c r="A642" t="inlineStr">
        <is>
          <t>2026-05</t>
        </is>
      </c>
      <c r="B642" t="inlineStr">
        <is>
          <t>Estados Unidos</t>
        </is>
      </c>
      <c r="C642" t="inlineStr">
        <is>
          <t>USA</t>
        </is>
      </c>
      <c r="D642" t="inlineStr">
        <is>
          <t>USD</t>
        </is>
      </c>
      <c r="E642" t="inlineStr">
        <is>
          <t>PL-F-010</t>
        </is>
      </c>
      <c r="F642" t="inlineStr">
        <is>
          <t>Gastos financieros</t>
        </is>
      </c>
      <c r="G642" t="inlineStr">
        <is>
          <t>Gastos financieros</t>
        </is>
      </c>
      <c r="H642" t="inlineStr">
        <is>
          <t>Comisiones</t>
        </is>
      </c>
      <c r="I642" t="inlineStr">
        <is>
          <t>Fundacion para la Confianza</t>
        </is>
      </c>
      <c r="J642" s="41" t="n">
        <v>3.11</v>
      </c>
      <c r="K642" s="41" t="n">
        <v>0</v>
      </c>
      <c r="L642" s="41" t="n">
        <v>0</v>
      </c>
      <c r="M642" s="41" t="n">
        <v>3.11</v>
      </c>
      <c r="N642" s="41" t="n">
        <v>3.11</v>
      </c>
      <c r="O642" s="41" t="n">
        <v>0</v>
      </c>
      <c r="P642" t="inlineStr">
        <is>
          <t>Mayo 2026 USA.xlsx</t>
        </is>
      </c>
      <c r="Q642" t="inlineStr">
        <is>
          <t>Fila 163</t>
        </is>
      </c>
      <c r="R642" t="inlineStr">
        <is>
          <t>Alta</t>
        </is>
      </c>
      <c r="S642" t="inlineStr">
        <is>
          <t>NO</t>
        </is>
      </c>
      <c r="T642" t="inlineStr">
        <is>
          <t>Comisiones financieras</t>
        </is>
      </c>
    </row>
    <row r="643">
      <c r="A643" t="inlineStr">
        <is>
          <t>2026-05</t>
        </is>
      </c>
      <c r="B643" t="inlineStr">
        <is>
          <t>Estados Unidos</t>
        </is>
      </c>
      <c r="C643" t="inlineStr">
        <is>
          <t>USA</t>
        </is>
      </c>
      <c r="D643" t="inlineStr">
        <is>
          <t>USD</t>
        </is>
      </c>
      <c r="E643" t="inlineStr">
        <is>
          <t>PL-F-010</t>
        </is>
      </c>
      <c r="F643" t="inlineStr">
        <is>
          <t>Gastos financieros</t>
        </is>
      </c>
      <c r="G643" t="inlineStr">
        <is>
          <t>Gastos financieros</t>
        </is>
      </c>
      <c r="H643" t="inlineStr">
        <is>
          <t>Comisiones</t>
        </is>
      </c>
      <c r="I643" t="inlineStr">
        <is>
          <t>ADP</t>
        </is>
      </c>
      <c r="J643" s="41" t="n">
        <v>152.85</v>
      </c>
      <c r="K643" s="41" t="n">
        <v>251.9</v>
      </c>
      <c r="L643" s="41" t="n">
        <v>0</v>
      </c>
      <c r="M643" s="41" t="n">
        <v>404.75</v>
      </c>
      <c r="N643" s="41" t="n">
        <v>404.75</v>
      </c>
      <c r="O643" s="41" t="n">
        <v>251.9</v>
      </c>
      <c r="P643" t="inlineStr">
        <is>
          <t>Mayo 2026 USA.xlsx</t>
        </is>
      </c>
      <c r="Q643" t="inlineStr">
        <is>
          <t>Fila 164</t>
        </is>
      </c>
      <c r="R643" t="inlineStr">
        <is>
          <t>Alta</t>
        </is>
      </c>
      <c r="S643" t="inlineStr">
        <is>
          <t>NO</t>
        </is>
      </c>
      <c r="T643" t="inlineStr">
        <is>
          <t>Comisiones financieras</t>
        </is>
      </c>
    </row>
    <row r="644">
      <c r="A644" t="inlineStr">
        <is>
          <t>2026-05</t>
        </is>
      </c>
      <c r="B644" t="inlineStr">
        <is>
          <t>Estados Unidos</t>
        </is>
      </c>
      <c r="C644" t="inlineStr">
        <is>
          <t>USA</t>
        </is>
      </c>
      <c r="D644" t="inlineStr">
        <is>
          <t>USD</t>
        </is>
      </c>
      <c r="E644" t="inlineStr">
        <is>
          <t>PL-F-010</t>
        </is>
      </c>
      <c r="F644" t="inlineStr">
        <is>
          <t>Gastos financieros</t>
        </is>
      </c>
      <c r="G644" t="inlineStr">
        <is>
          <t>Gastos financieros</t>
        </is>
      </c>
      <c r="H644" t="inlineStr">
        <is>
          <t>Comisiones</t>
        </is>
      </c>
      <c r="I644" t="inlineStr">
        <is>
          <t>MERCURY LLC</t>
        </is>
      </c>
      <c r="J644" s="41" t="n">
        <v>0.9</v>
      </c>
      <c r="K644" s="41" t="n">
        <v>0</v>
      </c>
      <c r="L644" s="41" t="n">
        <v>0</v>
      </c>
      <c r="M644" s="41" t="n">
        <v>0.9</v>
      </c>
      <c r="N644" s="41" t="n">
        <v>0.9</v>
      </c>
      <c r="O644" s="41" t="n">
        <v>0</v>
      </c>
      <c r="P644" t="inlineStr">
        <is>
          <t>Mayo 2026 USA.xlsx</t>
        </is>
      </c>
      <c r="Q644" t="inlineStr">
        <is>
          <t>Fila 165</t>
        </is>
      </c>
      <c r="R644" t="inlineStr">
        <is>
          <t>Alta</t>
        </is>
      </c>
      <c r="S644" t="inlineStr">
        <is>
          <t>NO</t>
        </is>
      </c>
      <c r="T644" t="inlineStr">
        <is>
          <t>Comisiones financieras</t>
        </is>
      </c>
    </row>
    <row r="645">
      <c r="A645" t="inlineStr">
        <is>
          <t>2026-07</t>
        </is>
      </c>
      <c r="B645" t="inlineStr">
        <is>
          <t>Colombia</t>
        </is>
      </c>
      <c r="C645" t="inlineStr">
        <is>
          <t>COCO</t>
        </is>
      </c>
      <c r="D645" t="inlineStr">
        <is>
          <t>COP</t>
        </is>
      </c>
      <c r="E645" t="inlineStr">
        <is>
          <t>PL-R-010</t>
        </is>
      </c>
      <c r="F645" t="inlineStr">
        <is>
          <t>Ingresos operacionales</t>
        </is>
      </c>
      <c r="G645" t="inlineStr">
        <is>
          <t>Ingresos por servicios</t>
        </is>
      </c>
      <c r="H645" t="inlineStr">
        <is>
          <t>Software de agendamiento</t>
        </is>
      </c>
      <c r="I645" t="inlineStr">
        <is>
          <t>Servicios de software de agendamiento</t>
        </is>
      </c>
      <c r="K645" s="41" t="n">
        <v>0</v>
      </c>
      <c r="L645" s="41" t="n">
        <v>0</v>
      </c>
      <c r="M645" s="41" t="n">
        <v>5615511389</v>
      </c>
      <c r="N645" s="41" t="n">
        <v>5615511389</v>
      </c>
      <c r="O645" s="41" t="n">
        <v>0</v>
      </c>
      <c r="P645" t="inlineStr">
        <is>
          <t>EF Julio COCO 2026.pdf</t>
        </is>
      </c>
      <c r="Q645" t="inlineStr">
        <is>
          <t>Pág. 2 / Nota 9</t>
        </is>
      </c>
      <c r="R645" t="inlineStr">
        <is>
          <t>Alta</t>
        </is>
      </c>
      <c r="S645" t="inlineStr">
        <is>
          <t>NO</t>
        </is>
      </c>
      <c r="T645" t="inlineStr">
        <is>
          <t>Estado de resultados y Nota 9</t>
        </is>
      </c>
    </row>
    <row r="646">
      <c r="A646" t="inlineStr">
        <is>
          <t>2026-07</t>
        </is>
      </c>
      <c r="B646" t="inlineStr">
        <is>
          <t>Colombia</t>
        </is>
      </c>
      <c r="C646" t="inlineStr">
        <is>
          <t>COCO</t>
        </is>
      </c>
      <c r="D646" t="inlineStr">
        <is>
          <t>COP</t>
        </is>
      </c>
      <c r="E646" t="inlineStr">
        <is>
          <t>PL-R-020</t>
        </is>
      </c>
      <c r="F646" t="inlineStr">
        <is>
          <t>Deducciones de ingresos</t>
        </is>
      </c>
      <c r="G646" t="inlineStr">
        <is>
          <t>Devoluciones</t>
        </is>
      </c>
      <c r="H646" t="inlineStr">
        <is>
          <t>Devoluciones</t>
        </is>
      </c>
      <c r="I646" t="inlineStr">
        <is>
          <t>Devoluciones</t>
        </is>
      </c>
      <c r="K646" s="41" t="n">
        <v>0</v>
      </c>
      <c r="L646" s="41" t="n">
        <v>0</v>
      </c>
      <c r="M646" s="41" t="n">
        <v>-463278090</v>
      </c>
      <c r="N646" s="41" t="n">
        <v>-463278090</v>
      </c>
      <c r="O646" s="41" t="n">
        <v>0</v>
      </c>
      <c r="P646" t="inlineStr">
        <is>
          <t>EF Julio COCO 2026.pdf</t>
        </is>
      </c>
      <c r="Q646" t="inlineStr">
        <is>
          <t>Pág. 2 / Nota 9</t>
        </is>
      </c>
      <c r="R646" t="inlineStr">
        <is>
          <t>Alta</t>
        </is>
      </c>
      <c r="S646" t="inlineStr">
        <is>
          <t>NO</t>
        </is>
      </c>
      <c r="T646" t="inlineStr">
        <is>
          <t>Estado de resultados y Nota 9</t>
        </is>
      </c>
    </row>
    <row r="647">
      <c r="A647" t="inlineStr">
        <is>
          <t>2026-07</t>
        </is>
      </c>
      <c r="B647" t="inlineStr">
        <is>
          <t>Colombia</t>
        </is>
      </c>
      <c r="C647" t="inlineStr">
        <is>
          <t>COCO</t>
        </is>
      </c>
      <c r="D647" t="inlineStr">
        <is>
          <t>COP</t>
        </is>
      </c>
      <c r="E647" t="inlineStr">
        <is>
          <t>PL-C-010</t>
        </is>
      </c>
      <c r="F647" t="inlineStr">
        <is>
          <t>Costo de ventas</t>
        </is>
      </c>
      <c r="G647" t="inlineStr">
        <is>
          <t>Costo de ventas</t>
        </is>
      </c>
      <c r="H647" t="inlineStr">
        <is>
          <t>Desarrollo de software</t>
        </is>
      </c>
      <c r="I647" t="inlineStr">
        <is>
          <t>Costo de ventas / desarrollo de software</t>
        </is>
      </c>
      <c r="K647" s="41" t="n">
        <v>0</v>
      </c>
      <c r="L647" s="41" t="n">
        <v>0</v>
      </c>
      <c r="M647" s="41" t="n">
        <v>2442623347</v>
      </c>
      <c r="N647" s="41" t="n">
        <v>2442623346</v>
      </c>
      <c r="O647" s="41" t="n">
        <v>321917837</v>
      </c>
      <c r="P647" t="inlineStr">
        <is>
          <t>EF Julio COCO 2026.pdf</t>
        </is>
      </c>
      <c r="Q647" t="inlineStr">
        <is>
          <t>Pág. 2 / Nota 10</t>
        </is>
      </c>
      <c r="R647" t="inlineStr">
        <is>
          <t>Alta</t>
        </is>
      </c>
      <c r="S647" t="inlineStr">
        <is>
          <t>NO</t>
        </is>
      </c>
      <c r="T647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48">
      <c r="A648" t="inlineStr">
        <is>
          <t>2026-07</t>
        </is>
      </c>
      <c r="B648" t="inlineStr">
        <is>
          <t>Colombia</t>
        </is>
      </c>
      <c r="C648" t="inlineStr">
        <is>
          <t>COCO</t>
        </is>
      </c>
      <c r="D648" t="inlineStr">
        <is>
          <t>COP</t>
        </is>
      </c>
      <c r="E648" t="inlineStr">
        <is>
          <t>PL-G-900</t>
        </is>
      </c>
      <c r="F648" t="inlineStr">
        <is>
          <t>Conciliaciones de resultados</t>
        </is>
      </c>
      <c r="G648" t="inlineStr">
        <is>
          <t>Conciliación utilidad bruta oficial</t>
        </is>
      </c>
      <c r="H648" t="inlineStr">
        <is>
          <t>Diferencia estado principal vs detalle</t>
        </is>
      </c>
      <c r="I648" t="inlineStr">
        <is>
          <t>Diferencia total ingresos ordinarios: estado oficial vs detalle</t>
        </is>
      </c>
      <c r="K648" s="41" t="n">
        <v>0</v>
      </c>
      <c r="L648" s="41" t="n">
        <v>0</v>
      </c>
      <c r="M648" s="41" t="n">
        <v>-1</v>
      </c>
      <c r="N648" s="41" t="n">
        <v>-1</v>
      </c>
      <c r="O648" s="41" t="n">
        <v>0</v>
      </c>
      <c r="P648" t="inlineStr">
        <is>
          <t>EF Julio COCO 2026.pdf</t>
        </is>
      </c>
      <c r="Q648" t="inlineStr">
        <is>
          <t>Pág. 2 - conciliación</t>
        </is>
      </c>
      <c r="R648" t="inlineStr">
        <is>
          <t>Alta</t>
        </is>
      </c>
      <c r="S648" t="inlineStr">
        <is>
          <t>NO</t>
        </is>
      </c>
      <c r="T648" t="inlineStr">
        <is>
          <t>Diferencia explícita de COP -1 para igualar el total oficial de ingresos ordinarios</t>
        </is>
      </c>
    </row>
    <row r="649">
      <c r="A649" t="inlineStr">
        <is>
          <t>2026-07</t>
        </is>
      </c>
      <c r="B649" t="inlineStr">
        <is>
          <t>Colombia</t>
        </is>
      </c>
      <c r="C649" t="inlineStr">
        <is>
          <t>COCO</t>
        </is>
      </c>
      <c r="D649" t="inlineStr">
        <is>
          <t>COP</t>
        </is>
      </c>
      <c r="E649" t="inlineStr">
        <is>
          <t>PL-O-200</t>
        </is>
      </c>
      <c r="F649" t="inlineStr">
        <is>
          <t>Gastos de administración</t>
        </is>
      </c>
      <c r="G649" t="inlineStr">
        <is>
          <t>Gastos de administración - COCO</t>
        </is>
      </c>
      <c r="H649" t="inlineStr">
        <is>
          <t>Total administración</t>
        </is>
      </c>
      <c r="I649" t="inlineStr">
        <is>
          <t>Gastos de administración</t>
        </is>
      </c>
      <c r="K649" s="41" t="n">
        <v>0</v>
      </c>
      <c r="L649" s="41" t="n">
        <v>0</v>
      </c>
      <c r="M649" s="41" t="n">
        <v>797478918</v>
      </c>
      <c r="N649" s="41" t="n">
        <v>797478918</v>
      </c>
      <c r="O649" s="41" t="n">
        <v>107932742</v>
      </c>
      <c r="P649" t="inlineStr">
        <is>
          <t>EF Julio COCO 2026.pdf</t>
        </is>
      </c>
      <c r="Q649" t="inlineStr">
        <is>
          <t>Pág. 2 / Nota 11</t>
        </is>
      </c>
      <c r="R649" t="inlineStr">
        <is>
          <t>Alta</t>
        </is>
      </c>
      <c r="S649" t="inlineStr">
        <is>
          <t>NO</t>
        </is>
      </c>
      <c r="T649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50">
      <c r="A650" t="inlineStr">
        <is>
          <t>2026-07</t>
        </is>
      </c>
      <c r="B650" t="inlineStr">
        <is>
          <t>Colombia</t>
        </is>
      </c>
      <c r="C650" t="inlineStr">
        <is>
          <t>COCO</t>
        </is>
      </c>
      <c r="D650" t="inlineStr">
        <is>
          <t>COP</t>
        </is>
      </c>
      <c r="E650" t="inlineStr">
        <is>
          <t>PL-S-200</t>
        </is>
      </c>
      <c r="F650" t="inlineStr">
        <is>
          <t>Gastos de ventas</t>
        </is>
      </c>
      <c r="G650" t="inlineStr">
        <is>
          <t>Gastos de ventas - COCO</t>
        </is>
      </c>
      <c r="H650" t="inlineStr">
        <is>
          <t>Total ventas</t>
        </is>
      </c>
      <c r="I650" t="inlineStr">
        <is>
          <t>Gastos de ventas</t>
        </is>
      </c>
      <c r="K650" s="41" t="n">
        <v>0</v>
      </c>
      <c r="L650" s="41" t="n">
        <v>0</v>
      </c>
      <c r="M650" s="41" t="n">
        <v>959736563</v>
      </c>
      <c r="N650" s="41" t="n">
        <v>959736563</v>
      </c>
      <c r="O650" s="41" t="n">
        <v>117761236</v>
      </c>
      <c r="P650" t="inlineStr">
        <is>
          <t>EF Julio COCO 2026.pdf</t>
        </is>
      </c>
      <c r="Q650" t="inlineStr">
        <is>
          <t>Pág. 2 / Nota 11</t>
        </is>
      </c>
      <c r="R650" t="inlineStr">
        <is>
          <t>Alta</t>
        </is>
      </c>
      <c r="S650" t="inlineStr">
        <is>
          <t>NO</t>
        </is>
      </c>
      <c r="T650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51">
      <c r="A651" t="inlineStr">
        <is>
          <t>2026-07</t>
        </is>
      </c>
      <c r="B651" t="inlineStr">
        <is>
          <t>Colombia</t>
        </is>
      </c>
      <c r="C651" t="inlineStr">
        <is>
          <t>COCO</t>
        </is>
      </c>
      <c r="D651" t="inlineStr">
        <is>
          <t>COP</t>
        </is>
      </c>
      <c r="E651" t="inlineStr">
        <is>
          <t>PL-O-210</t>
        </is>
      </c>
      <c r="F651" t="inlineStr">
        <is>
          <t>Otros gastos operacionales</t>
        </is>
      </c>
      <c r="G651" t="inlineStr">
        <is>
          <t>Gastos operacionales - COCO</t>
        </is>
      </c>
      <c r="H651" t="inlineStr">
        <is>
          <t>Total operativo</t>
        </is>
      </c>
      <c r="I651" t="inlineStr">
        <is>
          <t>Gastos operacionales</t>
        </is>
      </c>
      <c r="K651" s="41" t="n">
        <v>0</v>
      </c>
      <c r="L651" s="41" t="n">
        <v>0</v>
      </c>
      <c r="M651" s="41" t="n">
        <v>676358287</v>
      </c>
      <c r="N651" s="41" t="n">
        <v>676358287</v>
      </c>
      <c r="O651" s="41" t="n">
        <v>102936374</v>
      </c>
      <c r="P651" t="inlineStr">
        <is>
          <t>EF Julio COCO 2026.pdf</t>
        </is>
      </c>
      <c r="Q651" t="inlineStr">
        <is>
          <t>Pág. 2 / Nota 11</t>
        </is>
      </c>
      <c r="R651" t="inlineStr">
        <is>
          <t>Alta</t>
        </is>
      </c>
      <c r="S651" t="inlineStr">
        <is>
          <t>NO</t>
        </is>
      </c>
      <c r="T651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52">
      <c r="A652" t="inlineStr">
        <is>
          <t>2026-07</t>
        </is>
      </c>
      <c r="B652" t="inlineStr">
        <is>
          <t>Colombia</t>
        </is>
      </c>
      <c r="C652" t="inlineStr">
        <is>
          <t>COCO</t>
        </is>
      </c>
      <c r="D652" t="inlineStr">
        <is>
          <t>COP</t>
        </is>
      </c>
      <c r="E652" t="inlineStr">
        <is>
          <t>PL-O-900</t>
        </is>
      </c>
      <c r="F652" t="inlineStr">
        <is>
          <t>Conciliaciones de resultados</t>
        </is>
      </c>
      <c r="G652" t="inlineStr">
        <is>
          <t>Conciliación gastos operacionales</t>
        </is>
      </c>
      <c r="H652" t="inlineStr">
        <is>
          <t>Diferencia estado principal vs detalle</t>
        </is>
      </c>
      <c r="I652" t="inlineStr">
        <is>
          <t>Diferencia total gastos de operación: estado oficial vs detalle</t>
        </is>
      </c>
      <c r="K652" s="41" t="n">
        <v>0</v>
      </c>
      <c r="L652" s="41" t="n">
        <v>0</v>
      </c>
      <c r="M652" s="41" t="n">
        <v>1</v>
      </c>
      <c r="N652" s="41" t="n">
        <v>1</v>
      </c>
      <c r="O652" s="41" t="n">
        <v>0</v>
      </c>
      <c r="P652" t="inlineStr">
        <is>
          <t>EF Julio COCO 2026.pdf</t>
        </is>
      </c>
      <c r="Q652" t="inlineStr">
        <is>
          <t>Pág. 2 - conciliación</t>
        </is>
      </c>
      <c r="R652" t="inlineStr">
        <is>
          <t>Alta</t>
        </is>
      </c>
      <c r="S652" t="inlineStr">
        <is>
          <t>NO</t>
        </is>
      </c>
      <c r="T652" t="inlineStr">
        <is>
          <t>Diferencia explícita de COP 1 para igualar el total oficial de gastos de operación</t>
        </is>
      </c>
    </row>
    <row r="653">
      <c r="A653" t="inlineStr">
        <is>
          <t>2026-07</t>
        </is>
      </c>
      <c r="B653" t="inlineStr">
        <is>
          <t>Colombia</t>
        </is>
      </c>
      <c r="C653" t="inlineStr">
        <is>
          <t>COCO</t>
        </is>
      </c>
      <c r="D653" t="inlineStr">
        <is>
          <t>COP</t>
        </is>
      </c>
      <c r="E653" t="inlineStr">
        <is>
          <t>PL-NO-010</t>
        </is>
      </c>
      <c r="F653" t="inlineStr">
        <is>
          <t>Ingresos no operacionales</t>
        </is>
      </c>
      <c r="G653" t="inlineStr">
        <is>
          <t>Ingresos financieros</t>
        </is>
      </c>
      <c r="H653" t="inlineStr">
        <is>
          <t>Financieros</t>
        </is>
      </c>
      <c r="I653" t="inlineStr">
        <is>
          <t>Ingreso no operacional - financiero</t>
        </is>
      </c>
      <c r="K653" s="41" t="n">
        <v>0</v>
      </c>
      <c r="L653" s="41" t="n">
        <v>0</v>
      </c>
      <c r="M653" s="41" t="n">
        <v>10800447</v>
      </c>
      <c r="N653" s="41" t="n">
        <v>10800447</v>
      </c>
      <c r="O653" s="41" t="n">
        <v>0</v>
      </c>
      <c r="P653" t="inlineStr">
        <is>
          <t>EF Julio COCO 2026.pdf</t>
        </is>
      </c>
      <c r="Q653" t="inlineStr">
        <is>
          <t>Pág. 2 / Nota 12</t>
        </is>
      </c>
      <c r="R653" t="inlineStr">
        <is>
          <t>Alta</t>
        </is>
      </c>
      <c r="S653" t="inlineStr">
        <is>
          <t>NO</t>
        </is>
      </c>
      <c r="T653" t="inlineStr">
        <is>
          <t>Estado de resultados y Nota 12</t>
        </is>
      </c>
    </row>
    <row r="654">
      <c r="A654" t="inlineStr">
        <is>
          <t>2026-07</t>
        </is>
      </c>
      <c r="B654" t="inlineStr">
        <is>
          <t>Colombia</t>
        </is>
      </c>
      <c r="C654" t="inlineStr">
        <is>
          <t>COCO</t>
        </is>
      </c>
      <c r="D654" t="inlineStr">
        <is>
          <t>COP</t>
        </is>
      </c>
      <c r="E654" t="inlineStr">
        <is>
          <t>PL-F-010</t>
        </is>
      </c>
      <c r="F654" t="inlineStr">
        <is>
          <t>Gastos financieros</t>
        </is>
      </c>
      <c r="G654" t="inlineStr">
        <is>
          <t>Gastos financieros</t>
        </is>
      </c>
      <c r="H654" t="inlineStr">
        <is>
          <t>Total gastos financieros</t>
        </is>
      </c>
      <c r="I654" t="inlineStr">
        <is>
          <t>Gastos financieros - total del estado</t>
        </is>
      </c>
      <c r="K654" s="41" t="n">
        <v>0</v>
      </c>
      <c r="L654" s="41" t="n">
        <v>0</v>
      </c>
      <c r="M654" s="41" t="n">
        <v>40108353</v>
      </c>
      <c r="N654" s="41" t="n">
        <v>40108353</v>
      </c>
      <c r="O654" s="41" t="n">
        <v>5353621</v>
      </c>
      <c r="P654" t="inlineStr">
        <is>
          <t>EF Julio COCO 2026.pdf</t>
        </is>
      </c>
      <c r="Q654" t="inlineStr">
        <is>
          <t>Pág. 2 / Nota 13</t>
        </is>
      </c>
      <c r="R654" t="inlineStr">
        <is>
          <t>Alta</t>
        </is>
      </c>
      <c r="S654" t="inlineStr">
        <is>
          <t>SI</t>
        </is>
      </c>
      <c r="T654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55">
      <c r="A655" t="inlineStr">
        <is>
          <t>2026-07</t>
        </is>
      </c>
      <c r="B655" t="inlineStr">
        <is>
          <t>Colombia</t>
        </is>
      </c>
      <c r="C655" t="inlineStr">
        <is>
          <t>COCO</t>
        </is>
      </c>
      <c r="D655" t="inlineStr">
        <is>
          <t>COP</t>
        </is>
      </c>
      <c r="E655" t="inlineStr">
        <is>
          <t>PL-T-010</t>
        </is>
      </c>
      <c r="F655" t="inlineStr">
        <is>
          <t>Impuesto a las ganancias</t>
        </is>
      </c>
      <c r="G655" t="inlineStr">
        <is>
          <t>Impuesto de renta</t>
        </is>
      </c>
      <c r="H655" t="inlineStr">
        <is>
          <t>Impuesto de renta</t>
        </is>
      </c>
      <c r="I655" t="inlineStr">
        <is>
          <t>Impuesto de renta</t>
        </is>
      </c>
      <c r="K655" s="41" t="n">
        <v>0</v>
      </c>
      <c r="L655" s="41" t="n">
        <v>0</v>
      </c>
      <c r="M655" s="41" t="n">
        <v>0</v>
      </c>
      <c r="O655" s="41" t="n">
        <v>0</v>
      </c>
      <c r="P655" t="inlineStr">
        <is>
          <t>EF Julio COCO 2026.pdf</t>
        </is>
      </c>
      <c r="Q655" t="inlineStr">
        <is>
          <t>Pág. 2</t>
        </is>
      </c>
      <c r="R655" t="inlineStr">
        <is>
          <t>Alta</t>
        </is>
      </c>
      <c r="S655" t="inlineStr">
        <is>
          <t>NO</t>
        </is>
      </c>
      <c r="T655" t="inlineStr">
        <is>
          <t>Estado de resultados</t>
        </is>
      </c>
    </row>
    <row r="656">
      <c r="A656" t="inlineStr">
        <is>
          <t>2026-07</t>
        </is>
      </c>
      <c r="B656" t="inlineStr">
        <is>
          <t>Colombia</t>
        </is>
      </c>
      <c r="C656" t="inlineStr">
        <is>
          <t>COCO</t>
        </is>
      </c>
      <c r="D656" t="inlineStr">
        <is>
          <t>COP</t>
        </is>
      </c>
      <c r="E656" t="inlineStr">
        <is>
          <t>PL-N-900</t>
        </is>
      </c>
      <c r="F656" t="inlineStr">
        <is>
          <t>Conciliaciones de resultados</t>
        </is>
      </c>
      <c r="G656" t="inlineStr">
        <is>
          <t>Conciliación resultado oficial</t>
        </is>
      </c>
      <c r="H656" t="inlineStr">
        <is>
          <t>Diferencia aritmética del estado principal</t>
        </is>
      </c>
      <c r="I656" t="inlineStr">
        <is>
          <t>Diferencia resultado calculado vs utilidad oficial</t>
        </is>
      </c>
      <c r="K656" s="41" t="n">
        <v>0</v>
      </c>
      <c r="L656" s="41" t="n">
        <v>0</v>
      </c>
      <c r="M656" s="41" t="n">
        <v>1</v>
      </c>
      <c r="N656" s="41" t="n">
        <v>1</v>
      </c>
      <c r="O656" s="41" t="n">
        <v>0</v>
      </c>
      <c r="P656" t="inlineStr">
        <is>
          <t>EF Julio COCO 2026.pdf</t>
        </is>
      </c>
      <c r="Q656" t="inlineStr">
        <is>
          <t>Pág. 2 - conciliación</t>
        </is>
      </c>
      <c r="R656" t="inlineStr">
        <is>
          <t>Alta</t>
        </is>
      </c>
      <c r="S656" t="inlineStr">
        <is>
          <t>NO</t>
        </is>
      </c>
      <c r="T656" t="inlineStr">
        <is>
          <t>Diferencia explícita de COP 1 para igualar la utilidad oficial publicada</t>
        </is>
      </c>
    </row>
    <row r="657">
      <c r="A657" t="inlineStr">
        <is>
          <t>2026-07</t>
        </is>
      </c>
      <c r="B657" t="inlineStr">
        <is>
          <t>Costa Rica</t>
        </is>
      </c>
      <c r="C657" t="inlineStr">
        <is>
          <t>CR</t>
        </is>
      </c>
      <c r="D657" t="inlineStr">
        <is>
          <t>USD</t>
        </is>
      </c>
      <c r="E657" t="inlineStr">
        <is>
          <t>PL-R-010</t>
        </is>
      </c>
      <c r="F657" t="inlineStr">
        <is>
          <t>Ingresos operacionales</t>
        </is>
      </c>
      <c r="G657" t="inlineStr">
        <is>
          <t>Ingresos por servicios</t>
        </is>
      </c>
      <c r="H657" t="inlineStr">
        <is>
          <t>Software y agendamiento</t>
        </is>
      </c>
      <c r="I657" t="inlineStr">
        <is>
          <t>CAJA COSTARRICENSE DE SEGURO SOCIAL</t>
        </is>
      </c>
      <c r="J657" s="41" t="n">
        <v>0</v>
      </c>
      <c r="K657" s="41" t="n">
        <v>0</v>
      </c>
      <c r="L657" s="41" t="n">
        <v>134104</v>
      </c>
      <c r="M657" s="41" t="n">
        <v>-134104</v>
      </c>
      <c r="N657" s="41" t="n">
        <v>134104</v>
      </c>
      <c r="O657" s="41" t="n">
        <v>134104</v>
      </c>
      <c r="P657" t="inlineStr">
        <is>
          <t>Julio 2026 CR.xlsx</t>
        </is>
      </c>
      <c r="Q657" t="inlineStr">
        <is>
          <t>Fila 32</t>
        </is>
      </c>
      <c r="R657" t="inlineStr">
        <is>
          <t>Alta</t>
        </is>
      </c>
      <c r="S657" t="inlineStr">
        <is>
          <t>NO</t>
        </is>
      </c>
      <c r="T657" t="inlineStr">
        <is>
          <t>Ingreso operacional principal</t>
        </is>
      </c>
    </row>
    <row r="658">
      <c r="A658" t="inlineStr">
        <is>
          <t>2026-07</t>
        </is>
      </c>
      <c r="B658" t="inlineStr">
        <is>
          <t>Costa Rica</t>
        </is>
      </c>
      <c r="C658" t="inlineStr">
        <is>
          <t>CR</t>
        </is>
      </c>
      <c r="D658" t="inlineStr">
        <is>
          <t>USD</t>
        </is>
      </c>
      <c r="E658" t="inlineStr">
        <is>
          <t>PL-O-010</t>
        </is>
      </c>
      <c r="F658" t="inlineStr">
        <is>
          <t>Gastos de administración</t>
        </is>
      </c>
      <c r="G658" t="inlineStr">
        <is>
          <t>Gastos de personal</t>
        </is>
      </c>
      <c r="H658" t="inlineStr">
        <is>
          <t>Sueldos</t>
        </is>
      </c>
      <c r="I658" t="inlineStr">
        <is>
          <t>NARANJO BUSTOS MARIAM</t>
        </is>
      </c>
      <c r="J658" s="41" t="n">
        <v>7250</v>
      </c>
      <c r="K658" s="41" t="n">
        <v>2230</v>
      </c>
      <c r="L658" s="41" t="n">
        <v>0</v>
      </c>
      <c r="M658" s="41" t="n">
        <v>9480</v>
      </c>
      <c r="N658" s="41" t="n">
        <v>9480</v>
      </c>
      <c r="O658" s="41" t="n">
        <v>2230</v>
      </c>
      <c r="P658" t="inlineStr">
        <is>
          <t>Julio 2026 CR.xlsx</t>
        </is>
      </c>
      <c r="Q658" t="inlineStr">
        <is>
          <t>Fila 37</t>
        </is>
      </c>
      <c r="R658" t="inlineStr">
        <is>
          <t>Alta</t>
        </is>
      </c>
      <c r="S658" t="inlineStr">
        <is>
          <t>NO</t>
        </is>
      </c>
      <c r="T658" t="inlineStr">
        <is>
          <t>Remuneración laboral</t>
        </is>
      </c>
    </row>
    <row r="659">
      <c r="A659" t="inlineStr">
        <is>
          <t>2026-07</t>
        </is>
      </c>
      <c r="B659" t="inlineStr">
        <is>
          <t>Costa Rica</t>
        </is>
      </c>
      <c r="C659" t="inlineStr">
        <is>
          <t>CR</t>
        </is>
      </c>
      <c r="D659" t="inlineStr">
        <is>
          <t>USD</t>
        </is>
      </c>
      <c r="E659" t="inlineStr">
        <is>
          <t>PL-O-090</t>
        </is>
      </c>
      <c r="F659" t="inlineStr">
        <is>
          <t>Gastos de administración</t>
        </is>
      </c>
      <c r="G659" t="inlineStr">
        <is>
          <t>Viajes y representación</t>
        </is>
      </c>
      <c r="H659" t="inlineStr">
        <is>
          <t>Viáticos</t>
        </is>
      </c>
      <c r="J659" s="41" t="n">
        <v>1800</v>
      </c>
      <c r="K659" s="41" t="n">
        <v>300</v>
      </c>
      <c r="L659" s="41" t="n">
        <v>0</v>
      </c>
      <c r="M659" s="41" t="n">
        <v>2100</v>
      </c>
      <c r="N659" s="41" t="n">
        <v>2100</v>
      </c>
      <c r="O659" s="41" t="n">
        <v>300</v>
      </c>
      <c r="P659" t="inlineStr">
        <is>
          <t>Julio 2026 CR.xlsx</t>
        </is>
      </c>
      <c r="Q659" t="inlineStr">
        <is>
          <t>Fila 39</t>
        </is>
      </c>
      <c r="R659" t="inlineStr">
        <is>
          <t>Alta</t>
        </is>
      </c>
      <c r="S659" t="inlineStr">
        <is>
          <t>NO</t>
        </is>
      </c>
      <c r="T659" t="inlineStr">
        <is>
          <t>Viáticos administrativos</t>
        </is>
      </c>
    </row>
    <row r="660">
      <c r="A660" t="inlineStr">
        <is>
          <t>2026-07</t>
        </is>
      </c>
      <c r="B660" t="inlineStr">
        <is>
          <t>Costa Rica</t>
        </is>
      </c>
      <c r="C660" t="inlineStr">
        <is>
          <t>CR</t>
        </is>
      </c>
      <c r="D660" t="inlineStr">
        <is>
          <t>USD</t>
        </is>
      </c>
      <c r="E660" t="inlineStr">
        <is>
          <t>PL-O-010</t>
        </is>
      </c>
      <c r="F660" t="inlineStr">
        <is>
          <t>Gastos de administración</t>
        </is>
      </c>
      <c r="G660" t="inlineStr">
        <is>
          <t>Gastos de personal</t>
        </is>
      </c>
      <c r="H660" t="inlineStr">
        <is>
          <t>Prestaciones sociales</t>
        </is>
      </c>
      <c r="I660" t="inlineStr">
        <is>
          <t>NARANJO BUSTOS MARIAM</t>
        </is>
      </c>
      <c r="J660" s="41" t="n">
        <v>2412.37</v>
      </c>
      <c r="K660" s="41" t="n">
        <v>400</v>
      </c>
      <c r="L660" s="41" t="n">
        <v>0</v>
      </c>
      <c r="M660" s="41" t="n">
        <v>2812.37</v>
      </c>
      <c r="N660" s="41" t="n">
        <v>2812.37</v>
      </c>
      <c r="O660" s="41" t="n">
        <v>400</v>
      </c>
      <c r="P660" t="inlineStr">
        <is>
          <t>Julio 2026 CR.xlsx</t>
        </is>
      </c>
      <c r="Q660" t="inlineStr">
        <is>
          <t>Fila 41</t>
        </is>
      </c>
      <c r="R660" t="inlineStr">
        <is>
          <t>Alta</t>
        </is>
      </c>
      <c r="S660" t="inlineStr">
        <is>
          <t>NO</t>
        </is>
      </c>
      <c r="T660" t="inlineStr">
        <is>
          <t>Prestaciones laborales</t>
        </is>
      </c>
    </row>
    <row r="661">
      <c r="A661" t="inlineStr">
        <is>
          <t>2026-07</t>
        </is>
      </c>
      <c r="B661" t="inlineStr">
        <is>
          <t>Costa Rica</t>
        </is>
      </c>
      <c r="C661" t="inlineStr">
        <is>
          <t>CR</t>
        </is>
      </c>
      <c r="D661" t="inlineStr">
        <is>
          <t>USD</t>
        </is>
      </c>
      <c r="E661" t="inlineStr">
        <is>
          <t>PL-O-020</t>
        </is>
      </c>
      <c r="F661" t="inlineStr">
        <is>
          <t>Gastos de administración</t>
        </is>
      </c>
      <c r="G661" t="inlineStr">
        <is>
          <t>Honorarios y servicios profesionales</t>
        </is>
      </c>
      <c r="H661" t="inlineStr">
        <is>
          <t>Asesoría jurídica</t>
        </is>
      </c>
      <c r="I661" t="inlineStr">
        <is>
          <t>MUÑOZ CHACON FRANCISCO JAVIER</t>
        </is>
      </c>
      <c r="J661" s="41" t="n">
        <v>270.35</v>
      </c>
      <c r="K661" s="41" t="n">
        <v>0</v>
      </c>
      <c r="L661" s="41" t="n">
        <v>0</v>
      </c>
      <c r="M661" s="41" t="n">
        <v>270.35</v>
      </c>
      <c r="N661" s="41" t="n">
        <v>270.35</v>
      </c>
      <c r="O661" s="41" t="n">
        <v>0</v>
      </c>
      <c r="P661" t="inlineStr">
        <is>
          <t>Julio 2026 CR.xlsx</t>
        </is>
      </c>
      <c r="Q661" t="inlineStr">
        <is>
          <t>Fila 44</t>
        </is>
      </c>
      <c r="R661" t="inlineStr">
        <is>
          <t>Alta</t>
        </is>
      </c>
      <c r="S661" t="inlineStr">
        <is>
          <t>NO</t>
        </is>
      </c>
      <c r="T661" t="inlineStr">
        <is>
          <t>Servicio profesional jurídico</t>
        </is>
      </c>
    </row>
    <row r="662">
      <c r="A662" t="inlineStr">
        <is>
          <t>2026-07</t>
        </is>
      </c>
      <c r="B662" t="inlineStr">
        <is>
          <t>Costa Rica</t>
        </is>
      </c>
      <c r="C662" t="inlineStr">
        <is>
          <t>CR</t>
        </is>
      </c>
      <c r="D662" t="inlineStr">
        <is>
          <t>USD</t>
        </is>
      </c>
      <c r="E662" t="inlineStr">
        <is>
          <t>PL-O-030</t>
        </is>
      </c>
      <c r="F662" t="inlineStr">
        <is>
          <t>Gastos de administración</t>
        </is>
      </c>
      <c r="G662" t="inlineStr">
        <is>
          <t>Impuestos y contribuciones</t>
        </is>
      </c>
      <c r="H662" t="inlineStr">
        <is>
          <t>Industria, comercio y otros</t>
        </is>
      </c>
      <c r="I662" t="inlineStr">
        <is>
          <t>MINISTERIO DE HACIENDA</t>
        </is>
      </c>
      <c r="J662" s="41" t="n">
        <v>252.73</v>
      </c>
      <c r="K662" s="41" t="n">
        <v>0</v>
      </c>
      <c r="L662" s="41" t="n">
        <v>0</v>
      </c>
      <c r="M662" s="41" t="n">
        <v>252.73</v>
      </c>
      <c r="N662" s="41" t="n">
        <v>252.73</v>
      </c>
      <c r="O662" s="41" t="n">
        <v>0</v>
      </c>
      <c r="P662" t="inlineStr">
        <is>
          <t>Julio 2026 CR.xlsx</t>
        </is>
      </c>
      <c r="Q662" t="inlineStr">
        <is>
          <t>Fila 47</t>
        </is>
      </c>
      <c r="R662" t="inlineStr">
        <is>
          <t>Alta</t>
        </is>
      </c>
      <c r="S662" t="inlineStr">
        <is>
          <t>NO</t>
        </is>
      </c>
      <c r="T662" t="inlineStr">
        <is>
          <t>Impuestos no asociados a renta</t>
        </is>
      </c>
    </row>
    <row r="663">
      <c r="A663" t="inlineStr">
        <is>
          <t>2026-07</t>
        </is>
      </c>
      <c r="B663" t="inlineStr">
        <is>
          <t>Costa Rica</t>
        </is>
      </c>
      <c r="C663" t="inlineStr">
        <is>
          <t>CR</t>
        </is>
      </c>
      <c r="D663" t="inlineStr">
        <is>
          <t>USD</t>
        </is>
      </c>
      <c r="E663" t="inlineStr">
        <is>
          <t>PL-O-030</t>
        </is>
      </c>
      <c r="F663" t="inlineStr">
        <is>
          <t>Gastos de administración</t>
        </is>
      </c>
      <c r="G663" t="inlineStr">
        <is>
          <t>Impuestos y contribuciones</t>
        </is>
      </c>
      <c r="H663" t="inlineStr">
        <is>
          <t>Industria, comercio y otros</t>
        </is>
      </c>
      <c r="I663" t="inlineStr">
        <is>
          <t>MINISTERIO DE HACIENDA</t>
        </is>
      </c>
      <c r="J663" s="41" t="n">
        <v>142.19</v>
      </c>
      <c r="K663" s="41" t="n">
        <v>116.94</v>
      </c>
      <c r="L663" s="41" t="n">
        <v>0</v>
      </c>
      <c r="M663" s="41" t="n">
        <v>259.13</v>
      </c>
      <c r="N663" s="41" t="n">
        <v>259.13</v>
      </c>
      <c r="O663" s="41" t="n">
        <v>116.94</v>
      </c>
      <c r="P663" t="inlineStr">
        <is>
          <t>Julio 2026 CR.xlsx</t>
        </is>
      </c>
      <c r="Q663" t="inlineStr">
        <is>
          <t>Fila 48</t>
        </is>
      </c>
      <c r="R663" t="inlineStr">
        <is>
          <t>Alta</t>
        </is>
      </c>
      <c r="S663" t="inlineStr">
        <is>
          <t>NO</t>
        </is>
      </c>
      <c r="T663" t="inlineStr">
        <is>
          <t>Impuestos no asociados a renta</t>
        </is>
      </c>
    </row>
    <row r="664">
      <c r="A664" t="inlineStr">
        <is>
          <t>2026-07</t>
        </is>
      </c>
      <c r="B664" t="inlineStr">
        <is>
          <t>Costa Rica</t>
        </is>
      </c>
      <c r="C664" t="inlineStr">
        <is>
          <t>CR</t>
        </is>
      </c>
      <c r="D664" t="inlineStr">
        <is>
          <t>USD</t>
        </is>
      </c>
      <c r="E664" t="inlineStr">
        <is>
          <t>PL-O-030</t>
        </is>
      </c>
      <c r="F664" t="inlineStr">
        <is>
          <t>Gastos de administración</t>
        </is>
      </c>
      <c r="G664" t="inlineStr">
        <is>
          <t>Impuestos y contribuciones</t>
        </is>
      </c>
      <c r="H664" t="inlineStr">
        <is>
          <t>Contribuciones y afiliaciones</t>
        </is>
      </c>
      <c r="I664" t="inlineStr">
        <is>
          <t>MINISTERIO DE SALUD</t>
        </is>
      </c>
      <c r="J664" s="41" t="n">
        <v>64.79000000000001</v>
      </c>
      <c r="K664" s="41" t="n">
        <v>0</v>
      </c>
      <c r="L664" s="41" t="n">
        <v>0</v>
      </c>
      <c r="M664" s="41" t="n">
        <v>64.79000000000001</v>
      </c>
      <c r="N664" s="41" t="n">
        <v>64.79000000000001</v>
      </c>
      <c r="O664" s="41" t="n">
        <v>0</v>
      </c>
      <c r="P664" t="inlineStr">
        <is>
          <t>Julio 2026 CR.xlsx</t>
        </is>
      </c>
      <c r="Q664" t="inlineStr">
        <is>
          <t>Fila 51</t>
        </is>
      </c>
      <c r="R664" t="inlineStr">
        <is>
          <t>Alta</t>
        </is>
      </c>
      <c r="S664" t="inlineStr">
        <is>
          <t>NO</t>
        </is>
      </c>
      <c r="T664" t="inlineStr">
        <is>
          <t>Contribuciones</t>
        </is>
      </c>
    </row>
    <row r="665">
      <c r="A665" t="inlineStr">
        <is>
          <t>2026-07</t>
        </is>
      </c>
      <c r="B665" t="inlineStr">
        <is>
          <t>Costa Rica</t>
        </is>
      </c>
      <c r="C665" t="inlineStr">
        <is>
          <t>CR</t>
        </is>
      </c>
      <c r="D665" t="inlineStr">
        <is>
          <t>USD</t>
        </is>
      </c>
      <c r="E665" t="inlineStr">
        <is>
          <t>PL-O-050</t>
        </is>
      </c>
      <c r="F665" t="inlineStr">
        <is>
          <t>Gastos de administración</t>
        </is>
      </c>
      <c r="G665" t="inlineStr">
        <is>
          <t>Seguros</t>
        </is>
      </c>
      <c r="H665" t="inlineStr">
        <is>
          <t>Otros seguros</t>
        </is>
      </c>
      <c r="I665" t="inlineStr">
        <is>
          <t>RADIOGRAFICA COSTARRICENSE SA</t>
        </is>
      </c>
      <c r="J665" s="41" t="n">
        <v>9205.719999999999</v>
      </c>
      <c r="K665" s="41" t="n">
        <v>0</v>
      </c>
      <c r="L665" s="41" t="n">
        <v>0</v>
      </c>
      <c r="M665" s="41" t="n">
        <v>9205.719999999999</v>
      </c>
      <c r="N665" s="41" t="n">
        <v>9205.719999999999</v>
      </c>
      <c r="O665" s="41" t="n">
        <v>0</v>
      </c>
      <c r="P665" t="inlineStr">
        <is>
          <t>Julio 2026 CR.xlsx</t>
        </is>
      </c>
      <c r="Q665" t="inlineStr">
        <is>
          <t>Fila 54</t>
        </is>
      </c>
      <c r="R665" t="inlineStr">
        <is>
          <t>Media</t>
        </is>
      </c>
      <c r="S665" t="inlineStr">
        <is>
          <t>SI</t>
        </is>
      </c>
      <c r="T665" t="inlineStr">
        <is>
          <t>Cuenta fuente de seguros con descripción genérica</t>
        </is>
      </c>
    </row>
    <row r="666">
      <c r="A666" t="inlineStr">
        <is>
          <t>2026-07</t>
        </is>
      </c>
      <c r="B666" t="inlineStr">
        <is>
          <t>Costa Rica</t>
        </is>
      </c>
      <c r="C666" t="inlineStr">
        <is>
          <t>CR</t>
        </is>
      </c>
      <c r="D666" t="inlineStr">
        <is>
          <t>USD</t>
        </is>
      </c>
      <c r="E666" t="inlineStr">
        <is>
          <t>PL-O-050</t>
        </is>
      </c>
      <c r="F666" t="inlineStr">
        <is>
          <t>Gastos de administración</t>
        </is>
      </c>
      <c r="G666" t="inlineStr">
        <is>
          <t>Seguros</t>
        </is>
      </c>
      <c r="H666" t="inlineStr">
        <is>
          <t>Otros seguros</t>
        </is>
      </c>
      <c r="I666" t="inlineStr">
        <is>
          <t>SEGUROS INS</t>
        </is>
      </c>
      <c r="J666" s="41" t="n">
        <v>70.81</v>
      </c>
      <c r="K666" s="41" t="n">
        <v>0</v>
      </c>
      <c r="L666" s="41" t="n">
        <v>0</v>
      </c>
      <c r="M666" s="41" t="n">
        <v>70.81</v>
      </c>
      <c r="N666" s="41" t="n">
        <v>70.81</v>
      </c>
      <c r="O666" s="41" t="n">
        <v>0</v>
      </c>
      <c r="P666" t="inlineStr">
        <is>
          <t>Julio 2026 CR.xlsx</t>
        </is>
      </c>
      <c r="Q666" t="inlineStr">
        <is>
          <t>Fila 55</t>
        </is>
      </c>
      <c r="R666" t="inlineStr">
        <is>
          <t>Media</t>
        </is>
      </c>
      <c r="S666" t="inlineStr">
        <is>
          <t>SI</t>
        </is>
      </c>
      <c r="T666" t="inlineStr">
        <is>
          <t>Cuenta fuente de seguros con descripción genérica</t>
        </is>
      </c>
    </row>
    <row r="667">
      <c r="A667" t="inlineStr">
        <is>
          <t>2026-07</t>
        </is>
      </c>
      <c r="B667" t="inlineStr">
        <is>
          <t>Costa Rica</t>
        </is>
      </c>
      <c r="C667" t="inlineStr">
        <is>
          <t>CR</t>
        </is>
      </c>
      <c r="D667" t="inlineStr">
        <is>
          <t>USD</t>
        </is>
      </c>
      <c r="E667" t="inlineStr">
        <is>
          <t>PL-O-060</t>
        </is>
      </c>
      <c r="F667" t="inlineStr">
        <is>
          <t>Gastos de administración</t>
        </is>
      </c>
      <c r="G667" t="inlineStr">
        <is>
          <t>Tecnología y procesamiento de datos</t>
        </is>
      </c>
      <c r="H667" t="inlineStr">
        <is>
          <t>Plataformas y software</t>
        </is>
      </c>
      <c r="I667" t="inlineStr">
        <is>
          <t>CAJA COSTARRICENSE DE SEGURO SOCIAL</t>
        </is>
      </c>
      <c r="J667" s="41" t="n">
        <v>115.51</v>
      </c>
      <c r="K667" s="41" t="n">
        <v>0</v>
      </c>
      <c r="L667" s="41" t="n">
        <v>0</v>
      </c>
      <c r="M667" s="41" t="n">
        <v>115.51</v>
      </c>
      <c r="N667" s="41" t="n">
        <v>115.51</v>
      </c>
      <c r="O667" s="41" t="n">
        <v>0</v>
      </c>
      <c r="P667" t="inlineStr">
        <is>
          <t>Julio 2026 CR.xlsx</t>
        </is>
      </c>
      <c r="Q667" t="inlineStr">
        <is>
          <t>Fila 58</t>
        </is>
      </c>
      <c r="R667" t="inlineStr">
        <is>
          <t>Alta</t>
        </is>
      </c>
      <c r="S667" t="inlineStr">
        <is>
          <t>SI</t>
        </is>
      </c>
      <c r="T667" t="inlineStr">
        <is>
          <t>Revisar proveedores de telecomunicaciones registrados aquí</t>
        </is>
      </c>
    </row>
    <row r="668">
      <c r="A668" t="inlineStr">
        <is>
          <t>2026-07</t>
        </is>
      </c>
      <c r="B668" t="inlineStr">
        <is>
          <t>Costa Rica</t>
        </is>
      </c>
      <c r="C668" t="inlineStr">
        <is>
          <t>CR</t>
        </is>
      </c>
      <c r="D668" t="inlineStr">
        <is>
          <t>USD</t>
        </is>
      </c>
      <c r="E668" t="inlineStr">
        <is>
          <t>PL-O-060</t>
        </is>
      </c>
      <c r="F668" t="inlineStr">
        <is>
          <t>Gastos de administración</t>
        </is>
      </c>
      <c r="G668" t="inlineStr">
        <is>
          <t>Tecnología y procesamiento de datos</t>
        </is>
      </c>
      <c r="H668" t="inlineStr">
        <is>
          <t>Plataformas y software</t>
        </is>
      </c>
      <c r="I668" t="inlineStr">
        <is>
          <t>GTI SA</t>
        </is>
      </c>
      <c r="J668" s="41" t="n">
        <v>34.3</v>
      </c>
      <c r="K668" s="41" t="n">
        <v>0</v>
      </c>
      <c r="L668" s="41" t="n">
        <v>0</v>
      </c>
      <c r="M668" s="41" t="n">
        <v>34.3</v>
      </c>
      <c r="N668" s="41" t="n">
        <v>34.3</v>
      </c>
      <c r="O668" s="41" t="n">
        <v>0</v>
      </c>
      <c r="P668" t="inlineStr">
        <is>
          <t>Julio 2026 CR.xlsx</t>
        </is>
      </c>
      <c r="Q668" t="inlineStr">
        <is>
          <t>Fila 59</t>
        </is>
      </c>
      <c r="R668" t="inlineStr">
        <is>
          <t>Alta</t>
        </is>
      </c>
      <c r="S668" t="inlineStr">
        <is>
          <t>SI</t>
        </is>
      </c>
      <c r="T668" t="inlineStr">
        <is>
          <t>Revisar proveedores de telecomunicaciones registrados aquí</t>
        </is>
      </c>
    </row>
    <row r="669">
      <c r="A669" t="inlineStr">
        <is>
          <t>2026-07</t>
        </is>
      </c>
      <c r="B669" t="inlineStr">
        <is>
          <t>Costa Rica</t>
        </is>
      </c>
      <c r="C669" t="inlineStr">
        <is>
          <t>CR</t>
        </is>
      </c>
      <c r="D669" t="inlineStr">
        <is>
          <t>USD</t>
        </is>
      </c>
      <c r="E669" t="inlineStr">
        <is>
          <t>PL-O-110</t>
        </is>
      </c>
      <c r="F669" t="inlineStr">
        <is>
          <t>Gastos de administración</t>
        </is>
      </c>
      <c r="G669" t="inlineStr">
        <is>
          <t>Suministros y oficina</t>
        </is>
      </c>
      <c r="H669" t="inlineStr">
        <is>
          <t>Útiles, papelería y fotocopias</t>
        </is>
      </c>
      <c r="I669" t="inlineStr">
        <is>
          <t>ELECTRONICA STEREN DE COSTARICA SA</t>
        </is>
      </c>
      <c r="J669" s="41" t="n">
        <v>37.69</v>
      </c>
      <c r="K669" s="41" t="n">
        <v>0</v>
      </c>
      <c r="L669" s="41" t="n">
        <v>0</v>
      </c>
      <c r="M669" s="41" t="n">
        <v>37.69</v>
      </c>
      <c r="N669" s="41" t="n">
        <v>37.69</v>
      </c>
      <c r="O669" s="41" t="n">
        <v>0</v>
      </c>
      <c r="P669" t="inlineStr">
        <is>
          <t>Julio 2026 CR.xlsx</t>
        </is>
      </c>
      <c r="Q669" t="inlineStr">
        <is>
          <t>Fila 62</t>
        </is>
      </c>
      <c r="R669" t="inlineStr">
        <is>
          <t>Alta</t>
        </is>
      </c>
      <c r="S669" t="inlineStr">
        <is>
          <t>NO</t>
        </is>
      </c>
      <c r="T669" t="inlineStr">
        <is>
          <t>Suministros de oficina</t>
        </is>
      </c>
    </row>
    <row r="670">
      <c r="A670" t="inlineStr">
        <is>
          <t>2026-07</t>
        </is>
      </c>
      <c r="B670" t="inlineStr">
        <is>
          <t>Costa Rica</t>
        </is>
      </c>
      <c r="C670" t="inlineStr">
        <is>
          <t>CR</t>
        </is>
      </c>
      <c r="D670" t="inlineStr">
        <is>
          <t>USD</t>
        </is>
      </c>
      <c r="E670" t="inlineStr">
        <is>
          <t>PL-O-110</t>
        </is>
      </c>
      <c r="F670" t="inlineStr">
        <is>
          <t>Gastos de administración</t>
        </is>
      </c>
      <c r="G670" t="inlineStr">
        <is>
          <t>Suministros y oficina</t>
        </is>
      </c>
      <c r="H670" t="inlineStr">
        <is>
          <t>Útiles, papelería y fotocopias</t>
        </is>
      </c>
      <c r="I670" t="inlineStr">
        <is>
          <t>FERRETERIA EPA S.A.</t>
        </is>
      </c>
      <c r="J670" s="41" t="n">
        <v>39.61</v>
      </c>
      <c r="K670" s="41" t="n">
        <v>0</v>
      </c>
      <c r="L670" s="41" t="n">
        <v>0</v>
      </c>
      <c r="M670" s="41" t="n">
        <v>39.61</v>
      </c>
      <c r="N670" s="41" t="n">
        <v>39.61</v>
      </c>
      <c r="O670" s="41" t="n">
        <v>0</v>
      </c>
      <c r="P670" t="inlineStr">
        <is>
          <t>Julio 2026 CR.xlsx</t>
        </is>
      </c>
      <c r="Q670" t="inlineStr">
        <is>
          <t>Fila 63</t>
        </is>
      </c>
      <c r="R670" t="inlineStr">
        <is>
          <t>Alta</t>
        </is>
      </c>
      <c r="S670" t="inlineStr">
        <is>
          <t>NO</t>
        </is>
      </c>
      <c r="T670" t="inlineStr">
        <is>
          <t>Suministros de oficina</t>
        </is>
      </c>
    </row>
    <row r="671">
      <c r="A671" t="inlineStr">
        <is>
          <t>2026-07</t>
        </is>
      </c>
      <c r="B671" t="inlineStr">
        <is>
          <t>Costa Rica</t>
        </is>
      </c>
      <c r="C671" t="inlineStr">
        <is>
          <t>CR</t>
        </is>
      </c>
      <c r="D671" t="inlineStr">
        <is>
          <t>USD</t>
        </is>
      </c>
      <c r="E671" t="inlineStr">
        <is>
          <t>PL-O-110</t>
        </is>
      </c>
      <c r="F671" t="inlineStr">
        <is>
          <t>Gastos de administración</t>
        </is>
      </c>
      <c r="G671" t="inlineStr">
        <is>
          <t>Suministros y oficina</t>
        </is>
      </c>
      <c r="H671" t="inlineStr">
        <is>
          <t>Útiles, papelería y fotocopias</t>
        </is>
      </c>
      <c r="I671" t="inlineStr">
        <is>
          <t>ISTORE SAN PEDRO</t>
        </is>
      </c>
      <c r="J671" s="41" t="n">
        <v>74.31</v>
      </c>
      <c r="K671" s="41" t="n">
        <v>0</v>
      </c>
      <c r="L671" s="41" t="n">
        <v>0</v>
      </c>
      <c r="M671" s="41" t="n">
        <v>74.31</v>
      </c>
      <c r="N671" s="41" t="n">
        <v>74.31</v>
      </c>
      <c r="O671" s="41" t="n">
        <v>0</v>
      </c>
      <c r="P671" t="inlineStr">
        <is>
          <t>Julio 2026 CR.xlsx</t>
        </is>
      </c>
      <c r="Q671" t="inlineStr">
        <is>
          <t>Fila 64</t>
        </is>
      </c>
      <c r="R671" t="inlineStr">
        <is>
          <t>Alta</t>
        </is>
      </c>
      <c r="S671" t="inlineStr">
        <is>
          <t>NO</t>
        </is>
      </c>
      <c r="T671" t="inlineStr">
        <is>
          <t>Suministros de oficina</t>
        </is>
      </c>
    </row>
    <row r="672">
      <c r="A672" t="inlineStr">
        <is>
          <t>2026-07</t>
        </is>
      </c>
      <c r="B672" t="inlineStr">
        <is>
          <t>Costa Rica</t>
        </is>
      </c>
      <c r="C672" t="inlineStr">
        <is>
          <t>CR</t>
        </is>
      </c>
      <c r="D672" t="inlineStr">
        <is>
          <t>USD</t>
        </is>
      </c>
      <c r="E672" t="inlineStr">
        <is>
          <t>PL-O-110</t>
        </is>
      </c>
      <c r="F672" t="inlineStr">
        <is>
          <t>Gastos de administración</t>
        </is>
      </c>
      <c r="G672" t="inlineStr">
        <is>
          <t>Suministros y oficina</t>
        </is>
      </c>
      <c r="H672" t="inlineStr">
        <is>
          <t>Útiles, papelería y fotocopias</t>
        </is>
      </c>
      <c r="I672" t="inlineStr">
        <is>
          <t>MUNDO TECNOLOGIA</t>
        </is>
      </c>
      <c r="J672" s="41" t="n">
        <v>15</v>
      </c>
      <c r="K672" s="41" t="n">
        <v>0</v>
      </c>
      <c r="L672" s="41" t="n">
        <v>0</v>
      </c>
      <c r="M672" s="41" t="n">
        <v>15</v>
      </c>
      <c r="N672" s="41" t="n">
        <v>15</v>
      </c>
      <c r="O672" s="41" t="n">
        <v>0</v>
      </c>
      <c r="P672" t="inlineStr">
        <is>
          <t>Julio 2026 CR.xlsx</t>
        </is>
      </c>
      <c r="Q672" t="inlineStr">
        <is>
          <t>Fila 65</t>
        </is>
      </c>
      <c r="R672" t="inlineStr">
        <is>
          <t>Alta</t>
        </is>
      </c>
      <c r="S672" t="inlineStr">
        <is>
          <t>NO</t>
        </is>
      </c>
      <c r="T672" t="inlineStr">
        <is>
          <t>Suministros de oficina</t>
        </is>
      </c>
    </row>
    <row r="673">
      <c r="A673" t="inlineStr">
        <is>
          <t>2026-07</t>
        </is>
      </c>
      <c r="B673" t="inlineStr">
        <is>
          <t>Costa Rica</t>
        </is>
      </c>
      <c r="C673" t="inlineStr">
        <is>
          <t>CR</t>
        </is>
      </c>
      <c r="D673" t="inlineStr">
        <is>
          <t>USD</t>
        </is>
      </c>
      <c r="E673" t="inlineStr">
        <is>
          <t>PL-O-110</t>
        </is>
      </c>
      <c r="F673" t="inlineStr">
        <is>
          <t>Gastos de administración</t>
        </is>
      </c>
      <c r="G673" t="inlineStr">
        <is>
          <t>Suministros y oficina</t>
        </is>
      </c>
      <c r="H673" t="inlineStr">
        <is>
          <t>Útiles, papelería y fotocopias</t>
        </is>
      </c>
      <c r="I673" t="inlineStr">
        <is>
          <t>REGISTRO NACIONAL REPUBLICA DE COSTA RICA</t>
        </is>
      </c>
      <c r="J673" s="41" t="n">
        <v>7</v>
      </c>
      <c r="K673" s="41" t="n">
        <v>0</v>
      </c>
      <c r="L673" s="41" t="n">
        <v>0</v>
      </c>
      <c r="M673" s="41" t="n">
        <v>7</v>
      </c>
      <c r="N673" s="41" t="n">
        <v>7</v>
      </c>
      <c r="O673" s="41" t="n">
        <v>0</v>
      </c>
      <c r="P673" t="inlineStr">
        <is>
          <t>Julio 2026 CR.xlsx</t>
        </is>
      </c>
      <c r="Q673" t="inlineStr">
        <is>
          <t>Fila 66</t>
        </is>
      </c>
      <c r="R673" t="inlineStr">
        <is>
          <t>Alta</t>
        </is>
      </c>
      <c r="S673" t="inlineStr">
        <is>
          <t>NO</t>
        </is>
      </c>
      <c r="T673" t="inlineStr">
        <is>
          <t>Suministros de oficina</t>
        </is>
      </c>
    </row>
    <row r="674">
      <c r="A674" t="inlineStr">
        <is>
          <t>2026-07</t>
        </is>
      </c>
      <c r="B674" t="inlineStr">
        <is>
          <t>Costa Rica</t>
        </is>
      </c>
      <c r="C674" t="inlineStr">
        <is>
          <t>CR</t>
        </is>
      </c>
      <c r="D674" t="inlineStr">
        <is>
          <t>USD</t>
        </is>
      </c>
      <c r="E674" t="inlineStr">
        <is>
          <t>PL-F-010</t>
        </is>
      </c>
      <c r="F674" t="inlineStr">
        <is>
          <t>Gastos financieros</t>
        </is>
      </c>
      <c r="G674" t="inlineStr">
        <is>
          <t>Gastos financieros</t>
        </is>
      </c>
      <c r="H674" t="inlineStr">
        <is>
          <t>Gastos bancarios</t>
        </is>
      </c>
      <c r="I674" t="inlineStr">
        <is>
          <t>BAC CREDOMATIC</t>
        </is>
      </c>
      <c r="J674" s="41" t="n">
        <v>200</v>
      </c>
      <c r="K674" s="41" t="n">
        <v>30</v>
      </c>
      <c r="L674" s="41" t="n">
        <v>0</v>
      </c>
      <c r="M674" s="41" t="n">
        <v>230</v>
      </c>
      <c r="N674" s="41" t="n">
        <v>230</v>
      </c>
      <c r="O674" s="41" t="n">
        <v>30</v>
      </c>
      <c r="P674" t="inlineStr">
        <is>
          <t>Julio 2026 CR.xlsx</t>
        </is>
      </c>
      <c r="Q674" t="inlineStr">
        <is>
          <t>Fila 70</t>
        </is>
      </c>
      <c r="R674" t="inlineStr">
        <is>
          <t>Alta</t>
        </is>
      </c>
      <c r="S674" t="inlineStr">
        <is>
          <t>NO</t>
        </is>
      </c>
      <c r="T674" t="inlineStr">
        <is>
          <t>Costo financiero bancario</t>
        </is>
      </c>
    </row>
    <row r="675">
      <c r="A675" t="inlineStr">
        <is>
          <t>2026-07</t>
        </is>
      </c>
      <c r="B675" t="inlineStr">
        <is>
          <t>Costa Rica</t>
        </is>
      </c>
      <c r="C675" t="inlineStr">
        <is>
          <t>CR</t>
        </is>
      </c>
      <c r="D675" t="inlineStr">
        <is>
          <t>USD</t>
        </is>
      </c>
      <c r="E675" t="inlineStr">
        <is>
          <t>PL-F-010</t>
        </is>
      </c>
      <c r="F675" t="inlineStr">
        <is>
          <t>Gastos financieros</t>
        </is>
      </c>
      <c r="G675" t="inlineStr">
        <is>
          <t>Gastos financieros</t>
        </is>
      </c>
      <c r="H675" t="inlineStr">
        <is>
          <t>Gastos bancarios</t>
        </is>
      </c>
      <c r="I675" t="inlineStr">
        <is>
          <t>BAC CREDOMATIC</t>
        </is>
      </c>
      <c r="J675" s="41" t="n">
        <v>6</v>
      </c>
      <c r="K675" s="41" t="n">
        <v>0</v>
      </c>
      <c r="L675" s="41" t="n">
        <v>0</v>
      </c>
      <c r="M675" s="41" t="n">
        <v>6</v>
      </c>
      <c r="N675" s="41" t="n">
        <v>6</v>
      </c>
      <c r="O675" s="41" t="n">
        <v>0</v>
      </c>
      <c r="P675" t="inlineStr">
        <is>
          <t>Julio 2026 CR.xlsx</t>
        </is>
      </c>
      <c r="Q675" t="inlineStr">
        <is>
          <t>Fila 71</t>
        </is>
      </c>
      <c r="R675" t="inlineStr">
        <is>
          <t>Alta</t>
        </is>
      </c>
      <c r="S675" t="inlineStr">
        <is>
          <t>NO</t>
        </is>
      </c>
      <c r="T675" t="inlineStr">
        <is>
          <t>Costo financiero bancario</t>
        </is>
      </c>
    </row>
    <row r="676">
      <c r="A676" t="inlineStr">
        <is>
          <t>2026-01</t>
        </is>
      </c>
      <c r="B676" t="inlineStr">
        <is>
          <t>Colombia</t>
        </is>
      </c>
      <c r="C676" t="inlineStr">
        <is>
          <t>COCO</t>
        </is>
      </c>
      <c r="D676" t="inlineStr">
        <is>
          <t>COP</t>
        </is>
      </c>
      <c r="E676" t="inlineStr">
        <is>
          <t>PL-C-010</t>
        </is>
      </c>
      <c r="F676" t="inlineStr">
        <is>
          <t>Costo de ventas</t>
        </is>
      </c>
      <c r="G676" t="inlineStr">
        <is>
          <t>Costo de ventas</t>
        </is>
      </c>
      <c r="N676" t="n">
        <v>238535794</v>
      </c>
      <c r="O676" t="n">
        <v>238535794</v>
      </c>
      <c r="P676" t="inlineStr">
        <is>
          <t>P&amp;G mensual oficial de Colombia (BD_Indicadores, segmento vacío)</t>
        </is>
      </c>
      <c r="R676" t="inlineStr">
        <is>
          <t>Alta</t>
        </is>
      </c>
      <c r="T676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77">
      <c r="A677" t="inlineStr">
        <is>
          <t>2026-02</t>
        </is>
      </c>
      <c r="B677" t="inlineStr">
        <is>
          <t>Colombia</t>
        </is>
      </c>
      <c r="C677" t="inlineStr">
        <is>
          <t>COCO</t>
        </is>
      </c>
      <c r="D677" t="inlineStr">
        <is>
          <t>COP</t>
        </is>
      </c>
      <c r="E677" t="inlineStr">
        <is>
          <t>PL-C-010</t>
        </is>
      </c>
      <c r="F677" t="inlineStr">
        <is>
          <t>Costo de ventas</t>
        </is>
      </c>
      <c r="G677" t="inlineStr">
        <is>
          <t>Costo de ventas</t>
        </is>
      </c>
      <c r="N677" t="n">
        <v>581844585</v>
      </c>
      <c r="O677" t="n">
        <v>343308791</v>
      </c>
      <c r="P677" t="inlineStr">
        <is>
          <t>P&amp;G mensual oficial de Colombia (BD_Indicadores, segmento vacío)</t>
        </is>
      </c>
      <c r="R677" t="inlineStr">
        <is>
          <t>Alta</t>
        </is>
      </c>
      <c r="T677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78">
      <c r="A678" t="inlineStr">
        <is>
          <t>2026-03</t>
        </is>
      </c>
      <c r="B678" t="inlineStr">
        <is>
          <t>Colombia</t>
        </is>
      </c>
      <c r="C678" t="inlineStr">
        <is>
          <t>COCO</t>
        </is>
      </c>
      <c r="D678" t="inlineStr">
        <is>
          <t>COP</t>
        </is>
      </c>
      <c r="E678" t="inlineStr">
        <is>
          <t>PL-C-010</t>
        </is>
      </c>
      <c r="F678" t="inlineStr">
        <is>
          <t>Costo de ventas</t>
        </is>
      </c>
      <c r="G678" t="inlineStr">
        <is>
          <t>Costo de ventas</t>
        </is>
      </c>
      <c r="N678" t="n">
        <v>1037483786</v>
      </c>
      <c r="O678" t="n">
        <v>455639201</v>
      </c>
      <c r="P678" t="inlineStr">
        <is>
          <t>P&amp;G mensual oficial de Colombia (BD_Indicadores, segmento vacío)</t>
        </is>
      </c>
      <c r="R678" t="inlineStr">
        <is>
          <t>Alta</t>
        </is>
      </c>
      <c r="T678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79">
      <c r="A679" t="inlineStr">
        <is>
          <t>2026-04</t>
        </is>
      </c>
      <c r="B679" t="inlineStr">
        <is>
          <t>Colombia</t>
        </is>
      </c>
      <c r="C679" t="inlineStr">
        <is>
          <t>COCO</t>
        </is>
      </c>
      <c r="D679" t="inlineStr">
        <is>
          <t>COP</t>
        </is>
      </c>
      <c r="E679" t="inlineStr">
        <is>
          <t>PL-C-010</t>
        </is>
      </c>
      <c r="F679" t="inlineStr">
        <is>
          <t>Costo de ventas</t>
        </is>
      </c>
      <c r="G679" t="inlineStr">
        <is>
          <t>Costo de ventas</t>
        </is>
      </c>
      <c r="N679" t="n">
        <v>1416757380</v>
      </c>
      <c r="O679" t="n">
        <v>379273594</v>
      </c>
      <c r="P679" t="inlineStr">
        <is>
          <t>P&amp;G mensual oficial de Colombia (BD_Indicadores, segmento vacío)</t>
        </is>
      </c>
      <c r="R679" t="inlineStr">
        <is>
          <t>Alta</t>
        </is>
      </c>
      <c r="T679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0">
      <c r="A680" t="inlineStr">
        <is>
          <t>2026-05</t>
        </is>
      </c>
      <c r="B680" t="inlineStr">
        <is>
          <t>Colombia</t>
        </is>
      </c>
      <c r="C680" t="inlineStr">
        <is>
          <t>COCO</t>
        </is>
      </c>
      <c r="D680" t="inlineStr">
        <is>
          <t>COP</t>
        </is>
      </c>
      <c r="E680" t="inlineStr">
        <is>
          <t>PL-C-010</t>
        </is>
      </c>
      <c r="F680" t="inlineStr">
        <is>
          <t>Costo de ventas</t>
        </is>
      </c>
      <c r="G680" t="inlineStr">
        <is>
          <t>Costo de ventas</t>
        </is>
      </c>
      <c r="N680" t="n">
        <v>1772227903</v>
      </c>
      <c r="O680" t="n">
        <v>355470523</v>
      </c>
      <c r="P680" t="inlineStr">
        <is>
          <t>P&amp;G mensual oficial de Colombia (BD_Indicadores, segmento vacío)</t>
        </is>
      </c>
      <c r="R680" t="inlineStr">
        <is>
          <t>Alta</t>
        </is>
      </c>
      <c r="T680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1">
      <c r="A681" t="inlineStr">
        <is>
          <t>2026-06</t>
        </is>
      </c>
      <c r="B681" t="inlineStr">
        <is>
          <t>Colombia</t>
        </is>
      </c>
      <c r="C681" t="inlineStr">
        <is>
          <t>COCO</t>
        </is>
      </c>
      <c r="D681" t="inlineStr">
        <is>
          <t>COP</t>
        </is>
      </c>
      <c r="E681" t="inlineStr">
        <is>
          <t>PL-C-010</t>
        </is>
      </c>
      <c r="F681" t="inlineStr">
        <is>
          <t>Costo de ventas</t>
        </is>
      </c>
      <c r="G681" t="inlineStr">
        <is>
          <t>Costo de ventas</t>
        </is>
      </c>
      <c r="N681" t="n">
        <v>2120705509</v>
      </c>
      <c r="O681" t="n">
        <v>348477606</v>
      </c>
      <c r="P681" t="inlineStr">
        <is>
          <t>P&amp;G mensual oficial de Colombia (BD_Indicadores, segmento vacío)</t>
        </is>
      </c>
      <c r="R681" t="inlineStr">
        <is>
          <t>Alta</t>
        </is>
      </c>
      <c r="T681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2">
      <c r="A682" t="inlineStr">
        <is>
          <t>2026-01</t>
        </is>
      </c>
      <c r="B682" t="inlineStr">
        <is>
          <t>Colombia</t>
        </is>
      </c>
      <c r="C682" t="inlineStr">
        <is>
          <t>COCO</t>
        </is>
      </c>
      <c r="D682" t="inlineStr">
        <is>
          <t>COP</t>
        </is>
      </c>
      <c r="E682" t="inlineStr">
        <is>
          <t>PL-O-200</t>
        </is>
      </c>
      <c r="F682" t="inlineStr">
        <is>
          <t>Gastos de administración</t>
        </is>
      </c>
      <c r="G682" t="inlineStr">
        <is>
          <t>Gastos de administración - COCO</t>
        </is>
      </c>
      <c r="N682" t="n">
        <v>98722435</v>
      </c>
      <c r="O682" t="n">
        <v>98722435</v>
      </c>
      <c r="P682" t="inlineStr">
        <is>
          <t>P&amp;G mensual oficial de Colombia (BD_Indicadores, segmento vacío)</t>
        </is>
      </c>
      <c r="R682" t="inlineStr">
        <is>
          <t>Alta</t>
        </is>
      </c>
      <c r="T682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3">
      <c r="A683" t="inlineStr">
        <is>
          <t>2026-02</t>
        </is>
      </c>
      <c r="B683" t="inlineStr">
        <is>
          <t>Colombia</t>
        </is>
      </c>
      <c r="C683" t="inlineStr">
        <is>
          <t>COCO</t>
        </is>
      </c>
      <c r="D683" t="inlineStr">
        <is>
          <t>COP</t>
        </is>
      </c>
      <c r="E683" t="inlineStr">
        <is>
          <t>PL-O-200</t>
        </is>
      </c>
      <c r="F683" t="inlineStr">
        <is>
          <t>Gastos de administración</t>
        </is>
      </c>
      <c r="G683" t="inlineStr">
        <is>
          <t>Gastos de administración - COCO</t>
        </is>
      </c>
      <c r="N683" t="n">
        <v>204355907</v>
      </c>
      <c r="O683" t="n">
        <v>105633472</v>
      </c>
      <c r="P683" t="inlineStr">
        <is>
          <t>P&amp;G mensual oficial de Colombia (BD_Indicadores, segmento vacío)</t>
        </is>
      </c>
      <c r="R683" t="inlineStr">
        <is>
          <t>Alta</t>
        </is>
      </c>
      <c r="T683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4">
      <c r="A684" t="inlineStr">
        <is>
          <t>2026-03</t>
        </is>
      </c>
      <c r="B684" t="inlineStr">
        <is>
          <t>Colombia</t>
        </is>
      </c>
      <c r="C684" t="inlineStr">
        <is>
          <t>COCO</t>
        </is>
      </c>
      <c r="D684" t="inlineStr">
        <is>
          <t>COP</t>
        </is>
      </c>
      <c r="E684" t="inlineStr">
        <is>
          <t>PL-O-200</t>
        </is>
      </c>
      <c r="F684" t="inlineStr">
        <is>
          <t>Gastos de administración</t>
        </is>
      </c>
      <c r="G684" t="inlineStr">
        <is>
          <t>Gastos de administración - COCO</t>
        </is>
      </c>
      <c r="N684" t="n">
        <v>346167772</v>
      </c>
      <c r="O684" t="n">
        <v>141811865</v>
      </c>
      <c r="P684" t="inlineStr">
        <is>
          <t>P&amp;G mensual oficial de Colombia (BD_Indicadores, segmento vacío)</t>
        </is>
      </c>
      <c r="R684" t="inlineStr">
        <is>
          <t>Alta</t>
        </is>
      </c>
      <c r="T684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5">
      <c r="A685" t="inlineStr">
        <is>
          <t>2026-04</t>
        </is>
      </c>
      <c r="B685" t="inlineStr">
        <is>
          <t>Colombia</t>
        </is>
      </c>
      <c r="C685" t="inlineStr">
        <is>
          <t>COCO</t>
        </is>
      </c>
      <c r="D685" t="inlineStr">
        <is>
          <t>COP</t>
        </is>
      </c>
      <c r="E685" t="inlineStr">
        <is>
          <t>PL-O-200</t>
        </is>
      </c>
      <c r="F685" t="inlineStr">
        <is>
          <t>Gastos de administración</t>
        </is>
      </c>
      <c r="G685" t="inlineStr">
        <is>
          <t>Gastos de administración - COCO</t>
        </is>
      </c>
      <c r="N685" t="n">
        <v>460448659</v>
      </c>
      <c r="O685" t="n">
        <v>114280887</v>
      </c>
      <c r="P685" t="inlineStr">
        <is>
          <t>P&amp;G mensual oficial de Colombia (BD_Indicadores, segmento vacío)</t>
        </is>
      </c>
      <c r="R685" t="inlineStr">
        <is>
          <t>Alta</t>
        </is>
      </c>
      <c r="T685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6">
      <c r="A686" t="inlineStr">
        <is>
          <t>2026-05</t>
        </is>
      </c>
      <c r="B686" t="inlineStr">
        <is>
          <t>Colombia</t>
        </is>
      </c>
      <c r="C686" t="inlineStr">
        <is>
          <t>COCO</t>
        </is>
      </c>
      <c r="D686" t="inlineStr">
        <is>
          <t>COP</t>
        </is>
      </c>
      <c r="E686" t="inlineStr">
        <is>
          <t>PL-O-200</t>
        </is>
      </c>
      <c r="F686" t="inlineStr">
        <is>
          <t>Gastos de administración</t>
        </is>
      </c>
      <c r="G686" t="inlineStr">
        <is>
          <t>Gastos de administración - COCO</t>
        </is>
      </c>
      <c r="N686" t="n">
        <v>577257483</v>
      </c>
      <c r="O686" t="n">
        <v>116808824</v>
      </c>
      <c r="P686" t="inlineStr">
        <is>
          <t>P&amp;G mensual oficial de Colombia (BD_Indicadores, segmento vacío)</t>
        </is>
      </c>
      <c r="R686" t="inlineStr">
        <is>
          <t>Alta</t>
        </is>
      </c>
      <c r="T686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7">
      <c r="A687" t="inlineStr">
        <is>
          <t>2026-06</t>
        </is>
      </c>
      <c r="B687" t="inlineStr">
        <is>
          <t>Colombia</t>
        </is>
      </c>
      <c r="C687" t="inlineStr">
        <is>
          <t>COCO</t>
        </is>
      </c>
      <c r="D687" t="inlineStr">
        <is>
          <t>COP</t>
        </is>
      </c>
      <c r="E687" t="inlineStr">
        <is>
          <t>PL-O-200</t>
        </is>
      </c>
      <c r="F687" t="inlineStr">
        <is>
          <t>Gastos de administración</t>
        </is>
      </c>
      <c r="G687" t="inlineStr">
        <is>
          <t>Gastos de administración - COCO</t>
        </is>
      </c>
      <c r="N687" t="n">
        <v>689546176</v>
      </c>
      <c r="O687" t="n">
        <v>112288693</v>
      </c>
      <c r="P687" t="inlineStr">
        <is>
          <t>P&amp;G mensual oficial de Colombia (BD_Indicadores, segmento vacío)</t>
        </is>
      </c>
      <c r="R687" t="inlineStr">
        <is>
          <t>Alta</t>
        </is>
      </c>
      <c r="T687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8">
      <c r="A688" t="inlineStr">
        <is>
          <t>2026-01</t>
        </is>
      </c>
      <c r="B688" t="inlineStr">
        <is>
          <t>Colombia</t>
        </is>
      </c>
      <c r="C688" t="inlineStr">
        <is>
          <t>COCO</t>
        </is>
      </c>
      <c r="D688" t="inlineStr">
        <is>
          <t>COP</t>
        </is>
      </c>
      <c r="E688" t="inlineStr">
        <is>
          <t>PL-S-200</t>
        </is>
      </c>
      <c r="F688" t="inlineStr">
        <is>
          <t>Gastos de ventas</t>
        </is>
      </c>
      <c r="G688" t="inlineStr">
        <is>
          <t>Gastos de ventas - COCO</t>
        </is>
      </c>
      <c r="N688" t="n">
        <v>131600259</v>
      </c>
      <c r="O688" t="n">
        <v>131600259</v>
      </c>
      <c r="P688" t="inlineStr">
        <is>
          <t>P&amp;G mensual oficial de Colombia (BD_Indicadores, segmento vacío)</t>
        </is>
      </c>
      <c r="R688" t="inlineStr">
        <is>
          <t>Alta</t>
        </is>
      </c>
      <c r="T688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9">
      <c r="A689" t="inlineStr">
        <is>
          <t>2026-02</t>
        </is>
      </c>
      <c r="B689" t="inlineStr">
        <is>
          <t>Colombia</t>
        </is>
      </c>
      <c r="C689" t="inlineStr">
        <is>
          <t>COCO</t>
        </is>
      </c>
      <c r="D689" t="inlineStr">
        <is>
          <t>COP</t>
        </is>
      </c>
      <c r="E689" t="inlineStr">
        <is>
          <t>PL-S-200</t>
        </is>
      </c>
      <c r="F689" t="inlineStr">
        <is>
          <t>Gastos de ventas</t>
        </is>
      </c>
      <c r="G689" t="inlineStr">
        <is>
          <t>Gastos de ventas - COCO</t>
        </is>
      </c>
      <c r="N689" t="n">
        <v>305232463</v>
      </c>
      <c r="O689" t="n">
        <v>173632204</v>
      </c>
      <c r="P689" t="inlineStr">
        <is>
          <t>P&amp;G mensual oficial de Colombia (BD_Indicadores, segmento vacío)</t>
        </is>
      </c>
      <c r="R689" t="inlineStr">
        <is>
          <t>Alta</t>
        </is>
      </c>
      <c r="T689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0">
      <c r="A690" t="inlineStr">
        <is>
          <t>2026-03</t>
        </is>
      </c>
      <c r="B690" t="inlineStr">
        <is>
          <t>Colombia</t>
        </is>
      </c>
      <c r="C690" t="inlineStr">
        <is>
          <t>COCO</t>
        </is>
      </c>
      <c r="D690" t="inlineStr">
        <is>
          <t>COP</t>
        </is>
      </c>
      <c r="E690" t="inlineStr">
        <is>
          <t>PL-S-200</t>
        </is>
      </c>
      <c r="F690" t="inlineStr">
        <is>
          <t>Gastos de ventas</t>
        </is>
      </c>
      <c r="G690" t="inlineStr">
        <is>
          <t>Gastos de ventas - COCO</t>
        </is>
      </c>
      <c r="N690" t="n">
        <v>444848239</v>
      </c>
      <c r="O690" t="n">
        <v>139615776</v>
      </c>
      <c r="P690" t="inlineStr">
        <is>
          <t>P&amp;G mensual oficial de Colombia (BD_Indicadores, segmento vacío)</t>
        </is>
      </c>
      <c r="R690" t="inlineStr">
        <is>
          <t>Alta</t>
        </is>
      </c>
      <c r="T690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1">
      <c r="A691" t="inlineStr">
        <is>
          <t>2026-04</t>
        </is>
      </c>
      <c r="B691" t="inlineStr">
        <is>
          <t>Colombia</t>
        </is>
      </c>
      <c r="C691" t="inlineStr">
        <is>
          <t>COCO</t>
        </is>
      </c>
      <c r="D691" t="inlineStr">
        <is>
          <t>COP</t>
        </is>
      </c>
      <c r="E691" t="inlineStr">
        <is>
          <t>PL-S-200</t>
        </is>
      </c>
      <c r="F691" t="inlineStr">
        <is>
          <t>Gastos de ventas</t>
        </is>
      </c>
      <c r="G691" t="inlineStr">
        <is>
          <t>Gastos de ventas - COCO</t>
        </is>
      </c>
      <c r="N691" t="n">
        <v>574938654</v>
      </c>
      <c r="O691" t="n">
        <v>130090415</v>
      </c>
      <c r="P691" t="inlineStr">
        <is>
          <t>P&amp;G mensual oficial de Colombia (BD_Indicadores, segmento vacío)</t>
        </is>
      </c>
      <c r="R691" t="inlineStr">
        <is>
          <t>Alta</t>
        </is>
      </c>
      <c r="T691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2">
      <c r="A692" t="inlineStr">
        <is>
          <t>2026-05</t>
        </is>
      </c>
      <c r="B692" t="inlineStr">
        <is>
          <t>Colombia</t>
        </is>
      </c>
      <c r="C692" t="inlineStr">
        <is>
          <t>COCO</t>
        </is>
      </c>
      <c r="D692" t="inlineStr">
        <is>
          <t>COP</t>
        </is>
      </c>
      <c r="E692" t="inlineStr">
        <is>
          <t>PL-S-200</t>
        </is>
      </c>
      <c r="F692" t="inlineStr">
        <is>
          <t>Gastos de ventas</t>
        </is>
      </c>
      <c r="G692" t="inlineStr">
        <is>
          <t>Gastos de ventas - COCO</t>
        </is>
      </c>
      <c r="N692" t="n">
        <v>695171867</v>
      </c>
      <c r="O692" t="n">
        <v>120233213</v>
      </c>
      <c r="P692" t="inlineStr">
        <is>
          <t>P&amp;G mensual oficial de Colombia (BD_Indicadores, segmento vacío)</t>
        </is>
      </c>
      <c r="R692" t="inlineStr">
        <is>
          <t>Alta</t>
        </is>
      </c>
      <c r="T692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3">
      <c r="A693" t="inlineStr">
        <is>
          <t>2026-06</t>
        </is>
      </c>
      <c r="B693" t="inlineStr">
        <is>
          <t>Colombia</t>
        </is>
      </c>
      <c r="C693" t="inlineStr">
        <is>
          <t>COCO</t>
        </is>
      </c>
      <c r="D693" t="inlineStr">
        <is>
          <t>COP</t>
        </is>
      </c>
      <c r="E693" t="inlineStr">
        <is>
          <t>PL-S-200</t>
        </is>
      </c>
      <c r="F693" t="inlineStr">
        <is>
          <t>Gastos de ventas</t>
        </is>
      </c>
      <c r="G693" t="inlineStr">
        <is>
          <t>Gastos de ventas - COCO</t>
        </is>
      </c>
      <c r="N693" t="n">
        <v>841975327</v>
      </c>
      <c r="O693" t="n">
        <v>146803460</v>
      </c>
      <c r="P693" t="inlineStr">
        <is>
          <t>P&amp;G mensual oficial de Colombia (BD_Indicadores, segmento vacío)</t>
        </is>
      </c>
      <c r="R693" t="inlineStr">
        <is>
          <t>Alta</t>
        </is>
      </c>
      <c r="T693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4">
      <c r="A694" t="inlineStr">
        <is>
          <t>2026-01</t>
        </is>
      </c>
      <c r="B694" t="inlineStr">
        <is>
          <t>Colombia</t>
        </is>
      </c>
      <c r="C694" t="inlineStr">
        <is>
          <t>COCO</t>
        </is>
      </c>
      <c r="D694" t="inlineStr">
        <is>
          <t>COP</t>
        </is>
      </c>
      <c r="E694" t="inlineStr">
        <is>
          <t>PL-O-210</t>
        </is>
      </c>
      <c r="F694" t="inlineStr">
        <is>
          <t>Otros gastos operacionales</t>
        </is>
      </c>
      <c r="G694" t="inlineStr">
        <is>
          <t>Gastos operacionales - COCO</t>
        </is>
      </c>
      <c r="N694" t="n">
        <v>73409852</v>
      </c>
      <c r="O694" t="n">
        <v>73409852</v>
      </c>
      <c r="P694" t="inlineStr">
        <is>
          <t>P&amp;G mensual oficial de Colombia (BD_Indicadores, segmento vacío)</t>
        </is>
      </c>
      <c r="R694" t="inlineStr">
        <is>
          <t>Alta</t>
        </is>
      </c>
      <c r="T694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5">
      <c r="A695" t="inlineStr">
        <is>
          <t>2026-02</t>
        </is>
      </c>
      <c r="B695" t="inlineStr">
        <is>
          <t>Colombia</t>
        </is>
      </c>
      <c r="C695" t="inlineStr">
        <is>
          <t>COCO</t>
        </is>
      </c>
      <c r="D695" t="inlineStr">
        <is>
          <t>COP</t>
        </is>
      </c>
      <c r="E695" t="inlineStr">
        <is>
          <t>PL-O-210</t>
        </is>
      </c>
      <c r="F695" t="inlineStr">
        <is>
          <t>Otros gastos operacionales</t>
        </is>
      </c>
      <c r="G695" t="inlineStr">
        <is>
          <t>Gastos operacionales - COCO</t>
        </is>
      </c>
      <c r="N695" t="n">
        <v>148919490</v>
      </c>
      <c r="O695" t="n">
        <v>75509638</v>
      </c>
      <c r="P695" t="inlineStr">
        <is>
          <t>P&amp;G mensual oficial de Colombia (BD_Indicadores, segmento vacío)</t>
        </is>
      </c>
      <c r="R695" t="inlineStr">
        <is>
          <t>Alta</t>
        </is>
      </c>
      <c r="T695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6">
      <c r="A696" t="inlineStr">
        <is>
          <t>2026-03</t>
        </is>
      </c>
      <c r="B696" t="inlineStr">
        <is>
          <t>Colombia</t>
        </is>
      </c>
      <c r="C696" t="inlineStr">
        <is>
          <t>COCO</t>
        </is>
      </c>
      <c r="D696" t="inlineStr">
        <is>
          <t>COP</t>
        </is>
      </c>
      <c r="E696" t="inlineStr">
        <is>
          <t>PL-O-210</t>
        </is>
      </c>
      <c r="F696" t="inlineStr">
        <is>
          <t>Otros gastos operacionales</t>
        </is>
      </c>
      <c r="G696" t="inlineStr">
        <is>
          <t>Gastos operacionales - COCO</t>
        </is>
      </c>
      <c r="N696" t="n">
        <v>221136628</v>
      </c>
      <c r="O696" t="n">
        <v>72217138</v>
      </c>
      <c r="P696" t="inlineStr">
        <is>
          <t>P&amp;G mensual oficial de Colombia (BD_Indicadores, segmento vacío)</t>
        </is>
      </c>
      <c r="R696" t="inlineStr">
        <is>
          <t>Alta</t>
        </is>
      </c>
      <c r="T696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7">
      <c r="A697" t="inlineStr">
        <is>
          <t>2026-04</t>
        </is>
      </c>
      <c r="B697" t="inlineStr">
        <is>
          <t>Colombia</t>
        </is>
      </c>
      <c r="C697" t="inlineStr">
        <is>
          <t>COCO</t>
        </is>
      </c>
      <c r="D697" t="inlineStr">
        <is>
          <t>COP</t>
        </is>
      </c>
      <c r="E697" t="inlineStr">
        <is>
          <t>PL-O-210</t>
        </is>
      </c>
      <c r="F697" t="inlineStr">
        <is>
          <t>Otros gastos operacionales</t>
        </is>
      </c>
      <c r="G697" t="inlineStr">
        <is>
          <t>Gastos operacionales - COCO</t>
        </is>
      </c>
      <c r="N697" t="n">
        <v>343521142</v>
      </c>
      <c r="O697" t="n">
        <v>122384514</v>
      </c>
      <c r="P697" t="inlineStr">
        <is>
          <t>P&amp;G mensual oficial de Colombia (BD_Indicadores, segmento vacío)</t>
        </is>
      </c>
      <c r="R697" t="inlineStr">
        <is>
          <t>Alta</t>
        </is>
      </c>
      <c r="T697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8">
      <c r="A698" t="inlineStr">
        <is>
          <t>2026-05</t>
        </is>
      </c>
      <c r="B698" t="inlineStr">
        <is>
          <t>Colombia</t>
        </is>
      </c>
      <c r="C698" t="inlineStr">
        <is>
          <t>COCO</t>
        </is>
      </c>
      <c r="D698" t="inlineStr">
        <is>
          <t>COP</t>
        </is>
      </c>
      <c r="E698" t="inlineStr">
        <is>
          <t>PL-O-210</t>
        </is>
      </c>
      <c r="F698" t="inlineStr">
        <is>
          <t>Otros gastos operacionales</t>
        </is>
      </c>
      <c r="G698" t="inlineStr">
        <is>
          <t>Gastos operacionales - COCO</t>
        </is>
      </c>
      <c r="N698" t="n">
        <v>464513853</v>
      </c>
      <c r="O698" t="n">
        <v>120992711</v>
      </c>
      <c r="P698" t="inlineStr">
        <is>
          <t>P&amp;G mensual oficial de Colombia (BD_Indicadores, segmento vacío)</t>
        </is>
      </c>
      <c r="R698" t="inlineStr">
        <is>
          <t>Alta</t>
        </is>
      </c>
      <c r="T698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9">
      <c r="A699" t="inlineStr">
        <is>
          <t>2026-06</t>
        </is>
      </c>
      <c r="B699" t="inlineStr">
        <is>
          <t>Colombia</t>
        </is>
      </c>
      <c r="C699" t="inlineStr">
        <is>
          <t>COCO</t>
        </is>
      </c>
      <c r="D699" t="inlineStr">
        <is>
          <t>COP</t>
        </is>
      </c>
      <c r="E699" t="inlineStr">
        <is>
          <t>PL-O-210</t>
        </is>
      </c>
      <c r="F699" t="inlineStr">
        <is>
          <t>Otros gastos operacionales</t>
        </is>
      </c>
      <c r="G699" t="inlineStr">
        <is>
          <t>Gastos operacionales - COCO</t>
        </is>
      </c>
      <c r="N699" t="n">
        <v>573421913</v>
      </c>
      <c r="O699" t="n">
        <v>108908060</v>
      </c>
      <c r="P699" t="inlineStr">
        <is>
          <t>P&amp;G mensual oficial de Colombia (BD_Indicadores, segmento vacío)</t>
        </is>
      </c>
      <c r="R699" t="inlineStr">
        <is>
          <t>Alta</t>
        </is>
      </c>
      <c r="T699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700">
      <c r="A700" t="inlineStr">
        <is>
          <t>2026-01</t>
        </is>
      </c>
      <c r="B700" t="inlineStr">
        <is>
          <t>Colombia</t>
        </is>
      </c>
      <c r="C700" t="inlineStr">
        <is>
          <t>COCO</t>
        </is>
      </c>
      <c r="D700" t="inlineStr">
        <is>
          <t>COP</t>
        </is>
      </c>
      <c r="E700" t="inlineStr">
        <is>
          <t>PL-F-010</t>
        </is>
      </c>
      <c r="F700" t="inlineStr">
        <is>
          <t>Gastos financieros</t>
        </is>
      </c>
      <c r="G700" t="inlineStr">
        <is>
          <t>Gastos financieros</t>
        </is>
      </c>
      <c r="N700" t="n">
        <v>7091551</v>
      </c>
      <c r="O700" t="n">
        <v>7091551</v>
      </c>
      <c r="P700" t="inlineStr">
        <is>
          <t>P&amp;G mensual oficial de Colombia (BD_Indicadores, segmento vacío)</t>
        </is>
      </c>
      <c r="R700" t="inlineStr">
        <is>
          <t>Alta</t>
        </is>
      </c>
      <c r="T700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701">
      <c r="A701" t="inlineStr">
        <is>
          <t>2026-02</t>
        </is>
      </c>
      <c r="B701" t="inlineStr">
        <is>
          <t>Colombia</t>
        </is>
      </c>
      <c r="C701" t="inlineStr">
        <is>
          <t>COCO</t>
        </is>
      </c>
      <c r="D701" t="inlineStr">
        <is>
          <t>COP</t>
        </is>
      </c>
      <c r="E701" t="inlineStr">
        <is>
          <t>PL-F-010</t>
        </is>
      </c>
      <c r="F701" t="inlineStr">
        <is>
          <t>Gastos financieros</t>
        </is>
      </c>
      <c r="G701" t="inlineStr">
        <is>
          <t>Gastos financieros</t>
        </is>
      </c>
      <c r="N701" t="n">
        <v>12665644</v>
      </c>
      <c r="O701" t="n">
        <v>5574093</v>
      </c>
      <c r="P701" t="inlineStr">
        <is>
          <t>P&amp;G mensual oficial de Colombia (BD_Indicadores, segmento vacío)</t>
        </is>
      </c>
      <c r="R701" t="inlineStr">
        <is>
          <t>Alta</t>
        </is>
      </c>
      <c r="T701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702">
      <c r="A702" t="inlineStr">
        <is>
          <t>2026-03</t>
        </is>
      </c>
      <c r="B702" t="inlineStr">
        <is>
          <t>Colombia</t>
        </is>
      </c>
      <c r="C702" t="inlineStr">
        <is>
          <t>COCO</t>
        </is>
      </c>
      <c r="D702" t="inlineStr">
        <is>
          <t>COP</t>
        </is>
      </c>
      <c r="E702" t="inlineStr">
        <is>
          <t>PL-F-010</t>
        </is>
      </c>
      <c r="F702" t="inlineStr">
        <is>
          <t>Gastos financieros</t>
        </is>
      </c>
      <c r="G702" t="inlineStr">
        <is>
          <t>Gastos financieros</t>
        </is>
      </c>
      <c r="N702" t="n">
        <v>18163198</v>
      </c>
      <c r="O702" t="n">
        <v>5497554</v>
      </c>
      <c r="P702" t="inlineStr">
        <is>
          <t>P&amp;G mensual oficial de Colombia (BD_Indicadores, segmento vacío)</t>
        </is>
      </c>
      <c r="R702" t="inlineStr">
        <is>
          <t>Alta</t>
        </is>
      </c>
      <c r="T702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703">
      <c r="A703" t="inlineStr">
        <is>
          <t>2026-04</t>
        </is>
      </c>
      <c r="B703" t="inlineStr">
        <is>
          <t>Colombia</t>
        </is>
      </c>
      <c r="C703" t="inlineStr">
        <is>
          <t>COCO</t>
        </is>
      </c>
      <c r="D703" t="inlineStr">
        <is>
          <t>COP</t>
        </is>
      </c>
      <c r="E703" t="inlineStr">
        <is>
          <t>PL-F-010</t>
        </is>
      </c>
      <c r="F703" t="inlineStr">
        <is>
          <t>Gastos financieros</t>
        </is>
      </c>
      <c r="G703" t="inlineStr">
        <is>
          <t>Gastos financieros</t>
        </is>
      </c>
      <c r="N703" t="n">
        <v>23201792</v>
      </c>
      <c r="O703" t="n">
        <v>5038594</v>
      </c>
      <c r="P703" t="inlineStr">
        <is>
          <t>P&amp;G mensual oficial de Colombia (BD_Indicadores, segmento vacío)</t>
        </is>
      </c>
      <c r="R703" t="inlineStr">
        <is>
          <t>Alta</t>
        </is>
      </c>
      <c r="T703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704">
      <c r="A704" t="inlineStr">
        <is>
          <t>2026-05</t>
        </is>
      </c>
      <c r="B704" t="inlineStr">
        <is>
          <t>Colombia</t>
        </is>
      </c>
      <c r="C704" t="inlineStr">
        <is>
          <t>COCO</t>
        </is>
      </c>
      <c r="D704" t="inlineStr">
        <is>
          <t>COP</t>
        </is>
      </c>
      <c r="E704" t="inlineStr">
        <is>
          <t>PL-F-010</t>
        </is>
      </c>
      <c r="F704" t="inlineStr">
        <is>
          <t>Gastos financieros</t>
        </is>
      </c>
      <c r="G704" t="inlineStr">
        <is>
          <t>Gastos financieros</t>
        </is>
      </c>
      <c r="N704" t="n">
        <v>29202638</v>
      </c>
      <c r="O704" t="n">
        <v>6000846</v>
      </c>
      <c r="P704" t="inlineStr">
        <is>
          <t>P&amp;G mensual oficial de Colombia (BD_Indicadores, segmento vacío)</t>
        </is>
      </c>
      <c r="R704" t="inlineStr">
        <is>
          <t>Alta</t>
        </is>
      </c>
      <c r="T704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705">
      <c r="A705" t="inlineStr">
        <is>
          <t>2026-06</t>
        </is>
      </c>
      <c r="B705" t="inlineStr">
        <is>
          <t>Colombia</t>
        </is>
      </c>
      <c r="C705" t="inlineStr">
        <is>
          <t>COCO</t>
        </is>
      </c>
      <c r="D705" t="inlineStr">
        <is>
          <t>COP</t>
        </is>
      </c>
      <c r="E705" t="inlineStr">
        <is>
          <t>PL-F-010</t>
        </is>
      </c>
      <c r="F705" t="inlineStr">
        <is>
          <t>Gastos financieros</t>
        </is>
      </c>
      <c r="G705" t="inlineStr">
        <is>
          <t>Gastos financieros</t>
        </is>
      </c>
      <c r="N705" t="n">
        <v>34754732</v>
      </c>
      <c r="O705" t="n">
        <v>5552094</v>
      </c>
      <c r="P705" t="inlineStr">
        <is>
          <t>P&amp;G mensual oficial de Colombia (BD_Indicadores, segmento vacío)</t>
        </is>
      </c>
      <c r="R705" t="inlineStr">
        <is>
          <t>Alta</t>
        </is>
      </c>
      <c r="T705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594"/>
  <sheetViews>
    <sheetView workbookViewId="0">
      <selection activeCell="A1" sqref="A1"/>
    </sheetView>
  </sheetViews>
  <sheetFormatPr baseColWidth="8" defaultRowHeight="14.4"/>
  <cols>
    <col width="10" customWidth="1" style="52" min="1" max="1"/>
    <col width="16" customWidth="1" style="52" min="2" max="2"/>
    <col width="10" customWidth="1" style="52" min="3" max="4"/>
    <col width="14" customWidth="1" style="52" min="5" max="5"/>
    <col width="38" customWidth="1" style="52" min="6" max="6"/>
    <col width="21" customWidth="1" style="52" min="7" max="7"/>
    <col width="19" customWidth="1" style="52" min="8" max="8"/>
    <col width="16" customWidth="1" style="52" min="9" max="9"/>
    <col width="11" customWidth="1" style="52" min="10" max="11"/>
    <col width="24" customWidth="1" style="52" min="12" max="12"/>
    <col width="15" customWidth="1" style="52" min="13" max="13"/>
    <col width="38" customWidth="1" style="52" min="14" max="14"/>
  </cols>
  <sheetData>
    <row r="1">
      <c r="A1" s="50" t="inlineStr">
        <is>
          <t>periodo</t>
        </is>
      </c>
      <c r="B1" s="50" t="inlineStr">
        <is>
          <t>pais</t>
        </is>
      </c>
      <c r="C1" s="50" t="inlineStr">
        <is>
          <t>entidad</t>
        </is>
      </c>
      <c r="D1" s="50" t="inlineStr">
        <is>
          <t>moneda</t>
        </is>
      </c>
      <c r="E1" s="50" t="inlineStr">
        <is>
          <t>codigo_comun</t>
        </is>
      </c>
      <c r="F1" s="50" t="inlineStr">
        <is>
          <t>rubro_comun</t>
        </is>
      </c>
      <c r="G1" s="50" t="inlineStr">
        <is>
          <t>indicador_dashboard</t>
        </is>
      </c>
      <c r="H1" s="50" t="inlineStr">
        <is>
          <t>detalle_dashboard</t>
        </is>
      </c>
      <c r="I1" s="50" t="inlineStr">
        <is>
          <t>area_dashboard</t>
        </is>
      </c>
      <c r="J1" s="50" t="inlineStr">
        <is>
          <t>valor_mes</t>
        </is>
      </c>
      <c r="K1" s="50" t="inlineStr">
        <is>
          <t>valor_ytd</t>
        </is>
      </c>
      <c r="L1" s="50" t="inlineStr">
        <is>
          <t>fuente</t>
        </is>
      </c>
      <c r="M1" s="50" t="inlineStr">
        <is>
          <t>calidad_mapeo</t>
        </is>
      </c>
      <c r="N1" s="50" t="inlineStr">
        <is>
          <t>nota</t>
        </is>
      </c>
    </row>
    <row r="2">
      <c r="A2" t="inlineStr">
        <is>
          <t>2026-04</t>
        </is>
      </c>
      <c r="B2" t="inlineStr">
        <is>
          <t>Costa Rica</t>
        </is>
      </c>
      <c r="C2" t="inlineStr">
        <is>
          <t>CR</t>
        </is>
      </c>
      <c r="D2" t="inlineStr">
        <is>
          <t>USD</t>
        </is>
      </c>
      <c r="E2" t="inlineStr">
        <is>
          <t>PL-O-010</t>
        </is>
      </c>
      <c r="F2" t="inlineStr">
        <is>
          <t>Gastos de personal</t>
        </is>
      </c>
      <c r="G2" t="inlineStr">
        <is>
          <t>gasto_admin</t>
        </is>
      </c>
      <c r="H2" t="inlineStr">
        <is>
          <t>Personal</t>
        </is>
      </c>
      <c r="I2" t="inlineStr">
        <is>
          <t>Administracion</t>
        </is>
      </c>
      <c r="J2" t="n">
        <v>1200</v>
      </c>
      <c r="K2" t="n">
        <v>4800</v>
      </c>
      <c r="L2" t="inlineStr">
        <is>
          <t>Abril 2026 CR.xlsx</t>
        </is>
      </c>
      <c r="M2" t="inlineStr">
        <is>
          <t>Aprobado</t>
        </is>
      </c>
      <c r="N2" t="inlineStr">
        <is>
          <t>Puente para redise?ar vistas de Costos &amp; Gastos; no reemplaza P&amp;G oficial. Convertido a USD con la tasa promedio mensual del pais.</t>
        </is>
      </c>
    </row>
    <row r="3">
      <c r="A3" t="inlineStr">
        <is>
          <t>2026-04</t>
        </is>
      </c>
      <c r="B3" t="inlineStr">
        <is>
          <t>Costa Rica</t>
        </is>
      </c>
      <c r="C3" t="inlineStr">
        <is>
          <t>CR</t>
        </is>
      </c>
      <c r="D3" t="inlineStr">
        <is>
          <t>USD</t>
        </is>
      </c>
      <c r="E3" t="inlineStr">
        <is>
          <t>PL-O-090</t>
        </is>
      </c>
      <c r="F3" t="inlineStr">
        <is>
          <t>Viajes y representación</t>
        </is>
      </c>
      <c r="G3" t="inlineStr">
        <is>
          <t>gasto_admin</t>
        </is>
      </c>
      <c r="H3" t="inlineStr">
        <is>
          <t>Viajes</t>
        </is>
      </c>
      <c r="I3" t="inlineStr">
        <is>
          <t>Administracion</t>
        </is>
      </c>
      <c r="J3" t="n">
        <v>300</v>
      </c>
      <c r="K3" t="n">
        <v>1200</v>
      </c>
      <c r="L3" t="inlineStr">
        <is>
          <t>Abril 2026 CR.xlsx</t>
        </is>
      </c>
      <c r="M3" t="inlineStr">
        <is>
          <t>Aprobado</t>
        </is>
      </c>
      <c r="N3" t="inlineStr">
        <is>
          <t>Puente para redise?ar vistas de Costos &amp; Gastos; no reemplaza P&amp;G oficial. Convertido a USD con la tasa promedio mensual del pais.</t>
        </is>
      </c>
    </row>
    <row r="4">
      <c r="A4" t="inlineStr">
        <is>
          <t>2026-04</t>
        </is>
      </c>
      <c r="B4" t="inlineStr">
        <is>
          <t>Costa Rica</t>
        </is>
      </c>
      <c r="C4" t="inlineStr">
        <is>
          <t>CR</t>
        </is>
      </c>
      <c r="D4" t="inlineStr">
        <is>
          <t>USD</t>
        </is>
      </c>
      <c r="E4" t="inlineStr">
        <is>
          <t>PL-O-010</t>
        </is>
      </c>
      <c r="F4" t="inlineStr">
        <is>
          <t>Gastos de personal</t>
        </is>
      </c>
      <c r="G4" t="inlineStr">
        <is>
          <t>gasto_admin</t>
        </is>
      </c>
      <c r="H4" t="inlineStr">
        <is>
          <t>Personal</t>
        </is>
      </c>
      <c r="I4" t="inlineStr">
        <is>
          <t>Administracion</t>
        </is>
      </c>
      <c r="J4" t="n">
        <v>400</v>
      </c>
      <c r="K4" t="n">
        <v>1612.37</v>
      </c>
      <c r="L4" t="inlineStr">
        <is>
          <t>Abril 2026 CR.xlsx</t>
        </is>
      </c>
      <c r="M4" t="inlineStr">
        <is>
          <t>Aprobado</t>
        </is>
      </c>
      <c r="N4" t="inlineStr">
        <is>
          <t>Puente para redise?ar vistas de Costos &amp; Gastos; no reemplaza P&amp;G oficial. Convertido a USD con la tasa promedio mensual del pais.</t>
        </is>
      </c>
    </row>
    <row r="5">
      <c r="A5" t="inlineStr">
        <is>
          <t>2026-04</t>
        </is>
      </c>
      <c r="B5" t="inlineStr">
        <is>
          <t>Costa Rica</t>
        </is>
      </c>
      <c r="C5" t="inlineStr">
        <is>
          <t>CR</t>
        </is>
      </c>
      <c r="D5" t="inlineStr">
        <is>
          <t>USD</t>
        </is>
      </c>
      <c r="E5" t="inlineStr">
        <is>
          <t>PL-O-020</t>
        </is>
      </c>
      <c r="F5" t="inlineStr">
        <is>
          <t>Honorarios y servicios profesionales</t>
        </is>
      </c>
      <c r="G5" t="inlineStr">
        <is>
          <t>gasto_admin</t>
        </is>
      </c>
      <c r="H5" t="inlineStr">
        <is>
          <t>Honorarios</t>
        </is>
      </c>
      <c r="I5" t="inlineStr">
        <is>
          <t>Administracion</t>
        </is>
      </c>
      <c r="J5" t="n">
        <v>0</v>
      </c>
      <c r="K5" t="n">
        <v>270.35</v>
      </c>
      <c r="L5" t="inlineStr">
        <is>
          <t>Abril 2026 CR.xlsx</t>
        </is>
      </c>
      <c r="M5" t="inlineStr">
        <is>
          <t>Aprobado</t>
        </is>
      </c>
      <c r="N5" t="inlineStr">
        <is>
          <t>Puente para redise?ar vistas de Costos &amp; Gastos; no reemplaza P&amp;G oficial. Convertido a USD con la tasa promedio mensual del pais.</t>
        </is>
      </c>
    </row>
    <row r="6">
      <c r="A6" t="inlineStr">
        <is>
          <t>2026-04</t>
        </is>
      </c>
      <c r="B6" t="inlineStr">
        <is>
          <t>Costa Rica</t>
        </is>
      </c>
      <c r="C6" t="inlineStr">
        <is>
          <t>CR</t>
        </is>
      </c>
      <c r="D6" t="inlineStr">
        <is>
          <t>USD</t>
        </is>
      </c>
      <c r="E6" t="inlineStr">
        <is>
          <t>PL-O-030</t>
        </is>
      </c>
      <c r="F6" t="inlineStr">
        <is>
          <t>Impuestos y contribuciones</t>
        </is>
      </c>
      <c r="G6" t="inlineStr">
        <is>
          <t>gasto_admin</t>
        </is>
      </c>
      <c r="H6" t="inlineStr">
        <is>
          <t>Diversos</t>
        </is>
      </c>
      <c r="I6" t="inlineStr">
        <is>
          <t>Administracion</t>
        </is>
      </c>
      <c r="J6" t="n">
        <v>0</v>
      </c>
      <c r="K6" t="n">
        <v>252.73</v>
      </c>
      <c r="L6" t="inlineStr">
        <is>
          <t>Abril 2026 CR.xlsx</t>
        </is>
      </c>
      <c r="M6" t="inlineStr">
        <is>
          <t>Aprobado</t>
        </is>
      </c>
      <c r="N6" t="inlineStr">
        <is>
          <t>Puente para redise?ar vistas de Costos &amp; Gastos; no reemplaza P&amp;G oficial. Convertido a USD con la tasa promedio mensual del pais.</t>
        </is>
      </c>
    </row>
    <row r="7">
      <c r="A7" t="inlineStr">
        <is>
          <t>2026-04</t>
        </is>
      </c>
      <c r="B7" t="inlineStr">
        <is>
          <t>Costa Rica</t>
        </is>
      </c>
      <c r="C7" t="inlineStr">
        <is>
          <t>CR</t>
        </is>
      </c>
      <c r="D7" t="inlineStr">
        <is>
          <t>USD</t>
        </is>
      </c>
      <c r="E7" t="inlineStr">
        <is>
          <t>PL-O-030</t>
        </is>
      </c>
      <c r="F7" t="inlineStr">
        <is>
          <t>Impuestos y contribuciones</t>
        </is>
      </c>
      <c r="G7" t="inlineStr">
        <is>
          <t>gasto_admin</t>
        </is>
      </c>
      <c r="H7" t="inlineStr">
        <is>
          <t>Diversos</t>
        </is>
      </c>
      <c r="I7" t="inlineStr">
        <is>
          <t>Administracion</t>
        </is>
      </c>
      <c r="J7" t="n">
        <v>115.64</v>
      </c>
      <c r="K7" t="n">
        <v>142.19</v>
      </c>
      <c r="L7" t="inlineStr">
        <is>
          <t>Abril 2026 CR.xlsx</t>
        </is>
      </c>
      <c r="M7" t="inlineStr">
        <is>
          <t>Aprobado</t>
        </is>
      </c>
      <c r="N7" t="inlineStr">
        <is>
          <t>Puente para redise?ar vistas de Costos &amp; Gastos; no reemplaza P&amp;G oficial. Convertido a USD con la tasa promedio mensual del pais.</t>
        </is>
      </c>
    </row>
    <row r="8">
      <c r="A8" t="inlineStr">
        <is>
          <t>2026-04</t>
        </is>
      </c>
      <c r="B8" t="inlineStr">
        <is>
          <t>Costa Rica</t>
        </is>
      </c>
      <c r="C8" t="inlineStr">
        <is>
          <t>CR</t>
        </is>
      </c>
      <c r="D8" t="inlineStr">
        <is>
          <t>USD</t>
        </is>
      </c>
      <c r="E8" t="inlineStr">
        <is>
          <t>PL-O-030</t>
        </is>
      </c>
      <c r="F8" t="inlineStr">
        <is>
          <t>Impuestos y contribuciones</t>
        </is>
      </c>
      <c r="G8" t="inlineStr">
        <is>
          <t>gasto_admin</t>
        </is>
      </c>
      <c r="H8" t="inlineStr">
        <is>
          <t>Diversos</t>
        </is>
      </c>
      <c r="I8" t="inlineStr">
        <is>
          <t>Administracion</t>
        </is>
      </c>
      <c r="J8" t="n">
        <v>0</v>
      </c>
      <c r="K8" t="n">
        <v>64.79000000000001</v>
      </c>
      <c r="L8" t="inlineStr">
        <is>
          <t>Abril 2026 CR.xlsx</t>
        </is>
      </c>
      <c r="M8" t="inlineStr">
        <is>
          <t>Aprobado</t>
        </is>
      </c>
      <c r="N8" t="inlineStr">
        <is>
          <t>Puente para redise?ar vistas de Costos &amp; Gastos; no reemplaza P&amp;G oficial. Convertido a USD con la tasa promedio mensual del pais.</t>
        </is>
      </c>
    </row>
    <row r="9">
      <c r="A9" t="inlineStr">
        <is>
          <t>2026-04</t>
        </is>
      </c>
      <c r="B9" t="inlineStr">
        <is>
          <t>Costa Rica</t>
        </is>
      </c>
      <c r="C9" t="inlineStr">
        <is>
          <t>CR</t>
        </is>
      </c>
      <c r="D9" t="inlineStr">
        <is>
          <t>USD</t>
        </is>
      </c>
      <c r="E9" t="inlineStr">
        <is>
          <t>PL-O-050</t>
        </is>
      </c>
      <c r="F9" t="inlineStr">
        <is>
          <t>Seguros</t>
        </is>
      </c>
      <c r="G9" t="inlineStr">
        <is>
          <t>gasto_admin</t>
        </is>
      </c>
      <c r="H9" t="inlineStr">
        <is>
          <t>Seguros</t>
        </is>
      </c>
      <c r="I9" t="inlineStr">
        <is>
          <t>Administracion</t>
        </is>
      </c>
      <c r="J9" t="n">
        <v>9205.719999999999</v>
      </c>
      <c r="K9" t="n">
        <v>9205.719999999999</v>
      </c>
      <c r="L9" t="inlineStr">
        <is>
          <t>Abril 2026 CR.xlsx</t>
        </is>
      </c>
      <c r="M9" t="inlineStr">
        <is>
          <t>Aprobado</t>
        </is>
      </c>
      <c r="N9" t="inlineStr">
        <is>
          <t>Puente para redise?ar vistas de Costos &amp; Gastos; no reemplaza P&amp;G oficial. Convertido a USD con la tasa promedio mensual del pais.</t>
        </is>
      </c>
    </row>
    <row r="10">
      <c r="A10" t="inlineStr">
        <is>
          <t>2026-04</t>
        </is>
      </c>
      <c r="B10" t="inlineStr">
        <is>
          <t>Costa Rica</t>
        </is>
      </c>
      <c r="C10" t="inlineStr">
        <is>
          <t>CR</t>
        </is>
      </c>
      <c r="D10" t="inlineStr">
        <is>
          <t>USD</t>
        </is>
      </c>
      <c r="E10" t="inlineStr">
        <is>
          <t>PL-O-050</t>
        </is>
      </c>
      <c r="F10" t="inlineStr">
        <is>
          <t>Seguros</t>
        </is>
      </c>
      <c r="G10" t="inlineStr">
        <is>
          <t>gasto_admin</t>
        </is>
      </c>
      <c r="H10" t="inlineStr">
        <is>
          <t>Seguros</t>
        </is>
      </c>
      <c r="I10" t="inlineStr">
        <is>
          <t>Administracion</t>
        </is>
      </c>
      <c r="J10" t="n">
        <v>0</v>
      </c>
      <c r="K10" t="n">
        <v>70.81</v>
      </c>
      <c r="L10" t="inlineStr">
        <is>
          <t>Abril 2026 CR.xlsx</t>
        </is>
      </c>
      <c r="M10" t="inlineStr">
        <is>
          <t>Aprobado</t>
        </is>
      </c>
      <c r="N10" t="inlineStr">
        <is>
          <t>Puente para redise?ar vistas de Costos &amp; Gastos; no reemplaza P&amp;G oficial. Convertido a USD con la tasa promedio mensual del pais.</t>
        </is>
      </c>
    </row>
    <row r="11">
      <c r="A11" t="inlineStr">
        <is>
          <t>2026-04</t>
        </is>
      </c>
      <c r="B11" t="inlineStr">
        <is>
          <t>Costa Rica</t>
        </is>
      </c>
      <c r="C11" t="inlineStr">
        <is>
          <t>CR</t>
        </is>
      </c>
      <c r="D11" t="inlineStr">
        <is>
          <t>USD</t>
        </is>
      </c>
      <c r="E11" t="inlineStr">
        <is>
          <t>PL-O-060</t>
        </is>
      </c>
      <c r="F11" t="inlineStr">
        <is>
          <t>Tecnología y procesamiento de datos</t>
        </is>
      </c>
      <c r="G11" t="inlineStr">
        <is>
          <t>gasto_admin</t>
        </is>
      </c>
      <c r="H11" t="inlineStr">
        <is>
          <t>Servicios</t>
        </is>
      </c>
      <c r="I11" t="inlineStr">
        <is>
          <t>Administracion</t>
        </is>
      </c>
      <c r="J11" t="n">
        <v>57.71</v>
      </c>
      <c r="K11" t="n">
        <v>57.71</v>
      </c>
      <c r="L11" t="inlineStr">
        <is>
          <t>Abril 2026 CR.xlsx</t>
        </is>
      </c>
      <c r="M11" t="inlineStr">
        <is>
          <t>Aprobado</t>
        </is>
      </c>
      <c r="N11" t="inlineStr">
        <is>
          <t>Puente para redise?ar vistas de Costos &amp; Gastos; no reemplaza P&amp;G oficial. Convertido a USD con la tasa promedio mensual del pais.</t>
        </is>
      </c>
    </row>
    <row r="12">
      <c r="A12" t="inlineStr">
        <is>
          <t>2026-04</t>
        </is>
      </c>
      <c r="B12" t="inlineStr">
        <is>
          <t>Costa Rica</t>
        </is>
      </c>
      <c r="C12" t="inlineStr">
        <is>
          <t>CR</t>
        </is>
      </c>
      <c r="D12" t="inlineStr">
        <is>
          <t>USD</t>
        </is>
      </c>
      <c r="E12" t="inlineStr">
        <is>
          <t>PL-O-110</t>
        </is>
      </c>
      <c r="F12" t="inlineStr">
        <is>
          <t>Suministros y oficina</t>
        </is>
      </c>
      <c r="G12" t="inlineStr">
        <is>
          <t>gasto_admin</t>
        </is>
      </c>
      <c r="H12" t="inlineStr">
        <is>
          <t>Diversos</t>
        </is>
      </c>
      <c r="I12" t="inlineStr">
        <is>
          <t>Administracion</t>
        </is>
      </c>
      <c r="J12" t="n">
        <v>0</v>
      </c>
      <c r="K12" t="n">
        <v>39.61</v>
      </c>
      <c r="L12" t="inlineStr">
        <is>
          <t>Abril 2026 CR.xlsx</t>
        </is>
      </c>
      <c r="M12" t="inlineStr">
        <is>
          <t>Aprobado</t>
        </is>
      </c>
      <c r="N12" t="inlineStr">
        <is>
          <t>Puente para redise?ar vistas de Costos &amp; Gastos; no reemplaza P&amp;G oficial. Convertido a USD con la tasa promedio mensual del pais.</t>
        </is>
      </c>
    </row>
    <row r="13">
      <c r="A13" t="inlineStr">
        <is>
          <t>2026-04</t>
        </is>
      </c>
      <c r="B13" t="inlineStr">
        <is>
          <t>Costa Rica</t>
        </is>
      </c>
      <c r="C13" t="inlineStr">
        <is>
          <t>CR</t>
        </is>
      </c>
      <c r="D13" t="inlineStr">
        <is>
          <t>USD</t>
        </is>
      </c>
      <c r="E13" t="inlineStr">
        <is>
          <t>PL-O-110</t>
        </is>
      </c>
      <c r="F13" t="inlineStr">
        <is>
          <t>Suministros y oficina</t>
        </is>
      </c>
      <c r="G13" t="inlineStr">
        <is>
          <t>gasto_admin</t>
        </is>
      </c>
      <c r="H13" t="inlineStr">
        <is>
          <t>Diversos</t>
        </is>
      </c>
      <c r="I13" t="inlineStr">
        <is>
          <t>Administracion</t>
        </is>
      </c>
      <c r="J13" t="n">
        <v>0</v>
      </c>
      <c r="K13" t="n">
        <v>74.31</v>
      </c>
      <c r="L13" t="inlineStr">
        <is>
          <t>Abril 2026 CR.xlsx</t>
        </is>
      </c>
      <c r="M13" t="inlineStr">
        <is>
          <t>Aprobado</t>
        </is>
      </c>
      <c r="N13" t="inlineStr">
        <is>
          <t>Puente para redise?ar vistas de Costos &amp; Gastos; no reemplaza P&amp;G oficial. Convertido a USD con la tasa promedio mensual del pais.</t>
        </is>
      </c>
    </row>
    <row r="14">
      <c r="A14" t="inlineStr">
        <is>
          <t>2026-04</t>
        </is>
      </c>
      <c r="B14" t="inlineStr">
        <is>
          <t>Costa Rica</t>
        </is>
      </c>
      <c r="C14" t="inlineStr">
        <is>
          <t>CR</t>
        </is>
      </c>
      <c r="D14" t="inlineStr">
        <is>
          <t>USD</t>
        </is>
      </c>
      <c r="E14" t="inlineStr">
        <is>
          <t>PL-O-110</t>
        </is>
      </c>
      <c r="F14" t="inlineStr">
        <is>
          <t>Suministros y oficina</t>
        </is>
      </c>
      <c r="G14" t="inlineStr">
        <is>
          <t>gasto_admin</t>
        </is>
      </c>
      <c r="H14" t="inlineStr">
        <is>
          <t>Diversos</t>
        </is>
      </c>
      <c r="I14" t="inlineStr">
        <is>
          <t>Administracion</t>
        </is>
      </c>
      <c r="J14" t="n">
        <v>0</v>
      </c>
      <c r="K14" t="n">
        <v>15</v>
      </c>
      <c r="L14" t="inlineStr">
        <is>
          <t>Abril 2026 CR.xlsx</t>
        </is>
      </c>
      <c r="M14" t="inlineStr">
        <is>
          <t>Aprobado</t>
        </is>
      </c>
      <c r="N14" t="inlineStr">
        <is>
          <t>Puente para redise?ar vistas de Costos &amp; Gastos; no reemplaza P&amp;G oficial. Convertido a USD con la tasa promedio mensual del pais.</t>
        </is>
      </c>
    </row>
    <row r="15">
      <c r="A15" t="inlineStr">
        <is>
          <t>2026-04</t>
        </is>
      </c>
      <c r="B15" t="inlineStr">
        <is>
          <t>Costa Rica</t>
        </is>
      </c>
      <c r="C15" t="inlineStr">
        <is>
          <t>CR</t>
        </is>
      </c>
      <c r="D15" t="inlineStr">
        <is>
          <t>USD</t>
        </is>
      </c>
      <c r="E15" t="inlineStr">
        <is>
          <t>PL-O-110</t>
        </is>
      </c>
      <c r="F15" t="inlineStr">
        <is>
          <t>Suministros y oficina</t>
        </is>
      </c>
      <c r="G15" t="inlineStr">
        <is>
          <t>gasto_admin</t>
        </is>
      </c>
      <c r="H15" t="inlineStr">
        <is>
          <t>Diversos</t>
        </is>
      </c>
      <c r="I15" t="inlineStr">
        <is>
          <t>Administracion</t>
        </is>
      </c>
      <c r="J15" t="n">
        <v>0</v>
      </c>
      <c r="K15" t="n">
        <v>7</v>
      </c>
      <c r="L15" t="inlineStr">
        <is>
          <t>Abril 2026 CR.xlsx</t>
        </is>
      </c>
      <c r="M15" t="inlineStr">
        <is>
          <t>Aprobado</t>
        </is>
      </c>
      <c r="N15" t="inlineStr">
        <is>
          <t>Puente para redise?ar vistas de Costos &amp; Gastos; no reemplaza P&amp;G oficial. Convertido a USD con la tasa promedio mensual del pais.</t>
        </is>
      </c>
    </row>
    <row r="16">
      <c r="A16" t="inlineStr">
        <is>
          <t>2026-04</t>
        </is>
      </c>
      <c r="B16" t="inlineStr">
        <is>
          <t>Costa Rica</t>
        </is>
      </c>
      <c r="C16" t="inlineStr">
        <is>
          <t>CR</t>
        </is>
      </c>
      <c r="D16" t="inlineStr">
        <is>
          <t>USD</t>
        </is>
      </c>
      <c r="E16" t="inlineStr">
        <is>
          <t>PL-F-010</t>
        </is>
      </c>
      <c r="F16" t="inlineStr">
        <is>
          <t>Gastos financieros</t>
        </is>
      </c>
      <c r="G16" t="inlineStr">
        <is>
          <t>gasto_area</t>
        </is>
      </c>
      <c r="H16" t="inlineStr">
        <is>
          <t>Financieros</t>
        </is>
      </c>
      <c r="I16" t="inlineStr">
        <is>
          <t>Financieros</t>
        </is>
      </c>
      <c r="J16" t="n">
        <v>40</v>
      </c>
      <c r="K16" t="n">
        <v>120</v>
      </c>
      <c r="L16" t="inlineStr">
        <is>
          <t>Abril 2026 CR.xlsx</t>
        </is>
      </c>
      <c r="M16" t="inlineStr">
        <is>
          <t>Aprobado</t>
        </is>
      </c>
      <c r="N16" t="inlineStr">
        <is>
          <t>Puente para redise?ar vistas de Costos &amp; Gastos; no reemplaza P&amp;G oficial. Convertido a USD con la tasa promedio mensual del pais.</t>
        </is>
      </c>
    </row>
    <row r="17">
      <c r="A17" t="inlineStr">
        <is>
          <t>2026-04</t>
        </is>
      </c>
      <c r="B17" t="inlineStr">
        <is>
          <t>Peru</t>
        </is>
      </c>
      <c r="C17" t="inlineStr">
        <is>
          <t>PERU</t>
        </is>
      </c>
      <c r="D17" t="inlineStr">
        <is>
          <t>USD</t>
        </is>
      </c>
      <c r="E17" t="inlineStr">
        <is>
          <t>PL-O-020</t>
        </is>
      </c>
      <c r="F17" t="inlineStr">
        <is>
          <t>Honorarios y servicios profesionales</t>
        </is>
      </c>
      <c r="G17" t="inlineStr">
        <is>
          <t>gasto_admin</t>
        </is>
      </c>
      <c r="H17" t="inlineStr">
        <is>
          <t>Honorarios</t>
        </is>
      </c>
      <c r="I17" t="inlineStr">
        <is>
          <t>Administracion</t>
        </is>
      </c>
      <c r="J17" t="n">
        <v>152.27</v>
      </c>
      <c r="K17" t="n">
        <v>447.17</v>
      </c>
      <c r="L17" t="inlineStr">
        <is>
          <t>Abril 2026 PERU.xlsx</t>
        </is>
      </c>
      <c r="M17" t="inlineStr">
        <is>
          <t>Aprobado</t>
        </is>
      </c>
      <c r="N17" t="inlineStr">
        <is>
          <t>Puente para redise?ar vistas de Costos &amp; Gastos; no reemplaza P&amp;G oficial. Convertido a USD con la tasa promedio mensual del pais.</t>
        </is>
      </c>
    </row>
    <row r="18">
      <c r="A18" t="inlineStr">
        <is>
          <t>2026-04</t>
        </is>
      </c>
      <c r="B18" t="inlineStr">
        <is>
          <t>Peru</t>
        </is>
      </c>
      <c r="C18" t="inlineStr">
        <is>
          <t>PERU</t>
        </is>
      </c>
      <c r="D18" t="inlineStr">
        <is>
          <t>USD</t>
        </is>
      </c>
      <c r="E18" t="inlineStr">
        <is>
          <t>PL-O-020</t>
        </is>
      </c>
      <c r="F18" t="inlineStr">
        <is>
          <t>Honorarios y servicios profesionales</t>
        </is>
      </c>
      <c r="G18" t="inlineStr">
        <is>
          <t>gasto_admin</t>
        </is>
      </c>
      <c r="H18" t="inlineStr">
        <is>
          <t>Honorarios</t>
        </is>
      </c>
      <c r="I18" t="inlineStr">
        <is>
          <t>Administracion</t>
        </is>
      </c>
      <c r="J18" t="n">
        <v>319.49</v>
      </c>
      <c r="K18" t="n">
        <v>522.8</v>
      </c>
      <c r="L18" t="inlineStr">
        <is>
          <t>Abril 2026 PERU.xlsx</t>
        </is>
      </c>
      <c r="M18" t="inlineStr">
        <is>
          <t>Aprobado</t>
        </is>
      </c>
      <c r="N18" t="inlineStr">
        <is>
          <t>Puente para redise?ar vistas de Costos &amp; Gastos; no reemplaza P&amp;G oficial. Convertido a USD con la tasa promedio mensual del pais.</t>
        </is>
      </c>
    </row>
    <row r="19">
      <c r="A19" t="inlineStr">
        <is>
          <t>2026-04</t>
        </is>
      </c>
      <c r="B19" t="inlineStr">
        <is>
          <t>Peru</t>
        </is>
      </c>
      <c r="C19" t="inlineStr">
        <is>
          <t>PERU</t>
        </is>
      </c>
      <c r="D19" t="inlineStr">
        <is>
          <t>USD</t>
        </is>
      </c>
      <c r="E19" t="inlineStr">
        <is>
          <t>PL-S-010</t>
        </is>
      </c>
      <c r="F19" t="inlineStr">
        <is>
          <t>Honorarios comerciales y técnicos</t>
        </is>
      </c>
      <c r="G19" t="inlineStr">
        <is>
          <t>gasto_comercial</t>
        </is>
      </c>
      <c r="H19" t="inlineStr">
        <is>
          <t>Honorarios</t>
        </is>
      </c>
      <c r="I19" t="inlineStr">
        <is>
          <t>Comercial</t>
        </is>
      </c>
      <c r="J19" t="n">
        <v>0</v>
      </c>
      <c r="K19" t="n">
        <v>617.78</v>
      </c>
      <c r="L19" t="inlineStr">
        <is>
          <t>Abril 2026 PERU.xlsx</t>
        </is>
      </c>
      <c r="M19" t="inlineStr">
        <is>
          <t>Aprobado</t>
        </is>
      </c>
      <c r="N19" t="inlineStr">
        <is>
          <t>Puente para redise?ar vistas de Costos &amp; Gastos; no reemplaza P&amp;G oficial. Convertido a USD con la tasa promedio mensual del pais.</t>
        </is>
      </c>
    </row>
    <row r="20">
      <c r="A20" t="inlineStr">
        <is>
          <t>2026-04</t>
        </is>
      </c>
      <c r="B20" t="inlineStr">
        <is>
          <t>Peru</t>
        </is>
      </c>
      <c r="C20" t="inlineStr">
        <is>
          <t>PERU</t>
        </is>
      </c>
      <c r="D20" t="inlineStr">
        <is>
          <t>USD</t>
        </is>
      </c>
      <c r="E20" t="inlineStr">
        <is>
          <t>PL-S-020</t>
        </is>
      </c>
      <c r="F20" t="inlineStr">
        <is>
          <t>Mercadeo y publicidad</t>
        </is>
      </c>
      <c r="G20" t="inlineStr">
        <is>
          <t>gasto_comercial</t>
        </is>
      </c>
      <c r="H20" t="inlineStr">
        <is>
          <t>Servicios</t>
        </is>
      </c>
      <c r="I20" t="inlineStr">
        <is>
          <t>Comercial</t>
        </is>
      </c>
      <c r="J20" t="n">
        <v>0</v>
      </c>
      <c r="K20" t="n">
        <v>495.55</v>
      </c>
      <c r="L20" t="inlineStr">
        <is>
          <t>Abril 2026 PERU.xlsx</t>
        </is>
      </c>
      <c r="M20" t="inlineStr">
        <is>
          <t>Aprobado</t>
        </is>
      </c>
      <c r="N20" t="inlineStr">
        <is>
          <t>Puente para redise?ar vistas de Costos &amp; Gastos; no reemplaza P&amp;G oficial. Convertido a USD con la tasa promedio mensual del pais.</t>
        </is>
      </c>
    </row>
    <row r="21">
      <c r="A21" t="inlineStr">
        <is>
          <t>2026-04</t>
        </is>
      </c>
      <c r="B21" t="inlineStr">
        <is>
          <t>Peru</t>
        </is>
      </c>
      <c r="C21" t="inlineStr">
        <is>
          <t>PERU</t>
        </is>
      </c>
      <c r="D21" t="inlineStr">
        <is>
          <t>USD</t>
        </is>
      </c>
      <c r="E21" t="inlineStr">
        <is>
          <t>PL-S-040</t>
        </is>
      </c>
      <c r="F21" t="inlineStr">
        <is>
          <t>Viajes comerciales</t>
        </is>
      </c>
      <c r="G21" t="inlineStr">
        <is>
          <t>gasto_comercial</t>
        </is>
      </c>
      <c r="H21" t="inlineStr">
        <is>
          <t>Viajes</t>
        </is>
      </c>
      <c r="I21" t="inlineStr">
        <is>
          <t>Comercial</t>
        </is>
      </c>
      <c r="J21" t="n">
        <v>77.62</v>
      </c>
      <c r="K21" t="n">
        <v>77.62</v>
      </c>
      <c r="L21" t="inlineStr">
        <is>
          <t>Abril 2026 PERU.xlsx</t>
        </is>
      </c>
      <c r="M21" t="inlineStr">
        <is>
          <t>Aprobado</t>
        </is>
      </c>
      <c r="N21" t="inlineStr">
        <is>
          <t>Puente para redise?ar vistas de Costos &amp; Gastos; no reemplaza P&amp;G oficial. Convertido a USD con la tasa promedio mensual del pais.</t>
        </is>
      </c>
    </row>
    <row r="22">
      <c r="A22" t="inlineStr">
        <is>
          <t>2026-04</t>
        </is>
      </c>
      <c r="B22" t="inlineStr">
        <is>
          <t>Peru</t>
        </is>
      </c>
      <c r="C22" t="inlineStr">
        <is>
          <t>PERU</t>
        </is>
      </c>
      <c r="D22" t="inlineStr">
        <is>
          <t>USD</t>
        </is>
      </c>
      <c r="E22" t="inlineStr">
        <is>
          <t>PL-S-040</t>
        </is>
      </c>
      <c r="F22" t="inlineStr">
        <is>
          <t>Viajes comerciales</t>
        </is>
      </c>
      <c r="G22" t="inlineStr">
        <is>
          <t>gasto_comercial</t>
        </is>
      </c>
      <c r="H22" t="inlineStr">
        <is>
          <t>Viajes</t>
        </is>
      </c>
      <c r="I22" t="inlineStr">
        <is>
          <t>Comercial</t>
        </is>
      </c>
      <c r="J22" t="n">
        <v>0</v>
      </c>
      <c r="K22" t="n">
        <v>23.47</v>
      </c>
      <c r="L22" t="inlineStr">
        <is>
          <t>Abril 2026 PERU.xlsx</t>
        </is>
      </c>
      <c r="M22" t="inlineStr">
        <is>
          <t>Aprobado</t>
        </is>
      </c>
      <c r="N22" t="inlineStr">
        <is>
          <t>Puente para redise?ar vistas de Costos &amp; Gastos; no reemplaza P&amp;G oficial. Convertido a USD con la tasa promedio mensual del pais.</t>
        </is>
      </c>
    </row>
    <row r="23">
      <c r="A23" t="inlineStr">
        <is>
          <t>2026-04</t>
        </is>
      </c>
      <c r="B23" t="inlineStr">
        <is>
          <t>Peru</t>
        </is>
      </c>
      <c r="C23" t="inlineStr">
        <is>
          <t>PERU</t>
        </is>
      </c>
      <c r="D23" t="inlineStr">
        <is>
          <t>USD</t>
        </is>
      </c>
      <c r="E23" t="inlineStr">
        <is>
          <t>PL-S-040</t>
        </is>
      </c>
      <c r="F23" t="inlineStr">
        <is>
          <t>Viajes comerciales</t>
        </is>
      </c>
      <c r="G23" t="inlineStr">
        <is>
          <t>gasto_comercial</t>
        </is>
      </c>
      <c r="H23" t="inlineStr">
        <is>
          <t>Viajes</t>
        </is>
      </c>
      <c r="I23" t="inlineStr">
        <is>
          <t>Comercial</t>
        </is>
      </c>
      <c r="J23" t="n">
        <v>6.01</v>
      </c>
      <c r="K23" t="n">
        <v>6.01</v>
      </c>
      <c r="L23" t="inlineStr">
        <is>
          <t>Abril 2026 PERU.xlsx</t>
        </is>
      </c>
      <c r="M23" t="inlineStr">
        <is>
          <t>Aprobado</t>
        </is>
      </c>
      <c r="N23" t="inlineStr">
        <is>
          <t>Puente para redise?ar vistas de Costos &amp; Gastos; no reemplaza P&amp;G oficial. Convertido a USD con la tasa promedio mensual del pais.</t>
        </is>
      </c>
    </row>
    <row r="24">
      <c r="A24" t="inlineStr">
        <is>
          <t>2026-04</t>
        </is>
      </c>
      <c r="B24" t="inlineStr">
        <is>
          <t>Peru</t>
        </is>
      </c>
      <c r="C24" t="inlineStr">
        <is>
          <t>PERU</t>
        </is>
      </c>
      <c r="D24" t="inlineStr">
        <is>
          <t>USD</t>
        </is>
      </c>
      <c r="E24" t="inlineStr">
        <is>
          <t>PL-S-040</t>
        </is>
      </c>
      <c r="F24" t="inlineStr">
        <is>
          <t>Viajes comerciales</t>
        </is>
      </c>
      <c r="G24" t="inlineStr">
        <is>
          <t>gasto_comercial</t>
        </is>
      </c>
      <c r="H24" t="inlineStr">
        <is>
          <t>Viajes</t>
        </is>
      </c>
      <c r="I24" t="inlineStr">
        <is>
          <t>Comercial</t>
        </is>
      </c>
      <c r="J24" t="n">
        <v>0</v>
      </c>
      <c r="K24" t="n">
        <v>33.11</v>
      </c>
      <c r="L24" t="inlineStr">
        <is>
          <t>Abril 2026 PERU.xlsx</t>
        </is>
      </c>
      <c r="M24" t="inlineStr">
        <is>
          <t>Aprobado</t>
        </is>
      </c>
      <c r="N24" t="inlineStr">
        <is>
          <t>Puente para redise?ar vistas de Costos &amp; Gastos; no reemplaza P&amp;G oficial. Convertido a USD con la tasa promedio mensual del pais.</t>
        </is>
      </c>
    </row>
    <row r="25">
      <c r="A25" t="inlineStr">
        <is>
          <t>2026-04</t>
        </is>
      </c>
      <c r="B25" t="inlineStr">
        <is>
          <t>Peru</t>
        </is>
      </c>
      <c r="C25" t="inlineStr">
        <is>
          <t>PERU</t>
        </is>
      </c>
      <c r="D25" t="inlineStr">
        <is>
          <t>USD</t>
        </is>
      </c>
      <c r="E25" t="inlineStr">
        <is>
          <t>PL-S-040</t>
        </is>
      </c>
      <c r="F25" t="inlineStr">
        <is>
          <t>Viajes comerciales</t>
        </is>
      </c>
      <c r="G25" t="inlineStr">
        <is>
          <t>gasto_comercial</t>
        </is>
      </c>
      <c r="H25" t="inlineStr">
        <is>
          <t>Viajes</t>
        </is>
      </c>
      <c r="I25" t="inlineStr">
        <is>
          <t>Comercial</t>
        </is>
      </c>
      <c r="J25" t="n">
        <v>0</v>
      </c>
      <c r="K25" t="n">
        <v>151.03</v>
      </c>
      <c r="L25" t="inlineStr">
        <is>
          <t>Abril 2026 PERU.xlsx</t>
        </is>
      </c>
      <c r="M25" t="inlineStr">
        <is>
          <t>Aprobado</t>
        </is>
      </c>
      <c r="N25" t="inlineStr">
        <is>
          <t>Puente para redise?ar vistas de Costos &amp; Gastos; no reemplaza P&amp;G oficial. Convertido a USD con la tasa promedio mensual del pais.</t>
        </is>
      </c>
    </row>
    <row r="26">
      <c r="A26" t="inlineStr">
        <is>
          <t>2026-04</t>
        </is>
      </c>
      <c r="B26" t="inlineStr">
        <is>
          <t>Peru</t>
        </is>
      </c>
      <c r="C26" t="inlineStr">
        <is>
          <t>PERU</t>
        </is>
      </c>
      <c r="D26" t="inlineStr">
        <is>
          <t>USD</t>
        </is>
      </c>
      <c r="E26" t="inlineStr">
        <is>
          <t>PL-S-040</t>
        </is>
      </c>
      <c r="F26" t="inlineStr">
        <is>
          <t>Viajes comerciales</t>
        </is>
      </c>
      <c r="G26" t="inlineStr">
        <is>
          <t>gasto_comercial</t>
        </is>
      </c>
      <c r="H26" t="inlineStr">
        <is>
          <t>Viajes</t>
        </is>
      </c>
      <c r="I26" t="inlineStr">
        <is>
          <t>Comercial</t>
        </is>
      </c>
      <c r="J26" t="n">
        <v>0</v>
      </c>
      <c r="K26" t="n">
        <v>1.74</v>
      </c>
      <c r="L26" t="inlineStr">
        <is>
          <t>Abril 2026 PERU.xlsx</t>
        </is>
      </c>
      <c r="M26" t="inlineStr">
        <is>
          <t>Aprobado</t>
        </is>
      </c>
      <c r="N26" t="inlineStr">
        <is>
          <t>Puente para redise?ar vistas de Costos &amp; Gastos; no reemplaza P&amp;G oficial. Convertido a USD con la tasa promedio mensual del pais.</t>
        </is>
      </c>
    </row>
    <row r="27">
      <c r="A27" t="inlineStr">
        <is>
          <t>2026-04</t>
        </is>
      </c>
      <c r="B27" t="inlineStr">
        <is>
          <t>Peru</t>
        </is>
      </c>
      <c r="C27" t="inlineStr">
        <is>
          <t>PERU</t>
        </is>
      </c>
      <c r="D27" t="inlineStr">
        <is>
          <t>USD</t>
        </is>
      </c>
      <c r="E27" t="inlineStr">
        <is>
          <t>PL-S-040</t>
        </is>
      </c>
      <c r="F27" t="inlineStr">
        <is>
          <t>Viajes comerciales</t>
        </is>
      </c>
      <c r="G27" t="inlineStr">
        <is>
          <t>gasto_comercial</t>
        </is>
      </c>
      <c r="H27" t="inlineStr">
        <is>
          <t>Viajes</t>
        </is>
      </c>
      <c r="I27" t="inlineStr">
        <is>
          <t>Comercial</t>
        </is>
      </c>
      <c r="J27" t="n">
        <v>65.73999999999999</v>
      </c>
      <c r="K27" t="n">
        <v>65.73999999999999</v>
      </c>
      <c r="L27" t="inlineStr">
        <is>
          <t>Abril 2026 PERU.xlsx</t>
        </is>
      </c>
      <c r="M27" t="inlineStr">
        <is>
          <t>Aprobado</t>
        </is>
      </c>
      <c r="N27" t="inlineStr">
        <is>
          <t>Puente para redise?ar vistas de Costos &amp; Gastos; no reemplaza P&amp;G oficial. Convertido a USD con la tasa promedio mensual del pais.</t>
        </is>
      </c>
    </row>
    <row r="28">
      <c r="A28" t="inlineStr">
        <is>
          <t>2026-04</t>
        </is>
      </c>
      <c r="B28" t="inlineStr">
        <is>
          <t>Peru</t>
        </is>
      </c>
      <c r="C28" t="inlineStr">
        <is>
          <t>PERU</t>
        </is>
      </c>
      <c r="D28" t="inlineStr">
        <is>
          <t>USD</t>
        </is>
      </c>
      <c r="E28" t="inlineStr">
        <is>
          <t>PL-S-040</t>
        </is>
      </c>
      <c r="F28" t="inlineStr">
        <is>
          <t>Viajes comerciales</t>
        </is>
      </c>
      <c r="G28" t="inlineStr">
        <is>
          <t>gasto_comercial</t>
        </is>
      </c>
      <c r="H28" t="inlineStr">
        <is>
          <t>Viajes</t>
        </is>
      </c>
      <c r="I28" t="inlineStr">
        <is>
          <t>Comercial</t>
        </is>
      </c>
      <c r="J28" t="n">
        <v>30.99</v>
      </c>
      <c r="K28" t="n">
        <v>112.31</v>
      </c>
      <c r="L28" t="inlineStr">
        <is>
          <t>Abril 2026 PERU.xlsx</t>
        </is>
      </c>
      <c r="M28" t="inlineStr">
        <is>
          <t>Aprobado</t>
        </is>
      </c>
      <c r="N28" t="inlineStr">
        <is>
          <t>Puente para redise?ar vistas de Costos &amp; Gastos; no reemplaza P&amp;G oficial. Convertido a USD con la tasa promedio mensual del pais.</t>
        </is>
      </c>
    </row>
    <row r="29">
      <c r="A29" t="inlineStr">
        <is>
          <t>2026-04</t>
        </is>
      </c>
      <c r="B29" t="inlineStr">
        <is>
          <t>Peru</t>
        </is>
      </c>
      <c r="C29" t="inlineStr">
        <is>
          <t>PERU</t>
        </is>
      </c>
      <c r="D29" t="inlineStr">
        <is>
          <t>USD</t>
        </is>
      </c>
      <c r="E29" t="inlineStr">
        <is>
          <t>PL-S-040</t>
        </is>
      </c>
      <c r="F29" t="inlineStr">
        <is>
          <t>Viajes comerciales</t>
        </is>
      </c>
      <c r="G29" t="inlineStr">
        <is>
          <t>gasto_comercial</t>
        </is>
      </c>
      <c r="H29" t="inlineStr">
        <is>
          <t>Viajes</t>
        </is>
      </c>
      <c r="I29" t="inlineStr">
        <is>
          <t>Comercial</t>
        </is>
      </c>
      <c r="J29" t="n">
        <v>43.78</v>
      </c>
      <c r="K29" t="n">
        <v>43.78</v>
      </c>
      <c r="L29" t="inlineStr">
        <is>
          <t>Abril 2026 PERU.xlsx</t>
        </is>
      </c>
      <c r="M29" t="inlineStr">
        <is>
          <t>Aprobado</t>
        </is>
      </c>
      <c r="N29" t="inlineStr">
        <is>
          <t>Puente para redise?ar vistas de Costos &amp; Gastos; no reemplaza P&amp;G oficial. Convertido a USD con la tasa promedio mensual del pais.</t>
        </is>
      </c>
    </row>
    <row r="30">
      <c r="A30" t="inlineStr">
        <is>
          <t>2026-04</t>
        </is>
      </c>
      <c r="B30" t="inlineStr">
        <is>
          <t>Peru</t>
        </is>
      </c>
      <c r="C30" t="inlineStr">
        <is>
          <t>PERU</t>
        </is>
      </c>
      <c r="D30" t="inlineStr">
        <is>
          <t>USD</t>
        </is>
      </c>
      <c r="E30" t="inlineStr">
        <is>
          <t>PL-S-040</t>
        </is>
      </c>
      <c r="F30" t="inlineStr">
        <is>
          <t>Viajes comerciales</t>
        </is>
      </c>
      <c r="G30" t="inlineStr">
        <is>
          <t>gasto_comercial</t>
        </is>
      </c>
      <c r="H30" t="inlineStr">
        <is>
          <t>Viajes</t>
        </is>
      </c>
      <c r="I30" t="inlineStr">
        <is>
          <t>Comercial</t>
        </is>
      </c>
      <c r="J30" t="n">
        <v>0</v>
      </c>
      <c r="K30" t="n">
        <v>6.97</v>
      </c>
      <c r="L30" t="inlineStr">
        <is>
          <t>Abril 2026 PERU.xlsx</t>
        </is>
      </c>
      <c r="M30" t="inlineStr">
        <is>
          <t>Aprobado</t>
        </is>
      </c>
      <c r="N30" t="inlineStr">
        <is>
          <t>Puente para redise?ar vistas de Costos &amp; Gastos; no reemplaza P&amp;G oficial. Convertido a USD con la tasa promedio mensual del pais.</t>
        </is>
      </c>
    </row>
    <row r="31">
      <c r="A31" t="inlineStr">
        <is>
          <t>2026-04</t>
        </is>
      </c>
      <c r="B31" t="inlineStr">
        <is>
          <t>Peru</t>
        </is>
      </c>
      <c r="C31" t="inlineStr">
        <is>
          <t>PERU</t>
        </is>
      </c>
      <c r="D31" t="inlineStr">
        <is>
          <t>USD</t>
        </is>
      </c>
      <c r="E31" t="inlineStr">
        <is>
          <t>PL-S-040</t>
        </is>
      </c>
      <c r="F31" t="inlineStr">
        <is>
          <t>Viajes comerciales</t>
        </is>
      </c>
      <c r="G31" t="inlineStr">
        <is>
          <t>gasto_comercial</t>
        </is>
      </c>
      <c r="H31" t="inlineStr">
        <is>
          <t>Viajes</t>
        </is>
      </c>
      <c r="I31" t="inlineStr">
        <is>
          <t>Comercial</t>
        </is>
      </c>
      <c r="J31" t="n">
        <v>0</v>
      </c>
      <c r="K31" t="n">
        <v>6.97</v>
      </c>
      <c r="L31" t="inlineStr">
        <is>
          <t>Abril 2026 PERU.xlsx</t>
        </is>
      </c>
      <c r="M31" t="inlineStr">
        <is>
          <t>Aprobado</t>
        </is>
      </c>
      <c r="N31" t="inlineStr">
        <is>
          <t>Puente para redise?ar vistas de Costos &amp; Gastos; no reemplaza P&amp;G oficial. Convertido a USD con la tasa promedio mensual del pais.</t>
        </is>
      </c>
    </row>
    <row r="32">
      <c r="A32" t="inlineStr">
        <is>
          <t>2026-04</t>
        </is>
      </c>
      <c r="B32" t="inlineStr">
        <is>
          <t>Peru</t>
        </is>
      </c>
      <c r="C32" t="inlineStr">
        <is>
          <t>PERU</t>
        </is>
      </c>
      <c r="D32" t="inlineStr">
        <is>
          <t>USD</t>
        </is>
      </c>
      <c r="E32" t="inlineStr">
        <is>
          <t>PL-S-050</t>
        </is>
      </c>
      <c r="F32" t="inlineStr">
        <is>
          <t>Transporte comercial</t>
        </is>
      </c>
      <c r="G32" t="inlineStr">
        <is>
          <t>gasto_comercial</t>
        </is>
      </c>
      <c r="H32" t="inlineStr">
        <is>
          <t>Viajes</t>
        </is>
      </c>
      <c r="I32" t="inlineStr">
        <is>
          <t>Comercial</t>
        </is>
      </c>
      <c r="J32" t="n">
        <v>22.65</v>
      </c>
      <c r="K32" t="n">
        <v>22.65</v>
      </c>
      <c r="L32" t="inlineStr">
        <is>
          <t>Abril 2026 PERU.xlsx</t>
        </is>
      </c>
      <c r="M32" t="inlineStr">
        <is>
          <t>Aprobado</t>
        </is>
      </c>
      <c r="N32" t="inlineStr">
        <is>
          <t>Puente para redise?ar vistas de Costos &amp; Gastos; no reemplaza P&amp;G oficial. Convertido a USD con la tasa promedio mensual del pais.</t>
        </is>
      </c>
    </row>
    <row r="33">
      <c r="A33" t="inlineStr">
        <is>
          <t>2026-04</t>
        </is>
      </c>
      <c r="B33" t="inlineStr">
        <is>
          <t>Peru</t>
        </is>
      </c>
      <c r="C33" t="inlineStr">
        <is>
          <t>PERU</t>
        </is>
      </c>
      <c r="D33" t="inlineStr">
        <is>
          <t>USD</t>
        </is>
      </c>
      <c r="E33" t="inlineStr">
        <is>
          <t>PL-S-060</t>
        </is>
      </c>
      <c r="F33" t="inlineStr">
        <is>
          <t>Otros gastos comerciales</t>
        </is>
      </c>
      <c r="G33" t="inlineStr">
        <is>
          <t>gasto_comercial</t>
        </is>
      </c>
      <c r="H33" t="inlineStr">
        <is>
          <t>Diversos</t>
        </is>
      </c>
      <c r="I33" t="inlineStr">
        <is>
          <t>Comercial</t>
        </is>
      </c>
      <c r="J33" t="n">
        <v>0</v>
      </c>
      <c r="K33" t="n">
        <v>0.55</v>
      </c>
      <c r="L33" t="inlineStr">
        <is>
          <t>Abril 2026 PERU.xlsx</t>
        </is>
      </c>
      <c r="M33" t="inlineStr">
        <is>
          <t>Revisar</t>
        </is>
      </c>
      <c r="N33" t="inlineStr">
        <is>
          <t>Puente para redise?ar vistas de Costos &amp; Gastos; no reemplaza P&amp;G oficial. Convertido a USD con la tasa promedio mensual del pais.</t>
        </is>
      </c>
    </row>
    <row r="34">
      <c r="A34" t="inlineStr">
        <is>
          <t>2026-04</t>
        </is>
      </c>
      <c r="B34" t="inlineStr">
        <is>
          <t>Peru</t>
        </is>
      </c>
      <c r="C34" t="inlineStr">
        <is>
          <t>PERU</t>
        </is>
      </c>
      <c r="D34" t="inlineStr">
        <is>
          <t>USD</t>
        </is>
      </c>
      <c r="E34" t="inlineStr">
        <is>
          <t>PL-F-010</t>
        </is>
      </c>
      <c r="F34" t="inlineStr">
        <is>
          <t>Gastos financieros</t>
        </is>
      </c>
      <c r="G34" t="inlineStr">
        <is>
          <t>gasto_area</t>
        </is>
      </c>
      <c r="H34" t="inlineStr">
        <is>
          <t>Financieros</t>
        </is>
      </c>
      <c r="I34" t="inlineStr">
        <is>
          <t>Financieros</t>
        </is>
      </c>
      <c r="J34" t="n">
        <v>3.19</v>
      </c>
      <c r="K34" t="n">
        <v>12.8</v>
      </c>
      <c r="L34" t="inlineStr">
        <is>
          <t>Abril 2026 PERU.xlsx</t>
        </is>
      </c>
      <c r="M34" t="inlineStr">
        <is>
          <t>Aprobado</t>
        </is>
      </c>
      <c r="N34" t="inlineStr">
        <is>
          <t>Puente para redise?ar vistas de Costos &amp; Gastos; no reemplaza P&amp;G oficial. Convertido a USD con la tasa promedio mensual del pais.</t>
        </is>
      </c>
    </row>
    <row r="35">
      <c r="A35" t="inlineStr">
        <is>
          <t>2026-04</t>
        </is>
      </c>
      <c r="B35" t="inlineStr">
        <is>
          <t>Peru</t>
        </is>
      </c>
      <c r="C35" t="inlineStr">
        <is>
          <t>PERU</t>
        </is>
      </c>
      <c r="D35" t="inlineStr">
        <is>
          <t>USD</t>
        </is>
      </c>
      <c r="E35" t="inlineStr">
        <is>
          <t>PL-F-010</t>
        </is>
      </c>
      <c r="F35" t="inlineStr">
        <is>
          <t>Gastos financieros</t>
        </is>
      </c>
      <c r="G35" t="inlineStr">
        <is>
          <t>gasto_area</t>
        </is>
      </c>
      <c r="H35" t="inlineStr">
        <is>
          <t>Financieros</t>
        </is>
      </c>
      <c r="I35" t="inlineStr">
        <is>
          <t>Financieros</t>
        </is>
      </c>
      <c r="J35" t="n">
        <v>0.1</v>
      </c>
      <c r="K35" t="n">
        <v>1.61</v>
      </c>
      <c r="L35" t="inlineStr">
        <is>
          <t>Abril 2026 PERU.xlsx</t>
        </is>
      </c>
      <c r="M35" t="inlineStr">
        <is>
          <t>Aprobado</t>
        </is>
      </c>
      <c r="N35" t="inlineStr">
        <is>
          <t>Puente para redise?ar vistas de Costos &amp; Gastos; no reemplaza P&amp;G oficial. Convertido a USD con la tasa promedio mensual del pais.</t>
        </is>
      </c>
    </row>
    <row r="36">
      <c r="A36" t="inlineStr">
        <is>
          <t>2026-04</t>
        </is>
      </c>
      <c r="B36" t="inlineStr">
        <is>
          <t>Peru</t>
        </is>
      </c>
      <c r="C36" t="inlineStr">
        <is>
          <t>PERU</t>
        </is>
      </c>
      <c r="D36" t="inlineStr">
        <is>
          <t>USD</t>
        </is>
      </c>
      <c r="E36" t="inlineStr">
        <is>
          <t>PL-F-010</t>
        </is>
      </c>
      <c r="F36" t="inlineStr">
        <is>
          <t>Gastos financieros</t>
        </is>
      </c>
      <c r="G36" t="inlineStr">
        <is>
          <t>gasto_area</t>
        </is>
      </c>
      <c r="H36" t="inlineStr">
        <is>
          <t>Financieros</t>
        </is>
      </c>
      <c r="I36" t="inlineStr">
        <is>
          <t>Financieros</t>
        </is>
      </c>
      <c r="J36" t="n">
        <v>23.24</v>
      </c>
      <c r="K36" t="n">
        <v>92.94</v>
      </c>
      <c r="L36" t="inlineStr">
        <is>
          <t>Abril 2026 PERU.xlsx</t>
        </is>
      </c>
      <c r="M36" t="inlineStr">
        <is>
          <t>Aprobado</t>
        </is>
      </c>
      <c r="N36" t="inlineStr">
        <is>
          <t>Puente para redise?ar vistas de Costos &amp; Gastos; no reemplaza P&amp;G oficial. Convertido a USD con la tasa promedio mensual del pais.</t>
        </is>
      </c>
    </row>
    <row r="37">
      <c r="A37" t="inlineStr">
        <is>
          <t>2026-04</t>
        </is>
      </c>
      <c r="B37" t="inlineStr">
        <is>
          <t>Estados Unidos</t>
        </is>
      </c>
      <c r="C37" t="inlineStr">
        <is>
          <t>USA</t>
        </is>
      </c>
      <c r="D37" t="inlineStr">
        <is>
          <t>USD</t>
        </is>
      </c>
      <c r="E37" t="inlineStr">
        <is>
          <t>PL-O-010</t>
        </is>
      </c>
      <c r="F37" t="inlineStr">
        <is>
          <t>Gastos de personal</t>
        </is>
      </c>
      <c r="G37" t="inlineStr">
        <is>
          <t>gasto_admin</t>
        </is>
      </c>
      <c r="H37" t="inlineStr">
        <is>
          <t>Personal</t>
        </is>
      </c>
      <c r="I37" t="inlineStr">
        <is>
          <t>Administracion</t>
        </is>
      </c>
      <c r="J37" t="n">
        <v>2592.17</v>
      </c>
      <c r="K37" t="n">
        <v>10368.68</v>
      </c>
      <c r="L37" t="inlineStr">
        <is>
          <t>Abril 2026 USA.xlsx</t>
        </is>
      </c>
      <c r="M37" t="inlineStr">
        <is>
          <t>Aprobado</t>
        </is>
      </c>
      <c r="N37" t="inlineStr">
        <is>
          <t>Puente para redise?ar vistas de Costos &amp; Gastos; no reemplaza P&amp;G oficial. Convertido a USD con la tasa promedio mensual del pais.</t>
        </is>
      </c>
    </row>
    <row r="38">
      <c r="A38" t="inlineStr">
        <is>
          <t>2026-04</t>
        </is>
      </c>
      <c r="B38" t="inlineStr">
        <is>
          <t>Estados Unidos</t>
        </is>
      </c>
      <c r="C38" t="inlineStr">
        <is>
          <t>USA</t>
        </is>
      </c>
      <c r="D38" t="inlineStr">
        <is>
          <t>USD</t>
        </is>
      </c>
      <c r="E38" t="inlineStr">
        <is>
          <t>PL-O-090</t>
        </is>
      </c>
      <c r="F38" t="inlineStr">
        <is>
          <t>Viajes y representación</t>
        </is>
      </c>
      <c r="G38" t="inlineStr">
        <is>
          <t>gasto_admin</t>
        </is>
      </c>
      <c r="H38" t="inlineStr">
        <is>
          <t>Viajes</t>
        </is>
      </c>
      <c r="I38" t="inlineStr">
        <is>
          <t>Administracion</t>
        </is>
      </c>
      <c r="J38" t="n">
        <v>37.98</v>
      </c>
      <c r="K38" t="n">
        <v>64.79000000000001</v>
      </c>
      <c r="L38" t="inlineStr">
        <is>
          <t>Abril 2026 USA.xlsx</t>
        </is>
      </c>
      <c r="M38" t="inlineStr">
        <is>
          <t>Aprobado</t>
        </is>
      </c>
      <c r="N38" t="inlineStr">
        <is>
          <t>Puente para redise?ar vistas de Costos &amp; Gastos; no reemplaza P&amp;G oficial. Convertido a USD con la tasa promedio mensual del pais.</t>
        </is>
      </c>
    </row>
    <row r="39">
      <c r="A39" t="inlineStr">
        <is>
          <t>2026-04</t>
        </is>
      </c>
      <c r="B39" t="inlineStr">
        <is>
          <t>Estados Unidos</t>
        </is>
      </c>
      <c r="C39" t="inlineStr">
        <is>
          <t>USA</t>
        </is>
      </c>
      <c r="D39" t="inlineStr">
        <is>
          <t>USD</t>
        </is>
      </c>
      <c r="E39" t="inlineStr">
        <is>
          <t>PL-O-090</t>
        </is>
      </c>
      <c r="F39" t="inlineStr">
        <is>
          <t>Viajes y representación</t>
        </is>
      </c>
      <c r="G39" t="inlineStr">
        <is>
          <t>gasto_admin</t>
        </is>
      </c>
      <c r="H39" t="inlineStr">
        <is>
          <t>Viajes</t>
        </is>
      </c>
      <c r="I39" t="inlineStr">
        <is>
          <t>Administracion</t>
        </is>
      </c>
      <c r="J39" t="n">
        <v>0</v>
      </c>
      <c r="K39" t="n">
        <v>35.04</v>
      </c>
      <c r="L39" t="inlineStr">
        <is>
          <t>Abril 2026 USA.xlsx</t>
        </is>
      </c>
      <c r="M39" t="inlineStr">
        <is>
          <t>Aprobado</t>
        </is>
      </c>
      <c r="N39" t="inlineStr">
        <is>
          <t>Puente para redise?ar vistas de Costos &amp; Gastos; no reemplaza P&amp;G oficial. Convertido a USD con la tasa promedio mensual del pais.</t>
        </is>
      </c>
    </row>
    <row r="40">
      <c r="A40" t="inlineStr">
        <is>
          <t>2026-04</t>
        </is>
      </c>
      <c r="B40" t="inlineStr">
        <is>
          <t>Estados Unidos</t>
        </is>
      </c>
      <c r="C40" t="inlineStr">
        <is>
          <t>USA</t>
        </is>
      </c>
      <c r="D40" t="inlineStr">
        <is>
          <t>USD</t>
        </is>
      </c>
      <c r="E40" t="inlineStr">
        <is>
          <t>PL-O-090</t>
        </is>
      </c>
      <c r="F40" t="inlineStr">
        <is>
          <t>Viajes y representación</t>
        </is>
      </c>
      <c r="G40" t="inlineStr">
        <is>
          <t>gasto_admin</t>
        </is>
      </c>
      <c r="H40" t="inlineStr">
        <is>
          <t>Viajes</t>
        </is>
      </c>
      <c r="I40" t="inlineStr">
        <is>
          <t>Administracion</t>
        </is>
      </c>
      <c r="J40" t="n">
        <v>22.14</v>
      </c>
      <c r="K40" t="n">
        <v>22.14</v>
      </c>
      <c r="L40" t="inlineStr">
        <is>
          <t>Abril 2026 USA.xlsx</t>
        </is>
      </c>
      <c r="M40" t="inlineStr">
        <is>
          <t>Aprobado</t>
        </is>
      </c>
      <c r="N40" t="inlineStr">
        <is>
          <t>Puente para redise?ar vistas de Costos &amp; Gastos; no reemplaza P&amp;G oficial. Convertido a USD con la tasa promedio mensual del pais.</t>
        </is>
      </c>
    </row>
    <row r="41">
      <c r="A41" t="inlineStr">
        <is>
          <t>2026-04</t>
        </is>
      </c>
      <c r="B41" t="inlineStr">
        <is>
          <t>Estados Unidos</t>
        </is>
      </c>
      <c r="C41" t="inlineStr">
        <is>
          <t>USA</t>
        </is>
      </c>
      <c r="D41" t="inlineStr">
        <is>
          <t>USD</t>
        </is>
      </c>
      <c r="E41" t="inlineStr">
        <is>
          <t>PL-O-090</t>
        </is>
      </c>
      <c r="F41" t="inlineStr">
        <is>
          <t>Viajes y representación</t>
        </is>
      </c>
      <c r="G41" t="inlineStr">
        <is>
          <t>gasto_admin</t>
        </is>
      </c>
      <c r="H41" t="inlineStr">
        <is>
          <t>Viajes</t>
        </is>
      </c>
      <c r="I41" t="inlineStr">
        <is>
          <t>Administracion</t>
        </is>
      </c>
      <c r="J41" t="n">
        <v>13.54</v>
      </c>
      <c r="K41" t="n">
        <v>13.54</v>
      </c>
      <c r="L41" t="inlineStr">
        <is>
          <t>Abril 2026 USA.xlsx</t>
        </is>
      </c>
      <c r="M41" t="inlineStr">
        <is>
          <t>Aprobado</t>
        </is>
      </c>
      <c r="N41" t="inlineStr">
        <is>
          <t>Puente para redise?ar vistas de Costos &amp; Gastos; no reemplaza P&amp;G oficial. Convertido a USD con la tasa promedio mensual del pais.</t>
        </is>
      </c>
    </row>
    <row r="42">
      <c r="A42" t="inlineStr">
        <is>
          <t>2026-04</t>
        </is>
      </c>
      <c r="B42" t="inlineStr">
        <is>
          <t>Estados Unidos</t>
        </is>
      </c>
      <c r="C42" t="inlineStr">
        <is>
          <t>USA</t>
        </is>
      </c>
      <c r="D42" t="inlineStr">
        <is>
          <t>USD</t>
        </is>
      </c>
      <c r="E42" t="inlineStr">
        <is>
          <t>PL-O-010</t>
        </is>
      </c>
      <c r="F42" t="inlineStr">
        <is>
          <t>Gastos de personal</t>
        </is>
      </c>
      <c r="G42" t="inlineStr">
        <is>
          <t>gasto_admin</t>
        </is>
      </c>
      <c r="H42" t="inlineStr">
        <is>
          <t>Personal</t>
        </is>
      </c>
      <c r="I42" t="inlineStr">
        <is>
          <t>Administracion</t>
        </is>
      </c>
      <c r="J42" t="n">
        <v>0</v>
      </c>
      <c r="K42" t="n">
        <v>7600</v>
      </c>
      <c r="L42" t="inlineStr">
        <is>
          <t>Abril 2026 USA.xlsx</t>
        </is>
      </c>
      <c r="M42" t="inlineStr">
        <is>
          <t>Aprobado</t>
        </is>
      </c>
      <c r="N42" t="inlineStr">
        <is>
          <t>Puente para redise?ar vistas de Costos &amp; Gastos; no reemplaza P&amp;G oficial. Convertido a USD con la tasa promedio mensual del pais.</t>
        </is>
      </c>
    </row>
    <row r="43">
      <c r="A43" t="inlineStr">
        <is>
          <t>2026-04</t>
        </is>
      </c>
      <c r="B43" t="inlineStr">
        <is>
          <t>Estados Unidos</t>
        </is>
      </c>
      <c r="C43" t="inlineStr">
        <is>
          <t>USA</t>
        </is>
      </c>
      <c r="D43" t="inlineStr">
        <is>
          <t>USD</t>
        </is>
      </c>
      <c r="E43" t="inlineStr">
        <is>
          <t>PL-O-010</t>
        </is>
      </c>
      <c r="F43" t="inlineStr">
        <is>
          <t>Gastos de personal</t>
        </is>
      </c>
      <c r="G43" t="inlineStr">
        <is>
          <t>gasto_admin</t>
        </is>
      </c>
      <c r="H43" t="inlineStr">
        <is>
          <t>Personal</t>
        </is>
      </c>
      <c r="I43" t="inlineStr">
        <is>
          <t>Administracion</t>
        </is>
      </c>
      <c r="J43" t="n">
        <v>0</v>
      </c>
      <c r="K43" t="n">
        <v>276.06</v>
      </c>
      <c r="L43" t="inlineStr">
        <is>
          <t>Abril 2026 USA.xlsx</t>
        </is>
      </c>
      <c r="M43" t="inlineStr">
        <is>
          <t>Aprobado</t>
        </is>
      </c>
      <c r="N43" t="inlineStr">
        <is>
          <t>Puente para redise?ar vistas de Costos &amp; Gastos; no reemplaza P&amp;G oficial. Convertido a USD con la tasa promedio mensual del pais.</t>
        </is>
      </c>
    </row>
    <row r="44">
      <c r="A44" t="inlineStr">
        <is>
          <t>2026-04</t>
        </is>
      </c>
      <c r="B44" t="inlineStr">
        <is>
          <t>Estados Unidos</t>
        </is>
      </c>
      <c r="C44" t="inlineStr">
        <is>
          <t>USA</t>
        </is>
      </c>
      <c r="D44" t="inlineStr">
        <is>
          <t>USD</t>
        </is>
      </c>
      <c r="E44" t="inlineStr">
        <is>
          <t>PL-O-010</t>
        </is>
      </c>
      <c r="F44" t="inlineStr">
        <is>
          <t>Gastos de personal</t>
        </is>
      </c>
      <c r="G44" t="inlineStr">
        <is>
          <t>gasto_admin</t>
        </is>
      </c>
      <c r="H44" t="inlineStr">
        <is>
          <t>Personal</t>
        </is>
      </c>
      <c r="I44" t="inlineStr">
        <is>
          <t>Administracion</t>
        </is>
      </c>
      <c r="J44" t="n">
        <v>13.9</v>
      </c>
      <c r="K44" t="n">
        <v>13.9</v>
      </c>
      <c r="L44" t="inlineStr">
        <is>
          <t>Abril 2026 USA.xlsx</t>
        </is>
      </c>
      <c r="M44" t="inlineStr">
        <is>
          <t>Aprobado</t>
        </is>
      </c>
      <c r="N44" t="inlineStr">
        <is>
          <t>Puente para redise?ar vistas de Costos &amp; Gastos; no reemplaza P&amp;G oficial. Convertido a USD con la tasa promedio mensual del pais.</t>
        </is>
      </c>
    </row>
    <row r="45">
      <c r="A45" t="inlineStr">
        <is>
          <t>2026-04</t>
        </is>
      </c>
      <c r="B45" t="inlineStr">
        <is>
          <t>Estados Unidos</t>
        </is>
      </c>
      <c r="C45" t="inlineStr">
        <is>
          <t>USA</t>
        </is>
      </c>
      <c r="D45" t="inlineStr">
        <is>
          <t>USD</t>
        </is>
      </c>
      <c r="E45" t="inlineStr">
        <is>
          <t>PL-O-010</t>
        </is>
      </c>
      <c r="F45" t="inlineStr">
        <is>
          <t>Gastos de personal</t>
        </is>
      </c>
      <c r="G45" t="inlineStr">
        <is>
          <t>gasto_admin</t>
        </is>
      </c>
      <c r="H45" t="inlineStr">
        <is>
          <t>Personal</t>
        </is>
      </c>
      <c r="I45" t="inlineStr">
        <is>
          <t>Administracion</t>
        </is>
      </c>
      <c r="J45" t="n">
        <v>15.3</v>
      </c>
      <c r="K45" t="n">
        <v>15.3</v>
      </c>
      <c r="L45" t="inlineStr">
        <is>
          <t>Abril 2026 USA.xlsx</t>
        </is>
      </c>
      <c r="M45" t="inlineStr">
        <is>
          <t>Aprobado</t>
        </is>
      </c>
      <c r="N45" t="inlineStr">
        <is>
          <t>Puente para redise?ar vistas de Costos &amp; Gastos; no reemplaza P&amp;G oficial. Convertido a USD con la tasa promedio mensual del pais.</t>
        </is>
      </c>
    </row>
    <row r="46">
      <c r="A46" t="inlineStr">
        <is>
          <t>2026-04</t>
        </is>
      </c>
      <c r="B46" t="inlineStr">
        <is>
          <t>Estados Unidos</t>
        </is>
      </c>
      <c r="C46" t="inlineStr">
        <is>
          <t>USA</t>
        </is>
      </c>
      <c r="D46" t="inlineStr">
        <is>
          <t>USD</t>
        </is>
      </c>
      <c r="E46" t="inlineStr">
        <is>
          <t>PL-O-010</t>
        </is>
      </c>
      <c r="F46" t="inlineStr">
        <is>
          <t>Gastos de personal</t>
        </is>
      </c>
      <c r="G46" t="inlineStr">
        <is>
          <t>gasto_admin</t>
        </is>
      </c>
      <c r="H46" t="inlineStr">
        <is>
          <t>Personal</t>
        </is>
      </c>
      <c r="I46" t="inlineStr">
        <is>
          <t>Administracion</t>
        </is>
      </c>
      <c r="J46" t="n">
        <v>1374.9</v>
      </c>
      <c r="K46" t="n">
        <v>1507.28</v>
      </c>
      <c r="L46" t="inlineStr">
        <is>
          <t>Abril 2026 USA.xlsx</t>
        </is>
      </c>
      <c r="M46" t="inlineStr">
        <is>
          <t>Aprobado</t>
        </is>
      </c>
      <c r="N46" t="inlineStr">
        <is>
          <t>Puente para redise?ar vistas de Costos &amp; Gastos; no reemplaza P&amp;G oficial. Convertido a USD con la tasa promedio mensual del pais.</t>
        </is>
      </c>
    </row>
    <row r="47">
      <c r="A47" t="inlineStr">
        <is>
          <t>2026-04</t>
        </is>
      </c>
      <c r="B47" t="inlineStr">
        <is>
          <t>Estados Unidos</t>
        </is>
      </c>
      <c r="C47" t="inlineStr">
        <is>
          <t>USA</t>
        </is>
      </c>
      <c r="D47" t="inlineStr">
        <is>
          <t>USD</t>
        </is>
      </c>
      <c r="E47" t="inlineStr">
        <is>
          <t>PL-O-010</t>
        </is>
      </c>
      <c r="F47" t="inlineStr">
        <is>
          <t>Gastos de personal</t>
        </is>
      </c>
      <c r="G47" t="inlineStr">
        <is>
          <t>gasto_admin</t>
        </is>
      </c>
      <c r="H47" t="inlineStr">
        <is>
          <t>Personal</t>
        </is>
      </c>
      <c r="I47" t="inlineStr">
        <is>
          <t>Administracion</t>
        </is>
      </c>
      <c r="J47" t="n">
        <v>0</v>
      </c>
      <c r="K47" t="n">
        <v>122.93</v>
      </c>
      <c r="L47" t="inlineStr">
        <is>
          <t>Abril 2026 USA.xlsx</t>
        </is>
      </c>
      <c r="M47" t="inlineStr">
        <is>
          <t>Aprobado</t>
        </is>
      </c>
      <c r="N47" t="inlineStr">
        <is>
          <t>Puente para redise?ar vistas de Costos &amp; Gastos; no reemplaza P&amp;G oficial. Convertido a USD con la tasa promedio mensual del pais.</t>
        </is>
      </c>
    </row>
    <row r="48">
      <c r="A48" t="inlineStr">
        <is>
          <t>2026-04</t>
        </is>
      </c>
      <c r="B48" t="inlineStr">
        <is>
          <t>Estados Unidos</t>
        </is>
      </c>
      <c r="C48" t="inlineStr">
        <is>
          <t>USA</t>
        </is>
      </c>
      <c r="D48" t="inlineStr">
        <is>
          <t>USD</t>
        </is>
      </c>
      <c r="E48" t="inlineStr">
        <is>
          <t>PL-O-010</t>
        </is>
      </c>
      <c r="F48" t="inlineStr">
        <is>
          <t>Gastos de personal</t>
        </is>
      </c>
      <c r="G48" t="inlineStr">
        <is>
          <t>gasto_admin</t>
        </is>
      </c>
      <c r="H48" t="inlineStr">
        <is>
          <t>Personal</t>
        </is>
      </c>
      <c r="I48" t="inlineStr">
        <is>
          <t>Administracion</t>
        </is>
      </c>
      <c r="J48" t="n">
        <v>637.33</v>
      </c>
      <c r="K48" t="n">
        <v>2879.32</v>
      </c>
      <c r="L48" t="inlineStr">
        <is>
          <t>Abril 2026 USA.xlsx</t>
        </is>
      </c>
      <c r="M48" t="inlineStr">
        <is>
          <t>Aprobado</t>
        </is>
      </c>
      <c r="N48" t="inlineStr">
        <is>
          <t>Puente para redise?ar vistas de Costos &amp; Gastos; no reemplaza P&amp;G oficial. Convertido a USD con la tasa promedio mensual del pais.</t>
        </is>
      </c>
    </row>
    <row r="49">
      <c r="A49" t="inlineStr">
        <is>
          <t>2026-04</t>
        </is>
      </c>
      <c r="B49" t="inlineStr">
        <is>
          <t>Estados Unidos</t>
        </is>
      </c>
      <c r="C49" t="inlineStr">
        <is>
          <t>USA</t>
        </is>
      </c>
      <c r="D49" t="inlineStr">
        <is>
          <t>USD</t>
        </is>
      </c>
      <c r="E49" t="inlineStr">
        <is>
          <t>PL-O-020</t>
        </is>
      </c>
      <c r="F49" t="inlineStr">
        <is>
          <t>Honorarios y servicios profesionales</t>
        </is>
      </c>
      <c r="G49" t="inlineStr">
        <is>
          <t>gasto_admin</t>
        </is>
      </c>
      <c r="H49" t="inlineStr">
        <is>
          <t>Honorarios</t>
        </is>
      </c>
      <c r="I49" t="inlineStr">
        <is>
          <t>Administracion</t>
        </is>
      </c>
      <c r="J49" t="n">
        <v>0</v>
      </c>
      <c r="K49" t="n">
        <v>445</v>
      </c>
      <c r="L49" t="inlineStr">
        <is>
          <t>Abril 2026 USA.xlsx</t>
        </is>
      </c>
      <c r="M49" t="inlineStr">
        <is>
          <t>Aprobado</t>
        </is>
      </c>
      <c r="N49" t="inlineStr">
        <is>
          <t>Puente para redise?ar vistas de Costos &amp; Gastos; no reemplaza P&amp;G oficial. Convertido a USD con la tasa promedio mensual del pais.</t>
        </is>
      </c>
    </row>
    <row r="50">
      <c r="A50" t="inlineStr">
        <is>
          <t>2026-04</t>
        </is>
      </c>
      <c r="B50" t="inlineStr">
        <is>
          <t>Estados Unidos</t>
        </is>
      </c>
      <c r="C50" t="inlineStr">
        <is>
          <t>USA</t>
        </is>
      </c>
      <c r="D50" t="inlineStr">
        <is>
          <t>USD</t>
        </is>
      </c>
      <c r="E50" t="inlineStr">
        <is>
          <t>PL-O-030</t>
        </is>
      </c>
      <c r="F50" t="inlineStr">
        <is>
          <t>Impuestos y contribuciones</t>
        </is>
      </c>
      <c r="G50" t="inlineStr">
        <is>
          <t>gasto_admin</t>
        </is>
      </c>
      <c r="H50" t="inlineStr">
        <is>
          <t>Diversos</t>
        </is>
      </c>
      <c r="I50" t="inlineStr">
        <is>
          <t>Administracion</t>
        </is>
      </c>
      <c r="J50" t="n">
        <v>0</v>
      </c>
      <c r="K50" t="n">
        <v>4024.05</v>
      </c>
      <c r="L50" t="inlineStr">
        <is>
          <t>Abril 2026 USA.xlsx</t>
        </is>
      </c>
      <c r="M50" t="inlineStr">
        <is>
          <t>Aprobado</t>
        </is>
      </c>
      <c r="N50" t="inlineStr">
        <is>
          <t>Puente para redise?ar vistas de Costos &amp; Gastos; no reemplaza P&amp;G oficial. Convertido a USD con la tasa promedio mensual del pais.</t>
        </is>
      </c>
    </row>
    <row r="51">
      <c r="A51" t="inlineStr">
        <is>
          <t>2026-04</t>
        </is>
      </c>
      <c r="B51" t="inlineStr">
        <is>
          <t>Estados Unidos</t>
        </is>
      </c>
      <c r="C51" t="inlineStr">
        <is>
          <t>USA</t>
        </is>
      </c>
      <c r="D51" t="inlineStr">
        <is>
          <t>USD</t>
        </is>
      </c>
      <c r="E51" t="inlineStr">
        <is>
          <t>PL-O-060</t>
        </is>
      </c>
      <c r="F51" t="inlineStr">
        <is>
          <t>Tecnología y procesamiento de datos</t>
        </is>
      </c>
      <c r="G51" t="inlineStr">
        <is>
          <t>gasto_admin</t>
        </is>
      </c>
      <c r="H51" t="inlineStr">
        <is>
          <t>Servicios</t>
        </is>
      </c>
      <c r="I51" t="inlineStr">
        <is>
          <t>Administracion</t>
        </is>
      </c>
      <c r="J51" t="n">
        <v>0</v>
      </c>
      <c r="K51" t="n">
        <v>225.35</v>
      </c>
      <c r="L51" t="inlineStr">
        <is>
          <t>Abril 2026 USA.xlsx</t>
        </is>
      </c>
      <c r="M51" t="inlineStr">
        <is>
          <t>Aprobado</t>
        </is>
      </c>
      <c r="N51" t="inlineStr">
        <is>
          <t>Puente para redise?ar vistas de Costos &amp; Gastos; no reemplaza P&amp;G oficial. Convertido a USD con la tasa promedio mensual del pais.</t>
        </is>
      </c>
    </row>
    <row r="52">
      <c r="A52" t="inlineStr">
        <is>
          <t>2026-04</t>
        </is>
      </c>
      <c r="B52" t="inlineStr">
        <is>
          <t>Estados Unidos</t>
        </is>
      </c>
      <c r="C52" t="inlineStr">
        <is>
          <t>USA</t>
        </is>
      </c>
      <c r="D52" t="inlineStr">
        <is>
          <t>USD</t>
        </is>
      </c>
      <c r="E52" t="inlineStr">
        <is>
          <t>PL-O-060</t>
        </is>
      </c>
      <c r="F52" t="inlineStr">
        <is>
          <t>Tecnología y procesamiento de datos</t>
        </is>
      </c>
      <c r="G52" t="inlineStr">
        <is>
          <t>gasto_admin</t>
        </is>
      </c>
      <c r="H52" t="inlineStr">
        <is>
          <t>Servicios</t>
        </is>
      </c>
      <c r="I52" t="inlineStr">
        <is>
          <t>Administracion</t>
        </is>
      </c>
      <c r="J52" t="n">
        <v>0</v>
      </c>
      <c r="K52" t="n">
        <v>191.4</v>
      </c>
      <c r="L52" t="inlineStr">
        <is>
          <t>Abril 2026 USA.xlsx</t>
        </is>
      </c>
      <c r="M52" t="inlineStr">
        <is>
          <t>Aprobado</t>
        </is>
      </c>
      <c r="N52" t="inlineStr">
        <is>
          <t>Puente para redise?ar vistas de Costos &amp; Gastos; no reemplaza P&amp;G oficial. Convertido a USD con la tasa promedio mensual del pais.</t>
        </is>
      </c>
    </row>
    <row r="53">
      <c r="A53" t="inlineStr">
        <is>
          <t>2026-04</t>
        </is>
      </c>
      <c r="B53" t="inlineStr">
        <is>
          <t>Estados Unidos</t>
        </is>
      </c>
      <c r="C53" t="inlineStr">
        <is>
          <t>USA</t>
        </is>
      </c>
      <c r="D53" t="inlineStr">
        <is>
          <t>USD</t>
        </is>
      </c>
      <c r="E53" t="inlineStr">
        <is>
          <t>PL-O-060</t>
        </is>
      </c>
      <c r="F53" t="inlineStr">
        <is>
          <t>Tecnología y procesamiento de datos</t>
        </is>
      </c>
      <c r="G53" t="inlineStr">
        <is>
          <t>gasto_admin</t>
        </is>
      </c>
      <c r="H53" t="inlineStr">
        <is>
          <t>Servicios</t>
        </is>
      </c>
      <c r="I53" t="inlineStr">
        <is>
          <t>Administracion</t>
        </is>
      </c>
      <c r="J53" t="n">
        <v>32.1</v>
      </c>
      <c r="K53" t="n">
        <v>32.1</v>
      </c>
      <c r="L53" t="inlineStr">
        <is>
          <t>Abril 2026 USA.xlsx</t>
        </is>
      </c>
      <c r="M53" t="inlineStr">
        <is>
          <t>Aprobado</t>
        </is>
      </c>
      <c r="N53" t="inlineStr">
        <is>
          <t>Puente para redise?ar vistas de Costos &amp; Gastos; no reemplaza P&amp;G oficial. Convertido a USD con la tasa promedio mensual del pais.</t>
        </is>
      </c>
    </row>
    <row r="54">
      <c r="A54" t="inlineStr">
        <is>
          <t>2026-04</t>
        </is>
      </c>
      <c r="B54" t="inlineStr">
        <is>
          <t>Estados Unidos</t>
        </is>
      </c>
      <c r="C54" t="inlineStr">
        <is>
          <t>USA</t>
        </is>
      </c>
      <c r="D54" t="inlineStr">
        <is>
          <t>USD</t>
        </is>
      </c>
      <c r="E54" t="inlineStr">
        <is>
          <t>PL-O-060</t>
        </is>
      </c>
      <c r="F54" t="inlineStr">
        <is>
          <t>Tecnología y procesamiento de datos</t>
        </is>
      </c>
      <c r="G54" t="inlineStr">
        <is>
          <t>gasto_admin</t>
        </is>
      </c>
      <c r="H54" t="inlineStr">
        <is>
          <t>Servicios</t>
        </is>
      </c>
      <c r="I54" t="inlineStr">
        <is>
          <t>Administracion</t>
        </is>
      </c>
      <c r="J54" t="n">
        <v>20</v>
      </c>
      <c r="K54" t="n">
        <v>80</v>
      </c>
      <c r="L54" t="inlineStr">
        <is>
          <t>Abril 2026 USA.xlsx</t>
        </is>
      </c>
      <c r="M54" t="inlineStr">
        <is>
          <t>Aprobado</t>
        </is>
      </c>
      <c r="N54" t="inlineStr">
        <is>
          <t>Puente para redise?ar vistas de Costos &amp; Gastos; no reemplaza P&amp;G oficial. Convertido a USD con la tasa promedio mensual del pais.</t>
        </is>
      </c>
    </row>
    <row r="55">
      <c r="A55" t="inlineStr">
        <is>
          <t>2026-04</t>
        </is>
      </c>
      <c r="B55" t="inlineStr">
        <is>
          <t>Estados Unidos</t>
        </is>
      </c>
      <c r="C55" t="inlineStr">
        <is>
          <t>USA</t>
        </is>
      </c>
      <c r="D55" t="inlineStr">
        <is>
          <t>USD</t>
        </is>
      </c>
      <c r="E55" t="inlineStr">
        <is>
          <t>PL-O-060</t>
        </is>
      </c>
      <c r="F55" t="inlineStr">
        <is>
          <t>Tecnología y procesamiento de datos</t>
        </is>
      </c>
      <c r="G55" t="inlineStr">
        <is>
          <t>gasto_admin</t>
        </is>
      </c>
      <c r="H55" t="inlineStr">
        <is>
          <t>Servicios</t>
        </is>
      </c>
      <c r="I55" t="inlineStr">
        <is>
          <t>Administracion</t>
        </is>
      </c>
      <c r="J55" t="n">
        <v>957.65</v>
      </c>
      <c r="K55" t="n">
        <v>957.65</v>
      </c>
      <c r="L55" t="inlineStr">
        <is>
          <t>Abril 2026 USA.xlsx</t>
        </is>
      </c>
      <c r="M55" t="inlineStr">
        <is>
          <t>Aprobado</t>
        </is>
      </c>
      <c r="N55" t="inlineStr">
        <is>
          <t>Puente para redise?ar vistas de Costos &amp; Gastos; no reemplaza P&amp;G oficial. Convertido a USD con la tasa promedio mensual del pais.</t>
        </is>
      </c>
    </row>
    <row r="56">
      <c r="A56" t="inlineStr">
        <is>
          <t>2026-04</t>
        </is>
      </c>
      <c r="B56" t="inlineStr">
        <is>
          <t>Estados Unidos</t>
        </is>
      </c>
      <c r="C56" t="inlineStr">
        <is>
          <t>USA</t>
        </is>
      </c>
      <c r="D56" t="inlineStr">
        <is>
          <t>USD</t>
        </is>
      </c>
      <c r="E56" t="inlineStr">
        <is>
          <t>PL-O-080</t>
        </is>
      </c>
      <c r="F56" t="inlineStr">
        <is>
          <t>Correo y mensajería</t>
        </is>
      </c>
      <c r="G56" t="inlineStr">
        <is>
          <t>gasto_admin</t>
        </is>
      </c>
      <c r="H56" t="inlineStr">
        <is>
          <t>Servicios</t>
        </is>
      </c>
      <c r="I56" t="inlineStr">
        <is>
          <t>Administracion</t>
        </is>
      </c>
      <c r="J56" t="n">
        <v>11.54</v>
      </c>
      <c r="K56" t="n">
        <v>45.83</v>
      </c>
      <c r="L56" t="inlineStr">
        <is>
          <t>Abril 2026 USA.xlsx</t>
        </is>
      </c>
      <c r="M56" t="inlineStr">
        <is>
          <t>Aprobado</t>
        </is>
      </c>
      <c r="N56" t="inlineStr">
        <is>
          <t>Puente para redise?ar vistas de Costos &amp; Gastos; no reemplaza P&amp;G oficial. Convertido a USD con la tasa promedio mensual del pais.</t>
        </is>
      </c>
    </row>
    <row r="57">
      <c r="A57" t="inlineStr">
        <is>
          <t>2026-04</t>
        </is>
      </c>
      <c r="B57" t="inlineStr">
        <is>
          <t>Estados Unidos</t>
        </is>
      </c>
      <c r="C57" t="inlineStr">
        <is>
          <t>USA</t>
        </is>
      </c>
      <c r="D57" t="inlineStr">
        <is>
          <t>USD</t>
        </is>
      </c>
      <c r="E57" t="inlineStr">
        <is>
          <t>PL-O-100</t>
        </is>
      </c>
      <c r="F57" t="inlineStr">
        <is>
          <t>Otros servicios administrativos</t>
        </is>
      </c>
      <c r="G57" t="inlineStr">
        <is>
          <t>gasto_admin</t>
        </is>
      </c>
      <c r="H57" t="inlineStr">
        <is>
          <t>Servicios</t>
        </is>
      </c>
      <c r="I57" t="inlineStr">
        <is>
          <t>Administracion</t>
        </is>
      </c>
      <c r="J57" t="n">
        <v>181.67</v>
      </c>
      <c r="K57" t="n">
        <v>759.9400000000001</v>
      </c>
      <c r="L57" t="inlineStr">
        <is>
          <t>Abril 2026 USA.xlsx</t>
        </is>
      </c>
      <c r="M57" t="inlineStr">
        <is>
          <t>Revisar</t>
        </is>
      </c>
      <c r="N57" t="inlineStr">
        <is>
          <t>Puente para redise?ar vistas de Costos &amp; Gastos; no reemplaza P&amp;G oficial. Convertido a USD con la tasa promedio mensual del pais.</t>
        </is>
      </c>
    </row>
    <row r="58">
      <c r="A58" t="inlineStr">
        <is>
          <t>2026-04</t>
        </is>
      </c>
      <c r="B58" t="inlineStr">
        <is>
          <t>Estados Unidos</t>
        </is>
      </c>
      <c r="C58" t="inlineStr">
        <is>
          <t>USA</t>
        </is>
      </c>
      <c r="D58" t="inlineStr">
        <is>
          <t>USD</t>
        </is>
      </c>
      <c r="E58" t="inlineStr">
        <is>
          <t>PL-O-110</t>
        </is>
      </c>
      <c r="F58" t="inlineStr">
        <is>
          <t>Suministros y oficina</t>
        </is>
      </c>
      <c r="G58" t="inlineStr">
        <is>
          <t>gasto_admin</t>
        </is>
      </c>
      <c r="H58" t="inlineStr">
        <is>
          <t>Diversos</t>
        </is>
      </c>
      <c r="I58" t="inlineStr">
        <is>
          <t>Administracion</t>
        </is>
      </c>
      <c r="J58" t="n">
        <v>0</v>
      </c>
      <c r="K58" t="n">
        <v>35.1</v>
      </c>
      <c r="L58" t="inlineStr">
        <is>
          <t>Abril 2026 USA.xlsx</t>
        </is>
      </c>
      <c r="M58" t="inlineStr">
        <is>
          <t>Aprobado</t>
        </is>
      </c>
      <c r="N58" t="inlineStr">
        <is>
          <t>Puente para redise?ar vistas de Costos &amp; Gastos; no reemplaza P&amp;G oficial. Convertido a USD con la tasa promedio mensual del pais.</t>
        </is>
      </c>
    </row>
    <row r="59">
      <c r="A59" t="inlineStr">
        <is>
          <t>2026-04</t>
        </is>
      </c>
      <c r="B59" t="inlineStr">
        <is>
          <t>Estados Unidos</t>
        </is>
      </c>
      <c r="C59" t="inlineStr">
        <is>
          <t>USA</t>
        </is>
      </c>
      <c r="D59" t="inlineStr">
        <is>
          <t>USD</t>
        </is>
      </c>
      <c r="E59" t="inlineStr">
        <is>
          <t>PL-O-110</t>
        </is>
      </c>
      <c r="F59" t="inlineStr">
        <is>
          <t>Suministros y oficina</t>
        </is>
      </c>
      <c r="G59" t="inlineStr">
        <is>
          <t>gasto_admin</t>
        </is>
      </c>
      <c r="H59" t="inlineStr">
        <is>
          <t>Diversos</t>
        </is>
      </c>
      <c r="I59" t="inlineStr">
        <is>
          <t>Administracion</t>
        </is>
      </c>
      <c r="J59" t="n">
        <v>0</v>
      </c>
      <c r="K59" t="n">
        <v>82.58</v>
      </c>
      <c r="L59" t="inlineStr">
        <is>
          <t>Abril 2026 USA.xlsx</t>
        </is>
      </c>
      <c r="M59" t="inlineStr">
        <is>
          <t>Aprobado</t>
        </is>
      </c>
      <c r="N59" t="inlineStr">
        <is>
          <t>Puente para redise?ar vistas de Costos &amp; Gastos; no reemplaza P&amp;G oficial. Convertido a USD con la tasa promedio mensual del pais.</t>
        </is>
      </c>
    </row>
    <row r="60">
      <c r="A60" t="inlineStr">
        <is>
          <t>2026-04</t>
        </is>
      </c>
      <c r="B60" t="inlineStr">
        <is>
          <t>Estados Unidos</t>
        </is>
      </c>
      <c r="C60" t="inlineStr">
        <is>
          <t>USA</t>
        </is>
      </c>
      <c r="D60" t="inlineStr">
        <is>
          <t>USD</t>
        </is>
      </c>
      <c r="E60" t="inlineStr">
        <is>
          <t>PL-O-120</t>
        </is>
      </c>
      <c r="F60" t="inlineStr">
        <is>
          <t>Alimentación y restaurante</t>
        </is>
      </c>
      <c r="G60" t="inlineStr">
        <is>
          <t>gasto_admin</t>
        </is>
      </c>
      <c r="H60" t="inlineStr">
        <is>
          <t>Diversos</t>
        </is>
      </c>
      <c r="I60" t="inlineStr">
        <is>
          <t>Administracion</t>
        </is>
      </c>
      <c r="J60" t="n">
        <v>129.16</v>
      </c>
      <c r="K60" t="n">
        <v>254.29</v>
      </c>
      <c r="L60" t="inlineStr">
        <is>
          <t>Abril 2026 USA.xlsx</t>
        </is>
      </c>
      <c r="M60" t="inlineStr">
        <is>
          <t>Revisar</t>
        </is>
      </c>
      <c r="N60" t="inlineStr">
        <is>
          <t>Puente para redise?ar vistas de Costos &amp; Gastos; no reemplaza P&amp;G oficial. Convertido a USD con la tasa promedio mensual del pais.</t>
        </is>
      </c>
    </row>
    <row r="61">
      <c r="A61" t="inlineStr">
        <is>
          <t>2026-04</t>
        </is>
      </c>
      <c r="B61" t="inlineStr">
        <is>
          <t>Estados Unidos</t>
        </is>
      </c>
      <c r="C61" t="inlineStr">
        <is>
          <t>USA</t>
        </is>
      </c>
      <c r="D61" t="inlineStr">
        <is>
          <t>USD</t>
        </is>
      </c>
      <c r="E61" t="inlineStr">
        <is>
          <t>PL-O-120</t>
        </is>
      </c>
      <c r="F61" t="inlineStr">
        <is>
          <t>Alimentación y restaurante</t>
        </is>
      </c>
      <c r="G61" t="inlineStr">
        <is>
          <t>gasto_admin</t>
        </is>
      </c>
      <c r="H61" t="inlineStr">
        <is>
          <t>Diversos</t>
        </is>
      </c>
      <c r="I61" t="inlineStr">
        <is>
          <t>Administracion</t>
        </is>
      </c>
      <c r="J61" t="n">
        <v>0</v>
      </c>
      <c r="K61" t="n">
        <v>63.15</v>
      </c>
      <c r="L61" t="inlineStr">
        <is>
          <t>Abril 2026 USA.xlsx</t>
        </is>
      </c>
      <c r="M61" t="inlineStr">
        <is>
          <t>Revisar</t>
        </is>
      </c>
      <c r="N61" t="inlineStr">
        <is>
          <t>Puente para redise?ar vistas de Costos &amp; Gastos; no reemplaza P&amp;G oficial. Convertido a USD con la tasa promedio mensual del pais.</t>
        </is>
      </c>
    </row>
    <row r="62">
      <c r="A62" t="inlineStr">
        <is>
          <t>2026-04</t>
        </is>
      </c>
      <c r="B62" t="inlineStr">
        <is>
          <t>Estados Unidos</t>
        </is>
      </c>
      <c r="C62" t="inlineStr">
        <is>
          <t>USA</t>
        </is>
      </c>
      <c r="D62" t="inlineStr">
        <is>
          <t>USD</t>
        </is>
      </c>
      <c r="E62" t="inlineStr">
        <is>
          <t>PL-O-120</t>
        </is>
      </c>
      <c r="F62" t="inlineStr">
        <is>
          <t>Alimentación y restaurante</t>
        </is>
      </c>
      <c r="G62" t="inlineStr">
        <is>
          <t>gasto_admin</t>
        </is>
      </c>
      <c r="H62" t="inlineStr">
        <is>
          <t>Diversos</t>
        </is>
      </c>
      <c r="I62" t="inlineStr">
        <is>
          <t>Administracion</t>
        </is>
      </c>
      <c r="J62" t="n">
        <v>55.93</v>
      </c>
      <c r="K62" t="n">
        <v>55.93</v>
      </c>
      <c r="L62" t="inlineStr">
        <is>
          <t>Abril 2026 USA.xlsx</t>
        </is>
      </c>
      <c r="M62" t="inlineStr">
        <is>
          <t>Revisar</t>
        </is>
      </c>
      <c r="N62" t="inlineStr">
        <is>
          <t>Puente para redise?ar vistas de Costos &amp; Gastos; no reemplaza P&amp;G oficial. Convertido a USD con la tasa promedio mensual del pais.</t>
        </is>
      </c>
    </row>
    <row r="63">
      <c r="A63" t="inlineStr">
        <is>
          <t>2026-04</t>
        </is>
      </c>
      <c r="B63" t="inlineStr">
        <is>
          <t>Estados Unidos</t>
        </is>
      </c>
      <c r="C63" t="inlineStr">
        <is>
          <t>USA</t>
        </is>
      </c>
      <c r="D63" t="inlineStr">
        <is>
          <t>USD</t>
        </is>
      </c>
      <c r="E63" t="inlineStr">
        <is>
          <t>PL-O-120</t>
        </is>
      </c>
      <c r="F63" t="inlineStr">
        <is>
          <t>Alimentación y restaurante</t>
        </is>
      </c>
      <c r="G63" t="inlineStr">
        <is>
          <t>gasto_admin</t>
        </is>
      </c>
      <c r="H63" t="inlineStr">
        <is>
          <t>Diversos</t>
        </is>
      </c>
      <c r="I63" t="inlineStr">
        <is>
          <t>Administracion</t>
        </is>
      </c>
      <c r="J63" t="n">
        <v>145.96</v>
      </c>
      <c r="K63" t="n">
        <v>145.96</v>
      </c>
      <c r="L63" t="inlineStr">
        <is>
          <t>Abril 2026 USA.xlsx</t>
        </is>
      </c>
      <c r="M63" t="inlineStr">
        <is>
          <t>Revisar</t>
        </is>
      </c>
      <c r="N63" t="inlineStr">
        <is>
          <t>Puente para redise?ar vistas de Costos &amp; Gastos; no reemplaza P&amp;G oficial. Convertido a USD con la tasa promedio mensual del pais.</t>
        </is>
      </c>
    </row>
    <row r="64">
      <c r="A64" t="inlineStr">
        <is>
          <t>2026-04</t>
        </is>
      </c>
      <c r="B64" t="inlineStr">
        <is>
          <t>Estados Unidos</t>
        </is>
      </c>
      <c r="C64" t="inlineStr">
        <is>
          <t>USA</t>
        </is>
      </c>
      <c r="D64" t="inlineStr">
        <is>
          <t>USD</t>
        </is>
      </c>
      <c r="E64" t="inlineStr">
        <is>
          <t>PL-O-120</t>
        </is>
      </c>
      <c r="F64" t="inlineStr">
        <is>
          <t>Alimentación y restaurante</t>
        </is>
      </c>
      <c r="G64" t="inlineStr">
        <is>
          <t>gasto_admin</t>
        </is>
      </c>
      <c r="H64" t="inlineStr">
        <is>
          <t>Diversos</t>
        </is>
      </c>
      <c r="I64" t="inlineStr">
        <is>
          <t>Administracion</t>
        </is>
      </c>
      <c r="J64" t="n">
        <v>92.97</v>
      </c>
      <c r="K64" t="n">
        <v>92.97</v>
      </c>
      <c r="L64" t="inlineStr">
        <is>
          <t>Abril 2026 USA.xlsx</t>
        </is>
      </c>
      <c r="M64" t="inlineStr">
        <is>
          <t>Revisar</t>
        </is>
      </c>
      <c r="N64" t="inlineStr">
        <is>
          <t>Puente para redise?ar vistas de Costos &amp; Gastos; no reemplaza P&amp;G oficial. Convertido a USD con la tasa promedio mensual del pais.</t>
        </is>
      </c>
    </row>
    <row r="65">
      <c r="A65" t="inlineStr">
        <is>
          <t>2026-04</t>
        </is>
      </c>
      <c r="B65" t="inlineStr">
        <is>
          <t>Estados Unidos</t>
        </is>
      </c>
      <c r="C65" t="inlineStr">
        <is>
          <t>USA</t>
        </is>
      </c>
      <c r="D65" t="inlineStr">
        <is>
          <t>USD</t>
        </is>
      </c>
      <c r="E65" t="inlineStr">
        <is>
          <t>PL-O-120</t>
        </is>
      </c>
      <c r="F65" t="inlineStr">
        <is>
          <t>Alimentación y restaurante</t>
        </is>
      </c>
      <c r="G65" t="inlineStr">
        <is>
          <t>gasto_admin</t>
        </is>
      </c>
      <c r="H65" t="inlineStr">
        <is>
          <t>Diversos</t>
        </is>
      </c>
      <c r="I65" t="inlineStr">
        <is>
          <t>Administracion</t>
        </is>
      </c>
      <c r="J65" t="n">
        <v>122.49</v>
      </c>
      <c r="K65" t="n">
        <v>122.49</v>
      </c>
      <c r="L65" t="inlineStr">
        <is>
          <t>Abril 2026 USA.xlsx</t>
        </is>
      </c>
      <c r="M65" t="inlineStr">
        <is>
          <t>Revisar</t>
        </is>
      </c>
      <c r="N65" t="inlineStr">
        <is>
          <t>Puente para redise?ar vistas de Costos &amp; Gastos; no reemplaza P&amp;G oficial. Convertido a USD con la tasa promedio mensual del pais.</t>
        </is>
      </c>
    </row>
    <row r="66">
      <c r="A66" t="inlineStr">
        <is>
          <t>2026-04</t>
        </is>
      </c>
      <c r="B66" t="inlineStr">
        <is>
          <t>Estados Unidos</t>
        </is>
      </c>
      <c r="C66" t="inlineStr">
        <is>
          <t>USA</t>
        </is>
      </c>
      <c r="D66" t="inlineStr">
        <is>
          <t>USD</t>
        </is>
      </c>
      <c r="E66" t="inlineStr">
        <is>
          <t>PL-O-120</t>
        </is>
      </c>
      <c r="F66" t="inlineStr">
        <is>
          <t>Alimentación y restaurante</t>
        </is>
      </c>
      <c r="G66" t="inlineStr">
        <is>
          <t>gasto_admin</t>
        </is>
      </c>
      <c r="H66" t="inlineStr">
        <is>
          <t>Diversos</t>
        </is>
      </c>
      <c r="I66" t="inlineStr">
        <is>
          <t>Administracion</t>
        </is>
      </c>
      <c r="J66" t="n">
        <v>184.6</v>
      </c>
      <c r="K66" t="n">
        <v>184.6</v>
      </c>
      <c r="L66" t="inlineStr">
        <is>
          <t>Abril 2026 USA.xlsx</t>
        </is>
      </c>
      <c r="M66" t="inlineStr">
        <is>
          <t>Revisar</t>
        </is>
      </c>
      <c r="N66" t="inlineStr">
        <is>
          <t>Puente para redise?ar vistas de Costos &amp; Gastos; no reemplaza P&amp;G oficial. Convertido a USD con la tasa promedio mensual del pais.</t>
        </is>
      </c>
    </row>
    <row r="67">
      <c r="A67" t="inlineStr">
        <is>
          <t>2026-04</t>
        </is>
      </c>
      <c r="B67" t="inlineStr">
        <is>
          <t>Estados Unidos</t>
        </is>
      </c>
      <c r="C67" t="inlineStr">
        <is>
          <t>USA</t>
        </is>
      </c>
      <c r="D67" t="inlineStr">
        <is>
          <t>USD</t>
        </is>
      </c>
      <c r="E67" t="inlineStr">
        <is>
          <t>PL-O-120</t>
        </is>
      </c>
      <c r="F67" t="inlineStr">
        <is>
          <t>Alimentación y restaurante</t>
        </is>
      </c>
      <c r="G67" t="inlineStr">
        <is>
          <t>gasto_admin</t>
        </is>
      </c>
      <c r="H67" t="inlineStr">
        <is>
          <t>Diversos</t>
        </is>
      </c>
      <c r="I67" t="inlineStr">
        <is>
          <t>Administracion</t>
        </is>
      </c>
      <c r="J67" t="n">
        <v>80.39</v>
      </c>
      <c r="K67" t="n">
        <v>80.39</v>
      </c>
      <c r="L67" t="inlineStr">
        <is>
          <t>Abril 2026 USA.xlsx</t>
        </is>
      </c>
      <c r="M67" t="inlineStr">
        <is>
          <t>Revisar</t>
        </is>
      </c>
      <c r="N67" t="inlineStr">
        <is>
          <t>Puente para redise?ar vistas de Costos &amp; Gastos; no reemplaza P&amp;G oficial. Convertido a USD con la tasa promedio mensual del pais.</t>
        </is>
      </c>
    </row>
    <row r="68">
      <c r="A68" t="inlineStr">
        <is>
          <t>2026-04</t>
        </is>
      </c>
      <c r="B68" t="inlineStr">
        <is>
          <t>Estados Unidos</t>
        </is>
      </c>
      <c r="C68" t="inlineStr">
        <is>
          <t>USA</t>
        </is>
      </c>
      <c r="D68" t="inlineStr">
        <is>
          <t>USD</t>
        </is>
      </c>
      <c r="E68" t="inlineStr">
        <is>
          <t>PL-O-120</t>
        </is>
      </c>
      <c r="F68" t="inlineStr">
        <is>
          <t>Alimentación y restaurante</t>
        </is>
      </c>
      <c r="G68" t="inlineStr">
        <is>
          <t>gasto_admin</t>
        </is>
      </c>
      <c r="H68" t="inlineStr">
        <is>
          <t>Diversos</t>
        </is>
      </c>
      <c r="I68" t="inlineStr">
        <is>
          <t>Administracion</t>
        </is>
      </c>
      <c r="J68" t="n">
        <v>34.92</v>
      </c>
      <c r="K68" t="n">
        <v>34.92</v>
      </c>
      <c r="L68" t="inlineStr">
        <is>
          <t>Abril 2026 USA.xlsx</t>
        </is>
      </c>
      <c r="M68" t="inlineStr">
        <is>
          <t>Revisar</t>
        </is>
      </c>
      <c r="N68" t="inlineStr">
        <is>
          <t>Puente para redise?ar vistas de Costos &amp; Gastos; no reemplaza P&amp;G oficial. Convertido a USD con la tasa promedio mensual del pais.</t>
        </is>
      </c>
    </row>
    <row r="69">
      <c r="A69" t="inlineStr">
        <is>
          <t>2026-04</t>
        </is>
      </c>
      <c r="B69" t="inlineStr">
        <is>
          <t>Estados Unidos</t>
        </is>
      </c>
      <c r="C69" t="inlineStr">
        <is>
          <t>USA</t>
        </is>
      </c>
      <c r="D69" t="inlineStr">
        <is>
          <t>USD</t>
        </is>
      </c>
      <c r="E69" t="inlineStr">
        <is>
          <t>PL-O-120</t>
        </is>
      </c>
      <c r="F69" t="inlineStr">
        <is>
          <t>Alimentación y restaurante</t>
        </is>
      </c>
      <c r="G69" t="inlineStr">
        <is>
          <t>gasto_admin</t>
        </is>
      </c>
      <c r="H69" t="inlineStr">
        <is>
          <t>Diversos</t>
        </is>
      </c>
      <c r="I69" t="inlineStr">
        <is>
          <t>Administracion</t>
        </is>
      </c>
      <c r="J69" t="n">
        <v>0</v>
      </c>
      <c r="K69" t="n">
        <v>177.68</v>
      </c>
      <c r="L69" t="inlineStr">
        <is>
          <t>Abril 2026 USA.xlsx</t>
        </is>
      </c>
      <c r="M69" t="inlineStr">
        <is>
          <t>Revisar</t>
        </is>
      </c>
      <c r="N69" t="inlineStr">
        <is>
          <t>Puente para redise?ar vistas de Costos &amp; Gastos; no reemplaza P&amp;G oficial. Convertido a USD con la tasa promedio mensual del pais.</t>
        </is>
      </c>
    </row>
    <row r="70">
      <c r="A70" t="inlineStr">
        <is>
          <t>2026-04</t>
        </is>
      </c>
      <c r="B70" t="inlineStr">
        <is>
          <t>Estados Unidos</t>
        </is>
      </c>
      <c r="C70" t="inlineStr">
        <is>
          <t>USA</t>
        </is>
      </c>
      <c r="D70" t="inlineStr">
        <is>
          <t>USD</t>
        </is>
      </c>
      <c r="E70" t="inlineStr">
        <is>
          <t>PL-O-120</t>
        </is>
      </c>
      <c r="F70" t="inlineStr">
        <is>
          <t>Alimentación y restaurante</t>
        </is>
      </c>
      <c r="G70" t="inlineStr">
        <is>
          <t>gasto_admin</t>
        </is>
      </c>
      <c r="H70" t="inlineStr">
        <is>
          <t>Diversos</t>
        </is>
      </c>
      <c r="I70" t="inlineStr">
        <is>
          <t>Administracion</t>
        </is>
      </c>
      <c r="J70" t="n">
        <v>0</v>
      </c>
      <c r="K70" t="n">
        <v>248</v>
      </c>
      <c r="L70" t="inlineStr">
        <is>
          <t>Abril 2026 USA.xlsx</t>
        </is>
      </c>
      <c r="M70" t="inlineStr">
        <is>
          <t>Revisar</t>
        </is>
      </c>
      <c r="N70" t="inlineStr">
        <is>
          <t>Puente para redise?ar vistas de Costos &amp; Gastos; no reemplaza P&amp;G oficial. Convertido a USD con la tasa promedio mensual del pais.</t>
        </is>
      </c>
    </row>
    <row r="71">
      <c r="A71" t="inlineStr">
        <is>
          <t>2026-04</t>
        </is>
      </c>
      <c r="B71" t="inlineStr">
        <is>
          <t>Estados Unidos</t>
        </is>
      </c>
      <c r="C71" t="inlineStr">
        <is>
          <t>USA</t>
        </is>
      </c>
      <c r="D71" t="inlineStr">
        <is>
          <t>USD</t>
        </is>
      </c>
      <c r="E71" t="inlineStr">
        <is>
          <t>PL-O-120</t>
        </is>
      </c>
      <c r="F71" t="inlineStr">
        <is>
          <t>Alimentación y restaurante</t>
        </is>
      </c>
      <c r="G71" t="inlineStr">
        <is>
          <t>gasto_admin</t>
        </is>
      </c>
      <c r="H71" t="inlineStr">
        <is>
          <t>Diversos</t>
        </is>
      </c>
      <c r="I71" t="inlineStr">
        <is>
          <t>Administracion</t>
        </is>
      </c>
      <c r="J71" t="n">
        <v>0</v>
      </c>
      <c r="K71" t="n">
        <v>30.09</v>
      </c>
      <c r="L71" t="inlineStr">
        <is>
          <t>Abril 2026 USA.xlsx</t>
        </is>
      </c>
      <c r="M71" t="inlineStr">
        <is>
          <t>Revisar</t>
        </is>
      </c>
      <c r="N71" t="inlineStr">
        <is>
          <t>Puente para redise?ar vistas de Costos &amp; Gastos; no reemplaza P&amp;G oficial. Convertido a USD con la tasa promedio mensual del pais.</t>
        </is>
      </c>
    </row>
    <row r="72">
      <c r="A72" t="inlineStr">
        <is>
          <t>2026-04</t>
        </is>
      </c>
      <c r="B72" t="inlineStr">
        <is>
          <t>Estados Unidos</t>
        </is>
      </c>
      <c r="C72" t="inlineStr">
        <is>
          <t>USA</t>
        </is>
      </c>
      <c r="D72" t="inlineStr">
        <is>
          <t>USD</t>
        </is>
      </c>
      <c r="E72" t="inlineStr">
        <is>
          <t>PL-O-120</t>
        </is>
      </c>
      <c r="F72" t="inlineStr">
        <is>
          <t>Alimentación y restaurante</t>
        </is>
      </c>
      <c r="G72" t="inlineStr">
        <is>
          <t>gasto_admin</t>
        </is>
      </c>
      <c r="H72" t="inlineStr">
        <is>
          <t>Diversos</t>
        </is>
      </c>
      <c r="I72" t="inlineStr">
        <is>
          <t>Administracion</t>
        </is>
      </c>
      <c r="J72" t="n">
        <v>182.88</v>
      </c>
      <c r="K72" t="n">
        <v>182.88</v>
      </c>
      <c r="L72" t="inlineStr">
        <is>
          <t>Abril 2026 USA.xlsx</t>
        </is>
      </c>
      <c r="M72" t="inlineStr">
        <is>
          <t>Revisar</t>
        </is>
      </c>
      <c r="N72" t="inlineStr">
        <is>
          <t>Puente para redise?ar vistas de Costos &amp; Gastos; no reemplaza P&amp;G oficial. Convertido a USD con la tasa promedio mensual del pais.</t>
        </is>
      </c>
    </row>
    <row r="73">
      <c r="A73" t="inlineStr">
        <is>
          <t>2026-04</t>
        </is>
      </c>
      <c r="B73" t="inlineStr">
        <is>
          <t>Estados Unidos</t>
        </is>
      </c>
      <c r="C73" t="inlineStr">
        <is>
          <t>USA</t>
        </is>
      </c>
      <c r="D73" t="inlineStr">
        <is>
          <t>USD</t>
        </is>
      </c>
      <c r="E73" t="inlineStr">
        <is>
          <t>PL-O-120</t>
        </is>
      </c>
      <c r="F73" t="inlineStr">
        <is>
          <t>Alimentación y restaurante</t>
        </is>
      </c>
      <c r="G73" t="inlineStr">
        <is>
          <t>gasto_admin</t>
        </is>
      </c>
      <c r="H73" t="inlineStr">
        <is>
          <t>Diversos</t>
        </is>
      </c>
      <c r="I73" t="inlineStr">
        <is>
          <t>Administracion</t>
        </is>
      </c>
      <c r="J73" t="n">
        <v>0</v>
      </c>
      <c r="K73" t="n">
        <v>7.03</v>
      </c>
      <c r="L73" t="inlineStr">
        <is>
          <t>Abril 2026 USA.xlsx</t>
        </is>
      </c>
      <c r="M73" t="inlineStr">
        <is>
          <t>Revisar</t>
        </is>
      </c>
      <c r="N73" t="inlineStr">
        <is>
          <t>Puente para redise?ar vistas de Costos &amp; Gastos; no reemplaza P&amp;G oficial. Convertido a USD con la tasa promedio mensual del pais.</t>
        </is>
      </c>
    </row>
    <row r="74">
      <c r="A74" t="inlineStr">
        <is>
          <t>2026-04</t>
        </is>
      </c>
      <c r="B74" t="inlineStr">
        <is>
          <t>Estados Unidos</t>
        </is>
      </c>
      <c r="C74" t="inlineStr">
        <is>
          <t>USA</t>
        </is>
      </c>
      <c r="D74" t="inlineStr">
        <is>
          <t>USD</t>
        </is>
      </c>
      <c r="E74" t="inlineStr">
        <is>
          <t>PL-O-120</t>
        </is>
      </c>
      <c r="F74" t="inlineStr">
        <is>
          <t>Alimentación y restaurante</t>
        </is>
      </c>
      <c r="G74" t="inlineStr">
        <is>
          <t>gasto_admin</t>
        </is>
      </c>
      <c r="H74" t="inlineStr">
        <is>
          <t>Diversos</t>
        </is>
      </c>
      <c r="I74" t="inlineStr">
        <is>
          <t>Administracion</t>
        </is>
      </c>
      <c r="J74" t="n">
        <v>127.26</v>
      </c>
      <c r="K74" t="n">
        <v>127.26</v>
      </c>
      <c r="L74" t="inlineStr">
        <is>
          <t>Abril 2026 USA.xlsx</t>
        </is>
      </c>
      <c r="M74" t="inlineStr">
        <is>
          <t>Revisar</t>
        </is>
      </c>
      <c r="N74" t="inlineStr">
        <is>
          <t>Puente para redise?ar vistas de Costos &amp; Gastos; no reemplaza P&amp;G oficial. Convertido a USD con la tasa promedio mensual del pais.</t>
        </is>
      </c>
    </row>
    <row r="75">
      <c r="A75" t="inlineStr">
        <is>
          <t>2026-04</t>
        </is>
      </c>
      <c r="B75" t="inlineStr">
        <is>
          <t>Estados Unidos</t>
        </is>
      </c>
      <c r="C75" t="inlineStr">
        <is>
          <t>USA</t>
        </is>
      </c>
      <c r="D75" t="inlineStr">
        <is>
          <t>USD</t>
        </is>
      </c>
      <c r="E75" t="inlineStr">
        <is>
          <t>PL-O-120</t>
        </is>
      </c>
      <c r="F75" t="inlineStr">
        <is>
          <t>Alimentación y restaurante</t>
        </is>
      </c>
      <c r="G75" t="inlineStr">
        <is>
          <t>gasto_admin</t>
        </is>
      </c>
      <c r="H75" t="inlineStr">
        <is>
          <t>Diversos</t>
        </is>
      </c>
      <c r="I75" t="inlineStr">
        <is>
          <t>Administracion</t>
        </is>
      </c>
      <c r="J75" t="n">
        <v>27.93</v>
      </c>
      <c r="K75" t="n">
        <v>27.93</v>
      </c>
      <c r="L75" t="inlineStr">
        <is>
          <t>Abril 2026 USA.xlsx</t>
        </is>
      </c>
      <c r="M75" t="inlineStr">
        <is>
          <t>Revisar</t>
        </is>
      </c>
      <c r="N75" t="inlineStr">
        <is>
          <t>Puente para redise?ar vistas de Costos &amp; Gastos; no reemplaza P&amp;G oficial. Convertido a USD con la tasa promedio mensual del pais.</t>
        </is>
      </c>
    </row>
    <row r="76">
      <c r="A76" t="inlineStr">
        <is>
          <t>2026-04</t>
        </is>
      </c>
      <c r="B76" t="inlineStr">
        <is>
          <t>Estados Unidos</t>
        </is>
      </c>
      <c r="C76" t="inlineStr">
        <is>
          <t>USA</t>
        </is>
      </c>
      <c r="D76" t="inlineStr">
        <is>
          <t>USD</t>
        </is>
      </c>
      <c r="E76" t="inlineStr">
        <is>
          <t>PL-O-120</t>
        </is>
      </c>
      <c r="F76" t="inlineStr">
        <is>
          <t>Alimentación y restaurante</t>
        </is>
      </c>
      <c r="G76" t="inlineStr">
        <is>
          <t>gasto_admin</t>
        </is>
      </c>
      <c r="H76" t="inlineStr">
        <is>
          <t>Diversos</t>
        </is>
      </c>
      <c r="I76" t="inlineStr">
        <is>
          <t>Administracion</t>
        </is>
      </c>
      <c r="J76" t="n">
        <v>0</v>
      </c>
      <c r="K76" t="n">
        <v>72.54000000000001</v>
      </c>
      <c r="L76" t="inlineStr">
        <is>
          <t>Abril 2026 USA.xlsx</t>
        </is>
      </c>
      <c r="M76" t="inlineStr">
        <is>
          <t>Revisar</t>
        </is>
      </c>
      <c r="N76" t="inlineStr">
        <is>
          <t>Puente para redise?ar vistas de Costos &amp; Gastos; no reemplaza P&amp;G oficial. Convertido a USD con la tasa promedio mensual del pais.</t>
        </is>
      </c>
    </row>
    <row r="77">
      <c r="A77" t="inlineStr">
        <is>
          <t>2026-04</t>
        </is>
      </c>
      <c r="B77" t="inlineStr">
        <is>
          <t>Estados Unidos</t>
        </is>
      </c>
      <c r="C77" t="inlineStr">
        <is>
          <t>USA</t>
        </is>
      </c>
      <c r="D77" t="inlineStr">
        <is>
          <t>USD</t>
        </is>
      </c>
      <c r="E77" t="inlineStr">
        <is>
          <t>PL-O-130</t>
        </is>
      </c>
      <c r="F77" t="inlineStr">
        <is>
          <t>Transporte local y parqueaderos</t>
        </is>
      </c>
      <c r="G77" t="inlineStr">
        <is>
          <t>gasto_admin</t>
        </is>
      </c>
      <c r="H77" t="inlineStr">
        <is>
          <t>Viajes</t>
        </is>
      </c>
      <c r="I77" t="inlineStr">
        <is>
          <t>Administracion</t>
        </is>
      </c>
      <c r="J77" t="n">
        <v>10</v>
      </c>
      <c r="K77" t="n">
        <v>10</v>
      </c>
      <c r="L77" t="inlineStr">
        <is>
          <t>Abril 2026 USA.xlsx</t>
        </is>
      </c>
      <c r="M77" t="inlineStr">
        <is>
          <t>Aprobado</t>
        </is>
      </c>
      <c r="N77" t="inlineStr">
        <is>
          <t>Puente para redise?ar vistas de Costos &amp; Gastos; no reemplaza P&amp;G oficial. Convertido a USD con la tasa promedio mensual del pais.</t>
        </is>
      </c>
    </row>
    <row r="78">
      <c r="A78" t="inlineStr">
        <is>
          <t>2026-04</t>
        </is>
      </c>
      <c r="B78" t="inlineStr">
        <is>
          <t>Estados Unidos</t>
        </is>
      </c>
      <c r="C78" t="inlineStr">
        <is>
          <t>USA</t>
        </is>
      </c>
      <c r="D78" t="inlineStr">
        <is>
          <t>USD</t>
        </is>
      </c>
      <c r="E78" t="inlineStr">
        <is>
          <t>PL-O-130</t>
        </is>
      </c>
      <c r="F78" t="inlineStr">
        <is>
          <t>Transporte local y parqueaderos</t>
        </is>
      </c>
      <c r="G78" t="inlineStr">
        <is>
          <t>gasto_admin</t>
        </is>
      </c>
      <c r="H78" t="inlineStr">
        <is>
          <t>Viajes</t>
        </is>
      </c>
      <c r="I78" t="inlineStr">
        <is>
          <t>Administracion</t>
        </is>
      </c>
      <c r="J78" t="n">
        <v>12.75</v>
      </c>
      <c r="K78" t="n">
        <v>12.75</v>
      </c>
      <c r="L78" t="inlineStr">
        <is>
          <t>Abril 2026 USA.xlsx</t>
        </is>
      </c>
      <c r="M78" t="inlineStr">
        <is>
          <t>Aprobado</t>
        </is>
      </c>
      <c r="N78" t="inlineStr">
        <is>
          <t>Puente para redise?ar vistas de Costos &amp; Gastos; no reemplaza P&amp;G oficial. Convertido a USD con la tasa promedio mensual del pais.</t>
        </is>
      </c>
    </row>
    <row r="79">
      <c r="A79" t="inlineStr">
        <is>
          <t>2026-04</t>
        </is>
      </c>
      <c r="B79" t="inlineStr">
        <is>
          <t>Estados Unidos</t>
        </is>
      </c>
      <c r="C79" t="inlineStr">
        <is>
          <t>USA</t>
        </is>
      </c>
      <c r="D79" t="inlineStr">
        <is>
          <t>USD</t>
        </is>
      </c>
      <c r="E79" t="inlineStr">
        <is>
          <t>PL-O-020</t>
        </is>
      </c>
      <c r="F79" t="inlineStr">
        <is>
          <t>Honorarios y servicios profesionales</t>
        </is>
      </c>
      <c r="G79" t="inlineStr">
        <is>
          <t>gasto_admin</t>
        </is>
      </c>
      <c r="H79" t="inlineStr">
        <is>
          <t>Honorarios</t>
        </is>
      </c>
      <c r="I79" t="inlineStr">
        <is>
          <t>Administracion</t>
        </is>
      </c>
      <c r="J79" t="n">
        <v>0</v>
      </c>
      <c r="K79" t="n">
        <v>2557.46</v>
      </c>
      <c r="L79" t="inlineStr">
        <is>
          <t>Abril 2026 USA.xlsx</t>
        </is>
      </c>
      <c r="M79" t="inlineStr">
        <is>
          <t>Aprobado</t>
        </is>
      </c>
      <c r="N79" t="inlineStr">
        <is>
          <t>Puente para redise?ar vistas de Costos &amp; Gastos; no reemplaza P&amp;G oficial. Convertido a USD con la tasa promedio mensual del pais.</t>
        </is>
      </c>
    </row>
    <row r="80">
      <c r="A80" t="inlineStr">
        <is>
          <t>2026-04</t>
        </is>
      </c>
      <c r="B80" t="inlineStr">
        <is>
          <t>Estados Unidos</t>
        </is>
      </c>
      <c r="C80" t="inlineStr">
        <is>
          <t>USA</t>
        </is>
      </c>
      <c r="D80" t="inlineStr">
        <is>
          <t>USD</t>
        </is>
      </c>
      <c r="E80" t="inlineStr">
        <is>
          <t>PL-O-020</t>
        </is>
      </c>
      <c r="F80" t="inlineStr">
        <is>
          <t>Honorarios y servicios profesionales</t>
        </is>
      </c>
      <c r="G80" t="inlineStr">
        <is>
          <t>gasto_admin</t>
        </is>
      </c>
      <c r="H80" t="inlineStr">
        <is>
          <t>Honorarios</t>
        </is>
      </c>
      <c r="I80" t="inlineStr">
        <is>
          <t>Administracion</t>
        </is>
      </c>
      <c r="J80" t="n">
        <v>0</v>
      </c>
      <c r="K80" t="n">
        <v>1500</v>
      </c>
      <c r="L80" t="inlineStr">
        <is>
          <t>Abril 2026 USA.xlsx</t>
        </is>
      </c>
      <c r="M80" t="inlineStr">
        <is>
          <t>Aprobado</t>
        </is>
      </c>
      <c r="N80" t="inlineStr">
        <is>
          <t>Puente para redise?ar vistas de Costos &amp; Gastos; no reemplaza P&amp;G oficial. Convertido a USD con la tasa promedio mensual del pais.</t>
        </is>
      </c>
    </row>
    <row r="81">
      <c r="A81" t="inlineStr">
        <is>
          <t>2026-04</t>
        </is>
      </c>
      <c r="B81" t="inlineStr">
        <is>
          <t>Estados Unidos</t>
        </is>
      </c>
      <c r="C81" t="inlineStr">
        <is>
          <t>USA</t>
        </is>
      </c>
      <c r="D81" t="inlineStr">
        <is>
          <t>USD</t>
        </is>
      </c>
      <c r="E81" t="inlineStr">
        <is>
          <t>PL-S-020</t>
        </is>
      </c>
      <c r="F81" t="inlineStr">
        <is>
          <t>Mercadeo y publicidad</t>
        </is>
      </c>
      <c r="G81" t="inlineStr">
        <is>
          <t>gasto_comercial</t>
        </is>
      </c>
      <c r="H81" t="inlineStr">
        <is>
          <t>Servicios</t>
        </is>
      </c>
      <c r="I81" t="inlineStr">
        <is>
          <t>Comercial</t>
        </is>
      </c>
      <c r="J81" t="n">
        <v>0</v>
      </c>
      <c r="K81" t="n">
        <v>400</v>
      </c>
      <c r="L81" t="inlineStr">
        <is>
          <t>Abril 2026 USA.xlsx</t>
        </is>
      </c>
      <c r="M81" t="inlineStr">
        <is>
          <t>Aprobado</t>
        </is>
      </c>
      <c r="N81" t="inlineStr">
        <is>
          <t>Puente para redise?ar vistas de Costos &amp; Gastos; no reemplaza P&amp;G oficial. Convertido a USD con la tasa promedio mensual del pais.</t>
        </is>
      </c>
    </row>
    <row r="82">
      <c r="A82" t="inlineStr">
        <is>
          <t>2026-04</t>
        </is>
      </c>
      <c r="B82" t="inlineStr">
        <is>
          <t>Estados Unidos</t>
        </is>
      </c>
      <c r="C82" t="inlineStr">
        <is>
          <t>USA</t>
        </is>
      </c>
      <c r="D82" t="inlineStr">
        <is>
          <t>USD</t>
        </is>
      </c>
      <c r="E82" t="inlineStr">
        <is>
          <t>PL-S-030</t>
        </is>
      </c>
      <c r="F82" t="inlineStr">
        <is>
          <t>Otros servicios comerciales</t>
        </is>
      </c>
      <c r="G82" t="inlineStr">
        <is>
          <t>gasto_comercial</t>
        </is>
      </c>
      <c r="H82" t="inlineStr">
        <is>
          <t>Servicios</t>
        </is>
      </c>
      <c r="I82" t="inlineStr">
        <is>
          <t>Comercial</t>
        </is>
      </c>
      <c r="J82" t="n">
        <v>0</v>
      </c>
      <c r="K82" t="n">
        <v>648</v>
      </c>
      <c r="L82" t="inlineStr">
        <is>
          <t>Abril 2026 USA.xlsx</t>
        </is>
      </c>
      <c r="M82" t="inlineStr">
        <is>
          <t>Revisar</t>
        </is>
      </c>
      <c r="N82" t="inlineStr">
        <is>
          <t>Puente para redise?ar vistas de Costos &amp; Gastos; no reemplaza P&amp;G oficial. Convertido a USD con la tasa promedio mensual del pais.</t>
        </is>
      </c>
    </row>
    <row r="83">
      <c r="A83" t="inlineStr">
        <is>
          <t>2026-04</t>
        </is>
      </c>
      <c r="B83" t="inlineStr">
        <is>
          <t>Estados Unidos</t>
        </is>
      </c>
      <c r="C83" t="inlineStr">
        <is>
          <t>USA</t>
        </is>
      </c>
      <c r="D83" t="inlineStr">
        <is>
          <t>USD</t>
        </is>
      </c>
      <c r="E83" t="inlineStr">
        <is>
          <t>PL-F-010</t>
        </is>
      </c>
      <c r="F83" t="inlineStr">
        <is>
          <t>Gastos financieros</t>
        </is>
      </c>
      <c r="G83" t="inlineStr">
        <is>
          <t>gasto_area</t>
        </is>
      </c>
      <c r="H83" t="inlineStr">
        <is>
          <t>Financieros</t>
        </is>
      </c>
      <c r="I83" t="inlineStr">
        <is>
          <t>Financieros</t>
        </is>
      </c>
      <c r="J83" t="n">
        <v>0.34</v>
      </c>
      <c r="K83" t="n">
        <v>0.34</v>
      </c>
      <c r="L83" t="inlineStr">
        <is>
          <t>Abril 2026 USA.xlsx</t>
        </is>
      </c>
      <c r="M83" t="inlineStr">
        <is>
          <t>Aprobado</t>
        </is>
      </c>
      <c r="N83" t="inlineStr">
        <is>
          <t>Puente para redise?ar vistas de Costos &amp; Gastos; no reemplaza P&amp;G oficial. Convertido a USD con la tasa promedio mensual del pais.</t>
        </is>
      </c>
    </row>
    <row r="84">
      <c r="A84" t="inlineStr">
        <is>
          <t>2026-04</t>
        </is>
      </c>
      <c r="B84" t="inlineStr">
        <is>
          <t>Estados Unidos</t>
        </is>
      </c>
      <c r="C84" t="inlineStr">
        <is>
          <t>USA</t>
        </is>
      </c>
      <c r="D84" t="inlineStr">
        <is>
          <t>USD</t>
        </is>
      </c>
      <c r="E84" t="inlineStr">
        <is>
          <t>PL-F-010</t>
        </is>
      </c>
      <c r="F84" t="inlineStr">
        <is>
          <t>Gastos financieros</t>
        </is>
      </c>
      <c r="G84" t="inlineStr">
        <is>
          <t>gasto_area</t>
        </is>
      </c>
      <c r="H84" t="inlineStr">
        <is>
          <t>Financieros</t>
        </is>
      </c>
      <c r="I84" t="inlineStr">
        <is>
          <t>Financieros</t>
        </is>
      </c>
      <c r="J84" t="n">
        <v>15</v>
      </c>
      <c r="K84" t="n">
        <v>15</v>
      </c>
      <c r="L84" t="inlineStr">
        <is>
          <t>Abril 2026 USA.xlsx</t>
        </is>
      </c>
      <c r="M84" t="inlineStr">
        <is>
          <t>Aprobado</t>
        </is>
      </c>
      <c r="N84" t="inlineStr">
        <is>
          <t>Puente para redise?ar vistas de Costos &amp; Gastos; no reemplaza P&amp;G oficial. Convertido a USD con la tasa promedio mensual del pais.</t>
        </is>
      </c>
    </row>
    <row r="85">
      <c r="A85" t="inlineStr">
        <is>
          <t>2026-04</t>
        </is>
      </c>
      <c r="B85" t="inlineStr">
        <is>
          <t>Estados Unidos</t>
        </is>
      </c>
      <c r="C85" t="inlineStr">
        <is>
          <t>USA</t>
        </is>
      </c>
      <c r="D85" t="inlineStr">
        <is>
          <t>USD</t>
        </is>
      </c>
      <c r="E85" t="inlineStr">
        <is>
          <t>PL-F-010</t>
        </is>
      </c>
      <c r="F85" t="inlineStr">
        <is>
          <t>Gastos financieros</t>
        </is>
      </c>
      <c r="G85" t="inlineStr">
        <is>
          <t>gasto_area</t>
        </is>
      </c>
      <c r="H85" t="inlineStr">
        <is>
          <t>Financieros</t>
        </is>
      </c>
      <c r="I85" t="inlineStr">
        <is>
          <t>Financieros</t>
        </is>
      </c>
      <c r="J85" t="n">
        <v>7.94</v>
      </c>
      <c r="K85" t="n">
        <v>18.38</v>
      </c>
      <c r="L85" t="inlineStr">
        <is>
          <t>Abril 2026 USA.xlsx</t>
        </is>
      </c>
      <c r="M85" t="inlineStr">
        <is>
          <t>Aprobado</t>
        </is>
      </c>
      <c r="N85" t="inlineStr">
        <is>
          <t>Puente para redise?ar vistas de Costos &amp; Gastos; no reemplaza P&amp;G oficial. Convertido a USD con la tasa promedio mensual del pais.</t>
        </is>
      </c>
    </row>
    <row r="86">
      <c r="A86" t="inlineStr">
        <is>
          <t>2026-04</t>
        </is>
      </c>
      <c r="B86" t="inlineStr">
        <is>
          <t>Estados Unidos</t>
        </is>
      </c>
      <c r="C86" t="inlineStr">
        <is>
          <t>USA</t>
        </is>
      </c>
      <c r="D86" t="inlineStr">
        <is>
          <t>USD</t>
        </is>
      </c>
      <c r="E86" t="inlineStr">
        <is>
          <t>PL-F-010</t>
        </is>
      </c>
      <c r="F86" t="inlineStr">
        <is>
          <t>Gastos financieros</t>
        </is>
      </c>
      <c r="G86" t="inlineStr">
        <is>
          <t>gasto_area</t>
        </is>
      </c>
      <c r="H86" t="inlineStr">
        <is>
          <t>Financieros</t>
        </is>
      </c>
      <c r="I86" t="inlineStr">
        <is>
          <t>Financieros</t>
        </is>
      </c>
      <c r="J86" t="n">
        <v>0</v>
      </c>
      <c r="K86" t="n">
        <v>3.11</v>
      </c>
      <c r="L86" t="inlineStr">
        <is>
          <t>Abril 2026 USA.xlsx</t>
        </is>
      </c>
      <c r="M86" t="inlineStr">
        <is>
          <t>Aprobado</t>
        </is>
      </c>
      <c r="N86" t="inlineStr">
        <is>
          <t>Puente para redise?ar vistas de Costos &amp; Gastos; no reemplaza P&amp;G oficial. Convertido a USD con la tasa promedio mensual del pais.</t>
        </is>
      </c>
    </row>
    <row r="87">
      <c r="A87" t="inlineStr">
        <is>
          <t>2026-04</t>
        </is>
      </c>
      <c r="B87" t="inlineStr">
        <is>
          <t>Estados Unidos</t>
        </is>
      </c>
      <c r="C87" t="inlineStr">
        <is>
          <t>USA</t>
        </is>
      </c>
      <c r="D87" t="inlineStr">
        <is>
          <t>USD</t>
        </is>
      </c>
      <c r="E87" t="inlineStr">
        <is>
          <t>PL-F-010</t>
        </is>
      </c>
      <c r="F87" t="inlineStr">
        <is>
          <t>Gastos financieros</t>
        </is>
      </c>
      <c r="G87" t="inlineStr">
        <is>
          <t>gasto_area</t>
        </is>
      </c>
      <c r="H87" t="inlineStr">
        <is>
          <t>Financieros</t>
        </is>
      </c>
      <c r="I87" t="inlineStr">
        <is>
          <t>Financieros</t>
        </is>
      </c>
      <c r="J87" t="n">
        <v>0</v>
      </c>
      <c r="K87" t="n">
        <v>152.85</v>
      </c>
      <c r="L87" t="inlineStr">
        <is>
          <t>Abril 2026 USA.xlsx</t>
        </is>
      </c>
      <c r="M87" t="inlineStr">
        <is>
          <t>Aprobado</t>
        </is>
      </c>
      <c r="N87" t="inlineStr">
        <is>
          <t>Puente para redise?ar vistas de Costos &amp; Gastos; no reemplaza P&amp;G oficial. Convertido a USD con la tasa promedio mensual del pais.</t>
        </is>
      </c>
    </row>
    <row r="88">
      <c r="A88" t="inlineStr">
        <is>
          <t>2026-04</t>
        </is>
      </c>
      <c r="B88" t="inlineStr">
        <is>
          <t>Estados Unidos</t>
        </is>
      </c>
      <c r="C88" t="inlineStr">
        <is>
          <t>USA</t>
        </is>
      </c>
      <c r="D88" t="inlineStr">
        <is>
          <t>USD</t>
        </is>
      </c>
      <c r="E88" t="inlineStr">
        <is>
          <t>PL-F-010</t>
        </is>
      </c>
      <c r="F88" t="inlineStr">
        <is>
          <t>Gastos financieros</t>
        </is>
      </c>
      <c r="G88" t="inlineStr">
        <is>
          <t>gasto_area</t>
        </is>
      </c>
      <c r="H88" t="inlineStr">
        <is>
          <t>Financieros</t>
        </is>
      </c>
      <c r="I88" t="inlineStr">
        <is>
          <t>Financieros</t>
        </is>
      </c>
      <c r="J88" t="n">
        <v>0</v>
      </c>
      <c r="K88" t="n">
        <v>0.9</v>
      </c>
      <c r="L88" t="inlineStr">
        <is>
          <t>Abril 2026 USA.xlsx</t>
        </is>
      </c>
      <c r="M88" t="inlineStr">
        <is>
          <t>Aprobado</t>
        </is>
      </c>
      <c r="N88" t="inlineStr">
        <is>
          <t>Puente para redise?ar vistas de Costos &amp; Gastos; no reemplaza P&amp;G oficial. Convertido a USD con la tasa promedio mensual del pais.</t>
        </is>
      </c>
    </row>
    <row r="89">
      <c r="A89" t="inlineStr">
        <is>
          <t>2026-01</t>
        </is>
      </c>
      <c r="B89" t="inlineStr">
        <is>
          <t>Costa Rica</t>
        </is>
      </c>
      <c r="C89" t="inlineStr">
        <is>
          <t>CR</t>
        </is>
      </c>
      <c r="D89" t="inlineStr">
        <is>
          <t>USD</t>
        </is>
      </c>
      <c r="E89" t="inlineStr">
        <is>
          <t>PL-O-010</t>
        </is>
      </c>
      <c r="F89" t="inlineStr">
        <is>
          <t>Gastos de personal</t>
        </is>
      </c>
      <c r="G89" t="inlineStr">
        <is>
          <t>gasto_admin</t>
        </is>
      </c>
      <c r="H89" t="inlineStr">
        <is>
          <t>Personal</t>
        </is>
      </c>
      <c r="I89" t="inlineStr">
        <is>
          <t>Administracion</t>
        </is>
      </c>
      <c r="J89" t="n">
        <v>1200</v>
      </c>
      <c r="K89" t="n">
        <v>1200</v>
      </c>
      <c r="L89" t="inlineStr">
        <is>
          <t>Enero 2026 CR.xlsx</t>
        </is>
      </c>
      <c r="M89" t="inlineStr">
        <is>
          <t>Aprobado</t>
        </is>
      </c>
      <c r="N89" t="inlineStr">
        <is>
          <t>Puente para redise?ar vistas de Costos &amp; Gastos; no reemplaza P&amp;G oficial. Convertido a USD con la tasa promedio mensual del pais.</t>
        </is>
      </c>
    </row>
    <row r="90">
      <c r="A90" t="inlineStr">
        <is>
          <t>2026-01</t>
        </is>
      </c>
      <c r="B90" t="inlineStr">
        <is>
          <t>Costa Rica</t>
        </is>
      </c>
      <c r="C90" t="inlineStr">
        <is>
          <t>CR</t>
        </is>
      </c>
      <c r="D90" t="inlineStr">
        <is>
          <t>USD</t>
        </is>
      </c>
      <c r="E90" t="inlineStr">
        <is>
          <t>PL-O-090</t>
        </is>
      </c>
      <c r="F90" t="inlineStr">
        <is>
          <t>Viajes y representación</t>
        </is>
      </c>
      <c r="G90" t="inlineStr">
        <is>
          <t>gasto_admin</t>
        </is>
      </c>
      <c r="H90" t="inlineStr">
        <is>
          <t>Viajes</t>
        </is>
      </c>
      <c r="I90" t="inlineStr">
        <is>
          <t>Administracion</t>
        </is>
      </c>
      <c r="J90" t="n">
        <v>300</v>
      </c>
      <c r="K90" t="n">
        <v>300</v>
      </c>
      <c r="L90" t="inlineStr">
        <is>
          <t>Enero 2026 CR.xlsx</t>
        </is>
      </c>
      <c r="M90" t="inlineStr">
        <is>
          <t>Aprobado</t>
        </is>
      </c>
      <c r="N90" t="inlineStr">
        <is>
          <t>Puente para redise?ar vistas de Costos &amp; Gastos; no reemplaza P&amp;G oficial. Convertido a USD con la tasa promedio mensual del pais.</t>
        </is>
      </c>
    </row>
    <row r="91">
      <c r="A91" t="inlineStr">
        <is>
          <t>2026-01</t>
        </is>
      </c>
      <c r="B91" t="inlineStr">
        <is>
          <t>Costa Rica</t>
        </is>
      </c>
      <c r="C91" t="inlineStr">
        <is>
          <t>CR</t>
        </is>
      </c>
      <c r="D91" t="inlineStr">
        <is>
          <t>USD</t>
        </is>
      </c>
      <c r="E91" t="inlineStr">
        <is>
          <t>PL-O-010</t>
        </is>
      </c>
      <c r="F91" t="inlineStr">
        <is>
          <t>Gastos de personal</t>
        </is>
      </c>
      <c r="G91" t="inlineStr">
        <is>
          <t>gasto_admin</t>
        </is>
      </c>
      <c r="H91" t="inlineStr">
        <is>
          <t>Personal</t>
        </is>
      </c>
      <c r="I91" t="inlineStr">
        <is>
          <t>Administracion</t>
        </is>
      </c>
      <c r="J91" t="n">
        <v>400</v>
      </c>
      <c r="K91" t="n">
        <v>400</v>
      </c>
      <c r="L91" t="inlineStr">
        <is>
          <t>Enero 2026 CR.xlsx</t>
        </is>
      </c>
      <c r="M91" t="inlineStr">
        <is>
          <t>Aprobado</t>
        </is>
      </c>
      <c r="N91" t="inlineStr">
        <is>
          <t>Puente para redise?ar vistas de Costos &amp; Gastos; no reemplaza P&amp;G oficial. Convertido a USD con la tasa promedio mensual del pais.</t>
        </is>
      </c>
    </row>
    <row r="92">
      <c r="A92" t="inlineStr">
        <is>
          <t>2026-01</t>
        </is>
      </c>
      <c r="B92" t="inlineStr">
        <is>
          <t>Costa Rica</t>
        </is>
      </c>
      <c r="C92" t="inlineStr">
        <is>
          <t>CR</t>
        </is>
      </c>
      <c r="D92" t="inlineStr">
        <is>
          <t>USD</t>
        </is>
      </c>
      <c r="E92" t="inlineStr">
        <is>
          <t>PL-O-030</t>
        </is>
      </c>
      <c r="F92" t="inlineStr">
        <is>
          <t>Impuestos y contribuciones</t>
        </is>
      </c>
      <c r="G92" t="inlineStr">
        <is>
          <t>gasto_admin</t>
        </is>
      </c>
      <c r="H92" t="inlineStr">
        <is>
          <t>Diversos</t>
        </is>
      </c>
      <c r="I92" t="inlineStr">
        <is>
          <t>Administracion</t>
        </is>
      </c>
      <c r="J92" t="n">
        <v>240.73</v>
      </c>
      <c r="K92" t="n">
        <v>240.73</v>
      </c>
      <c r="L92" t="inlineStr">
        <is>
          <t>Enero 2026 CR.xlsx</t>
        </is>
      </c>
      <c r="M92" t="inlineStr">
        <is>
          <t>Aprobado</t>
        </is>
      </c>
      <c r="N92" t="inlineStr">
        <is>
          <t>Puente para redise?ar vistas de Costos &amp; Gastos; no reemplaza P&amp;G oficial. Convertido a USD con la tasa promedio mensual del pais.</t>
        </is>
      </c>
    </row>
    <row r="93">
      <c r="A93" t="inlineStr">
        <is>
          <t>2026-01</t>
        </is>
      </c>
      <c r="B93" t="inlineStr">
        <is>
          <t>Costa Rica</t>
        </is>
      </c>
      <c r="C93" t="inlineStr">
        <is>
          <t>CR</t>
        </is>
      </c>
      <c r="D93" t="inlineStr">
        <is>
          <t>USD</t>
        </is>
      </c>
      <c r="E93" t="inlineStr">
        <is>
          <t>PL-O-110</t>
        </is>
      </c>
      <c r="F93" t="inlineStr">
        <is>
          <t>Suministros y oficina</t>
        </is>
      </c>
      <c r="G93" t="inlineStr">
        <is>
          <t>gasto_admin</t>
        </is>
      </c>
      <c r="H93" t="inlineStr">
        <is>
          <t>Diversos</t>
        </is>
      </c>
      <c r="I93" t="inlineStr">
        <is>
          <t>Administracion</t>
        </is>
      </c>
      <c r="J93" t="n">
        <v>15</v>
      </c>
      <c r="K93" t="n">
        <v>15</v>
      </c>
      <c r="L93" t="inlineStr">
        <is>
          <t>Enero 2026 CR.xlsx</t>
        </is>
      </c>
      <c r="M93" t="inlineStr">
        <is>
          <t>Aprobado</t>
        </is>
      </c>
      <c r="N93" t="inlineStr">
        <is>
          <t>Puente para redise?ar vistas de Costos &amp; Gastos; no reemplaza P&amp;G oficial. Convertido a USD con la tasa promedio mensual del pais.</t>
        </is>
      </c>
    </row>
    <row r="94">
      <c r="A94" t="inlineStr">
        <is>
          <t>2026-01</t>
        </is>
      </c>
      <c r="B94" t="inlineStr">
        <is>
          <t>Costa Rica</t>
        </is>
      </c>
      <c r="C94" t="inlineStr">
        <is>
          <t>CR</t>
        </is>
      </c>
      <c r="D94" t="inlineStr">
        <is>
          <t>USD</t>
        </is>
      </c>
      <c r="E94" t="inlineStr">
        <is>
          <t>PL-O-110</t>
        </is>
      </c>
      <c r="F94" t="inlineStr">
        <is>
          <t>Suministros y oficina</t>
        </is>
      </c>
      <c r="G94" t="inlineStr">
        <is>
          <t>gasto_admin</t>
        </is>
      </c>
      <c r="H94" t="inlineStr">
        <is>
          <t>Diversos</t>
        </is>
      </c>
      <c r="I94" t="inlineStr">
        <is>
          <t>Administracion</t>
        </is>
      </c>
      <c r="J94" t="n">
        <v>7</v>
      </c>
      <c r="K94" t="n">
        <v>7</v>
      </c>
      <c r="L94" t="inlineStr">
        <is>
          <t>Enero 2026 CR.xlsx</t>
        </is>
      </c>
      <c r="M94" t="inlineStr">
        <is>
          <t>Aprobado</t>
        </is>
      </c>
      <c r="N94" t="inlineStr">
        <is>
          <t>Puente para redise?ar vistas de Costos &amp; Gastos; no reemplaza P&amp;G oficial. Convertido a USD con la tasa promedio mensual del pais.</t>
        </is>
      </c>
    </row>
    <row r="95">
      <c r="A95" t="inlineStr">
        <is>
          <t>2026-01</t>
        </is>
      </c>
      <c r="B95" t="inlineStr">
        <is>
          <t>Costa Rica</t>
        </is>
      </c>
      <c r="C95" t="inlineStr">
        <is>
          <t>CR</t>
        </is>
      </c>
      <c r="D95" t="inlineStr">
        <is>
          <t>USD</t>
        </is>
      </c>
      <c r="E95" t="inlineStr">
        <is>
          <t>PL-F-010</t>
        </is>
      </c>
      <c r="F95" t="inlineStr">
        <is>
          <t>Gastos financieros</t>
        </is>
      </c>
      <c r="G95" t="inlineStr">
        <is>
          <t>gasto_area</t>
        </is>
      </c>
      <c r="H95" t="inlineStr">
        <is>
          <t>Financieros</t>
        </is>
      </c>
      <c r="I95" t="inlineStr">
        <is>
          <t>Financieros</t>
        </is>
      </c>
      <c r="J95" t="n">
        <v>20</v>
      </c>
      <c r="K95" t="n">
        <v>20</v>
      </c>
      <c r="L95" t="inlineStr">
        <is>
          <t>Enero 2026 CR.xlsx</t>
        </is>
      </c>
      <c r="M95" t="inlineStr">
        <is>
          <t>Aprobado</t>
        </is>
      </c>
      <c r="N95" t="inlineStr">
        <is>
          <t>Puente para redise?ar vistas de Costos &amp; Gastos; no reemplaza P&amp;G oficial. Convertido a USD con la tasa promedio mensual del pais.</t>
        </is>
      </c>
    </row>
    <row r="96">
      <c r="A96" t="inlineStr">
        <is>
          <t>2026-01</t>
        </is>
      </c>
      <c r="B96" t="inlineStr">
        <is>
          <t>Peru</t>
        </is>
      </c>
      <c r="C96" t="inlineStr">
        <is>
          <t>PERU</t>
        </is>
      </c>
      <c r="D96" t="inlineStr">
        <is>
          <t>USD</t>
        </is>
      </c>
      <c r="E96" t="inlineStr">
        <is>
          <t>PL-S-010</t>
        </is>
      </c>
      <c r="F96" t="inlineStr">
        <is>
          <t>Honorarios comerciales y técnicos</t>
        </is>
      </c>
      <c r="G96" t="inlineStr">
        <is>
          <t>gasto_comercial</t>
        </is>
      </c>
      <c r="H96" t="inlineStr">
        <is>
          <t>Honorarios</t>
        </is>
      </c>
      <c r="I96" t="inlineStr">
        <is>
          <t>Comercial</t>
        </is>
      </c>
      <c r="J96" t="n">
        <v>633.6</v>
      </c>
      <c r="K96" t="n">
        <v>633.6</v>
      </c>
      <c r="L96" t="inlineStr">
        <is>
          <t>Enero 2026 PERU.xlsx</t>
        </is>
      </c>
      <c r="M96" t="inlineStr">
        <is>
          <t>Aprobado</t>
        </is>
      </c>
      <c r="N96" t="inlineStr">
        <is>
          <t>Puente para redise?ar vistas de Costos &amp; Gastos; no reemplaza P&amp;G oficial. Convertido a USD con la tasa promedio mensual del pais.</t>
        </is>
      </c>
    </row>
    <row r="97">
      <c r="A97" t="inlineStr">
        <is>
          <t>2026-01</t>
        </is>
      </c>
      <c r="B97" t="inlineStr">
        <is>
          <t>Peru</t>
        </is>
      </c>
      <c r="C97" t="inlineStr">
        <is>
          <t>PERU</t>
        </is>
      </c>
      <c r="D97" t="inlineStr">
        <is>
          <t>USD</t>
        </is>
      </c>
      <c r="E97" t="inlineStr">
        <is>
          <t>PL-F-010</t>
        </is>
      </c>
      <c r="F97" t="inlineStr">
        <is>
          <t>Gastos financieros</t>
        </is>
      </c>
      <c r="G97" t="inlineStr">
        <is>
          <t>gasto_area</t>
        </is>
      </c>
      <c r="H97" t="inlineStr">
        <is>
          <t>Financieros</t>
        </is>
      </c>
      <c r="I97" t="inlineStr">
        <is>
          <t>Financieros</t>
        </is>
      </c>
      <c r="J97" t="n">
        <v>3.29</v>
      </c>
      <c r="K97" t="n">
        <v>3.29</v>
      </c>
      <c r="L97" t="inlineStr">
        <is>
          <t>Enero 2026 PERU.xlsx</t>
        </is>
      </c>
      <c r="M97" t="inlineStr">
        <is>
          <t>Aprobado</t>
        </is>
      </c>
      <c r="N97" t="inlineStr">
        <is>
          <t>Puente para redise?ar vistas de Costos &amp; Gastos; no reemplaza P&amp;G oficial. Convertido a USD con la tasa promedio mensual del pais.</t>
        </is>
      </c>
    </row>
    <row r="98">
      <c r="A98" t="inlineStr">
        <is>
          <t>2026-01</t>
        </is>
      </c>
      <c r="B98" t="inlineStr">
        <is>
          <t>Peru</t>
        </is>
      </c>
      <c r="C98" t="inlineStr">
        <is>
          <t>PERU</t>
        </is>
      </c>
      <c r="D98" t="inlineStr">
        <is>
          <t>USD</t>
        </is>
      </c>
      <c r="E98" t="inlineStr">
        <is>
          <t>PL-F-010</t>
        </is>
      </c>
      <c r="F98" t="inlineStr">
        <is>
          <t>Gastos financieros</t>
        </is>
      </c>
      <c r="G98" t="inlineStr">
        <is>
          <t>gasto_area</t>
        </is>
      </c>
      <c r="H98" t="inlineStr">
        <is>
          <t>Financieros</t>
        </is>
      </c>
      <c r="I98" t="inlineStr">
        <is>
          <t>Financieros</t>
        </is>
      </c>
      <c r="J98" t="n">
        <v>0.49</v>
      </c>
      <c r="K98" t="n">
        <v>0.49</v>
      </c>
      <c r="L98" t="inlineStr">
        <is>
          <t>Enero 2026 PERU.xlsx</t>
        </is>
      </c>
      <c r="M98" t="inlineStr">
        <is>
          <t>Aprobado</t>
        </is>
      </c>
      <c r="N98" t="inlineStr">
        <is>
          <t>Puente para redise?ar vistas de Costos &amp; Gastos; no reemplaza P&amp;G oficial. Convertido a USD con la tasa promedio mensual del pais.</t>
        </is>
      </c>
    </row>
    <row r="99">
      <c r="A99" t="inlineStr">
        <is>
          <t>2026-01</t>
        </is>
      </c>
      <c r="B99" t="inlineStr">
        <is>
          <t>Peru</t>
        </is>
      </c>
      <c r="C99" t="inlineStr">
        <is>
          <t>PERU</t>
        </is>
      </c>
      <c r="D99" t="inlineStr">
        <is>
          <t>USD</t>
        </is>
      </c>
      <c r="E99" t="inlineStr">
        <is>
          <t>PL-F-010</t>
        </is>
      </c>
      <c r="F99" t="inlineStr">
        <is>
          <t>Gastos financieros</t>
        </is>
      </c>
      <c r="G99" t="inlineStr">
        <is>
          <t>gasto_area</t>
        </is>
      </c>
      <c r="H99" t="inlineStr">
        <is>
          <t>Financieros</t>
        </is>
      </c>
      <c r="I99" t="inlineStr">
        <is>
          <t>Financieros</t>
        </is>
      </c>
      <c r="J99" t="n">
        <v>23.83</v>
      </c>
      <c r="K99" t="n">
        <v>23.83</v>
      </c>
      <c r="L99" t="inlineStr">
        <is>
          <t>Enero 2026 PERU.xlsx</t>
        </is>
      </c>
      <c r="M99" t="inlineStr">
        <is>
          <t>Aprobado</t>
        </is>
      </c>
      <c r="N99" t="inlineStr">
        <is>
          <t>Puente para redise?ar vistas de Costos &amp; Gastos; no reemplaza P&amp;G oficial. Convertido a USD con la tasa promedio mensual del pais.</t>
        </is>
      </c>
    </row>
    <row r="100">
      <c r="A100" t="inlineStr">
        <is>
          <t>2026-01</t>
        </is>
      </c>
      <c r="B100" t="inlineStr">
        <is>
          <t>Estados Unidos</t>
        </is>
      </c>
      <c r="C100" t="inlineStr">
        <is>
          <t>USA</t>
        </is>
      </c>
      <c r="D100" t="inlineStr">
        <is>
          <t>USD</t>
        </is>
      </c>
      <c r="E100" t="inlineStr">
        <is>
          <t>PL-O-010</t>
        </is>
      </c>
      <c r="F100" t="inlineStr">
        <is>
          <t>Gastos de personal</t>
        </is>
      </c>
      <c r="G100" t="inlineStr">
        <is>
          <t>gasto_admin</t>
        </is>
      </c>
      <c r="H100" t="inlineStr">
        <is>
          <t>Personal</t>
        </is>
      </c>
      <c r="I100" t="inlineStr">
        <is>
          <t>Administracion</t>
        </is>
      </c>
      <c r="J100" t="n">
        <v>2592.17</v>
      </c>
      <c r="K100" t="n">
        <v>2592.17</v>
      </c>
      <c r="L100" t="inlineStr">
        <is>
          <t>Enero 2026 USA.xlsx</t>
        </is>
      </c>
      <c r="M100" t="inlineStr">
        <is>
          <t>Aprobado</t>
        </is>
      </c>
      <c r="N100" t="inlineStr">
        <is>
          <t>Puente para redise?ar vistas de Costos &amp; Gastos; no reemplaza P&amp;G oficial. Convertido a USD con la tasa promedio mensual del pais.</t>
        </is>
      </c>
    </row>
    <row r="101">
      <c r="A101" t="inlineStr">
        <is>
          <t>2026-01</t>
        </is>
      </c>
      <c r="B101" t="inlineStr">
        <is>
          <t>Estados Unidos</t>
        </is>
      </c>
      <c r="C101" t="inlineStr">
        <is>
          <t>USA</t>
        </is>
      </c>
      <c r="D101" t="inlineStr">
        <is>
          <t>USD</t>
        </is>
      </c>
      <c r="E101" t="inlineStr">
        <is>
          <t>PL-O-010</t>
        </is>
      </c>
      <c r="F101" t="inlineStr">
        <is>
          <t>Gastos de personal</t>
        </is>
      </c>
      <c r="G101" t="inlineStr">
        <is>
          <t>gasto_admin</t>
        </is>
      </c>
      <c r="H101" t="inlineStr">
        <is>
          <t>Personal</t>
        </is>
      </c>
      <c r="I101" t="inlineStr">
        <is>
          <t>Administracion</t>
        </is>
      </c>
      <c r="J101" t="n">
        <v>122.93</v>
      </c>
      <c r="K101" t="n">
        <v>122.93</v>
      </c>
      <c r="L101" t="inlineStr">
        <is>
          <t>Enero 2026 USA.xlsx</t>
        </is>
      </c>
      <c r="M101" t="inlineStr">
        <is>
          <t>Aprobado</t>
        </is>
      </c>
      <c r="N101" t="inlineStr">
        <is>
          <t>Puente para redise?ar vistas de Costos &amp; Gastos; no reemplaza P&amp;G oficial. Convertido a USD con la tasa promedio mensual del pais.</t>
        </is>
      </c>
    </row>
    <row r="102">
      <c r="A102" t="inlineStr">
        <is>
          <t>2026-01</t>
        </is>
      </c>
      <c r="B102" t="inlineStr">
        <is>
          <t>Estados Unidos</t>
        </is>
      </c>
      <c r="C102" t="inlineStr">
        <is>
          <t>USA</t>
        </is>
      </c>
      <c r="D102" t="inlineStr">
        <is>
          <t>USD</t>
        </is>
      </c>
      <c r="E102" t="inlineStr">
        <is>
          <t>PL-O-010</t>
        </is>
      </c>
      <c r="F102" t="inlineStr">
        <is>
          <t>Gastos de personal</t>
        </is>
      </c>
      <c r="G102" t="inlineStr">
        <is>
          <t>gasto_admin</t>
        </is>
      </c>
      <c r="H102" t="inlineStr">
        <is>
          <t>Personal</t>
        </is>
      </c>
      <c r="I102" t="inlineStr">
        <is>
          <t>Administracion</t>
        </is>
      </c>
      <c r="J102" t="n">
        <v>835.33</v>
      </c>
      <c r="K102" t="n">
        <v>835.33</v>
      </c>
      <c r="L102" t="inlineStr">
        <is>
          <t>Enero 2026 USA.xlsx</t>
        </is>
      </c>
      <c r="M102" t="inlineStr">
        <is>
          <t>Aprobado</t>
        </is>
      </c>
      <c r="N102" t="inlineStr">
        <is>
          <t>Puente para redise?ar vistas de Costos &amp; Gastos; no reemplaza P&amp;G oficial. Convertido a USD con la tasa promedio mensual del pais.</t>
        </is>
      </c>
    </row>
    <row r="103">
      <c r="A103" t="inlineStr">
        <is>
          <t>2026-01</t>
        </is>
      </c>
      <c r="B103" t="inlineStr">
        <is>
          <t>Estados Unidos</t>
        </is>
      </c>
      <c r="C103" t="inlineStr">
        <is>
          <t>USA</t>
        </is>
      </c>
      <c r="D103" t="inlineStr">
        <is>
          <t>USD</t>
        </is>
      </c>
      <c r="E103" t="inlineStr">
        <is>
          <t>PL-O-060</t>
        </is>
      </c>
      <c r="F103" t="inlineStr">
        <is>
          <t>Tecnología y procesamiento de datos</t>
        </is>
      </c>
      <c r="G103" t="inlineStr">
        <is>
          <t>gasto_admin</t>
        </is>
      </c>
      <c r="H103" t="inlineStr">
        <is>
          <t>Servicios</t>
        </is>
      </c>
      <c r="I103" t="inlineStr">
        <is>
          <t>Administracion</t>
        </is>
      </c>
      <c r="J103" t="n">
        <v>21.35</v>
      </c>
      <c r="K103" t="n">
        <v>21.35</v>
      </c>
      <c r="L103" t="inlineStr">
        <is>
          <t>Enero 2026 USA.xlsx</t>
        </is>
      </c>
      <c r="M103" t="inlineStr">
        <is>
          <t>Aprobado</t>
        </is>
      </c>
      <c r="N103" t="inlineStr">
        <is>
          <t>Puente para redise?ar vistas de Costos &amp; Gastos; no reemplaza P&amp;G oficial. Convertido a USD con la tasa promedio mensual del pais.</t>
        </is>
      </c>
    </row>
    <row r="104">
      <c r="A104" t="inlineStr">
        <is>
          <t>2026-01</t>
        </is>
      </c>
      <c r="B104" t="inlineStr">
        <is>
          <t>Estados Unidos</t>
        </is>
      </c>
      <c r="C104" t="inlineStr">
        <is>
          <t>USA</t>
        </is>
      </c>
      <c r="D104" t="inlineStr">
        <is>
          <t>USD</t>
        </is>
      </c>
      <c r="E104" t="inlineStr">
        <is>
          <t>PL-O-060</t>
        </is>
      </c>
      <c r="F104" t="inlineStr">
        <is>
          <t>Tecnología y procesamiento de datos</t>
        </is>
      </c>
      <c r="G104" t="inlineStr">
        <is>
          <t>gasto_admin</t>
        </is>
      </c>
      <c r="H104" t="inlineStr">
        <is>
          <t>Servicios</t>
        </is>
      </c>
      <c r="I104" t="inlineStr">
        <is>
          <t>Administracion</t>
        </is>
      </c>
      <c r="J104" t="n">
        <v>20</v>
      </c>
      <c r="K104" t="n">
        <v>20</v>
      </c>
      <c r="L104" t="inlineStr">
        <is>
          <t>Enero 2026 USA.xlsx</t>
        </is>
      </c>
      <c r="M104" t="inlineStr">
        <is>
          <t>Aprobado</t>
        </is>
      </c>
      <c r="N104" t="inlineStr">
        <is>
          <t>Puente para redise?ar vistas de Costos &amp; Gastos; no reemplaza P&amp;G oficial. Convertido a USD con la tasa promedio mensual del pais.</t>
        </is>
      </c>
    </row>
    <row r="105">
      <c r="A105" t="inlineStr">
        <is>
          <t>2026-01</t>
        </is>
      </c>
      <c r="B105" t="inlineStr">
        <is>
          <t>Estados Unidos</t>
        </is>
      </c>
      <c r="C105" t="inlineStr">
        <is>
          <t>USA</t>
        </is>
      </c>
      <c r="D105" t="inlineStr">
        <is>
          <t>USD</t>
        </is>
      </c>
      <c r="E105" t="inlineStr">
        <is>
          <t>PL-O-080</t>
        </is>
      </c>
      <c r="F105" t="inlineStr">
        <is>
          <t>Correo y mensajería</t>
        </is>
      </c>
      <c r="G105" t="inlineStr">
        <is>
          <t>gasto_admin</t>
        </is>
      </c>
      <c r="H105" t="inlineStr">
        <is>
          <t>Servicios</t>
        </is>
      </c>
      <c r="I105" t="inlineStr">
        <is>
          <t>Administracion</t>
        </is>
      </c>
      <c r="J105" t="n">
        <v>11.36</v>
      </c>
      <c r="K105" t="n">
        <v>11.36</v>
      </c>
      <c r="L105" t="inlineStr">
        <is>
          <t>Enero 2026 USA.xlsx</t>
        </is>
      </c>
      <c r="M105" t="inlineStr">
        <is>
          <t>Aprobado</t>
        </is>
      </c>
      <c r="N105" t="inlineStr">
        <is>
          <t>Puente para redise?ar vistas de Costos &amp; Gastos; no reemplaza P&amp;G oficial. Convertido a USD con la tasa promedio mensual del pais.</t>
        </is>
      </c>
    </row>
    <row r="106">
      <c r="A106" t="inlineStr">
        <is>
          <t>2026-01</t>
        </is>
      </c>
      <c r="B106" t="inlineStr">
        <is>
          <t>Estados Unidos</t>
        </is>
      </c>
      <c r="C106" t="inlineStr">
        <is>
          <t>USA</t>
        </is>
      </c>
      <c r="D106" t="inlineStr">
        <is>
          <t>USD</t>
        </is>
      </c>
      <c r="E106" t="inlineStr">
        <is>
          <t>PL-O-100</t>
        </is>
      </c>
      <c r="F106" t="inlineStr">
        <is>
          <t>Otros servicios administrativos</t>
        </is>
      </c>
      <c r="G106" t="inlineStr">
        <is>
          <t>gasto_admin</t>
        </is>
      </c>
      <c r="H106" t="inlineStr">
        <is>
          <t>Servicios</t>
        </is>
      </c>
      <c r="I106" t="inlineStr">
        <is>
          <t>Administracion</t>
        </is>
      </c>
      <c r="J106" t="n">
        <v>228.63</v>
      </c>
      <c r="K106" t="n">
        <v>228.63</v>
      </c>
      <c r="L106" t="inlineStr">
        <is>
          <t>Enero 2026 USA.xlsx</t>
        </is>
      </c>
      <c r="M106" t="inlineStr">
        <is>
          <t>Revisar</t>
        </is>
      </c>
      <c r="N106" t="inlineStr">
        <is>
          <t>Puente para redise?ar vistas de Costos &amp; Gastos; no reemplaza P&amp;G oficial. Convertido a USD con la tasa promedio mensual del pais.</t>
        </is>
      </c>
    </row>
    <row r="107">
      <c r="A107" t="inlineStr">
        <is>
          <t>2026-01</t>
        </is>
      </c>
      <c r="B107" t="inlineStr">
        <is>
          <t>Estados Unidos</t>
        </is>
      </c>
      <c r="C107" t="inlineStr">
        <is>
          <t>USA</t>
        </is>
      </c>
      <c r="D107" t="inlineStr">
        <is>
          <t>USD</t>
        </is>
      </c>
      <c r="E107" t="inlineStr">
        <is>
          <t>PL-O-110</t>
        </is>
      </c>
      <c r="F107" t="inlineStr">
        <is>
          <t>Suministros y oficina</t>
        </is>
      </c>
      <c r="G107" t="inlineStr">
        <is>
          <t>gasto_admin</t>
        </is>
      </c>
      <c r="H107" t="inlineStr">
        <is>
          <t>Diversos</t>
        </is>
      </c>
      <c r="I107" t="inlineStr">
        <is>
          <t>Administracion</t>
        </is>
      </c>
      <c r="J107" t="n">
        <v>50.73</v>
      </c>
      <c r="K107" t="n">
        <v>50.73</v>
      </c>
      <c r="L107" t="inlineStr">
        <is>
          <t>Enero 2026 USA.xlsx</t>
        </is>
      </c>
      <c r="M107" t="inlineStr">
        <is>
          <t>Aprobado</t>
        </is>
      </c>
      <c r="N107" t="inlineStr">
        <is>
          <t>Puente para redise?ar vistas de Costos &amp; Gastos; no reemplaza P&amp;G oficial. Convertido a USD con la tasa promedio mensual del pais.</t>
        </is>
      </c>
    </row>
    <row r="108">
      <c r="A108" t="inlineStr">
        <is>
          <t>2026-01</t>
        </is>
      </c>
      <c r="B108" t="inlineStr">
        <is>
          <t>Estados Unidos</t>
        </is>
      </c>
      <c r="C108" t="inlineStr">
        <is>
          <t>USA</t>
        </is>
      </c>
      <c r="D108" t="inlineStr">
        <is>
          <t>USD</t>
        </is>
      </c>
      <c r="E108" t="inlineStr">
        <is>
          <t>PL-O-120</t>
        </is>
      </c>
      <c r="F108" t="inlineStr">
        <is>
          <t>Alimentación y restaurante</t>
        </is>
      </c>
      <c r="G108" t="inlineStr">
        <is>
          <t>gasto_admin</t>
        </is>
      </c>
      <c r="H108" t="inlineStr">
        <is>
          <t>Diversos</t>
        </is>
      </c>
      <c r="I108" t="inlineStr">
        <is>
          <t>Administracion</t>
        </is>
      </c>
      <c r="J108" t="n">
        <v>177.68</v>
      </c>
      <c r="K108" t="n">
        <v>177.68</v>
      </c>
      <c r="L108" t="inlineStr">
        <is>
          <t>Enero 2026 USA.xlsx</t>
        </is>
      </c>
      <c r="M108" t="inlineStr">
        <is>
          <t>Revisar</t>
        </is>
      </c>
      <c r="N108" t="inlineStr">
        <is>
          <t>Puente para redise?ar vistas de Costos &amp; Gastos; no reemplaza P&amp;G oficial. Convertido a USD con la tasa promedio mensual del pais.</t>
        </is>
      </c>
    </row>
    <row r="109">
      <c r="A109" t="inlineStr">
        <is>
          <t>2026-01</t>
        </is>
      </c>
      <c r="B109" t="inlineStr">
        <is>
          <t>Estados Unidos</t>
        </is>
      </c>
      <c r="C109" t="inlineStr">
        <is>
          <t>USA</t>
        </is>
      </c>
      <c r="D109" t="inlineStr">
        <is>
          <t>USD</t>
        </is>
      </c>
      <c r="E109" t="inlineStr">
        <is>
          <t>PL-O-120</t>
        </is>
      </c>
      <c r="F109" t="inlineStr">
        <is>
          <t>Alimentación y restaurante</t>
        </is>
      </c>
      <c r="G109" t="inlineStr">
        <is>
          <t>gasto_admin</t>
        </is>
      </c>
      <c r="H109" t="inlineStr">
        <is>
          <t>Diversos</t>
        </is>
      </c>
      <c r="I109" t="inlineStr">
        <is>
          <t>Administracion</t>
        </is>
      </c>
      <c r="J109" t="n">
        <v>248</v>
      </c>
      <c r="K109" t="n">
        <v>248</v>
      </c>
      <c r="L109" t="inlineStr">
        <is>
          <t>Enero 2026 USA.xlsx</t>
        </is>
      </c>
      <c r="M109" t="inlineStr">
        <is>
          <t>Revisar</t>
        </is>
      </c>
      <c r="N109" t="inlineStr">
        <is>
          <t>Puente para redise?ar vistas de Costos &amp; Gastos; no reemplaza P&amp;G oficial. Convertido a USD con la tasa promedio mensual del pais.</t>
        </is>
      </c>
    </row>
    <row r="110">
      <c r="A110" t="inlineStr">
        <is>
          <t>2026-01</t>
        </is>
      </c>
      <c r="B110" t="inlineStr">
        <is>
          <t>Estados Unidos</t>
        </is>
      </c>
      <c r="C110" t="inlineStr">
        <is>
          <t>USA</t>
        </is>
      </c>
      <c r="D110" t="inlineStr">
        <is>
          <t>USD</t>
        </is>
      </c>
      <c r="E110" t="inlineStr">
        <is>
          <t>PL-O-120</t>
        </is>
      </c>
      <c r="F110" t="inlineStr">
        <is>
          <t>Alimentación y restaurante</t>
        </is>
      </c>
      <c r="G110" t="inlineStr">
        <is>
          <t>gasto_admin</t>
        </is>
      </c>
      <c r="H110" t="inlineStr">
        <is>
          <t>Diversos</t>
        </is>
      </c>
      <c r="I110" t="inlineStr">
        <is>
          <t>Administracion</t>
        </is>
      </c>
      <c r="J110" t="n">
        <v>30.09</v>
      </c>
      <c r="K110" t="n">
        <v>30.09</v>
      </c>
      <c r="L110" t="inlineStr">
        <is>
          <t>Enero 2026 USA.xlsx</t>
        </is>
      </c>
      <c r="M110" t="inlineStr">
        <is>
          <t>Revisar</t>
        </is>
      </c>
      <c r="N110" t="inlineStr">
        <is>
          <t>Puente para redise?ar vistas de Costos &amp; Gastos; no reemplaza P&amp;G oficial. Convertido a USD con la tasa promedio mensual del pais.</t>
        </is>
      </c>
    </row>
    <row r="111">
      <c r="A111" t="inlineStr">
        <is>
          <t>2026-01</t>
        </is>
      </c>
      <c r="B111" t="inlineStr">
        <is>
          <t>Estados Unidos</t>
        </is>
      </c>
      <c r="C111" t="inlineStr">
        <is>
          <t>USA</t>
        </is>
      </c>
      <c r="D111" t="inlineStr">
        <is>
          <t>USD</t>
        </is>
      </c>
      <c r="E111" t="inlineStr">
        <is>
          <t>PL-O-020</t>
        </is>
      </c>
      <c r="F111" t="inlineStr">
        <is>
          <t>Honorarios y servicios profesionales</t>
        </is>
      </c>
      <c r="G111" t="inlineStr">
        <is>
          <t>gasto_admin</t>
        </is>
      </c>
      <c r="H111" t="inlineStr">
        <is>
          <t>Honorarios</t>
        </is>
      </c>
      <c r="I111" t="inlineStr">
        <is>
          <t>Administracion</t>
        </is>
      </c>
      <c r="J111" t="n">
        <v>1500</v>
      </c>
      <c r="K111" t="n">
        <v>1500</v>
      </c>
      <c r="L111" t="inlineStr">
        <is>
          <t>Enero 2026 USA.xlsx</t>
        </is>
      </c>
      <c r="M111" t="inlineStr">
        <is>
          <t>Aprobado</t>
        </is>
      </c>
      <c r="N111" t="inlineStr">
        <is>
          <t>Puente para redise?ar vistas de Costos &amp; Gastos; no reemplaza P&amp;G oficial. Convertido a USD con la tasa promedio mensual del pais.</t>
        </is>
      </c>
    </row>
    <row r="112">
      <c r="A112" t="inlineStr">
        <is>
          <t>2026-01</t>
        </is>
      </c>
      <c r="B112" t="inlineStr">
        <is>
          <t>Estados Unidos</t>
        </is>
      </c>
      <c r="C112" t="inlineStr">
        <is>
          <t>USA</t>
        </is>
      </c>
      <c r="D112" t="inlineStr">
        <is>
          <t>USD</t>
        </is>
      </c>
      <c r="E112" t="inlineStr">
        <is>
          <t>PL-S-030</t>
        </is>
      </c>
      <c r="F112" t="inlineStr">
        <is>
          <t>Otros servicios comerciales</t>
        </is>
      </c>
      <c r="G112" t="inlineStr">
        <is>
          <t>gasto_comercial</t>
        </is>
      </c>
      <c r="H112" t="inlineStr">
        <is>
          <t>Servicios</t>
        </is>
      </c>
      <c r="I112" t="inlineStr">
        <is>
          <t>Comercial</t>
        </is>
      </c>
      <c r="J112" t="n">
        <v>648</v>
      </c>
      <c r="K112" t="n">
        <v>648</v>
      </c>
      <c r="L112" t="inlineStr">
        <is>
          <t>Enero 2026 USA.xlsx</t>
        </is>
      </c>
      <c r="M112" t="inlineStr">
        <is>
          <t>Revisar</t>
        </is>
      </c>
      <c r="N112" t="inlineStr">
        <is>
          <t>Puente para redise?ar vistas de Costos &amp; Gastos; no reemplaza P&amp;G oficial. Convertido a USD con la tasa promedio mensual del pais.</t>
        </is>
      </c>
    </row>
    <row r="113">
      <c r="A113" t="inlineStr">
        <is>
          <t>2026-01</t>
        </is>
      </c>
      <c r="B113" t="inlineStr">
        <is>
          <t>Estados Unidos</t>
        </is>
      </c>
      <c r="C113" t="inlineStr">
        <is>
          <t>USA</t>
        </is>
      </c>
      <c r="D113" t="inlineStr">
        <is>
          <t>USD</t>
        </is>
      </c>
      <c r="E113" t="inlineStr">
        <is>
          <t>PL-F-010</t>
        </is>
      </c>
      <c r="F113" t="inlineStr">
        <is>
          <t>Gastos financieros</t>
        </is>
      </c>
      <c r="G113" t="inlineStr">
        <is>
          <t>gasto_area</t>
        </is>
      </c>
      <c r="H113" t="inlineStr">
        <is>
          <t>Financieros</t>
        </is>
      </c>
      <c r="I113" t="inlineStr">
        <is>
          <t>Financieros</t>
        </is>
      </c>
      <c r="J113" t="n">
        <v>75</v>
      </c>
      <c r="K113" t="n">
        <v>75</v>
      </c>
      <c r="L113" t="inlineStr">
        <is>
          <t>Enero 2026 USA.xlsx</t>
        </is>
      </c>
      <c r="M113" t="inlineStr">
        <is>
          <t>Aprobado</t>
        </is>
      </c>
      <c r="N113" t="inlineStr">
        <is>
          <t>Puente para redise?ar vistas de Costos &amp; Gastos; no reemplaza P&amp;G oficial. Convertido a USD con la tasa promedio mensual del pais.</t>
        </is>
      </c>
    </row>
    <row r="114">
      <c r="A114" t="inlineStr">
        <is>
          <t>2026-01</t>
        </is>
      </c>
      <c r="B114" t="inlineStr">
        <is>
          <t>Estados Unidos</t>
        </is>
      </c>
      <c r="C114" t="inlineStr">
        <is>
          <t>USA</t>
        </is>
      </c>
      <c r="D114" t="inlineStr">
        <is>
          <t>USD</t>
        </is>
      </c>
      <c r="E114" t="inlineStr">
        <is>
          <t>PL-F-010</t>
        </is>
      </c>
      <c r="F114" t="inlineStr">
        <is>
          <t>Gastos financieros</t>
        </is>
      </c>
      <c r="G114" t="inlineStr">
        <is>
          <t>gasto_area</t>
        </is>
      </c>
      <c r="H114" t="inlineStr">
        <is>
          <t>Financieros</t>
        </is>
      </c>
      <c r="I114" t="inlineStr">
        <is>
          <t>Financieros</t>
        </is>
      </c>
      <c r="J114" t="n">
        <v>0.9</v>
      </c>
      <c r="K114" t="n">
        <v>0.9</v>
      </c>
      <c r="L114" t="inlineStr">
        <is>
          <t>Enero 2026 USA.xlsx</t>
        </is>
      </c>
      <c r="M114" t="inlineStr">
        <is>
          <t>Aprobado</t>
        </is>
      </c>
      <c r="N114" t="inlineStr">
        <is>
          <t>Puente para redise?ar vistas de Costos &amp; Gastos; no reemplaza P&amp;G oficial. Convertido a USD con la tasa promedio mensual del pais.</t>
        </is>
      </c>
    </row>
    <row r="115">
      <c r="A115" t="inlineStr">
        <is>
          <t>2026-02</t>
        </is>
      </c>
      <c r="B115" t="inlineStr">
        <is>
          <t>Costa Rica</t>
        </is>
      </c>
      <c r="C115" t="inlineStr">
        <is>
          <t>CR</t>
        </is>
      </c>
      <c r="D115" t="inlineStr">
        <is>
          <t>USD</t>
        </is>
      </c>
      <c r="E115" t="inlineStr">
        <is>
          <t>PL-O-010</t>
        </is>
      </c>
      <c r="F115" t="inlineStr">
        <is>
          <t>Gastos de personal</t>
        </is>
      </c>
      <c r="G115" t="inlineStr">
        <is>
          <t>gasto_admin</t>
        </is>
      </c>
      <c r="H115" t="inlineStr">
        <is>
          <t>Personal</t>
        </is>
      </c>
      <c r="I115" t="inlineStr">
        <is>
          <t>Administracion</t>
        </is>
      </c>
      <c r="J115" t="n">
        <v>1200</v>
      </c>
      <c r="K115" t="n">
        <v>3600</v>
      </c>
      <c r="L115" t="inlineStr">
        <is>
          <t>Febrero 2026 CR.xlsx</t>
        </is>
      </c>
      <c r="M115" t="inlineStr">
        <is>
          <t>Aprobado</t>
        </is>
      </c>
      <c r="N115" t="inlineStr">
        <is>
          <t>Puente para redise?ar vistas de Costos &amp; Gastos; no reemplaza P&amp;G oficial. Convertido a USD con la tasa promedio mensual del pais.</t>
        </is>
      </c>
    </row>
    <row r="116">
      <c r="A116" t="inlineStr">
        <is>
          <t>2026-02</t>
        </is>
      </c>
      <c r="B116" t="inlineStr">
        <is>
          <t>Costa Rica</t>
        </is>
      </c>
      <c r="C116" t="inlineStr">
        <is>
          <t>CR</t>
        </is>
      </c>
      <c r="D116" t="inlineStr">
        <is>
          <t>USD</t>
        </is>
      </c>
      <c r="E116" t="inlineStr">
        <is>
          <t>PL-O-090</t>
        </is>
      </c>
      <c r="F116" t="inlineStr">
        <is>
          <t>Viajes y representación</t>
        </is>
      </c>
      <c r="G116" t="inlineStr">
        <is>
          <t>gasto_admin</t>
        </is>
      </c>
      <c r="H116" t="inlineStr">
        <is>
          <t>Viajes</t>
        </is>
      </c>
      <c r="I116" t="inlineStr">
        <is>
          <t>Administracion</t>
        </is>
      </c>
      <c r="J116" t="n">
        <v>300</v>
      </c>
      <c r="K116" t="n">
        <v>900</v>
      </c>
      <c r="L116" t="inlineStr">
        <is>
          <t>Febrero 2026 CR.xlsx</t>
        </is>
      </c>
      <c r="M116" t="inlineStr">
        <is>
          <t>Aprobado</t>
        </is>
      </c>
      <c r="N116" t="inlineStr">
        <is>
          <t>Puente para redise?ar vistas de Costos &amp; Gastos; no reemplaza P&amp;G oficial. Convertido a USD con la tasa promedio mensual del pais.</t>
        </is>
      </c>
    </row>
    <row r="117">
      <c r="A117" t="inlineStr">
        <is>
          <t>2026-02</t>
        </is>
      </c>
      <c r="B117" t="inlineStr">
        <is>
          <t>Costa Rica</t>
        </is>
      </c>
      <c r="C117" t="inlineStr">
        <is>
          <t>CR</t>
        </is>
      </c>
      <c r="D117" t="inlineStr">
        <is>
          <t>USD</t>
        </is>
      </c>
      <c r="E117" t="inlineStr">
        <is>
          <t>PL-O-010</t>
        </is>
      </c>
      <c r="F117" t="inlineStr">
        <is>
          <t>Gastos de personal</t>
        </is>
      </c>
      <c r="G117" t="inlineStr">
        <is>
          <t>gasto_admin</t>
        </is>
      </c>
      <c r="H117" t="inlineStr">
        <is>
          <t>Personal</t>
        </is>
      </c>
      <c r="I117" t="inlineStr">
        <is>
          <t>Administracion</t>
        </is>
      </c>
      <c r="J117" t="n">
        <v>400</v>
      </c>
      <c r="K117" t="n">
        <v>1212.37</v>
      </c>
      <c r="L117" t="inlineStr">
        <is>
          <t>Febrero 2026 CR.xlsx</t>
        </is>
      </c>
      <c r="M117" t="inlineStr">
        <is>
          <t>Aprobado</t>
        </is>
      </c>
      <c r="N117" t="inlineStr">
        <is>
          <t>Puente para redise?ar vistas de Costos &amp; Gastos; no reemplaza P&amp;G oficial. Convertido a USD con la tasa promedio mensual del pais.</t>
        </is>
      </c>
    </row>
    <row r="118">
      <c r="A118" t="inlineStr">
        <is>
          <t>2026-02</t>
        </is>
      </c>
      <c r="B118" t="inlineStr">
        <is>
          <t>Costa Rica</t>
        </is>
      </c>
      <c r="C118" t="inlineStr">
        <is>
          <t>CR</t>
        </is>
      </c>
      <c r="D118" t="inlineStr">
        <is>
          <t>USD</t>
        </is>
      </c>
      <c r="E118" t="inlineStr">
        <is>
          <t>PL-O-020</t>
        </is>
      </c>
      <c r="F118" t="inlineStr">
        <is>
          <t>Honorarios y servicios profesionales</t>
        </is>
      </c>
      <c r="G118" t="inlineStr">
        <is>
          <t>gasto_admin</t>
        </is>
      </c>
      <c r="H118" t="inlineStr">
        <is>
          <t>Honorarios</t>
        </is>
      </c>
      <c r="I118" t="inlineStr">
        <is>
          <t>Administracion</t>
        </is>
      </c>
      <c r="J118" t="n">
        <v>47.76</v>
      </c>
      <c r="K118" t="n">
        <v>270.35</v>
      </c>
      <c r="L118" t="inlineStr">
        <is>
          <t>Febrero 2026 CR.xlsx</t>
        </is>
      </c>
      <c r="M118" t="inlineStr">
        <is>
          <t>Aprobado</t>
        </is>
      </c>
      <c r="N118" t="inlineStr">
        <is>
          <t>Puente para redise?ar vistas de Costos &amp; Gastos; no reemplaza P&amp;G oficial. Convertido a USD con la tasa promedio mensual del pais.</t>
        </is>
      </c>
    </row>
    <row r="119">
      <c r="A119" t="inlineStr">
        <is>
          <t>2026-02</t>
        </is>
      </c>
      <c r="B119" t="inlineStr">
        <is>
          <t>Costa Rica</t>
        </is>
      </c>
      <c r="C119" t="inlineStr">
        <is>
          <t>CR</t>
        </is>
      </c>
      <c r="D119" t="inlineStr">
        <is>
          <t>USD</t>
        </is>
      </c>
      <c r="E119" t="inlineStr">
        <is>
          <t>PL-O-030</t>
        </is>
      </c>
      <c r="F119" t="inlineStr">
        <is>
          <t>Impuestos y contribuciones</t>
        </is>
      </c>
      <c r="G119" t="inlineStr">
        <is>
          <t>gasto_admin</t>
        </is>
      </c>
      <c r="H119" t="inlineStr">
        <is>
          <t>Diversos</t>
        </is>
      </c>
      <c r="I119" t="inlineStr">
        <is>
          <t>Administracion</t>
        </is>
      </c>
      <c r="J119" t="n">
        <v>12</v>
      </c>
      <c r="K119" t="n">
        <v>252.73</v>
      </c>
      <c r="L119" t="inlineStr">
        <is>
          <t>Febrero 2026 CR.xlsx</t>
        </is>
      </c>
      <c r="M119" t="inlineStr">
        <is>
          <t>Aprobado</t>
        </is>
      </c>
      <c r="N119" t="inlineStr">
        <is>
          <t>Puente para redise?ar vistas de Costos &amp; Gastos; no reemplaza P&amp;G oficial. Convertido a USD con la tasa promedio mensual del pais.</t>
        </is>
      </c>
    </row>
    <row r="120">
      <c r="A120" t="inlineStr">
        <is>
          <t>2026-02</t>
        </is>
      </c>
      <c r="B120" t="inlineStr">
        <is>
          <t>Costa Rica</t>
        </is>
      </c>
      <c r="C120" t="inlineStr">
        <is>
          <t>CR</t>
        </is>
      </c>
      <c r="D120" t="inlineStr">
        <is>
          <t>USD</t>
        </is>
      </c>
      <c r="E120" t="inlineStr">
        <is>
          <t>PL-O-030</t>
        </is>
      </c>
      <c r="F120" t="inlineStr">
        <is>
          <t>Impuestos y contribuciones</t>
        </is>
      </c>
      <c r="G120" t="inlineStr">
        <is>
          <t>gasto_admin</t>
        </is>
      </c>
      <c r="H120" t="inlineStr">
        <is>
          <t>Diversos</t>
        </is>
      </c>
      <c r="I120" t="inlineStr">
        <is>
          <t>Administracion</t>
        </is>
      </c>
      <c r="J120" t="n">
        <v>26.55</v>
      </c>
      <c r="K120" t="n">
        <v>26.55</v>
      </c>
      <c r="L120" t="inlineStr">
        <is>
          <t>Febrero 2026 CR.xlsx</t>
        </is>
      </c>
      <c r="M120" t="inlineStr">
        <is>
          <t>Aprobado</t>
        </is>
      </c>
      <c r="N120" t="inlineStr">
        <is>
          <t>Puente para redise?ar vistas de Costos &amp; Gastos; no reemplaza P&amp;G oficial. Convertido a USD con la tasa promedio mensual del pais.</t>
        </is>
      </c>
    </row>
    <row r="121">
      <c r="A121" t="inlineStr">
        <is>
          <t>2026-02</t>
        </is>
      </c>
      <c r="B121" t="inlineStr">
        <is>
          <t>Costa Rica</t>
        </is>
      </c>
      <c r="C121" t="inlineStr">
        <is>
          <t>CR</t>
        </is>
      </c>
      <c r="D121" t="inlineStr">
        <is>
          <t>USD</t>
        </is>
      </c>
      <c r="E121" t="inlineStr">
        <is>
          <t>PL-O-030</t>
        </is>
      </c>
      <c r="F121" t="inlineStr">
        <is>
          <t>Impuestos y contribuciones</t>
        </is>
      </c>
      <c r="G121" t="inlineStr">
        <is>
          <t>gasto_admin</t>
        </is>
      </c>
      <c r="H121" t="inlineStr">
        <is>
          <t>Diversos</t>
        </is>
      </c>
      <c r="I121" t="inlineStr">
        <is>
          <t>Administracion</t>
        </is>
      </c>
      <c r="J121" t="n">
        <v>64.79000000000001</v>
      </c>
      <c r="K121" t="n">
        <v>64.79000000000001</v>
      </c>
      <c r="L121" t="inlineStr">
        <is>
          <t>Febrero 2026 CR.xlsx</t>
        </is>
      </c>
      <c r="M121" t="inlineStr">
        <is>
          <t>Aprobado</t>
        </is>
      </c>
      <c r="N121" t="inlineStr">
        <is>
          <t>Puente para redise?ar vistas de Costos &amp; Gastos; no reemplaza P&amp;G oficial. Convertido a USD con la tasa promedio mensual del pais.</t>
        </is>
      </c>
    </row>
    <row r="122">
      <c r="A122" t="inlineStr">
        <is>
          <t>2026-02</t>
        </is>
      </c>
      <c r="B122" t="inlineStr">
        <is>
          <t>Costa Rica</t>
        </is>
      </c>
      <c r="C122" t="inlineStr">
        <is>
          <t>CR</t>
        </is>
      </c>
      <c r="D122" t="inlineStr">
        <is>
          <t>USD</t>
        </is>
      </c>
      <c r="E122" t="inlineStr">
        <is>
          <t>PL-O-050</t>
        </is>
      </c>
      <c r="F122" t="inlineStr">
        <is>
          <t>Seguros</t>
        </is>
      </c>
      <c r="G122" t="inlineStr">
        <is>
          <t>gasto_admin</t>
        </is>
      </c>
      <c r="H122" t="inlineStr">
        <is>
          <t>Seguros</t>
        </is>
      </c>
      <c r="I122" t="inlineStr">
        <is>
          <t>Administracion</t>
        </is>
      </c>
      <c r="J122" t="n">
        <v>70.81</v>
      </c>
      <c r="K122" t="n">
        <v>70.81</v>
      </c>
      <c r="L122" t="inlineStr">
        <is>
          <t>Febrero 2026 CR.xlsx</t>
        </is>
      </c>
      <c r="M122" t="inlineStr">
        <is>
          <t>Aprobado</t>
        </is>
      </c>
      <c r="N122" t="inlineStr">
        <is>
          <t>Puente para redise?ar vistas de Costos &amp; Gastos; no reemplaza P&amp;G oficial. Convertido a USD con la tasa promedio mensual del pais.</t>
        </is>
      </c>
    </row>
    <row r="123">
      <c r="A123" t="inlineStr">
        <is>
          <t>2026-02</t>
        </is>
      </c>
      <c r="B123" t="inlineStr">
        <is>
          <t>Costa Rica</t>
        </is>
      </c>
      <c r="C123" t="inlineStr">
        <is>
          <t>CR</t>
        </is>
      </c>
      <c r="D123" t="inlineStr">
        <is>
          <t>USD</t>
        </is>
      </c>
      <c r="E123" t="inlineStr">
        <is>
          <t>PL-O-110</t>
        </is>
      </c>
      <c r="F123" t="inlineStr">
        <is>
          <t>Suministros y oficina</t>
        </is>
      </c>
      <c r="G123" t="inlineStr">
        <is>
          <t>gasto_admin</t>
        </is>
      </c>
      <c r="H123" t="inlineStr">
        <is>
          <t>Diversos</t>
        </is>
      </c>
      <c r="I123" t="inlineStr">
        <is>
          <t>Administracion</t>
        </is>
      </c>
      <c r="J123" t="n">
        <v>39.61</v>
      </c>
      <c r="K123" t="n">
        <v>39.61</v>
      </c>
      <c r="L123" t="inlineStr">
        <is>
          <t>Febrero 2026 CR.xlsx</t>
        </is>
      </c>
      <c r="M123" t="inlineStr">
        <is>
          <t>Aprobado</t>
        </is>
      </c>
      <c r="N123" t="inlineStr">
        <is>
          <t>Puente para redise?ar vistas de Costos &amp; Gastos; no reemplaza P&amp;G oficial. Convertido a USD con la tasa promedio mensual del pais.</t>
        </is>
      </c>
    </row>
    <row r="124">
      <c r="A124" t="inlineStr">
        <is>
          <t>2026-02</t>
        </is>
      </c>
      <c r="B124" t="inlineStr">
        <is>
          <t>Costa Rica</t>
        </is>
      </c>
      <c r="C124" t="inlineStr">
        <is>
          <t>CR</t>
        </is>
      </c>
      <c r="D124" t="inlineStr">
        <is>
          <t>USD</t>
        </is>
      </c>
      <c r="E124" t="inlineStr">
        <is>
          <t>PL-O-110</t>
        </is>
      </c>
      <c r="F124" t="inlineStr">
        <is>
          <t>Suministros y oficina</t>
        </is>
      </c>
      <c r="G124" t="inlineStr">
        <is>
          <t>gasto_admin</t>
        </is>
      </c>
      <c r="H124" t="inlineStr">
        <is>
          <t>Diversos</t>
        </is>
      </c>
      <c r="I124" t="inlineStr">
        <is>
          <t>Administracion</t>
        </is>
      </c>
      <c r="J124" t="n">
        <v>74.31</v>
      </c>
      <c r="K124" t="n">
        <v>74.31</v>
      </c>
      <c r="L124" t="inlineStr">
        <is>
          <t>Febrero 2026 CR.xlsx</t>
        </is>
      </c>
      <c r="M124" t="inlineStr">
        <is>
          <t>Aprobado</t>
        </is>
      </c>
      <c r="N124" t="inlineStr">
        <is>
          <t>Puente para redise?ar vistas de Costos &amp; Gastos; no reemplaza P&amp;G oficial. Convertido a USD con la tasa promedio mensual del pais.</t>
        </is>
      </c>
    </row>
    <row r="125">
      <c r="A125" t="inlineStr">
        <is>
          <t>2026-02</t>
        </is>
      </c>
      <c r="B125" t="inlineStr">
        <is>
          <t>Costa Rica</t>
        </is>
      </c>
      <c r="C125" t="inlineStr">
        <is>
          <t>CR</t>
        </is>
      </c>
      <c r="D125" t="inlineStr">
        <is>
          <t>USD</t>
        </is>
      </c>
      <c r="E125" t="inlineStr">
        <is>
          <t>PL-O-110</t>
        </is>
      </c>
      <c r="F125" t="inlineStr">
        <is>
          <t>Suministros y oficina</t>
        </is>
      </c>
      <c r="G125" t="inlineStr">
        <is>
          <t>gasto_admin</t>
        </is>
      </c>
      <c r="H125" t="inlineStr">
        <is>
          <t>Diversos</t>
        </is>
      </c>
      <c r="I125" t="inlineStr">
        <is>
          <t>Administracion</t>
        </is>
      </c>
      <c r="J125" t="n">
        <v>0</v>
      </c>
      <c r="K125" t="n">
        <v>15</v>
      </c>
      <c r="L125" t="inlineStr">
        <is>
          <t>Febrero 2026 CR.xlsx</t>
        </is>
      </c>
      <c r="M125" t="inlineStr">
        <is>
          <t>Aprobado</t>
        </is>
      </c>
      <c r="N125" t="inlineStr">
        <is>
          <t>Puente para redise?ar vistas de Costos &amp; Gastos; no reemplaza P&amp;G oficial. Convertido a USD con la tasa promedio mensual del pais.</t>
        </is>
      </c>
    </row>
    <row r="126">
      <c r="A126" t="inlineStr">
        <is>
          <t>2026-02</t>
        </is>
      </c>
      <c r="B126" t="inlineStr">
        <is>
          <t>Costa Rica</t>
        </is>
      </c>
      <c r="C126" t="inlineStr">
        <is>
          <t>CR</t>
        </is>
      </c>
      <c r="D126" t="inlineStr">
        <is>
          <t>USD</t>
        </is>
      </c>
      <c r="E126" t="inlineStr">
        <is>
          <t>PL-O-110</t>
        </is>
      </c>
      <c r="F126" t="inlineStr">
        <is>
          <t>Suministros y oficina</t>
        </is>
      </c>
      <c r="G126" t="inlineStr">
        <is>
          <t>gasto_admin</t>
        </is>
      </c>
      <c r="H126" t="inlineStr">
        <is>
          <t>Diversos</t>
        </is>
      </c>
      <c r="I126" t="inlineStr">
        <is>
          <t>Administracion</t>
        </is>
      </c>
      <c r="J126" t="n">
        <v>0</v>
      </c>
      <c r="K126" t="n">
        <v>7</v>
      </c>
      <c r="L126" t="inlineStr">
        <is>
          <t>Febrero 2026 CR.xlsx</t>
        </is>
      </c>
      <c r="M126" t="inlineStr">
        <is>
          <t>Aprobado</t>
        </is>
      </c>
      <c r="N126" t="inlineStr">
        <is>
          <t>Puente para redise?ar vistas de Costos &amp; Gastos; no reemplaza P&amp;G oficial. Convertido a USD con la tasa promedio mensual del pais.</t>
        </is>
      </c>
    </row>
    <row r="127">
      <c r="A127" t="inlineStr">
        <is>
          <t>2026-02</t>
        </is>
      </c>
      <c r="B127" t="inlineStr">
        <is>
          <t>Costa Rica</t>
        </is>
      </c>
      <c r="C127" t="inlineStr">
        <is>
          <t>CR</t>
        </is>
      </c>
      <c r="D127" t="inlineStr">
        <is>
          <t>USD</t>
        </is>
      </c>
      <c r="E127" t="inlineStr">
        <is>
          <t>PL-F-010</t>
        </is>
      </c>
      <c r="F127" t="inlineStr">
        <is>
          <t>Gastos financieros</t>
        </is>
      </c>
      <c r="G127" t="inlineStr">
        <is>
          <t>gasto_area</t>
        </is>
      </c>
      <c r="H127" t="inlineStr">
        <is>
          <t>Financieros</t>
        </is>
      </c>
      <c r="I127" t="inlineStr">
        <is>
          <t>Financieros</t>
        </is>
      </c>
      <c r="J127" t="n">
        <v>30</v>
      </c>
      <c r="K127" t="n">
        <v>80</v>
      </c>
      <c r="L127" t="inlineStr">
        <is>
          <t>Febrero 2026 CR.xlsx</t>
        </is>
      </c>
      <c r="M127" t="inlineStr">
        <is>
          <t>Aprobado</t>
        </is>
      </c>
      <c r="N127" t="inlineStr">
        <is>
          <t>Puente para redise?ar vistas de Costos &amp; Gastos; no reemplaza P&amp;G oficial. Convertido a USD con la tasa promedio mensual del pais.</t>
        </is>
      </c>
    </row>
    <row r="128">
      <c r="A128" t="inlineStr">
        <is>
          <t>2026-02</t>
        </is>
      </c>
      <c r="B128" t="inlineStr">
        <is>
          <t>Peru</t>
        </is>
      </c>
      <c r="C128" t="inlineStr">
        <is>
          <t>PERU</t>
        </is>
      </c>
      <c r="D128" t="inlineStr">
        <is>
          <t>USD</t>
        </is>
      </c>
      <c r="E128" t="inlineStr">
        <is>
          <t>PL-O-020</t>
        </is>
      </c>
      <c r="F128" t="inlineStr">
        <is>
          <t>Honorarios y servicios profesionales</t>
        </is>
      </c>
      <c r="G128" t="inlineStr">
        <is>
          <t>gasto_admin</t>
        </is>
      </c>
      <c r="H128" t="inlineStr">
        <is>
          <t>Honorarios</t>
        </is>
      </c>
      <c r="I128" t="inlineStr">
        <is>
          <t>Administracion</t>
        </is>
      </c>
      <c r="J128" t="n">
        <v>150.54</v>
      </c>
      <c r="K128" t="n">
        <v>150.54</v>
      </c>
      <c r="L128" t="inlineStr">
        <is>
          <t>Febrero 2026 PERU.xlsx</t>
        </is>
      </c>
      <c r="M128" t="inlineStr">
        <is>
          <t>Aprobado</t>
        </is>
      </c>
      <c r="N128" t="inlineStr">
        <is>
          <t>Puente para redise?ar vistas de Costos &amp; Gastos; no reemplaza P&amp;G oficial. Convertido a USD con la tasa promedio mensual del pais.</t>
        </is>
      </c>
    </row>
    <row r="129">
      <c r="A129" t="inlineStr">
        <is>
          <t>2026-02</t>
        </is>
      </c>
      <c r="B129" t="inlineStr">
        <is>
          <t>Peru</t>
        </is>
      </c>
      <c r="C129" t="inlineStr">
        <is>
          <t>PERU</t>
        </is>
      </c>
      <c r="D129" t="inlineStr">
        <is>
          <t>USD</t>
        </is>
      </c>
      <c r="E129" t="inlineStr">
        <is>
          <t>PL-O-020</t>
        </is>
      </c>
      <c r="F129" t="inlineStr">
        <is>
          <t>Honorarios y servicios profesionales</t>
        </is>
      </c>
      <c r="G129" t="inlineStr">
        <is>
          <t>gasto_admin</t>
        </is>
      </c>
      <c r="H129" t="inlineStr">
        <is>
          <t>Honorarios</t>
        </is>
      </c>
      <c r="I129" t="inlineStr">
        <is>
          <t>Administracion</t>
        </is>
      </c>
      <c r="J129" t="n">
        <v>104.26</v>
      </c>
      <c r="K129" t="n">
        <v>104.26</v>
      </c>
      <c r="L129" t="inlineStr">
        <is>
          <t>Febrero 2026 PERU.xlsx</t>
        </is>
      </c>
      <c r="M129" t="inlineStr">
        <is>
          <t>Aprobado</t>
        </is>
      </c>
      <c r="N129" t="inlineStr">
        <is>
          <t>Puente para redise?ar vistas de Costos &amp; Gastos; no reemplaza P&amp;G oficial. Convertido a USD con la tasa promedio mensual del pais.</t>
        </is>
      </c>
    </row>
    <row r="130">
      <c r="A130" t="inlineStr">
        <is>
          <t>2026-02</t>
        </is>
      </c>
      <c r="B130" t="inlineStr">
        <is>
          <t>Peru</t>
        </is>
      </c>
      <c r="C130" t="inlineStr">
        <is>
          <t>PERU</t>
        </is>
      </c>
      <c r="D130" t="inlineStr">
        <is>
          <t>USD</t>
        </is>
      </c>
      <c r="E130" t="inlineStr">
        <is>
          <t>PL-S-010</t>
        </is>
      </c>
      <c r="F130" t="inlineStr">
        <is>
          <t>Honorarios comerciales y técnicos</t>
        </is>
      </c>
      <c r="G130" t="inlineStr">
        <is>
          <t>gasto_comercial</t>
        </is>
      </c>
      <c r="H130" t="inlineStr">
        <is>
          <t>Honorarios</t>
        </is>
      </c>
      <c r="I130" t="inlineStr">
        <is>
          <t>Comercial</t>
        </is>
      </c>
      <c r="J130" t="n">
        <v>0</v>
      </c>
      <c r="K130" t="n">
        <v>633.6</v>
      </c>
      <c r="L130" t="inlineStr">
        <is>
          <t>Febrero 2026 PERU.xlsx</t>
        </is>
      </c>
      <c r="M130" t="inlineStr">
        <is>
          <t>Aprobado</t>
        </is>
      </c>
      <c r="N130" t="inlineStr">
        <is>
          <t>Puente para redise?ar vistas de Costos &amp; Gastos; no reemplaza P&amp;G oficial. Convertido a USD con la tasa promedio mensual del pais.</t>
        </is>
      </c>
    </row>
    <row r="131">
      <c r="A131" t="inlineStr">
        <is>
          <t>2026-02</t>
        </is>
      </c>
      <c r="B131" t="inlineStr">
        <is>
          <t>Peru</t>
        </is>
      </c>
      <c r="C131" t="inlineStr">
        <is>
          <t>PERU</t>
        </is>
      </c>
      <c r="D131" t="inlineStr">
        <is>
          <t>USD</t>
        </is>
      </c>
      <c r="E131" t="inlineStr">
        <is>
          <t>PL-F-010</t>
        </is>
      </c>
      <c r="F131" t="inlineStr">
        <is>
          <t>Gastos financieros</t>
        </is>
      </c>
      <c r="G131" t="inlineStr">
        <is>
          <t>gasto_area</t>
        </is>
      </c>
      <c r="H131" t="inlineStr">
        <is>
          <t>Financieros</t>
        </is>
      </c>
      <c r="I131" t="inlineStr">
        <is>
          <t>Financieros</t>
        </is>
      </c>
      <c r="J131" t="n">
        <v>3.28</v>
      </c>
      <c r="K131" t="n">
        <v>6.57</v>
      </c>
      <c r="L131" t="inlineStr">
        <is>
          <t>Febrero 2026 PERU.xlsx</t>
        </is>
      </c>
      <c r="M131" t="inlineStr">
        <is>
          <t>Aprobado</t>
        </is>
      </c>
      <c r="N131" t="inlineStr">
        <is>
          <t>Puente para redise?ar vistas de Costos &amp; Gastos; no reemplaza P&amp;G oficial. Convertido a USD con la tasa promedio mensual del pais.</t>
        </is>
      </c>
    </row>
    <row r="132">
      <c r="A132" t="inlineStr">
        <is>
          <t>2026-02</t>
        </is>
      </c>
      <c r="B132" t="inlineStr">
        <is>
          <t>Peru</t>
        </is>
      </c>
      <c r="C132" t="inlineStr">
        <is>
          <t>PERU</t>
        </is>
      </c>
      <c r="D132" t="inlineStr">
        <is>
          <t>USD</t>
        </is>
      </c>
      <c r="E132" t="inlineStr">
        <is>
          <t>PL-F-010</t>
        </is>
      </c>
      <c r="F132" t="inlineStr">
        <is>
          <t>Gastos financieros</t>
        </is>
      </c>
      <c r="G132" t="inlineStr">
        <is>
          <t>gasto_area</t>
        </is>
      </c>
      <c r="H132" t="inlineStr">
        <is>
          <t>Financieros</t>
        </is>
      </c>
      <c r="I132" t="inlineStr">
        <is>
          <t>Financieros</t>
        </is>
      </c>
      <c r="J132" t="n">
        <v>1.01</v>
      </c>
      <c r="K132" t="n">
        <v>1.5</v>
      </c>
      <c r="L132" t="inlineStr">
        <is>
          <t>Febrero 2026 PERU.xlsx</t>
        </is>
      </c>
      <c r="M132" t="inlineStr">
        <is>
          <t>Aprobado</t>
        </is>
      </c>
      <c r="N132" t="inlineStr">
        <is>
          <t>Puente para redise?ar vistas de Costos &amp; Gastos; no reemplaza P&amp;G oficial. Convertido a USD con la tasa promedio mensual del pais.</t>
        </is>
      </c>
    </row>
    <row r="133">
      <c r="A133" t="inlineStr">
        <is>
          <t>2026-02</t>
        </is>
      </c>
      <c r="B133" t="inlineStr">
        <is>
          <t>Peru</t>
        </is>
      </c>
      <c r="C133" t="inlineStr">
        <is>
          <t>PERU</t>
        </is>
      </c>
      <c r="D133" t="inlineStr">
        <is>
          <t>USD</t>
        </is>
      </c>
      <c r="E133" t="inlineStr">
        <is>
          <t>PL-F-010</t>
        </is>
      </c>
      <c r="F133" t="inlineStr">
        <is>
          <t>Gastos financieros</t>
        </is>
      </c>
      <c r="G133" t="inlineStr">
        <is>
          <t>gasto_area</t>
        </is>
      </c>
      <c r="H133" t="inlineStr">
        <is>
          <t>Financieros</t>
        </is>
      </c>
      <c r="I133" t="inlineStr">
        <is>
          <t>Financieros</t>
        </is>
      </c>
      <c r="J133" t="n">
        <v>23.83</v>
      </c>
      <c r="K133" t="n">
        <v>47.66</v>
      </c>
      <c r="L133" t="inlineStr">
        <is>
          <t>Febrero 2026 PERU.xlsx</t>
        </is>
      </c>
      <c r="M133" t="inlineStr">
        <is>
          <t>Aprobado</t>
        </is>
      </c>
      <c r="N133" t="inlineStr">
        <is>
          <t>Puente para redise?ar vistas de Costos &amp; Gastos; no reemplaza P&amp;G oficial. Convertido a USD con la tasa promedio mensual del pais.</t>
        </is>
      </c>
    </row>
    <row r="134">
      <c r="A134" t="inlineStr">
        <is>
          <t>2026-02</t>
        </is>
      </c>
      <c r="B134" t="inlineStr">
        <is>
          <t>Estados Unidos</t>
        </is>
      </c>
      <c r="C134" t="inlineStr">
        <is>
          <t>USA</t>
        </is>
      </c>
      <c r="D134" t="inlineStr">
        <is>
          <t>USD</t>
        </is>
      </c>
      <c r="E134" t="inlineStr">
        <is>
          <t>PL-O-010</t>
        </is>
      </c>
      <c r="F134" t="inlineStr">
        <is>
          <t>Gastos de personal</t>
        </is>
      </c>
      <c r="G134" t="inlineStr">
        <is>
          <t>gasto_admin</t>
        </is>
      </c>
      <c r="H134" t="inlineStr">
        <is>
          <t>Personal</t>
        </is>
      </c>
      <c r="I134" t="inlineStr">
        <is>
          <t>Administracion</t>
        </is>
      </c>
      <c r="J134" t="n">
        <v>2592.17</v>
      </c>
      <c r="K134" t="n">
        <v>5184.34</v>
      </c>
      <c r="L134" t="inlineStr">
        <is>
          <t>Febrero 2026 USA.xlsx</t>
        </is>
      </c>
      <c r="M134" t="inlineStr">
        <is>
          <t>Aprobado</t>
        </is>
      </c>
      <c r="N134" t="inlineStr">
        <is>
          <t>Puente para redise?ar vistas de Costos &amp; Gastos; no reemplaza P&amp;G oficial. Convertido a USD con la tasa promedio mensual del pais.</t>
        </is>
      </c>
    </row>
    <row r="135">
      <c r="A135" t="inlineStr">
        <is>
          <t>2026-02</t>
        </is>
      </c>
      <c r="B135" t="inlineStr">
        <is>
          <t>Estados Unidos</t>
        </is>
      </c>
      <c r="C135" t="inlineStr">
        <is>
          <t>USA</t>
        </is>
      </c>
      <c r="D135" t="inlineStr">
        <is>
          <t>USD</t>
        </is>
      </c>
      <c r="E135" t="inlineStr">
        <is>
          <t>PL-O-090</t>
        </is>
      </c>
      <c r="F135" t="inlineStr">
        <is>
          <t>Viajes y representación</t>
        </is>
      </c>
      <c r="G135" t="inlineStr">
        <is>
          <t>gasto_admin</t>
        </is>
      </c>
      <c r="H135" t="inlineStr">
        <is>
          <t>Viajes</t>
        </is>
      </c>
      <c r="I135" t="inlineStr">
        <is>
          <t>Administracion</t>
        </is>
      </c>
      <c r="J135" t="n">
        <v>9.91</v>
      </c>
      <c r="K135" t="n">
        <v>9.91</v>
      </c>
      <c r="L135" t="inlineStr">
        <is>
          <t>Febrero 2026 USA.xlsx</t>
        </is>
      </c>
      <c r="M135" t="inlineStr">
        <is>
          <t>Aprobado</t>
        </is>
      </c>
      <c r="N135" t="inlineStr">
        <is>
          <t>Puente para redise?ar vistas de Costos &amp; Gastos; no reemplaza P&amp;G oficial. Convertido a USD con la tasa promedio mensual del pais.</t>
        </is>
      </c>
    </row>
    <row r="136">
      <c r="A136" t="inlineStr">
        <is>
          <t>2026-02</t>
        </is>
      </c>
      <c r="B136" t="inlineStr">
        <is>
          <t>Estados Unidos</t>
        </is>
      </c>
      <c r="C136" t="inlineStr">
        <is>
          <t>USA</t>
        </is>
      </c>
      <c r="D136" t="inlineStr">
        <is>
          <t>USD</t>
        </is>
      </c>
      <c r="E136" t="inlineStr">
        <is>
          <t>PL-O-010</t>
        </is>
      </c>
      <c r="F136" t="inlineStr">
        <is>
          <t>Gastos de personal</t>
        </is>
      </c>
      <c r="G136" t="inlineStr">
        <is>
          <t>gasto_admin</t>
        </is>
      </c>
      <c r="H136" t="inlineStr">
        <is>
          <t>Personal</t>
        </is>
      </c>
      <c r="I136" t="inlineStr">
        <is>
          <t>Administracion</t>
        </is>
      </c>
      <c r="J136" t="n">
        <v>7600</v>
      </c>
      <c r="K136" t="n">
        <v>7600</v>
      </c>
      <c r="L136" t="inlineStr">
        <is>
          <t>Febrero 2026 USA.xlsx</t>
        </is>
      </c>
      <c r="M136" t="inlineStr">
        <is>
          <t>Aprobado</t>
        </is>
      </c>
      <c r="N136" t="inlineStr">
        <is>
          <t>Puente para redise?ar vistas de Costos &amp; Gastos; no reemplaza P&amp;G oficial. Convertido a USD con la tasa promedio mensual del pais.</t>
        </is>
      </c>
    </row>
    <row r="137">
      <c r="A137" t="inlineStr">
        <is>
          <t>2026-02</t>
        </is>
      </c>
      <c r="B137" t="inlineStr">
        <is>
          <t>Estados Unidos</t>
        </is>
      </c>
      <c r="C137" t="inlineStr">
        <is>
          <t>USA</t>
        </is>
      </c>
      <c r="D137" t="inlineStr">
        <is>
          <t>USD</t>
        </is>
      </c>
      <c r="E137" t="inlineStr">
        <is>
          <t>PL-O-010</t>
        </is>
      </c>
      <c r="F137" t="inlineStr">
        <is>
          <t>Gastos de personal</t>
        </is>
      </c>
      <c r="G137" t="inlineStr">
        <is>
          <t>gasto_admin</t>
        </is>
      </c>
      <c r="H137" t="inlineStr">
        <is>
          <t>Personal</t>
        </is>
      </c>
      <c r="I137" t="inlineStr">
        <is>
          <t>Administracion</t>
        </is>
      </c>
      <c r="J137" t="n">
        <v>0</v>
      </c>
      <c r="K137" t="n">
        <v>122.93</v>
      </c>
      <c r="L137" t="inlineStr">
        <is>
          <t>Febrero 2026 USA.xlsx</t>
        </is>
      </c>
      <c r="M137" t="inlineStr">
        <is>
          <t>Aprobado</t>
        </is>
      </c>
      <c r="N137" t="inlineStr">
        <is>
          <t>Puente para redise?ar vistas de Costos &amp; Gastos; no reemplaza P&amp;G oficial. Convertido a USD con la tasa promedio mensual del pais.</t>
        </is>
      </c>
    </row>
    <row r="138">
      <c r="A138" t="inlineStr">
        <is>
          <t>2026-02</t>
        </is>
      </c>
      <c r="B138" t="inlineStr">
        <is>
          <t>Estados Unidos</t>
        </is>
      </c>
      <c r="C138" t="inlineStr">
        <is>
          <t>USA</t>
        </is>
      </c>
      <c r="D138" t="inlineStr">
        <is>
          <t>USD</t>
        </is>
      </c>
      <c r="E138" t="inlineStr">
        <is>
          <t>PL-O-010</t>
        </is>
      </c>
      <c r="F138" t="inlineStr">
        <is>
          <t>Gastos de personal</t>
        </is>
      </c>
      <c r="G138" t="inlineStr">
        <is>
          <t>gasto_admin</t>
        </is>
      </c>
      <c r="H138" t="inlineStr">
        <is>
          <t>Personal</t>
        </is>
      </c>
      <c r="I138" t="inlineStr">
        <is>
          <t>Administracion</t>
        </is>
      </c>
      <c r="J138" t="n">
        <v>736.33</v>
      </c>
      <c r="K138" t="n">
        <v>1571.66</v>
      </c>
      <c r="L138" t="inlineStr">
        <is>
          <t>Febrero 2026 USA.xlsx</t>
        </is>
      </c>
      <c r="M138" t="inlineStr">
        <is>
          <t>Aprobado</t>
        </is>
      </c>
      <c r="N138" t="inlineStr">
        <is>
          <t>Puente para redise?ar vistas de Costos &amp; Gastos; no reemplaza P&amp;G oficial. Convertido a USD con la tasa promedio mensual del pais.</t>
        </is>
      </c>
    </row>
    <row r="139">
      <c r="A139" t="inlineStr">
        <is>
          <t>2026-02</t>
        </is>
      </c>
      <c r="B139" t="inlineStr">
        <is>
          <t>Estados Unidos</t>
        </is>
      </c>
      <c r="C139" t="inlineStr">
        <is>
          <t>USA</t>
        </is>
      </c>
      <c r="D139" t="inlineStr">
        <is>
          <t>USD</t>
        </is>
      </c>
      <c r="E139" t="inlineStr">
        <is>
          <t>PL-O-020</t>
        </is>
      </c>
      <c r="F139" t="inlineStr">
        <is>
          <t>Honorarios y servicios profesionales</t>
        </is>
      </c>
      <c r="G139" t="inlineStr">
        <is>
          <t>gasto_admin</t>
        </is>
      </c>
      <c r="H139" t="inlineStr">
        <is>
          <t>Honorarios</t>
        </is>
      </c>
      <c r="I139" t="inlineStr">
        <is>
          <t>Administracion</t>
        </is>
      </c>
      <c r="J139" t="n">
        <v>445</v>
      </c>
      <c r="K139" t="n">
        <v>445</v>
      </c>
      <c r="L139" t="inlineStr">
        <is>
          <t>Febrero 2026 USA.xlsx</t>
        </is>
      </c>
      <c r="M139" t="inlineStr">
        <is>
          <t>Aprobado</t>
        </is>
      </c>
      <c r="N139" t="inlineStr">
        <is>
          <t>Puente para redise?ar vistas de Costos &amp; Gastos; no reemplaza P&amp;G oficial. Convertido a USD con la tasa promedio mensual del pais.</t>
        </is>
      </c>
    </row>
    <row r="140">
      <c r="A140" t="inlineStr">
        <is>
          <t>2026-02</t>
        </is>
      </c>
      <c r="B140" t="inlineStr">
        <is>
          <t>Estados Unidos</t>
        </is>
      </c>
      <c r="C140" t="inlineStr">
        <is>
          <t>USA</t>
        </is>
      </c>
      <c r="D140" t="inlineStr">
        <is>
          <t>USD</t>
        </is>
      </c>
      <c r="E140" t="inlineStr">
        <is>
          <t>PL-O-030</t>
        </is>
      </c>
      <c r="F140" t="inlineStr">
        <is>
          <t>Impuestos y contribuciones</t>
        </is>
      </c>
      <c r="G140" t="inlineStr">
        <is>
          <t>gasto_admin</t>
        </is>
      </c>
      <c r="H140" t="inlineStr">
        <is>
          <t>Diversos</t>
        </is>
      </c>
      <c r="I140" t="inlineStr">
        <is>
          <t>Administracion</t>
        </is>
      </c>
      <c r="J140" t="n">
        <v>4021.87</v>
      </c>
      <c r="K140" t="n">
        <v>4021.87</v>
      </c>
      <c r="L140" t="inlineStr">
        <is>
          <t>Febrero 2026 USA.xlsx</t>
        </is>
      </c>
      <c r="M140" t="inlineStr">
        <is>
          <t>Aprobado</t>
        </is>
      </c>
      <c r="N140" t="inlineStr">
        <is>
          <t>Puente para redise?ar vistas de Costos &amp; Gastos; no reemplaza P&amp;G oficial. Convertido a USD con la tasa promedio mensual del pais.</t>
        </is>
      </c>
    </row>
    <row r="141">
      <c r="A141" t="inlineStr">
        <is>
          <t>2026-02</t>
        </is>
      </c>
      <c r="B141" t="inlineStr">
        <is>
          <t>Estados Unidos</t>
        </is>
      </c>
      <c r="C141" t="inlineStr">
        <is>
          <t>USA</t>
        </is>
      </c>
      <c r="D141" t="inlineStr">
        <is>
          <t>USD</t>
        </is>
      </c>
      <c r="E141" t="inlineStr">
        <is>
          <t>PL-O-060</t>
        </is>
      </c>
      <c r="F141" t="inlineStr">
        <is>
          <t>Tecnología y procesamiento de datos</t>
        </is>
      </c>
      <c r="G141" t="inlineStr">
        <is>
          <t>gasto_admin</t>
        </is>
      </c>
      <c r="H141" t="inlineStr">
        <is>
          <t>Servicios</t>
        </is>
      </c>
      <c r="I141" t="inlineStr">
        <is>
          <t>Administracion</t>
        </is>
      </c>
      <c r="J141" t="n">
        <v>204</v>
      </c>
      <c r="K141" t="n">
        <v>225.35</v>
      </c>
      <c r="L141" t="inlineStr">
        <is>
          <t>Febrero 2026 USA.xlsx</t>
        </is>
      </c>
      <c r="M141" t="inlineStr">
        <is>
          <t>Aprobado</t>
        </is>
      </c>
      <c r="N141" t="inlineStr">
        <is>
          <t>Puente para redise?ar vistas de Costos &amp; Gastos; no reemplaza P&amp;G oficial. Convertido a USD con la tasa promedio mensual del pais.</t>
        </is>
      </c>
    </row>
    <row r="142">
      <c r="A142" t="inlineStr">
        <is>
          <t>2026-02</t>
        </is>
      </c>
      <c r="B142" t="inlineStr">
        <is>
          <t>Estados Unidos</t>
        </is>
      </c>
      <c r="C142" t="inlineStr">
        <is>
          <t>USA</t>
        </is>
      </c>
      <c r="D142" t="inlineStr">
        <is>
          <t>USD</t>
        </is>
      </c>
      <c r="E142" t="inlineStr">
        <is>
          <t>PL-O-060</t>
        </is>
      </c>
      <c r="F142" t="inlineStr">
        <is>
          <t>Tecnología y procesamiento de datos</t>
        </is>
      </c>
      <c r="G142" t="inlineStr">
        <is>
          <t>gasto_admin</t>
        </is>
      </c>
      <c r="H142" t="inlineStr">
        <is>
          <t>Servicios</t>
        </is>
      </c>
      <c r="I142" t="inlineStr">
        <is>
          <t>Administracion</t>
        </is>
      </c>
      <c r="J142" t="n">
        <v>191.4</v>
      </c>
      <c r="K142" t="n">
        <v>191.4</v>
      </c>
      <c r="L142" t="inlineStr">
        <is>
          <t>Febrero 2026 USA.xlsx</t>
        </is>
      </c>
      <c r="M142" t="inlineStr">
        <is>
          <t>Aprobado</t>
        </is>
      </c>
      <c r="N142" t="inlineStr">
        <is>
          <t>Puente para redise?ar vistas de Costos &amp; Gastos; no reemplaza P&amp;G oficial. Convertido a USD con la tasa promedio mensual del pais.</t>
        </is>
      </c>
    </row>
    <row r="143">
      <c r="A143" t="inlineStr">
        <is>
          <t>2026-02</t>
        </is>
      </c>
      <c r="B143" t="inlineStr">
        <is>
          <t>Estados Unidos</t>
        </is>
      </c>
      <c r="C143" t="inlineStr">
        <is>
          <t>USA</t>
        </is>
      </c>
      <c r="D143" t="inlineStr">
        <is>
          <t>USD</t>
        </is>
      </c>
      <c r="E143" t="inlineStr">
        <is>
          <t>PL-O-060</t>
        </is>
      </c>
      <c r="F143" t="inlineStr">
        <is>
          <t>Tecnología y procesamiento de datos</t>
        </is>
      </c>
      <c r="G143" t="inlineStr">
        <is>
          <t>gasto_admin</t>
        </is>
      </c>
      <c r="H143" t="inlineStr">
        <is>
          <t>Servicios</t>
        </is>
      </c>
      <c r="I143" t="inlineStr">
        <is>
          <t>Administracion</t>
        </is>
      </c>
      <c r="J143" t="n">
        <v>20</v>
      </c>
      <c r="K143" t="n">
        <v>40</v>
      </c>
      <c r="L143" t="inlineStr">
        <is>
          <t>Febrero 2026 USA.xlsx</t>
        </is>
      </c>
      <c r="M143" t="inlineStr">
        <is>
          <t>Aprobado</t>
        </is>
      </c>
      <c r="N143" t="inlineStr">
        <is>
          <t>Puente para redise?ar vistas de Costos &amp; Gastos; no reemplaza P&amp;G oficial. Convertido a USD con la tasa promedio mensual del pais.</t>
        </is>
      </c>
    </row>
    <row r="144">
      <c r="A144" t="inlineStr">
        <is>
          <t>2026-02</t>
        </is>
      </c>
      <c r="B144" t="inlineStr">
        <is>
          <t>Estados Unidos</t>
        </is>
      </c>
      <c r="C144" t="inlineStr">
        <is>
          <t>USA</t>
        </is>
      </c>
      <c r="D144" t="inlineStr">
        <is>
          <t>USD</t>
        </is>
      </c>
      <c r="E144" t="inlineStr">
        <is>
          <t>PL-O-080</t>
        </is>
      </c>
      <c r="F144" t="inlineStr">
        <is>
          <t>Correo y mensajería</t>
        </is>
      </c>
      <c r="G144" t="inlineStr">
        <is>
          <t>gasto_admin</t>
        </is>
      </c>
      <c r="H144" t="inlineStr">
        <is>
          <t>Servicios</t>
        </is>
      </c>
      <c r="I144" t="inlineStr">
        <is>
          <t>Administracion</t>
        </is>
      </c>
      <c r="J144" t="n">
        <v>11.54</v>
      </c>
      <c r="K144" t="n">
        <v>22.9</v>
      </c>
      <c r="L144" t="inlineStr">
        <is>
          <t>Febrero 2026 USA.xlsx</t>
        </is>
      </c>
      <c r="M144" t="inlineStr">
        <is>
          <t>Aprobado</t>
        </is>
      </c>
      <c r="N144" t="inlineStr">
        <is>
          <t>Puente para redise?ar vistas de Costos &amp; Gastos; no reemplaza P&amp;G oficial. Convertido a USD con la tasa promedio mensual del pais.</t>
        </is>
      </c>
    </row>
    <row r="145">
      <c r="A145" t="inlineStr">
        <is>
          <t>2026-02</t>
        </is>
      </c>
      <c r="B145" t="inlineStr">
        <is>
          <t>Estados Unidos</t>
        </is>
      </c>
      <c r="C145" t="inlineStr">
        <is>
          <t>USA</t>
        </is>
      </c>
      <c r="D145" t="inlineStr">
        <is>
          <t>USD</t>
        </is>
      </c>
      <c r="E145" t="inlineStr">
        <is>
          <t>PL-O-100</t>
        </is>
      </c>
      <c r="F145" t="inlineStr">
        <is>
          <t>Otros servicios administrativos</t>
        </is>
      </c>
      <c r="G145" t="inlineStr">
        <is>
          <t>gasto_admin</t>
        </is>
      </c>
      <c r="H145" t="inlineStr">
        <is>
          <t>Servicios</t>
        </is>
      </c>
      <c r="I145" t="inlineStr">
        <is>
          <t>Administracion</t>
        </is>
      </c>
      <c r="J145" t="n">
        <v>177.24</v>
      </c>
      <c r="K145" t="n">
        <v>405.87</v>
      </c>
      <c r="L145" t="inlineStr">
        <is>
          <t>Febrero 2026 USA.xlsx</t>
        </is>
      </c>
      <c r="M145" t="inlineStr">
        <is>
          <t>Revisar</t>
        </is>
      </c>
      <c r="N145" t="inlineStr">
        <is>
          <t>Puente para redise?ar vistas de Costos &amp; Gastos; no reemplaza P&amp;G oficial. Convertido a USD con la tasa promedio mensual del pais.</t>
        </is>
      </c>
    </row>
    <row r="146">
      <c r="A146" t="inlineStr">
        <is>
          <t>2026-02</t>
        </is>
      </c>
      <c r="B146" t="inlineStr">
        <is>
          <t>Estados Unidos</t>
        </is>
      </c>
      <c r="C146" t="inlineStr">
        <is>
          <t>USA</t>
        </is>
      </c>
      <c r="D146" t="inlineStr">
        <is>
          <t>USD</t>
        </is>
      </c>
      <c r="E146" t="inlineStr">
        <is>
          <t>PL-O-110</t>
        </is>
      </c>
      <c r="F146" t="inlineStr">
        <is>
          <t>Suministros y oficina</t>
        </is>
      </c>
      <c r="G146" t="inlineStr">
        <is>
          <t>gasto_admin</t>
        </is>
      </c>
      <c r="H146" t="inlineStr">
        <is>
          <t>Diversos</t>
        </is>
      </c>
      <c r="I146" t="inlineStr">
        <is>
          <t>Administracion</t>
        </is>
      </c>
      <c r="J146" t="n">
        <v>0</v>
      </c>
      <c r="K146" t="n">
        <v>50.73</v>
      </c>
      <c r="L146" t="inlineStr">
        <is>
          <t>Febrero 2026 USA.xlsx</t>
        </is>
      </c>
      <c r="M146" t="inlineStr">
        <is>
          <t>Aprobado</t>
        </is>
      </c>
      <c r="N146" t="inlineStr">
        <is>
          <t>Puente para redise?ar vistas de Costos &amp; Gastos; no reemplaza P&amp;G oficial. Convertido a USD con la tasa promedio mensual del pais.</t>
        </is>
      </c>
    </row>
    <row r="147">
      <c r="A147" t="inlineStr">
        <is>
          <t>2026-02</t>
        </is>
      </c>
      <c r="B147" t="inlineStr">
        <is>
          <t>Estados Unidos</t>
        </is>
      </c>
      <c r="C147" t="inlineStr">
        <is>
          <t>USA</t>
        </is>
      </c>
      <c r="D147" t="inlineStr">
        <is>
          <t>USD</t>
        </is>
      </c>
      <c r="E147" t="inlineStr">
        <is>
          <t>PL-O-120</t>
        </is>
      </c>
      <c r="F147" t="inlineStr">
        <is>
          <t>Alimentación y restaurante</t>
        </is>
      </c>
      <c r="G147" t="inlineStr">
        <is>
          <t>gasto_admin</t>
        </is>
      </c>
      <c r="H147" t="inlineStr">
        <is>
          <t>Diversos</t>
        </is>
      </c>
      <c r="I147" t="inlineStr">
        <is>
          <t>Administracion</t>
        </is>
      </c>
      <c r="J147" t="n">
        <v>0</v>
      </c>
      <c r="K147" t="n">
        <v>177.68</v>
      </c>
      <c r="L147" t="inlineStr">
        <is>
          <t>Febrero 2026 USA.xlsx</t>
        </is>
      </c>
      <c r="M147" t="inlineStr">
        <is>
          <t>Revisar</t>
        </is>
      </c>
      <c r="N147" t="inlineStr">
        <is>
          <t>Puente para redise?ar vistas de Costos &amp; Gastos; no reemplaza P&amp;G oficial. Convertido a USD con la tasa promedio mensual del pais.</t>
        </is>
      </c>
    </row>
    <row r="148">
      <c r="A148" t="inlineStr">
        <is>
          <t>2026-02</t>
        </is>
      </c>
      <c r="B148" t="inlineStr">
        <is>
          <t>Estados Unidos</t>
        </is>
      </c>
      <c r="C148" t="inlineStr">
        <is>
          <t>USA</t>
        </is>
      </c>
      <c r="D148" t="inlineStr">
        <is>
          <t>USD</t>
        </is>
      </c>
      <c r="E148" t="inlineStr">
        <is>
          <t>PL-O-120</t>
        </is>
      </c>
      <c r="F148" t="inlineStr">
        <is>
          <t>Alimentación y restaurante</t>
        </is>
      </c>
      <c r="G148" t="inlineStr">
        <is>
          <t>gasto_admin</t>
        </is>
      </c>
      <c r="H148" t="inlineStr">
        <is>
          <t>Diversos</t>
        </is>
      </c>
      <c r="I148" t="inlineStr">
        <is>
          <t>Administracion</t>
        </is>
      </c>
      <c r="J148" t="n">
        <v>0</v>
      </c>
      <c r="K148" t="n">
        <v>248</v>
      </c>
      <c r="L148" t="inlineStr">
        <is>
          <t>Febrero 2026 USA.xlsx</t>
        </is>
      </c>
      <c r="M148" t="inlineStr">
        <is>
          <t>Revisar</t>
        </is>
      </c>
      <c r="N148" t="inlineStr">
        <is>
          <t>Puente para redise?ar vistas de Costos &amp; Gastos; no reemplaza P&amp;G oficial. Convertido a USD con la tasa promedio mensual del pais.</t>
        </is>
      </c>
    </row>
    <row r="149">
      <c r="A149" t="inlineStr">
        <is>
          <t>2026-02</t>
        </is>
      </c>
      <c r="B149" t="inlineStr">
        <is>
          <t>Estados Unidos</t>
        </is>
      </c>
      <c r="C149" t="inlineStr">
        <is>
          <t>USA</t>
        </is>
      </c>
      <c r="D149" t="inlineStr">
        <is>
          <t>USD</t>
        </is>
      </c>
      <c r="E149" t="inlineStr">
        <is>
          <t>PL-O-120</t>
        </is>
      </c>
      <c r="F149" t="inlineStr">
        <is>
          <t>Alimentación y restaurante</t>
        </is>
      </c>
      <c r="G149" t="inlineStr">
        <is>
          <t>gasto_admin</t>
        </is>
      </c>
      <c r="H149" t="inlineStr">
        <is>
          <t>Diversos</t>
        </is>
      </c>
      <c r="I149" t="inlineStr">
        <is>
          <t>Administracion</t>
        </is>
      </c>
      <c r="J149" t="n">
        <v>0</v>
      </c>
      <c r="K149" t="n">
        <v>30.09</v>
      </c>
      <c r="L149" t="inlineStr">
        <is>
          <t>Febrero 2026 USA.xlsx</t>
        </is>
      </c>
      <c r="M149" t="inlineStr">
        <is>
          <t>Revisar</t>
        </is>
      </c>
      <c r="N149" t="inlineStr">
        <is>
          <t>Puente para redise?ar vistas de Costos &amp; Gastos; no reemplaza P&amp;G oficial. Convertido a USD con la tasa promedio mensual del pais.</t>
        </is>
      </c>
    </row>
    <row r="150">
      <c r="A150" t="inlineStr">
        <is>
          <t>2026-02</t>
        </is>
      </c>
      <c r="B150" t="inlineStr">
        <is>
          <t>Estados Unidos</t>
        </is>
      </c>
      <c r="C150" t="inlineStr">
        <is>
          <t>USA</t>
        </is>
      </c>
      <c r="D150" t="inlineStr">
        <is>
          <t>USD</t>
        </is>
      </c>
      <c r="E150" t="inlineStr">
        <is>
          <t>PL-O-020</t>
        </is>
      </c>
      <c r="F150" t="inlineStr">
        <is>
          <t>Honorarios y servicios profesionales</t>
        </is>
      </c>
      <c r="G150" t="inlineStr">
        <is>
          <t>gasto_admin</t>
        </is>
      </c>
      <c r="H150" t="inlineStr">
        <is>
          <t>Honorarios</t>
        </is>
      </c>
      <c r="I150" t="inlineStr">
        <is>
          <t>Administracion</t>
        </is>
      </c>
      <c r="J150" t="n">
        <v>0</v>
      </c>
      <c r="K150" t="n">
        <v>1500</v>
      </c>
      <c r="L150" t="inlineStr">
        <is>
          <t>Febrero 2026 USA.xlsx</t>
        </is>
      </c>
      <c r="M150" t="inlineStr">
        <is>
          <t>Aprobado</t>
        </is>
      </c>
      <c r="N150" t="inlineStr">
        <is>
          <t>Puente para redise?ar vistas de Costos &amp; Gastos; no reemplaza P&amp;G oficial. Convertido a USD con la tasa promedio mensual del pais.</t>
        </is>
      </c>
    </row>
    <row r="151">
      <c r="A151" t="inlineStr">
        <is>
          <t>2026-02</t>
        </is>
      </c>
      <c r="B151" t="inlineStr">
        <is>
          <t>Estados Unidos</t>
        </is>
      </c>
      <c r="C151" t="inlineStr">
        <is>
          <t>USA</t>
        </is>
      </c>
      <c r="D151" t="inlineStr">
        <is>
          <t>USD</t>
        </is>
      </c>
      <c r="E151" t="inlineStr">
        <is>
          <t>PL-S-030</t>
        </is>
      </c>
      <c r="F151" t="inlineStr">
        <is>
          <t>Otros servicios comerciales</t>
        </is>
      </c>
      <c r="G151" t="inlineStr">
        <is>
          <t>gasto_comercial</t>
        </is>
      </c>
      <c r="H151" t="inlineStr">
        <is>
          <t>Servicios</t>
        </is>
      </c>
      <c r="I151" t="inlineStr">
        <is>
          <t>Comercial</t>
        </is>
      </c>
      <c r="J151" t="n">
        <v>0</v>
      </c>
      <c r="K151" t="n">
        <v>648</v>
      </c>
      <c r="L151" t="inlineStr">
        <is>
          <t>Febrero 2026 USA.xlsx</t>
        </is>
      </c>
      <c r="M151" t="inlineStr">
        <is>
          <t>Revisar</t>
        </is>
      </c>
      <c r="N151" t="inlineStr">
        <is>
          <t>Puente para redise?ar vistas de Costos &amp; Gastos; no reemplaza P&amp;G oficial. Convertido a USD con la tasa promedio mensual del pais.</t>
        </is>
      </c>
    </row>
    <row r="152">
      <c r="A152" t="inlineStr">
        <is>
          <t>2026-02</t>
        </is>
      </c>
      <c r="B152" t="inlineStr">
        <is>
          <t>Estados Unidos</t>
        </is>
      </c>
      <c r="C152" t="inlineStr">
        <is>
          <t>USA</t>
        </is>
      </c>
      <c r="D152" t="inlineStr">
        <is>
          <t>USD</t>
        </is>
      </c>
      <c r="E152" t="inlineStr">
        <is>
          <t>PL-F-010</t>
        </is>
      </c>
      <c r="F152" t="inlineStr">
        <is>
          <t>Gastos financieros</t>
        </is>
      </c>
      <c r="G152" t="inlineStr">
        <is>
          <t>gasto_area</t>
        </is>
      </c>
      <c r="H152" t="inlineStr">
        <is>
          <t>Financieros</t>
        </is>
      </c>
      <c r="I152" t="inlineStr">
        <is>
          <t>Financieros</t>
        </is>
      </c>
      <c r="J152" t="n">
        <v>5.22</v>
      </c>
      <c r="K152" t="n">
        <v>5.22</v>
      </c>
      <c r="L152" t="inlineStr">
        <is>
          <t>Febrero 2026 USA.xlsx</t>
        </is>
      </c>
      <c r="M152" t="inlineStr">
        <is>
          <t>Aprobado</t>
        </is>
      </c>
      <c r="N152" t="inlineStr">
        <is>
          <t>Puente para redise?ar vistas de Costos &amp; Gastos; no reemplaza P&amp;G oficial. Convertido a USD con la tasa promedio mensual del pais.</t>
        </is>
      </c>
    </row>
    <row r="153">
      <c r="A153" t="inlineStr">
        <is>
          <t>2026-02</t>
        </is>
      </c>
      <c r="B153" t="inlineStr">
        <is>
          <t>Estados Unidos</t>
        </is>
      </c>
      <c r="C153" t="inlineStr">
        <is>
          <t>USA</t>
        </is>
      </c>
      <c r="D153" t="inlineStr">
        <is>
          <t>USD</t>
        </is>
      </c>
      <c r="E153" t="inlineStr">
        <is>
          <t>PL-F-010</t>
        </is>
      </c>
      <c r="F153" t="inlineStr">
        <is>
          <t>Gastos financieros</t>
        </is>
      </c>
      <c r="G153" t="inlineStr">
        <is>
          <t>gasto_area</t>
        </is>
      </c>
      <c r="H153" t="inlineStr">
        <is>
          <t>Financieros</t>
        </is>
      </c>
      <c r="I153" t="inlineStr">
        <is>
          <t>Financieros</t>
        </is>
      </c>
      <c r="J153" t="n">
        <v>77.84999999999999</v>
      </c>
      <c r="K153" t="n">
        <v>152.85</v>
      </c>
      <c r="L153" t="inlineStr">
        <is>
          <t>Febrero 2026 USA.xlsx</t>
        </is>
      </c>
      <c r="M153" t="inlineStr">
        <is>
          <t>Aprobado</t>
        </is>
      </c>
      <c r="N153" t="inlineStr">
        <is>
          <t>Puente para redise?ar vistas de Costos &amp; Gastos; no reemplaza P&amp;G oficial. Convertido a USD con la tasa promedio mensual del pais.</t>
        </is>
      </c>
    </row>
    <row r="154">
      <c r="A154" t="inlineStr">
        <is>
          <t>2026-02</t>
        </is>
      </c>
      <c r="B154" t="inlineStr">
        <is>
          <t>Estados Unidos</t>
        </is>
      </c>
      <c r="C154" t="inlineStr">
        <is>
          <t>USA</t>
        </is>
      </c>
      <c r="D154" t="inlineStr">
        <is>
          <t>USD</t>
        </is>
      </c>
      <c r="E154" t="inlineStr">
        <is>
          <t>PL-F-010</t>
        </is>
      </c>
      <c r="F154" t="inlineStr">
        <is>
          <t>Gastos financieros</t>
        </is>
      </c>
      <c r="G154" t="inlineStr">
        <is>
          <t>gasto_area</t>
        </is>
      </c>
      <c r="H154" t="inlineStr">
        <is>
          <t>Financieros</t>
        </is>
      </c>
      <c r="I154" t="inlineStr">
        <is>
          <t>Financieros</t>
        </is>
      </c>
      <c r="J154" t="n">
        <v>0</v>
      </c>
      <c r="K154" t="n">
        <v>0.9</v>
      </c>
      <c r="L154" t="inlineStr">
        <is>
          <t>Febrero 2026 USA.xlsx</t>
        </is>
      </c>
      <c r="M154" t="inlineStr">
        <is>
          <t>Aprobado</t>
        </is>
      </c>
      <c r="N154" t="inlineStr">
        <is>
          <t>Puente para redise?ar vistas de Costos &amp; Gastos; no reemplaza P&amp;G oficial. Convertido a USD con la tasa promedio mensual del pais.</t>
        </is>
      </c>
    </row>
    <row r="155">
      <c r="A155" t="inlineStr">
        <is>
          <t>2026-07</t>
        </is>
      </c>
      <c r="B155" t="inlineStr">
        <is>
          <t>Peru</t>
        </is>
      </c>
      <c r="C155" t="inlineStr">
        <is>
          <t>PERU</t>
        </is>
      </c>
      <c r="D155" t="inlineStr">
        <is>
          <t>USD</t>
        </is>
      </c>
      <c r="E155" t="inlineStr">
        <is>
          <t>PL-O-020</t>
        </is>
      </c>
      <c r="F155" t="inlineStr">
        <is>
          <t>Honorarios y servicios profesionales</t>
        </is>
      </c>
      <c r="G155" t="inlineStr">
        <is>
          <t>gasto_admin</t>
        </is>
      </c>
      <c r="H155" t="inlineStr">
        <is>
          <t>Honorarios</t>
        </is>
      </c>
      <c r="I155" t="inlineStr">
        <is>
          <t>Administracion</t>
        </is>
      </c>
      <c r="J155" t="n">
        <v>155.29</v>
      </c>
      <c r="K155" t="n">
        <v>763.8099999999999</v>
      </c>
      <c r="L155" t="inlineStr">
        <is>
          <t>Julio 2026 PERU.xlsx</t>
        </is>
      </c>
      <c r="M155" t="inlineStr">
        <is>
          <t>Aprobado</t>
        </is>
      </c>
      <c r="N155" t="inlineStr">
        <is>
          <t>Puente para redise?ar vistas de Costos &amp; Gastos; no reemplaza P&amp;G oficial. Convertido a USD con la tasa promedio mensual del pais.</t>
        </is>
      </c>
    </row>
    <row r="156">
      <c r="A156" t="inlineStr">
        <is>
          <t>2026-07</t>
        </is>
      </c>
      <c r="B156" t="inlineStr">
        <is>
          <t>Peru</t>
        </is>
      </c>
      <c r="C156" t="inlineStr">
        <is>
          <t>PERU</t>
        </is>
      </c>
      <c r="D156" t="inlineStr">
        <is>
          <t>USD</t>
        </is>
      </c>
      <c r="E156" t="inlineStr">
        <is>
          <t>PL-O-020</t>
        </is>
      </c>
      <c r="F156" t="inlineStr">
        <is>
          <t>Honorarios y servicios profesionales</t>
        </is>
      </c>
      <c r="G156" t="inlineStr">
        <is>
          <t>gasto_admin</t>
        </is>
      </c>
      <c r="H156" t="inlineStr">
        <is>
          <t>Honorarios</t>
        </is>
      </c>
      <c r="I156" t="inlineStr">
        <is>
          <t>Administracion</t>
        </is>
      </c>
      <c r="J156" t="n">
        <v>102.94</v>
      </c>
      <c r="K156" t="n">
        <v>838.24</v>
      </c>
      <c r="L156" t="inlineStr">
        <is>
          <t>Julio 2026 PERU.xlsx</t>
        </is>
      </c>
      <c r="M156" t="inlineStr">
        <is>
          <t>Aprobado</t>
        </is>
      </c>
      <c r="N156" t="inlineStr">
        <is>
          <t>Puente para redise?ar vistas de Costos &amp; Gastos; no reemplaza P&amp;G oficial. Convertido a USD con la tasa promedio mensual del pais.</t>
        </is>
      </c>
    </row>
    <row r="157">
      <c r="A157" t="inlineStr">
        <is>
          <t>2026-07</t>
        </is>
      </c>
      <c r="B157" t="inlineStr">
        <is>
          <t>Peru</t>
        </is>
      </c>
      <c r="C157" t="inlineStr">
        <is>
          <t>PERU</t>
        </is>
      </c>
      <c r="D157" t="inlineStr">
        <is>
          <t>USD</t>
        </is>
      </c>
      <c r="E157" t="inlineStr">
        <is>
          <t>PL-S-010</t>
        </is>
      </c>
      <c r="F157" t="inlineStr">
        <is>
          <t>Honorarios comerciales y técnicos</t>
        </is>
      </c>
      <c r="G157" t="inlineStr">
        <is>
          <t>gasto_comercial</t>
        </is>
      </c>
      <c r="H157" t="inlineStr">
        <is>
          <t>Honorarios</t>
        </is>
      </c>
      <c r="I157" t="inlineStr">
        <is>
          <t>Comercial</t>
        </is>
      </c>
      <c r="J157" t="n">
        <v>0</v>
      </c>
      <c r="K157" t="n">
        <v>2176.56</v>
      </c>
      <c r="L157" t="inlineStr">
        <is>
          <t>Julio 2026 PERU.xlsx</t>
        </is>
      </c>
      <c r="M157" t="inlineStr">
        <is>
          <t>Aprobado</t>
        </is>
      </c>
      <c r="N157" t="inlineStr">
        <is>
          <t>Puente para redise?ar vistas de Costos &amp; Gastos; no reemplaza P&amp;G oficial. Convertido a USD con la tasa promedio mensual del pais.</t>
        </is>
      </c>
    </row>
    <row r="158">
      <c r="A158" t="inlineStr">
        <is>
          <t>2026-07</t>
        </is>
      </c>
      <c r="B158" t="inlineStr">
        <is>
          <t>Peru</t>
        </is>
      </c>
      <c r="C158" t="inlineStr">
        <is>
          <t>PERU</t>
        </is>
      </c>
      <c r="D158" t="inlineStr">
        <is>
          <t>USD</t>
        </is>
      </c>
      <c r="E158" t="inlineStr">
        <is>
          <t>PL-S-010</t>
        </is>
      </c>
      <c r="F158" t="inlineStr">
        <is>
          <t>Honorarios comerciales y técnicos</t>
        </is>
      </c>
      <c r="G158" t="inlineStr">
        <is>
          <t>gasto_comercial</t>
        </is>
      </c>
      <c r="H158" t="inlineStr">
        <is>
          <t>Honorarios</t>
        </is>
      </c>
      <c r="I158" t="inlineStr">
        <is>
          <t>Comercial</t>
        </is>
      </c>
      <c r="J158" t="n">
        <v>0</v>
      </c>
      <c r="K158" t="n">
        <v>4524.48</v>
      </c>
      <c r="L158" t="inlineStr">
        <is>
          <t>Julio 2026 PERU.xlsx</t>
        </is>
      </c>
      <c r="M158" t="inlineStr">
        <is>
          <t>Aprobado</t>
        </is>
      </c>
      <c r="N158" t="inlineStr">
        <is>
          <t>Puente para redise?ar vistas de Costos &amp; Gastos; no reemplaza P&amp;G oficial. Convertido a USD con la tasa promedio mensual del pais.</t>
        </is>
      </c>
    </row>
    <row r="159">
      <c r="A159" t="inlineStr">
        <is>
          <t>2026-07</t>
        </is>
      </c>
      <c r="B159" t="inlineStr">
        <is>
          <t>Peru</t>
        </is>
      </c>
      <c r="C159" t="inlineStr">
        <is>
          <t>PERU</t>
        </is>
      </c>
      <c r="D159" t="inlineStr">
        <is>
          <t>USD</t>
        </is>
      </c>
      <c r="E159" t="inlineStr">
        <is>
          <t>PL-S-010</t>
        </is>
      </c>
      <c r="F159" t="inlineStr">
        <is>
          <t>Honorarios comerciales y técnicos</t>
        </is>
      </c>
      <c r="G159" t="inlineStr">
        <is>
          <t>gasto_comercial</t>
        </is>
      </c>
      <c r="H159" t="inlineStr">
        <is>
          <t>Honorarios</t>
        </is>
      </c>
      <c r="I159" t="inlineStr">
        <is>
          <t>Comercial</t>
        </is>
      </c>
      <c r="J159" t="n">
        <v>0</v>
      </c>
      <c r="K159" t="n">
        <v>2176.56</v>
      </c>
      <c r="L159" t="inlineStr">
        <is>
          <t>Julio 2026 PERU.xlsx</t>
        </is>
      </c>
      <c r="M159" t="inlineStr">
        <is>
          <t>Aprobado</t>
        </is>
      </c>
      <c r="N159" t="inlineStr">
        <is>
          <t>Puente para redise?ar vistas de Costos &amp; Gastos; no reemplaza P&amp;G oficial. Convertido a USD con la tasa promedio mensual del pais.</t>
        </is>
      </c>
    </row>
    <row r="160">
      <c r="A160" t="inlineStr">
        <is>
          <t>2026-07</t>
        </is>
      </c>
      <c r="B160" t="inlineStr">
        <is>
          <t>Peru</t>
        </is>
      </c>
      <c r="C160" t="inlineStr">
        <is>
          <t>PERU</t>
        </is>
      </c>
      <c r="D160" t="inlineStr">
        <is>
          <t>USD</t>
        </is>
      </c>
      <c r="E160" t="inlineStr">
        <is>
          <t>PL-S-010</t>
        </is>
      </c>
      <c r="F160" t="inlineStr">
        <is>
          <t>Honorarios comerciales y técnicos</t>
        </is>
      </c>
      <c r="G160" t="inlineStr">
        <is>
          <t>gasto_comercial</t>
        </is>
      </c>
      <c r="H160" t="inlineStr">
        <is>
          <t>Honorarios</t>
        </is>
      </c>
      <c r="I160" t="inlineStr">
        <is>
          <t>Comercial</t>
        </is>
      </c>
      <c r="J160" t="n">
        <v>0</v>
      </c>
      <c r="K160" t="n">
        <v>625.59</v>
      </c>
      <c r="L160" t="inlineStr">
        <is>
          <t>Julio 2026 PERU.xlsx</t>
        </is>
      </c>
      <c r="M160" t="inlineStr">
        <is>
          <t>Aprobado</t>
        </is>
      </c>
      <c r="N160" t="inlineStr">
        <is>
          <t>Puente para redise?ar vistas de Costos &amp; Gastos; no reemplaza P&amp;G oficial. Convertido a USD con la tasa promedio mensual del pais.</t>
        </is>
      </c>
    </row>
    <row r="161">
      <c r="A161" t="inlineStr">
        <is>
          <t>2026-07</t>
        </is>
      </c>
      <c r="B161" t="inlineStr">
        <is>
          <t>Peru</t>
        </is>
      </c>
      <c r="C161" t="inlineStr">
        <is>
          <t>PERU</t>
        </is>
      </c>
      <c r="D161" t="inlineStr">
        <is>
          <t>USD</t>
        </is>
      </c>
      <c r="E161" t="inlineStr">
        <is>
          <t>PL-S-020</t>
        </is>
      </c>
      <c r="F161" t="inlineStr">
        <is>
          <t>Mercadeo y publicidad</t>
        </is>
      </c>
      <c r="G161" t="inlineStr">
        <is>
          <t>gasto_comercial</t>
        </is>
      </c>
      <c r="H161" t="inlineStr">
        <is>
          <t>Servicios</t>
        </is>
      </c>
      <c r="I161" t="inlineStr">
        <is>
          <t>Comercial</t>
        </is>
      </c>
      <c r="J161" t="n">
        <v>0</v>
      </c>
      <c r="K161" t="n">
        <v>501.82</v>
      </c>
      <c r="L161" t="inlineStr">
        <is>
          <t>Julio 2026 PERU.xlsx</t>
        </is>
      </c>
      <c r="M161" t="inlineStr">
        <is>
          <t>Aprobado</t>
        </is>
      </c>
      <c r="N161" t="inlineStr">
        <is>
          <t>Puente para redise?ar vistas de Costos &amp; Gastos; no reemplaza P&amp;G oficial. Convertido a USD con la tasa promedio mensual del pais.</t>
        </is>
      </c>
    </row>
    <row r="162">
      <c r="A162" t="inlineStr">
        <is>
          <t>2026-07</t>
        </is>
      </c>
      <c r="B162" t="inlineStr">
        <is>
          <t>Peru</t>
        </is>
      </c>
      <c r="C162" t="inlineStr">
        <is>
          <t>PERU</t>
        </is>
      </c>
      <c r="D162" t="inlineStr">
        <is>
          <t>USD</t>
        </is>
      </c>
      <c r="E162" t="inlineStr">
        <is>
          <t>PL-S-040</t>
        </is>
      </c>
      <c r="F162" t="inlineStr">
        <is>
          <t>Viajes comerciales</t>
        </is>
      </c>
      <c r="G162" t="inlineStr">
        <is>
          <t>gasto_comercial</t>
        </is>
      </c>
      <c r="H162" t="inlineStr">
        <is>
          <t>Viajes</t>
        </is>
      </c>
      <c r="I162" t="inlineStr">
        <is>
          <t>Comercial</t>
        </is>
      </c>
      <c r="J162" t="n">
        <v>830.0599999999999</v>
      </c>
      <c r="K162" t="n">
        <v>830.0599999999999</v>
      </c>
      <c r="L162" t="inlineStr">
        <is>
          <t>Julio 2026 PERU.xlsx</t>
        </is>
      </c>
      <c r="M162" t="inlineStr">
        <is>
          <t>Aprobado</t>
        </is>
      </c>
      <c r="N162" t="inlineStr">
        <is>
          <t>Puente para redise?ar vistas de Costos &amp; Gastos; no reemplaza P&amp;G oficial. Convertido a USD con la tasa promedio mensual del pais.</t>
        </is>
      </c>
    </row>
    <row r="163">
      <c r="A163" t="inlineStr">
        <is>
          <t>2026-07</t>
        </is>
      </c>
      <c r="B163" t="inlineStr">
        <is>
          <t>Peru</t>
        </is>
      </c>
      <c r="C163" t="inlineStr">
        <is>
          <t>PERU</t>
        </is>
      </c>
      <c r="D163" t="inlineStr">
        <is>
          <t>USD</t>
        </is>
      </c>
      <c r="E163" t="inlineStr">
        <is>
          <t>PL-S-040</t>
        </is>
      </c>
      <c r="F163" t="inlineStr">
        <is>
          <t>Viajes comerciales</t>
        </is>
      </c>
      <c r="G163" t="inlineStr">
        <is>
          <t>gasto_comercial</t>
        </is>
      </c>
      <c r="H163" t="inlineStr">
        <is>
          <t>Viajes</t>
        </is>
      </c>
      <c r="I163" t="inlineStr">
        <is>
          <t>Comercial</t>
        </is>
      </c>
      <c r="J163" t="n">
        <v>0</v>
      </c>
      <c r="K163" t="n">
        <v>78.61</v>
      </c>
      <c r="L163" t="inlineStr">
        <is>
          <t>Julio 2026 PERU.xlsx</t>
        </is>
      </c>
      <c r="M163" t="inlineStr">
        <is>
          <t>Aprobado</t>
        </is>
      </c>
      <c r="N163" t="inlineStr">
        <is>
          <t>Puente para redise?ar vistas de Costos &amp; Gastos; no reemplaza P&amp;G oficial. Convertido a USD con la tasa promedio mensual del pais.</t>
        </is>
      </c>
    </row>
    <row r="164">
      <c r="A164" t="inlineStr">
        <is>
          <t>2026-07</t>
        </is>
      </c>
      <c r="B164" t="inlineStr">
        <is>
          <t>Peru</t>
        </is>
      </c>
      <c r="C164" t="inlineStr">
        <is>
          <t>PERU</t>
        </is>
      </c>
      <c r="D164" t="inlineStr">
        <is>
          <t>USD</t>
        </is>
      </c>
      <c r="E164" t="inlineStr">
        <is>
          <t>PL-S-040</t>
        </is>
      </c>
      <c r="F164" t="inlineStr">
        <is>
          <t>Viajes comerciales</t>
        </is>
      </c>
      <c r="G164" t="inlineStr">
        <is>
          <t>gasto_comercial</t>
        </is>
      </c>
      <c r="H164" t="inlineStr">
        <is>
          <t>Viajes</t>
        </is>
      </c>
      <c r="I164" t="inlineStr">
        <is>
          <t>Comercial</t>
        </is>
      </c>
      <c r="J164" t="n">
        <v>347.94</v>
      </c>
      <c r="K164" t="n">
        <v>347.94</v>
      </c>
      <c r="L164" t="inlineStr">
        <is>
          <t>Julio 2026 PERU.xlsx</t>
        </is>
      </c>
      <c r="M164" t="inlineStr">
        <is>
          <t>Aprobado</t>
        </is>
      </c>
      <c r="N164" t="inlineStr">
        <is>
          <t>Puente para redise?ar vistas de Costos &amp; Gastos; no reemplaza P&amp;G oficial. Convertido a USD con la tasa promedio mensual del pais.</t>
        </is>
      </c>
    </row>
    <row r="165">
      <c r="A165" t="inlineStr">
        <is>
          <t>2026-07</t>
        </is>
      </c>
      <c r="B165" t="inlineStr">
        <is>
          <t>Peru</t>
        </is>
      </c>
      <c r="C165" t="inlineStr">
        <is>
          <t>PERU</t>
        </is>
      </c>
      <c r="D165" t="inlineStr">
        <is>
          <t>USD</t>
        </is>
      </c>
      <c r="E165" t="inlineStr">
        <is>
          <t>PL-S-040</t>
        </is>
      </c>
      <c r="F165" t="inlineStr">
        <is>
          <t>Viajes comerciales</t>
        </is>
      </c>
      <c r="G165" t="inlineStr">
        <is>
          <t>gasto_comercial</t>
        </is>
      </c>
      <c r="H165" t="inlineStr">
        <is>
          <t>Viajes</t>
        </is>
      </c>
      <c r="I165" t="inlineStr">
        <is>
          <t>Comercial</t>
        </is>
      </c>
      <c r="J165" t="n">
        <v>0</v>
      </c>
      <c r="K165" t="n">
        <v>23.76</v>
      </c>
      <c r="L165" t="inlineStr">
        <is>
          <t>Julio 2026 PERU.xlsx</t>
        </is>
      </c>
      <c r="M165" t="inlineStr">
        <is>
          <t>Aprobado</t>
        </is>
      </c>
      <c r="N165" t="inlineStr">
        <is>
          <t>Puente para redise?ar vistas de Costos &amp; Gastos; no reemplaza P&amp;G oficial. Convertido a USD con la tasa promedio mensual del pais.</t>
        </is>
      </c>
    </row>
    <row r="166">
      <c r="A166" t="inlineStr">
        <is>
          <t>2026-07</t>
        </is>
      </c>
      <c r="B166" t="inlineStr">
        <is>
          <t>Peru</t>
        </is>
      </c>
      <c r="C166" t="inlineStr">
        <is>
          <t>PERU</t>
        </is>
      </c>
      <c r="D166" t="inlineStr">
        <is>
          <t>USD</t>
        </is>
      </c>
      <c r="E166" t="inlineStr">
        <is>
          <t>PL-S-040</t>
        </is>
      </c>
      <c r="F166" t="inlineStr">
        <is>
          <t>Viajes comerciales</t>
        </is>
      </c>
      <c r="G166" t="inlineStr">
        <is>
          <t>gasto_comercial</t>
        </is>
      </c>
      <c r="H166" t="inlineStr">
        <is>
          <t>Viajes</t>
        </is>
      </c>
      <c r="I166" t="inlineStr">
        <is>
          <t>Comercial</t>
        </is>
      </c>
      <c r="J166" t="n">
        <v>0</v>
      </c>
      <c r="K166" t="n">
        <v>6.08</v>
      </c>
      <c r="L166" t="inlineStr">
        <is>
          <t>Julio 2026 PERU.xlsx</t>
        </is>
      </c>
      <c r="M166" t="inlineStr">
        <is>
          <t>Aprobado</t>
        </is>
      </c>
      <c r="N166" t="inlineStr">
        <is>
          <t>Puente para redise?ar vistas de Costos &amp; Gastos; no reemplaza P&amp;G oficial. Convertido a USD con la tasa promedio mensual del pais.</t>
        </is>
      </c>
    </row>
    <row r="167">
      <c r="A167" t="inlineStr">
        <is>
          <t>2026-07</t>
        </is>
      </c>
      <c r="B167" t="inlineStr">
        <is>
          <t>Peru</t>
        </is>
      </c>
      <c r="C167" t="inlineStr">
        <is>
          <t>PERU</t>
        </is>
      </c>
      <c r="D167" t="inlineStr">
        <is>
          <t>USD</t>
        </is>
      </c>
      <c r="E167" t="inlineStr">
        <is>
          <t>PL-S-040</t>
        </is>
      </c>
      <c r="F167" t="inlineStr">
        <is>
          <t>Viajes comerciales</t>
        </is>
      </c>
      <c r="G167" t="inlineStr">
        <is>
          <t>gasto_comercial</t>
        </is>
      </c>
      <c r="H167" t="inlineStr">
        <is>
          <t>Viajes</t>
        </is>
      </c>
      <c r="I167" t="inlineStr">
        <is>
          <t>Comercial</t>
        </is>
      </c>
      <c r="J167" t="n">
        <v>138.67</v>
      </c>
      <c r="K167" t="n">
        <v>138.67</v>
      </c>
      <c r="L167" t="inlineStr">
        <is>
          <t>Julio 2026 PERU.xlsx</t>
        </is>
      </c>
      <c r="M167" t="inlineStr">
        <is>
          <t>Aprobado</t>
        </is>
      </c>
      <c r="N167" t="inlineStr">
        <is>
          <t>Puente para redise?ar vistas de Costos &amp; Gastos; no reemplaza P&amp;G oficial. Convertido a USD con la tasa promedio mensual del pais.</t>
        </is>
      </c>
    </row>
    <row r="168">
      <c r="A168" t="inlineStr">
        <is>
          <t>2026-07</t>
        </is>
      </c>
      <c r="B168" t="inlineStr">
        <is>
          <t>Peru</t>
        </is>
      </c>
      <c r="C168" t="inlineStr">
        <is>
          <t>PERU</t>
        </is>
      </c>
      <c r="D168" t="inlineStr">
        <is>
          <t>USD</t>
        </is>
      </c>
      <c r="E168" t="inlineStr">
        <is>
          <t>PL-S-040</t>
        </is>
      </c>
      <c r="F168" t="inlineStr">
        <is>
          <t>Viajes comerciales</t>
        </is>
      </c>
      <c r="G168" t="inlineStr">
        <is>
          <t>gasto_comercial</t>
        </is>
      </c>
      <c r="H168" t="inlineStr">
        <is>
          <t>Viajes</t>
        </is>
      </c>
      <c r="I168" t="inlineStr">
        <is>
          <t>Comercial</t>
        </is>
      </c>
      <c r="J168" t="n">
        <v>75.29000000000001</v>
      </c>
      <c r="K168" t="n">
        <v>75.29000000000001</v>
      </c>
      <c r="L168" t="inlineStr">
        <is>
          <t>Julio 2026 PERU.xlsx</t>
        </is>
      </c>
      <c r="M168" t="inlineStr">
        <is>
          <t>Aprobado</t>
        </is>
      </c>
      <c r="N168" t="inlineStr">
        <is>
          <t>Puente para redise?ar vistas de Costos &amp; Gastos; no reemplaza P&amp;G oficial. Convertido a USD con la tasa promedio mensual del pais.</t>
        </is>
      </c>
    </row>
    <row r="169">
      <c r="A169" t="inlineStr">
        <is>
          <t>2026-07</t>
        </is>
      </c>
      <c r="B169" t="inlineStr">
        <is>
          <t>Peru</t>
        </is>
      </c>
      <c r="C169" t="inlineStr">
        <is>
          <t>PERU</t>
        </is>
      </c>
      <c r="D169" t="inlineStr">
        <is>
          <t>USD</t>
        </is>
      </c>
      <c r="E169" t="inlineStr">
        <is>
          <t>PL-S-040</t>
        </is>
      </c>
      <c r="F169" t="inlineStr">
        <is>
          <t>Viajes comerciales</t>
        </is>
      </c>
      <c r="G169" t="inlineStr">
        <is>
          <t>gasto_comercial</t>
        </is>
      </c>
      <c r="H169" t="inlineStr">
        <is>
          <t>Viajes</t>
        </is>
      </c>
      <c r="I169" t="inlineStr">
        <is>
          <t>Comercial</t>
        </is>
      </c>
      <c r="J169" t="n">
        <v>79.12</v>
      </c>
      <c r="K169" t="n">
        <v>79.12</v>
      </c>
      <c r="L169" t="inlineStr">
        <is>
          <t>Julio 2026 PERU.xlsx</t>
        </is>
      </c>
      <c r="M169" t="inlineStr">
        <is>
          <t>Aprobado</t>
        </is>
      </c>
      <c r="N169" t="inlineStr">
        <is>
          <t>Puente para redise?ar vistas de Costos &amp; Gastos; no reemplaza P&amp;G oficial. Convertido a USD con la tasa promedio mensual del pais.</t>
        </is>
      </c>
    </row>
    <row r="170">
      <c r="A170" t="inlineStr">
        <is>
          <t>2026-07</t>
        </is>
      </c>
      <c r="B170" t="inlineStr">
        <is>
          <t>Peru</t>
        </is>
      </c>
      <c r="C170" t="inlineStr">
        <is>
          <t>PERU</t>
        </is>
      </c>
      <c r="D170" t="inlineStr">
        <is>
          <t>USD</t>
        </is>
      </c>
      <c r="E170" t="inlineStr">
        <is>
          <t>PL-S-040</t>
        </is>
      </c>
      <c r="F170" t="inlineStr">
        <is>
          <t>Viajes comerciales</t>
        </is>
      </c>
      <c r="G170" t="inlineStr">
        <is>
          <t>gasto_comercial</t>
        </is>
      </c>
      <c r="H170" t="inlineStr">
        <is>
          <t>Viajes</t>
        </is>
      </c>
      <c r="I170" t="inlineStr">
        <is>
          <t>Comercial</t>
        </is>
      </c>
      <c r="J170" t="n">
        <v>0</v>
      </c>
      <c r="K170" t="n">
        <v>33.53</v>
      </c>
      <c r="L170" t="inlineStr">
        <is>
          <t>Julio 2026 PERU.xlsx</t>
        </is>
      </c>
      <c r="M170" t="inlineStr">
        <is>
          <t>Aprobado</t>
        </is>
      </c>
      <c r="N170" t="inlineStr">
        <is>
          <t>Puente para redise?ar vistas de Costos &amp; Gastos; no reemplaza P&amp;G oficial. Convertido a USD con la tasa promedio mensual del pais.</t>
        </is>
      </c>
    </row>
    <row r="171">
      <c r="A171" t="inlineStr">
        <is>
          <t>2026-07</t>
        </is>
      </c>
      <c r="B171" t="inlineStr">
        <is>
          <t>Peru</t>
        </is>
      </c>
      <c r="C171" t="inlineStr">
        <is>
          <t>PERU</t>
        </is>
      </c>
      <c r="D171" t="inlineStr">
        <is>
          <t>USD</t>
        </is>
      </c>
      <c r="E171" t="inlineStr">
        <is>
          <t>PL-S-040</t>
        </is>
      </c>
      <c r="F171" t="inlineStr">
        <is>
          <t>Viajes comerciales</t>
        </is>
      </c>
      <c r="G171" t="inlineStr">
        <is>
          <t>gasto_comercial</t>
        </is>
      </c>
      <c r="H171" t="inlineStr">
        <is>
          <t>Viajes</t>
        </is>
      </c>
      <c r="I171" t="inlineStr">
        <is>
          <t>Comercial</t>
        </is>
      </c>
      <c r="J171" t="n">
        <v>36.65</v>
      </c>
      <c r="K171" t="n">
        <v>36.65</v>
      </c>
      <c r="L171" t="inlineStr">
        <is>
          <t>Julio 2026 PERU.xlsx</t>
        </is>
      </c>
      <c r="M171" t="inlineStr">
        <is>
          <t>Aprobado</t>
        </is>
      </c>
      <c r="N171" t="inlineStr">
        <is>
          <t>Puente para redise?ar vistas de Costos &amp; Gastos; no reemplaza P&amp;G oficial. Convertido a USD con la tasa promedio mensual del pais.</t>
        </is>
      </c>
    </row>
    <row r="172">
      <c r="A172" t="inlineStr">
        <is>
          <t>2026-07</t>
        </is>
      </c>
      <c r="B172" t="inlineStr">
        <is>
          <t>Peru</t>
        </is>
      </c>
      <c r="C172" t="inlineStr">
        <is>
          <t>PERU</t>
        </is>
      </c>
      <c r="D172" t="inlineStr">
        <is>
          <t>USD</t>
        </is>
      </c>
      <c r="E172" t="inlineStr">
        <is>
          <t>PL-S-040</t>
        </is>
      </c>
      <c r="F172" t="inlineStr">
        <is>
          <t>Viajes comerciales</t>
        </is>
      </c>
      <c r="G172" t="inlineStr">
        <is>
          <t>gasto_comercial</t>
        </is>
      </c>
      <c r="H172" t="inlineStr">
        <is>
          <t>Viajes</t>
        </is>
      </c>
      <c r="I172" t="inlineStr">
        <is>
          <t>Comercial</t>
        </is>
      </c>
      <c r="J172" t="n">
        <v>5.74</v>
      </c>
      <c r="K172" t="n">
        <v>5.74</v>
      </c>
      <c r="L172" t="inlineStr">
        <is>
          <t>Julio 2026 PERU.xlsx</t>
        </is>
      </c>
      <c r="M172" t="inlineStr">
        <is>
          <t>Aprobado</t>
        </is>
      </c>
      <c r="N172" t="inlineStr">
        <is>
          <t>Puente para redise?ar vistas de Costos &amp; Gastos; no reemplaza P&amp;G oficial. Convertido a USD con la tasa promedio mensual del pais.</t>
        </is>
      </c>
    </row>
    <row r="173">
      <c r="A173" t="inlineStr">
        <is>
          <t>2026-07</t>
        </is>
      </c>
      <c r="B173" t="inlineStr">
        <is>
          <t>Peru</t>
        </is>
      </c>
      <c r="C173" t="inlineStr">
        <is>
          <t>PERU</t>
        </is>
      </c>
      <c r="D173" t="inlineStr">
        <is>
          <t>USD</t>
        </is>
      </c>
      <c r="E173" t="inlineStr">
        <is>
          <t>PL-S-040</t>
        </is>
      </c>
      <c r="F173" t="inlineStr">
        <is>
          <t>Viajes comerciales</t>
        </is>
      </c>
      <c r="G173" t="inlineStr">
        <is>
          <t>gasto_comercial</t>
        </is>
      </c>
      <c r="H173" t="inlineStr">
        <is>
          <t>Viajes</t>
        </is>
      </c>
      <c r="I173" t="inlineStr">
        <is>
          <t>Comercial</t>
        </is>
      </c>
      <c r="J173" t="n">
        <v>0</v>
      </c>
      <c r="K173" t="n">
        <v>152.94</v>
      </c>
      <c r="L173" t="inlineStr">
        <is>
          <t>Julio 2026 PERU.xlsx</t>
        </is>
      </c>
      <c r="M173" t="inlineStr">
        <is>
          <t>Aprobado</t>
        </is>
      </c>
      <c r="N173" t="inlineStr">
        <is>
          <t>Puente para redise?ar vistas de Costos &amp; Gastos; no reemplaza P&amp;G oficial. Convertido a USD con la tasa promedio mensual del pais.</t>
        </is>
      </c>
    </row>
    <row r="174">
      <c r="A174" t="inlineStr">
        <is>
          <t>2026-07</t>
        </is>
      </c>
      <c r="B174" t="inlineStr">
        <is>
          <t>Peru</t>
        </is>
      </c>
      <c r="C174" t="inlineStr">
        <is>
          <t>PERU</t>
        </is>
      </c>
      <c r="D174" t="inlineStr">
        <is>
          <t>USD</t>
        </is>
      </c>
      <c r="E174" t="inlineStr">
        <is>
          <t>PL-S-040</t>
        </is>
      </c>
      <c r="F174" t="inlineStr">
        <is>
          <t>Viajes comerciales</t>
        </is>
      </c>
      <c r="G174" t="inlineStr">
        <is>
          <t>gasto_comercial</t>
        </is>
      </c>
      <c r="H174" t="inlineStr">
        <is>
          <t>Viajes</t>
        </is>
      </c>
      <c r="I174" t="inlineStr">
        <is>
          <t>Comercial</t>
        </is>
      </c>
      <c r="J174" t="n">
        <v>0</v>
      </c>
      <c r="K174" t="n">
        <v>1.76</v>
      </c>
      <c r="L174" t="inlineStr">
        <is>
          <t>Julio 2026 PERU.xlsx</t>
        </is>
      </c>
      <c r="M174" t="inlineStr">
        <is>
          <t>Aprobado</t>
        </is>
      </c>
      <c r="N174" t="inlineStr">
        <is>
          <t>Puente para redise?ar vistas de Costos &amp; Gastos; no reemplaza P&amp;G oficial. Convertido a USD con la tasa promedio mensual del pais.</t>
        </is>
      </c>
    </row>
    <row r="175">
      <c r="A175" t="inlineStr">
        <is>
          <t>2026-07</t>
        </is>
      </c>
      <c r="B175" t="inlineStr">
        <is>
          <t>Peru</t>
        </is>
      </c>
      <c r="C175" t="inlineStr">
        <is>
          <t>PERU</t>
        </is>
      </c>
      <c r="D175" t="inlineStr">
        <is>
          <t>USD</t>
        </is>
      </c>
      <c r="E175" t="inlineStr">
        <is>
          <t>PL-S-040</t>
        </is>
      </c>
      <c r="F175" t="inlineStr">
        <is>
          <t>Viajes comerciales</t>
        </is>
      </c>
      <c r="G175" t="inlineStr">
        <is>
          <t>gasto_comercial</t>
        </is>
      </c>
      <c r="H175" t="inlineStr">
        <is>
          <t>Viajes</t>
        </is>
      </c>
      <c r="I175" t="inlineStr">
        <is>
          <t>Comercial</t>
        </is>
      </c>
      <c r="J175" t="n">
        <v>0</v>
      </c>
      <c r="K175" t="n">
        <v>66.56999999999999</v>
      </c>
      <c r="L175" t="inlineStr">
        <is>
          <t>Julio 2026 PERU.xlsx</t>
        </is>
      </c>
      <c r="M175" t="inlineStr">
        <is>
          <t>Aprobado</t>
        </is>
      </c>
      <c r="N175" t="inlineStr">
        <is>
          <t>Puente para redise?ar vistas de Costos &amp; Gastos; no reemplaza P&amp;G oficial. Convertido a USD con la tasa promedio mensual del pais.</t>
        </is>
      </c>
    </row>
    <row r="176">
      <c r="A176" t="inlineStr">
        <is>
          <t>2026-07</t>
        </is>
      </c>
      <c r="B176" t="inlineStr">
        <is>
          <t>Peru</t>
        </is>
      </c>
      <c r="C176" t="inlineStr">
        <is>
          <t>PERU</t>
        </is>
      </c>
      <c r="D176" t="inlineStr">
        <is>
          <t>USD</t>
        </is>
      </c>
      <c r="E176" t="inlineStr">
        <is>
          <t>PL-S-040</t>
        </is>
      </c>
      <c r="F176" t="inlineStr">
        <is>
          <t>Viajes comerciales</t>
        </is>
      </c>
      <c r="G176" t="inlineStr">
        <is>
          <t>gasto_comercial</t>
        </is>
      </c>
      <c r="H176" t="inlineStr">
        <is>
          <t>Viajes</t>
        </is>
      </c>
      <c r="I176" t="inlineStr">
        <is>
          <t>Comercial</t>
        </is>
      </c>
      <c r="J176" t="n">
        <v>0</v>
      </c>
      <c r="K176" t="n">
        <v>113.74</v>
      </c>
      <c r="L176" t="inlineStr">
        <is>
          <t>Julio 2026 PERU.xlsx</t>
        </is>
      </c>
      <c r="M176" t="inlineStr">
        <is>
          <t>Aprobado</t>
        </is>
      </c>
      <c r="N176" t="inlineStr">
        <is>
          <t>Puente para redise?ar vistas de Costos &amp; Gastos; no reemplaza P&amp;G oficial. Convertido a USD con la tasa promedio mensual del pais.</t>
        </is>
      </c>
    </row>
    <row r="177">
      <c r="A177" t="inlineStr">
        <is>
          <t>2026-07</t>
        </is>
      </c>
      <c r="B177" t="inlineStr">
        <is>
          <t>Peru</t>
        </is>
      </c>
      <c r="C177" t="inlineStr">
        <is>
          <t>PERU</t>
        </is>
      </c>
      <c r="D177" t="inlineStr">
        <is>
          <t>USD</t>
        </is>
      </c>
      <c r="E177" t="inlineStr">
        <is>
          <t>PL-S-040</t>
        </is>
      </c>
      <c r="F177" t="inlineStr">
        <is>
          <t>Viajes comerciales</t>
        </is>
      </c>
      <c r="G177" t="inlineStr">
        <is>
          <t>gasto_comercial</t>
        </is>
      </c>
      <c r="H177" t="inlineStr">
        <is>
          <t>Viajes</t>
        </is>
      </c>
      <c r="I177" t="inlineStr">
        <is>
          <t>Comercial</t>
        </is>
      </c>
      <c r="J177" t="n">
        <v>0</v>
      </c>
      <c r="K177" t="n">
        <v>44.33</v>
      </c>
      <c r="L177" t="inlineStr">
        <is>
          <t>Julio 2026 PERU.xlsx</t>
        </is>
      </c>
      <c r="M177" t="inlineStr">
        <is>
          <t>Aprobado</t>
        </is>
      </c>
      <c r="N177" t="inlineStr">
        <is>
          <t>Puente para redise?ar vistas de Costos &amp; Gastos; no reemplaza P&amp;G oficial. Convertido a USD con la tasa promedio mensual del pais.</t>
        </is>
      </c>
    </row>
    <row r="178">
      <c r="A178" t="inlineStr">
        <is>
          <t>2026-07</t>
        </is>
      </c>
      <c r="B178" t="inlineStr">
        <is>
          <t>Peru</t>
        </is>
      </c>
      <c r="C178" t="inlineStr">
        <is>
          <t>PERU</t>
        </is>
      </c>
      <c r="D178" t="inlineStr">
        <is>
          <t>USD</t>
        </is>
      </c>
      <c r="E178" t="inlineStr">
        <is>
          <t>PL-S-040</t>
        </is>
      </c>
      <c r="F178" t="inlineStr">
        <is>
          <t>Viajes comerciales</t>
        </is>
      </c>
      <c r="G178" t="inlineStr">
        <is>
          <t>gasto_comercial</t>
        </is>
      </c>
      <c r="H178" t="inlineStr">
        <is>
          <t>Viajes</t>
        </is>
      </c>
      <c r="I178" t="inlineStr">
        <is>
          <t>Comercial</t>
        </is>
      </c>
      <c r="J178" t="n">
        <v>0</v>
      </c>
      <c r="K178" t="n">
        <v>7.06</v>
      </c>
      <c r="L178" t="inlineStr">
        <is>
          <t>Julio 2026 PERU.xlsx</t>
        </is>
      </c>
      <c r="M178" t="inlineStr">
        <is>
          <t>Aprobado</t>
        </is>
      </c>
      <c r="N178" t="inlineStr">
        <is>
          <t>Puente para redise?ar vistas de Costos &amp; Gastos; no reemplaza P&amp;G oficial. Convertido a USD con la tasa promedio mensual del pais.</t>
        </is>
      </c>
    </row>
    <row r="179">
      <c r="A179" t="inlineStr">
        <is>
          <t>2026-07</t>
        </is>
      </c>
      <c r="B179" t="inlineStr">
        <is>
          <t>Peru</t>
        </is>
      </c>
      <c r="C179" t="inlineStr">
        <is>
          <t>PERU</t>
        </is>
      </c>
      <c r="D179" t="inlineStr">
        <is>
          <t>USD</t>
        </is>
      </c>
      <c r="E179" t="inlineStr">
        <is>
          <t>PL-S-040</t>
        </is>
      </c>
      <c r="F179" t="inlineStr">
        <is>
          <t>Viajes comerciales</t>
        </is>
      </c>
      <c r="G179" t="inlineStr">
        <is>
          <t>gasto_comercial</t>
        </is>
      </c>
      <c r="H179" t="inlineStr">
        <is>
          <t>Viajes</t>
        </is>
      </c>
      <c r="I179" t="inlineStr">
        <is>
          <t>Comercial</t>
        </is>
      </c>
      <c r="J179" t="n">
        <v>0</v>
      </c>
      <c r="K179" t="n">
        <v>7.06</v>
      </c>
      <c r="L179" t="inlineStr">
        <is>
          <t>Julio 2026 PERU.xlsx</t>
        </is>
      </c>
      <c r="M179" t="inlineStr">
        <is>
          <t>Aprobado</t>
        </is>
      </c>
      <c r="N179" t="inlineStr">
        <is>
          <t>Puente para redise?ar vistas de Costos &amp; Gastos; no reemplaza P&amp;G oficial. Convertido a USD con la tasa promedio mensual del pais.</t>
        </is>
      </c>
    </row>
    <row r="180">
      <c r="A180" t="inlineStr">
        <is>
          <t>2026-07</t>
        </is>
      </c>
      <c r="B180" t="inlineStr">
        <is>
          <t>Peru</t>
        </is>
      </c>
      <c r="C180" t="inlineStr">
        <is>
          <t>PERU</t>
        </is>
      </c>
      <c r="D180" t="inlineStr">
        <is>
          <t>USD</t>
        </is>
      </c>
      <c r="E180" t="inlineStr">
        <is>
          <t>PL-S-040</t>
        </is>
      </c>
      <c r="F180" t="inlineStr">
        <is>
          <t>Viajes comerciales</t>
        </is>
      </c>
      <c r="G180" t="inlineStr">
        <is>
          <t>gasto_comercial</t>
        </is>
      </c>
      <c r="H180" t="inlineStr">
        <is>
          <t>Viajes</t>
        </is>
      </c>
      <c r="I180" t="inlineStr">
        <is>
          <t>Comercial</t>
        </is>
      </c>
      <c r="J180" t="n">
        <v>426.66</v>
      </c>
      <c r="K180" t="n">
        <v>426.66</v>
      </c>
      <c r="L180" t="inlineStr">
        <is>
          <t>Julio 2026 PERU.xlsx</t>
        </is>
      </c>
      <c r="M180" t="inlineStr">
        <is>
          <t>Aprobado</t>
        </is>
      </c>
      <c r="N180" t="inlineStr">
        <is>
          <t>Puente para redise?ar vistas de Costos &amp; Gastos; no reemplaza P&amp;G oficial. Convertido a USD con la tasa promedio mensual del pais.</t>
        </is>
      </c>
    </row>
    <row r="181">
      <c r="A181" t="inlineStr">
        <is>
          <t>2026-07</t>
        </is>
      </c>
      <c r="B181" t="inlineStr">
        <is>
          <t>Peru</t>
        </is>
      </c>
      <c r="C181" t="inlineStr">
        <is>
          <t>PERU</t>
        </is>
      </c>
      <c r="D181" t="inlineStr">
        <is>
          <t>USD</t>
        </is>
      </c>
      <c r="E181" t="inlineStr">
        <is>
          <t>PL-S-040</t>
        </is>
      </c>
      <c r="F181" t="inlineStr">
        <is>
          <t>Viajes comerciales</t>
        </is>
      </c>
      <c r="G181" t="inlineStr">
        <is>
          <t>gasto_comercial</t>
        </is>
      </c>
      <c r="H181" t="inlineStr">
        <is>
          <t>Viajes</t>
        </is>
      </c>
      <c r="I181" t="inlineStr">
        <is>
          <t>Comercial</t>
        </is>
      </c>
      <c r="J181" t="n">
        <v>0</v>
      </c>
      <c r="K181" t="n">
        <v>1513.59</v>
      </c>
      <c r="L181" t="inlineStr">
        <is>
          <t>Julio 2026 PERU.xlsx</t>
        </is>
      </c>
      <c r="M181" t="inlineStr">
        <is>
          <t>Aprobado</t>
        </is>
      </c>
      <c r="N181" t="inlineStr">
        <is>
          <t>Puente para redise?ar vistas de Costos &amp; Gastos; no reemplaza P&amp;G oficial. Convertido a USD con la tasa promedio mensual del pais.</t>
        </is>
      </c>
    </row>
    <row r="182">
      <c r="A182" t="inlineStr">
        <is>
          <t>2026-07</t>
        </is>
      </c>
      <c r="B182" t="inlineStr">
        <is>
          <t>Peru</t>
        </is>
      </c>
      <c r="C182" t="inlineStr">
        <is>
          <t>PERU</t>
        </is>
      </c>
      <c r="D182" t="inlineStr">
        <is>
          <t>USD</t>
        </is>
      </c>
      <c r="E182" t="inlineStr">
        <is>
          <t>PL-S-040</t>
        </is>
      </c>
      <c r="F182" t="inlineStr">
        <is>
          <t>Viajes comerciales</t>
        </is>
      </c>
      <c r="G182" t="inlineStr">
        <is>
          <t>gasto_comercial</t>
        </is>
      </c>
      <c r="H182" t="inlineStr">
        <is>
          <t>Viajes</t>
        </is>
      </c>
      <c r="I182" t="inlineStr">
        <is>
          <t>Comercial</t>
        </is>
      </c>
      <c r="J182" t="n">
        <v>14.71</v>
      </c>
      <c r="K182" t="n">
        <v>14.71</v>
      </c>
      <c r="L182" t="inlineStr">
        <is>
          <t>Julio 2026 PERU.xlsx</t>
        </is>
      </c>
      <c r="M182" t="inlineStr">
        <is>
          <t>Aprobado</t>
        </is>
      </c>
      <c r="N182" t="inlineStr">
        <is>
          <t>Puente para redise?ar vistas de Costos &amp; Gastos; no reemplaza P&amp;G oficial. Convertido a USD con la tasa promedio mensual del pais.</t>
        </is>
      </c>
    </row>
    <row r="183">
      <c r="A183" t="inlineStr">
        <is>
          <t>2026-07</t>
        </is>
      </c>
      <c r="B183" t="inlineStr">
        <is>
          <t>Peru</t>
        </is>
      </c>
      <c r="C183" t="inlineStr">
        <is>
          <t>PERU</t>
        </is>
      </c>
      <c r="D183" t="inlineStr">
        <is>
          <t>USD</t>
        </is>
      </c>
      <c r="E183" t="inlineStr">
        <is>
          <t>PL-S-040</t>
        </is>
      </c>
      <c r="F183" t="inlineStr">
        <is>
          <t>Viajes comerciales</t>
        </is>
      </c>
      <c r="G183" t="inlineStr">
        <is>
          <t>gasto_comercial</t>
        </is>
      </c>
      <c r="H183" t="inlineStr">
        <is>
          <t>Viajes</t>
        </is>
      </c>
      <c r="I183" t="inlineStr">
        <is>
          <t>Comercial</t>
        </is>
      </c>
      <c r="J183" t="n">
        <v>8.82</v>
      </c>
      <c r="K183" t="n">
        <v>8.82</v>
      </c>
      <c r="L183" t="inlineStr">
        <is>
          <t>Julio 2026 PERU.xlsx</t>
        </is>
      </c>
      <c r="M183" t="inlineStr">
        <is>
          <t>Aprobado</t>
        </is>
      </c>
      <c r="N183" t="inlineStr">
        <is>
          <t>Puente para redise?ar vistas de Costos &amp; Gastos; no reemplaza P&amp;G oficial. Convertido a USD con la tasa promedio mensual del pais.</t>
        </is>
      </c>
    </row>
    <row r="184">
      <c r="A184" t="inlineStr">
        <is>
          <t>2026-07</t>
        </is>
      </c>
      <c r="B184" t="inlineStr">
        <is>
          <t>Peru</t>
        </is>
      </c>
      <c r="C184" t="inlineStr">
        <is>
          <t>PERU</t>
        </is>
      </c>
      <c r="D184" t="inlineStr">
        <is>
          <t>USD</t>
        </is>
      </c>
      <c r="E184" t="inlineStr">
        <is>
          <t>PL-S-050</t>
        </is>
      </c>
      <c r="F184" t="inlineStr">
        <is>
          <t>Transporte comercial</t>
        </is>
      </c>
      <c r="G184" t="inlineStr">
        <is>
          <t>gasto_comercial</t>
        </is>
      </c>
      <c r="H184" t="inlineStr">
        <is>
          <t>Viajes</t>
        </is>
      </c>
      <c r="I184" t="inlineStr">
        <is>
          <t>Comercial</t>
        </is>
      </c>
      <c r="J184" t="n">
        <v>22.94</v>
      </c>
      <c r="K184" t="n">
        <v>45.88</v>
      </c>
      <c r="L184" t="inlineStr">
        <is>
          <t>Julio 2026 PERU.xlsx</t>
        </is>
      </c>
      <c r="M184" t="inlineStr">
        <is>
          <t>Aprobado</t>
        </is>
      </c>
      <c r="N184" t="inlineStr">
        <is>
          <t>Puente para redise?ar vistas de Costos &amp; Gastos; no reemplaza P&amp;G oficial. Convertido a USD con la tasa promedio mensual del pais.</t>
        </is>
      </c>
    </row>
    <row r="185">
      <c r="A185" t="inlineStr">
        <is>
          <t>2026-07</t>
        </is>
      </c>
      <c r="B185" t="inlineStr">
        <is>
          <t>Peru</t>
        </is>
      </c>
      <c r="C185" t="inlineStr">
        <is>
          <t>PERU</t>
        </is>
      </c>
      <c r="D185" t="inlineStr">
        <is>
          <t>USD</t>
        </is>
      </c>
      <c r="E185" t="inlineStr">
        <is>
          <t>PL-S-050</t>
        </is>
      </c>
      <c r="F185" t="inlineStr">
        <is>
          <t>Transporte comercial</t>
        </is>
      </c>
      <c r="G185" t="inlineStr">
        <is>
          <t>gasto_comercial</t>
        </is>
      </c>
      <c r="H185" t="inlineStr">
        <is>
          <t>Viajes</t>
        </is>
      </c>
      <c r="I185" t="inlineStr">
        <is>
          <t>Comercial</t>
        </is>
      </c>
      <c r="J185" t="n">
        <v>114.52</v>
      </c>
      <c r="K185" t="n">
        <v>114.52</v>
      </c>
      <c r="L185" t="inlineStr">
        <is>
          <t>Julio 2026 PERU.xlsx</t>
        </is>
      </c>
      <c r="M185" t="inlineStr">
        <is>
          <t>Aprobado</t>
        </is>
      </c>
      <c r="N185" t="inlineStr">
        <is>
          <t>Puente para redise?ar vistas de Costos &amp; Gastos; no reemplaza P&amp;G oficial. Convertido a USD con la tasa promedio mensual del pais.</t>
        </is>
      </c>
    </row>
    <row r="186">
      <c r="A186" t="inlineStr">
        <is>
          <t>2026-07</t>
        </is>
      </c>
      <c r="B186" t="inlineStr">
        <is>
          <t>Peru</t>
        </is>
      </c>
      <c r="C186" t="inlineStr">
        <is>
          <t>PERU</t>
        </is>
      </c>
      <c r="D186" t="inlineStr">
        <is>
          <t>USD</t>
        </is>
      </c>
      <c r="E186" t="inlineStr">
        <is>
          <t>PL-S-060</t>
        </is>
      </c>
      <c r="F186" t="inlineStr">
        <is>
          <t>Otros gastos comerciales</t>
        </is>
      </c>
      <c r="G186" t="inlineStr">
        <is>
          <t>gasto_comercial</t>
        </is>
      </c>
      <c r="H186" t="inlineStr">
        <is>
          <t>Diversos</t>
        </is>
      </c>
      <c r="I186" t="inlineStr">
        <is>
          <t>Comercial</t>
        </is>
      </c>
      <c r="J186" t="n">
        <v>23.5</v>
      </c>
      <c r="K186" t="n">
        <v>23.5</v>
      </c>
      <c r="L186" t="inlineStr">
        <is>
          <t>Julio 2026 PERU.xlsx</t>
        </is>
      </c>
      <c r="M186" t="inlineStr">
        <is>
          <t>Revisar</t>
        </is>
      </c>
      <c r="N186" t="inlineStr">
        <is>
          <t>Puente para redise?ar vistas de Costos &amp; Gastos; no reemplaza P&amp;G oficial. Convertido a USD con la tasa promedio mensual del pais.</t>
        </is>
      </c>
    </row>
    <row r="187">
      <c r="A187" t="inlineStr">
        <is>
          <t>2026-07</t>
        </is>
      </c>
      <c r="B187" t="inlineStr">
        <is>
          <t>Peru</t>
        </is>
      </c>
      <c r="C187" t="inlineStr">
        <is>
          <t>PERU</t>
        </is>
      </c>
      <c r="D187" t="inlineStr">
        <is>
          <t>USD</t>
        </is>
      </c>
      <c r="E187" t="inlineStr">
        <is>
          <t>PL-S-060</t>
        </is>
      </c>
      <c r="F187" t="inlineStr">
        <is>
          <t>Otros gastos comerciales</t>
        </is>
      </c>
      <c r="G187" t="inlineStr">
        <is>
          <t>gasto_comercial</t>
        </is>
      </c>
      <c r="H187" t="inlineStr">
        <is>
          <t>Diversos</t>
        </is>
      </c>
      <c r="I187" t="inlineStr">
        <is>
          <t>Comercial</t>
        </is>
      </c>
      <c r="J187" t="n">
        <v>11.95</v>
      </c>
      <c r="K187" t="n">
        <v>11.95</v>
      </c>
      <c r="L187" t="inlineStr">
        <is>
          <t>Julio 2026 PERU.xlsx</t>
        </is>
      </c>
      <c r="M187" t="inlineStr">
        <is>
          <t>Revisar</t>
        </is>
      </c>
      <c r="N187" t="inlineStr">
        <is>
          <t>Puente para redise?ar vistas de Costos &amp; Gastos; no reemplaza P&amp;G oficial. Convertido a USD con la tasa promedio mensual del pais.</t>
        </is>
      </c>
    </row>
    <row r="188">
      <c r="A188" t="inlineStr">
        <is>
          <t>2026-07</t>
        </is>
      </c>
      <c r="B188" t="inlineStr">
        <is>
          <t>Peru</t>
        </is>
      </c>
      <c r="C188" t="inlineStr">
        <is>
          <t>PERU</t>
        </is>
      </c>
      <c r="D188" t="inlineStr">
        <is>
          <t>USD</t>
        </is>
      </c>
      <c r="E188" t="inlineStr">
        <is>
          <t>PL-S-060</t>
        </is>
      </c>
      <c r="F188" t="inlineStr">
        <is>
          <t>Otros gastos comerciales</t>
        </is>
      </c>
      <c r="G188" t="inlineStr">
        <is>
          <t>gasto_comercial</t>
        </is>
      </c>
      <c r="H188" t="inlineStr">
        <is>
          <t>Diversos</t>
        </is>
      </c>
      <c r="I188" t="inlineStr">
        <is>
          <t>Comercial</t>
        </is>
      </c>
      <c r="J188" t="n">
        <v>1162.94</v>
      </c>
      <c r="K188" t="n">
        <v>1162.94</v>
      </c>
      <c r="L188" t="inlineStr">
        <is>
          <t>Julio 2026 PERU.xlsx</t>
        </is>
      </c>
      <c r="M188" t="inlineStr">
        <is>
          <t>Revisar</t>
        </is>
      </c>
      <c r="N188" t="inlineStr">
        <is>
          <t>Puente para redise?ar vistas de Costos &amp; Gastos; no reemplaza P&amp;G oficial. Convertido a USD con la tasa promedio mensual del pais.</t>
        </is>
      </c>
    </row>
    <row r="189">
      <c r="A189" t="inlineStr">
        <is>
          <t>2026-07</t>
        </is>
      </c>
      <c r="B189" t="inlineStr">
        <is>
          <t>Peru</t>
        </is>
      </c>
      <c r="C189" t="inlineStr">
        <is>
          <t>PERU</t>
        </is>
      </c>
      <c r="D189" t="inlineStr">
        <is>
          <t>USD</t>
        </is>
      </c>
      <c r="E189" t="inlineStr">
        <is>
          <t>PL-S-060</t>
        </is>
      </c>
      <c r="F189" t="inlineStr">
        <is>
          <t>Otros gastos comerciales</t>
        </is>
      </c>
      <c r="G189" t="inlineStr">
        <is>
          <t>gasto_comercial</t>
        </is>
      </c>
      <c r="H189" t="inlineStr">
        <is>
          <t>Diversos</t>
        </is>
      </c>
      <c r="I189" t="inlineStr">
        <is>
          <t>Comercial</t>
        </is>
      </c>
      <c r="J189" t="n">
        <v>0</v>
      </c>
      <c r="K189" t="n">
        <v>0.5600000000000001</v>
      </c>
      <c r="L189" t="inlineStr">
        <is>
          <t>Julio 2026 PERU.xlsx</t>
        </is>
      </c>
      <c r="M189" t="inlineStr">
        <is>
          <t>Revisar</t>
        </is>
      </c>
      <c r="N189" t="inlineStr">
        <is>
          <t>Puente para redise?ar vistas de Costos &amp; Gastos; no reemplaza P&amp;G oficial. Convertido a USD con la tasa promedio mensual del pais.</t>
        </is>
      </c>
    </row>
    <row r="190">
      <c r="A190" t="inlineStr">
        <is>
          <t>2026-07</t>
        </is>
      </c>
      <c r="B190" t="inlineStr">
        <is>
          <t>Peru</t>
        </is>
      </c>
      <c r="C190" t="inlineStr">
        <is>
          <t>PERU</t>
        </is>
      </c>
      <c r="D190" t="inlineStr">
        <is>
          <t>USD</t>
        </is>
      </c>
      <c r="E190" t="inlineStr">
        <is>
          <t>PL-F-010</t>
        </is>
      </c>
      <c r="F190" t="inlineStr">
        <is>
          <t>Gastos financieros</t>
        </is>
      </c>
      <c r="G190" t="inlineStr">
        <is>
          <t>gasto_area</t>
        </is>
      </c>
      <c r="H190" t="inlineStr">
        <is>
          <t>Financieros</t>
        </is>
      </c>
      <c r="I190" t="inlineStr">
        <is>
          <t>Financieros</t>
        </is>
      </c>
      <c r="J190" t="n">
        <v>68.72</v>
      </c>
      <c r="K190" t="n">
        <v>135.53</v>
      </c>
      <c r="L190" t="inlineStr">
        <is>
          <t>Julio 2026 PERU.xlsx</t>
        </is>
      </c>
      <c r="M190" t="inlineStr">
        <is>
          <t>Aprobado</t>
        </is>
      </c>
      <c r="N190" t="inlineStr">
        <is>
          <t>Puente para redise?ar vistas de Costos &amp; Gastos; no reemplaza P&amp;G oficial. Convertido a USD con la tasa promedio mensual del pais.</t>
        </is>
      </c>
    </row>
    <row r="191">
      <c r="A191" t="inlineStr">
        <is>
          <t>2026-07</t>
        </is>
      </c>
      <c r="B191" t="inlineStr">
        <is>
          <t>Peru</t>
        </is>
      </c>
      <c r="C191" t="inlineStr">
        <is>
          <t>PERU</t>
        </is>
      </c>
      <c r="D191" t="inlineStr">
        <is>
          <t>USD</t>
        </is>
      </c>
      <c r="E191" t="inlineStr">
        <is>
          <t>PL-F-010</t>
        </is>
      </c>
      <c r="F191" t="inlineStr">
        <is>
          <t>Gastos financieros</t>
        </is>
      </c>
      <c r="G191" t="inlineStr">
        <is>
          <t>gasto_area</t>
        </is>
      </c>
      <c r="H191" t="inlineStr">
        <is>
          <t>Financieros</t>
        </is>
      </c>
      <c r="I191" t="inlineStr">
        <is>
          <t>Financieros</t>
        </is>
      </c>
      <c r="J191" t="n">
        <v>0</v>
      </c>
      <c r="K191" t="n">
        <v>1.26</v>
      </c>
      <c r="L191" t="inlineStr">
        <is>
          <t>Julio 2026 PERU.xlsx</t>
        </is>
      </c>
      <c r="M191" t="inlineStr">
        <is>
          <t>Aprobado</t>
        </is>
      </c>
      <c r="N191" t="inlineStr">
        <is>
          <t>Puente para redise?ar vistas de Costos &amp; Gastos; no reemplaza P&amp;G oficial. Convertido a USD con la tasa promedio mensual del pais.</t>
        </is>
      </c>
    </row>
    <row r="192">
      <c r="A192" t="inlineStr">
        <is>
          <t>2026-07</t>
        </is>
      </c>
      <c r="B192" t="inlineStr">
        <is>
          <t>Peru</t>
        </is>
      </c>
      <c r="C192" t="inlineStr">
        <is>
          <t>PERU</t>
        </is>
      </c>
      <c r="D192" t="inlineStr">
        <is>
          <t>USD</t>
        </is>
      </c>
      <c r="E192" t="inlineStr">
        <is>
          <t>PL-F-010</t>
        </is>
      </c>
      <c r="F192" t="inlineStr">
        <is>
          <t>Gastos financieros</t>
        </is>
      </c>
      <c r="G192" t="inlineStr">
        <is>
          <t>gasto_area</t>
        </is>
      </c>
      <c r="H192" t="inlineStr">
        <is>
          <t>Financieros</t>
        </is>
      </c>
      <c r="I192" t="inlineStr">
        <is>
          <t>Financieros</t>
        </is>
      </c>
      <c r="J192" t="n">
        <v>0</v>
      </c>
      <c r="K192" t="n">
        <v>50.62</v>
      </c>
      <c r="L192" t="inlineStr">
        <is>
          <t>Julio 2026 PERU.xlsx</t>
        </is>
      </c>
      <c r="M192" t="inlineStr">
        <is>
          <t>Aprobado</t>
        </is>
      </c>
      <c r="N192" t="inlineStr">
        <is>
          <t>Puente para redise?ar vistas de Costos &amp; Gastos; no reemplaza P&amp;G oficial. Convertido a USD con la tasa promedio mensual del pais.</t>
        </is>
      </c>
    </row>
    <row r="193">
      <c r="A193" t="inlineStr">
        <is>
          <t>2026-07</t>
        </is>
      </c>
      <c r="B193" t="inlineStr">
        <is>
          <t>Peru</t>
        </is>
      </c>
      <c r="C193" t="inlineStr">
        <is>
          <t>PERU</t>
        </is>
      </c>
      <c r="D193" t="inlineStr">
        <is>
          <t>USD</t>
        </is>
      </c>
      <c r="E193" t="inlineStr">
        <is>
          <t>PL-F-010</t>
        </is>
      </c>
      <c r="F193" t="inlineStr">
        <is>
          <t>Gastos financieros</t>
        </is>
      </c>
      <c r="G193" t="inlineStr">
        <is>
          <t>gasto_area</t>
        </is>
      </c>
      <c r="H193" t="inlineStr">
        <is>
          <t>Financieros</t>
        </is>
      </c>
      <c r="I193" t="inlineStr">
        <is>
          <t>Financieros</t>
        </is>
      </c>
      <c r="J193" t="n">
        <v>0.15</v>
      </c>
      <c r="K193" t="n">
        <v>2.32</v>
      </c>
      <c r="L193" t="inlineStr">
        <is>
          <t>Julio 2026 PERU.xlsx</t>
        </is>
      </c>
      <c r="M193" t="inlineStr">
        <is>
          <t>Aprobado</t>
        </is>
      </c>
      <c r="N193" t="inlineStr">
        <is>
          <t>Puente para redise?ar vistas de Costos &amp; Gastos; no reemplaza P&amp;G oficial. Convertido a USD con la tasa promedio mensual del pais.</t>
        </is>
      </c>
    </row>
    <row r="194">
      <c r="A194" t="inlineStr">
        <is>
          <t>2026-07</t>
        </is>
      </c>
      <c r="B194" t="inlineStr">
        <is>
          <t>Peru</t>
        </is>
      </c>
      <c r="C194" t="inlineStr">
        <is>
          <t>PERU</t>
        </is>
      </c>
      <c r="D194" t="inlineStr">
        <is>
          <t>USD</t>
        </is>
      </c>
      <c r="E194" t="inlineStr">
        <is>
          <t>PL-F-010</t>
        </is>
      </c>
      <c r="F194" t="inlineStr">
        <is>
          <t>Gastos financieros</t>
        </is>
      </c>
      <c r="G194" t="inlineStr">
        <is>
          <t>gasto_area</t>
        </is>
      </c>
      <c r="H194" t="inlineStr">
        <is>
          <t>Financieros</t>
        </is>
      </c>
      <c r="I194" t="inlineStr">
        <is>
          <t>Financieros</t>
        </is>
      </c>
      <c r="J194" t="n">
        <v>23.53</v>
      </c>
      <c r="K194" t="n">
        <v>153.49</v>
      </c>
      <c r="L194" t="inlineStr">
        <is>
          <t>Julio 2026 PERU.xlsx</t>
        </is>
      </c>
      <c r="M194" t="inlineStr">
        <is>
          <t>Aprobado</t>
        </is>
      </c>
      <c r="N194" t="inlineStr">
        <is>
          <t>Puente para redise?ar vistas de Costos &amp; Gastos; no reemplaza P&amp;G oficial. Convertido a USD con la tasa promedio mensual del pais.</t>
        </is>
      </c>
    </row>
    <row r="195">
      <c r="A195" t="inlineStr">
        <is>
          <t>2026-07</t>
        </is>
      </c>
      <c r="B195" t="inlineStr">
        <is>
          <t>Peru</t>
        </is>
      </c>
      <c r="C195" t="inlineStr">
        <is>
          <t>PERU</t>
        </is>
      </c>
      <c r="D195" t="inlineStr">
        <is>
          <t>USD</t>
        </is>
      </c>
      <c r="E195" t="inlineStr">
        <is>
          <t>PL-F-010</t>
        </is>
      </c>
      <c r="F195" t="inlineStr">
        <is>
          <t>Gastos financieros</t>
        </is>
      </c>
      <c r="G195" t="inlineStr">
        <is>
          <t>gasto_area</t>
        </is>
      </c>
      <c r="H195" t="inlineStr">
        <is>
          <t>Financieros</t>
        </is>
      </c>
      <c r="I195" t="inlineStr">
        <is>
          <t>Financieros</t>
        </is>
      </c>
      <c r="J195" t="n">
        <v>0</v>
      </c>
      <c r="K195" t="n">
        <v>1.26</v>
      </c>
      <c r="L195" t="inlineStr">
        <is>
          <t>Julio 2026 PERU.xlsx</t>
        </is>
      </c>
      <c r="M195" t="inlineStr">
        <is>
          <t>Aprobado</t>
        </is>
      </c>
      <c r="N195" t="inlineStr">
        <is>
          <t>Puente para redise?ar vistas de Costos &amp; Gastos; no reemplaza P&amp;G oficial. Convertido a USD con la tasa promedio mensual del pais.</t>
        </is>
      </c>
    </row>
    <row r="196">
      <c r="A196" t="inlineStr">
        <is>
          <t>2026-07</t>
        </is>
      </c>
      <c r="B196" t="inlineStr">
        <is>
          <t>Peru</t>
        </is>
      </c>
      <c r="C196" t="inlineStr">
        <is>
          <t>PERU</t>
        </is>
      </c>
      <c r="D196" t="inlineStr">
        <is>
          <t>USD</t>
        </is>
      </c>
      <c r="E196" t="inlineStr">
        <is>
          <t>PL-F-010</t>
        </is>
      </c>
      <c r="F196" t="inlineStr">
        <is>
          <t>Gastos financieros</t>
        </is>
      </c>
      <c r="G196" t="inlineStr">
        <is>
          <t>gasto_area</t>
        </is>
      </c>
      <c r="H196" t="inlineStr">
        <is>
          <t>Financieros</t>
        </is>
      </c>
      <c r="I196" t="inlineStr">
        <is>
          <t>Financieros</t>
        </is>
      </c>
      <c r="J196" t="n">
        <v>0</v>
      </c>
      <c r="K196" t="n">
        <v>-1.26</v>
      </c>
      <c r="L196" t="inlineStr">
        <is>
          <t>Julio 2026 PERU.xlsx</t>
        </is>
      </c>
      <c r="M196" t="inlineStr">
        <is>
          <t>Aprobado</t>
        </is>
      </c>
      <c r="N196" t="inlineStr">
        <is>
          <t>Puente para redise?ar vistas de Costos &amp; Gastos; no reemplaza P&amp;G oficial. Convertido a USD con la tasa promedio mensual del pais.</t>
        </is>
      </c>
    </row>
    <row r="197">
      <c r="A197" t="inlineStr">
        <is>
          <t>2026-07</t>
        </is>
      </c>
      <c r="B197" t="inlineStr">
        <is>
          <t>Estados Unidos</t>
        </is>
      </c>
      <c r="C197" t="inlineStr">
        <is>
          <t>USA</t>
        </is>
      </c>
      <c r="D197" t="inlineStr">
        <is>
          <t>USD</t>
        </is>
      </c>
      <c r="E197" t="inlineStr">
        <is>
          <t>PL-O-010</t>
        </is>
      </c>
      <c r="F197" t="inlineStr">
        <is>
          <t>Gastos de personal</t>
        </is>
      </c>
      <c r="G197" t="inlineStr">
        <is>
          <t>gasto_admin</t>
        </is>
      </c>
      <c r="H197" t="inlineStr">
        <is>
          <t>Personal</t>
        </is>
      </c>
      <c r="I197" t="inlineStr">
        <is>
          <t>Administracion</t>
        </is>
      </c>
      <c r="J197" t="n">
        <v>2592.17</v>
      </c>
      <c r="K197" t="n">
        <v>18145.19</v>
      </c>
      <c r="L197" t="inlineStr">
        <is>
          <t>Julio 2026 USA.xlsx</t>
        </is>
      </c>
      <c r="M197" t="inlineStr">
        <is>
          <t>Aprobado</t>
        </is>
      </c>
      <c r="N197" t="inlineStr">
        <is>
          <t>Puente para redise?ar vistas de Costos &amp; Gastos; no reemplaza P&amp;G oficial. Convertido a USD con la tasa promedio mensual del pais.</t>
        </is>
      </c>
    </row>
    <row r="198">
      <c r="A198" t="inlineStr">
        <is>
          <t>2026-07</t>
        </is>
      </c>
      <c r="B198" t="inlineStr">
        <is>
          <t>Estados Unidos</t>
        </is>
      </c>
      <c r="C198" t="inlineStr">
        <is>
          <t>USA</t>
        </is>
      </c>
      <c r="D198" t="inlineStr">
        <is>
          <t>USD</t>
        </is>
      </c>
      <c r="E198" t="inlineStr">
        <is>
          <t>PL-O-010</t>
        </is>
      </c>
      <c r="F198" t="inlineStr">
        <is>
          <t>Gastos de personal</t>
        </is>
      </c>
      <c r="G198" t="inlineStr">
        <is>
          <t>gasto_admin</t>
        </is>
      </c>
      <c r="H198" t="inlineStr">
        <is>
          <t>Personal</t>
        </is>
      </c>
      <c r="I198" t="inlineStr">
        <is>
          <t>Administracion</t>
        </is>
      </c>
      <c r="J198" t="n">
        <v>0</v>
      </c>
      <c r="K198" t="n">
        <v>4000</v>
      </c>
      <c r="L198" t="inlineStr">
        <is>
          <t>Julio 2026 USA.xlsx</t>
        </is>
      </c>
      <c r="M198" t="inlineStr">
        <is>
          <t>Aprobado</t>
        </is>
      </c>
      <c r="N198" t="inlineStr">
        <is>
          <t>Puente para redise?ar vistas de Costos &amp; Gastos; no reemplaza P&amp;G oficial. Convertido a USD con la tasa promedio mensual del pais.</t>
        </is>
      </c>
    </row>
    <row r="199">
      <c r="A199" t="inlineStr">
        <is>
          <t>2026-07</t>
        </is>
      </c>
      <c r="B199" t="inlineStr">
        <is>
          <t>Estados Unidos</t>
        </is>
      </c>
      <c r="C199" t="inlineStr">
        <is>
          <t>USA</t>
        </is>
      </c>
      <c r="D199" t="inlineStr">
        <is>
          <t>USD</t>
        </is>
      </c>
      <c r="E199" t="inlineStr">
        <is>
          <t>PL-O-010</t>
        </is>
      </c>
      <c r="F199" t="inlineStr">
        <is>
          <t>Gastos de personal</t>
        </is>
      </c>
      <c r="G199" t="inlineStr">
        <is>
          <t>gasto_admin</t>
        </is>
      </c>
      <c r="H199" t="inlineStr">
        <is>
          <t>Personal</t>
        </is>
      </c>
      <c r="I199" t="inlineStr">
        <is>
          <t>Administracion</t>
        </is>
      </c>
      <c r="J199" t="n">
        <v>0</v>
      </c>
      <c r="K199" t="n">
        <v>5000</v>
      </c>
      <c r="L199" t="inlineStr">
        <is>
          <t>Julio 2026 USA.xlsx</t>
        </is>
      </c>
      <c r="M199" t="inlineStr">
        <is>
          <t>Aprobado</t>
        </is>
      </c>
      <c r="N199" t="inlineStr">
        <is>
          <t>Puente para redise?ar vistas de Costos &amp; Gastos; no reemplaza P&amp;G oficial. Convertido a USD con la tasa promedio mensual del pais.</t>
        </is>
      </c>
    </row>
    <row r="200">
      <c r="A200" t="inlineStr">
        <is>
          <t>2026-07</t>
        </is>
      </c>
      <c r="B200" t="inlineStr">
        <is>
          <t>Estados Unidos</t>
        </is>
      </c>
      <c r="C200" t="inlineStr">
        <is>
          <t>USA</t>
        </is>
      </c>
      <c r="D200" t="inlineStr">
        <is>
          <t>USD</t>
        </is>
      </c>
      <c r="E200" t="inlineStr">
        <is>
          <t>PL-O-090</t>
        </is>
      </c>
      <c r="F200" t="inlineStr">
        <is>
          <t>Viajes y representación</t>
        </is>
      </c>
      <c r="G200" t="inlineStr">
        <is>
          <t>gasto_admin</t>
        </is>
      </c>
      <c r="H200" t="inlineStr">
        <is>
          <t>Viajes</t>
        </is>
      </c>
      <c r="I200" t="inlineStr">
        <is>
          <t>Administracion</t>
        </is>
      </c>
      <c r="J200" t="n">
        <v>0</v>
      </c>
      <c r="K200" t="n">
        <v>78.43000000000001</v>
      </c>
      <c r="L200" t="inlineStr">
        <is>
          <t>Julio 2026 USA.xlsx</t>
        </is>
      </c>
      <c r="M200" t="inlineStr">
        <is>
          <t>Aprobado</t>
        </is>
      </c>
      <c r="N200" t="inlineStr">
        <is>
          <t>Puente para redise?ar vistas de Costos &amp; Gastos; no reemplaza P&amp;G oficial. Convertido a USD con la tasa promedio mensual del pais.</t>
        </is>
      </c>
    </row>
    <row r="201">
      <c r="A201" t="inlineStr">
        <is>
          <t>2026-07</t>
        </is>
      </c>
      <c r="B201" t="inlineStr">
        <is>
          <t>Estados Unidos</t>
        </is>
      </c>
      <c r="C201" t="inlineStr">
        <is>
          <t>USA</t>
        </is>
      </c>
      <c r="D201" t="inlineStr">
        <is>
          <t>USD</t>
        </is>
      </c>
      <c r="E201" t="inlineStr">
        <is>
          <t>PL-O-090</t>
        </is>
      </c>
      <c r="F201" t="inlineStr">
        <is>
          <t>Viajes y representación</t>
        </is>
      </c>
      <c r="G201" t="inlineStr">
        <is>
          <t>gasto_admin</t>
        </is>
      </c>
      <c r="H201" t="inlineStr">
        <is>
          <t>Viajes</t>
        </is>
      </c>
      <c r="I201" t="inlineStr">
        <is>
          <t>Administracion</t>
        </is>
      </c>
      <c r="J201" t="n">
        <v>0</v>
      </c>
      <c r="K201" t="n">
        <v>64.79000000000001</v>
      </c>
      <c r="L201" t="inlineStr">
        <is>
          <t>Julio 2026 USA.xlsx</t>
        </is>
      </c>
      <c r="M201" t="inlineStr">
        <is>
          <t>Aprobado</t>
        </is>
      </c>
      <c r="N201" t="inlineStr">
        <is>
          <t>Puente para redise?ar vistas de Costos &amp; Gastos; no reemplaza P&amp;G oficial. Convertido a USD con la tasa promedio mensual del pais.</t>
        </is>
      </c>
    </row>
    <row r="202">
      <c r="A202" t="inlineStr">
        <is>
          <t>2026-07</t>
        </is>
      </c>
      <c r="B202" t="inlineStr">
        <is>
          <t>Estados Unidos</t>
        </is>
      </c>
      <c r="C202" t="inlineStr">
        <is>
          <t>USA</t>
        </is>
      </c>
      <c r="D202" t="inlineStr">
        <is>
          <t>USD</t>
        </is>
      </c>
      <c r="E202" t="inlineStr">
        <is>
          <t>PL-O-090</t>
        </is>
      </c>
      <c r="F202" t="inlineStr">
        <is>
          <t>Viajes y representación</t>
        </is>
      </c>
      <c r="G202" t="inlineStr">
        <is>
          <t>gasto_admin</t>
        </is>
      </c>
      <c r="H202" t="inlineStr">
        <is>
          <t>Viajes</t>
        </is>
      </c>
      <c r="I202" t="inlineStr">
        <is>
          <t>Administracion</t>
        </is>
      </c>
      <c r="J202" t="n">
        <v>0</v>
      </c>
      <c r="K202" t="n">
        <v>35.04</v>
      </c>
      <c r="L202" t="inlineStr">
        <is>
          <t>Julio 2026 USA.xlsx</t>
        </is>
      </c>
      <c r="M202" t="inlineStr">
        <is>
          <t>Aprobado</t>
        </is>
      </c>
      <c r="N202" t="inlineStr">
        <is>
          <t>Puente para redise?ar vistas de Costos &amp; Gastos; no reemplaza P&amp;G oficial. Convertido a USD con la tasa promedio mensual del pais.</t>
        </is>
      </c>
    </row>
    <row r="203">
      <c r="A203" t="inlineStr">
        <is>
          <t>2026-07</t>
        </is>
      </c>
      <c r="B203" t="inlineStr">
        <is>
          <t>Estados Unidos</t>
        </is>
      </c>
      <c r="C203" t="inlineStr">
        <is>
          <t>USA</t>
        </is>
      </c>
      <c r="D203" t="inlineStr">
        <is>
          <t>USD</t>
        </is>
      </c>
      <c r="E203" t="inlineStr">
        <is>
          <t>PL-O-090</t>
        </is>
      </c>
      <c r="F203" t="inlineStr">
        <is>
          <t>Viajes y representación</t>
        </is>
      </c>
      <c r="G203" t="inlineStr">
        <is>
          <t>gasto_admin</t>
        </is>
      </c>
      <c r="H203" t="inlineStr">
        <is>
          <t>Viajes</t>
        </is>
      </c>
      <c r="I203" t="inlineStr">
        <is>
          <t>Administracion</t>
        </is>
      </c>
      <c r="J203" t="n">
        <v>0</v>
      </c>
      <c r="K203" t="n">
        <v>60.35</v>
      </c>
      <c r="L203" t="inlineStr">
        <is>
          <t>Julio 2026 USA.xlsx</t>
        </is>
      </c>
      <c r="M203" t="inlineStr">
        <is>
          <t>Aprobado</t>
        </is>
      </c>
      <c r="N203" t="inlineStr">
        <is>
          <t>Puente para redise?ar vistas de Costos &amp; Gastos; no reemplaza P&amp;G oficial. Convertido a USD con la tasa promedio mensual del pais.</t>
        </is>
      </c>
    </row>
    <row r="204">
      <c r="A204" t="inlineStr">
        <is>
          <t>2026-07</t>
        </is>
      </c>
      <c r="B204" t="inlineStr">
        <is>
          <t>Estados Unidos</t>
        </is>
      </c>
      <c r="C204" t="inlineStr">
        <is>
          <t>USA</t>
        </is>
      </c>
      <c r="D204" t="inlineStr">
        <is>
          <t>USD</t>
        </is>
      </c>
      <c r="E204" t="inlineStr">
        <is>
          <t>PL-O-090</t>
        </is>
      </c>
      <c r="F204" t="inlineStr">
        <is>
          <t>Viajes y representación</t>
        </is>
      </c>
      <c r="G204" t="inlineStr">
        <is>
          <t>gasto_admin</t>
        </is>
      </c>
      <c r="H204" t="inlineStr">
        <is>
          <t>Viajes</t>
        </is>
      </c>
      <c r="I204" t="inlineStr">
        <is>
          <t>Administracion</t>
        </is>
      </c>
      <c r="J204" t="n">
        <v>0</v>
      </c>
      <c r="K204" t="n">
        <v>13.54</v>
      </c>
      <c r="L204" t="inlineStr">
        <is>
          <t>Julio 2026 USA.xlsx</t>
        </is>
      </c>
      <c r="M204" t="inlineStr">
        <is>
          <t>Aprobado</t>
        </is>
      </c>
      <c r="N204" t="inlineStr">
        <is>
          <t>Puente para redise?ar vistas de Costos &amp; Gastos; no reemplaza P&amp;G oficial. Convertido a USD con la tasa promedio mensual del pais.</t>
        </is>
      </c>
    </row>
    <row r="205">
      <c r="A205" t="inlineStr">
        <is>
          <t>2026-07</t>
        </is>
      </c>
      <c r="B205" t="inlineStr">
        <is>
          <t>Estados Unidos</t>
        </is>
      </c>
      <c r="C205" t="inlineStr">
        <is>
          <t>USA</t>
        </is>
      </c>
      <c r="D205" t="inlineStr">
        <is>
          <t>USD</t>
        </is>
      </c>
      <c r="E205" t="inlineStr">
        <is>
          <t>PL-O-010</t>
        </is>
      </c>
      <c r="F205" t="inlineStr">
        <is>
          <t>Gastos de personal</t>
        </is>
      </c>
      <c r="G205" t="inlineStr">
        <is>
          <t>gasto_admin</t>
        </is>
      </c>
      <c r="H205" t="inlineStr">
        <is>
          <t>Personal</t>
        </is>
      </c>
      <c r="I205" t="inlineStr">
        <is>
          <t>Administracion</t>
        </is>
      </c>
      <c r="J205" t="n">
        <v>0</v>
      </c>
      <c r="K205" t="n">
        <v>7600</v>
      </c>
      <c r="L205" t="inlineStr">
        <is>
          <t>Julio 2026 USA.xlsx</t>
        </is>
      </c>
      <c r="M205" t="inlineStr">
        <is>
          <t>Aprobado</t>
        </is>
      </c>
      <c r="N205" t="inlineStr">
        <is>
          <t>Puente para redise?ar vistas de Costos &amp; Gastos; no reemplaza P&amp;G oficial. Convertido a USD con la tasa promedio mensual del pais.</t>
        </is>
      </c>
    </row>
    <row r="206">
      <c r="A206" t="inlineStr">
        <is>
          <t>2026-07</t>
        </is>
      </c>
      <c r="B206" t="inlineStr">
        <is>
          <t>Estados Unidos</t>
        </is>
      </c>
      <c r="C206" t="inlineStr">
        <is>
          <t>USA</t>
        </is>
      </c>
      <c r="D206" t="inlineStr">
        <is>
          <t>USD</t>
        </is>
      </c>
      <c r="E206" t="inlineStr">
        <is>
          <t>PL-O-010</t>
        </is>
      </c>
      <c r="F206" t="inlineStr">
        <is>
          <t>Gastos de personal</t>
        </is>
      </c>
      <c r="G206" t="inlineStr">
        <is>
          <t>gasto_admin</t>
        </is>
      </c>
      <c r="H206" t="inlineStr">
        <is>
          <t>Personal</t>
        </is>
      </c>
      <c r="I206" t="inlineStr">
        <is>
          <t>Administracion</t>
        </is>
      </c>
      <c r="J206" t="n">
        <v>0</v>
      </c>
      <c r="K206" t="n">
        <v>276.06</v>
      </c>
      <c r="L206" t="inlineStr">
        <is>
          <t>Julio 2026 USA.xlsx</t>
        </is>
      </c>
      <c r="M206" t="inlineStr">
        <is>
          <t>Aprobado</t>
        </is>
      </c>
      <c r="N206" t="inlineStr">
        <is>
          <t>Puente para redise?ar vistas de Costos &amp; Gastos; no reemplaza P&amp;G oficial. Convertido a USD con la tasa promedio mensual del pais.</t>
        </is>
      </c>
    </row>
    <row r="207">
      <c r="A207" t="inlineStr">
        <is>
          <t>2026-07</t>
        </is>
      </c>
      <c r="B207" t="inlineStr">
        <is>
          <t>Estados Unidos</t>
        </is>
      </c>
      <c r="C207" t="inlineStr">
        <is>
          <t>USA</t>
        </is>
      </c>
      <c r="D207" t="inlineStr">
        <is>
          <t>USD</t>
        </is>
      </c>
      <c r="E207" t="inlineStr">
        <is>
          <t>PL-O-010</t>
        </is>
      </c>
      <c r="F207" t="inlineStr">
        <is>
          <t>Gastos de personal</t>
        </is>
      </c>
      <c r="G207" t="inlineStr">
        <is>
          <t>gasto_admin</t>
        </is>
      </c>
      <c r="H207" t="inlineStr">
        <is>
          <t>Personal</t>
        </is>
      </c>
      <c r="I207" t="inlineStr">
        <is>
          <t>Administracion</t>
        </is>
      </c>
      <c r="J207" t="n">
        <v>0</v>
      </c>
      <c r="K207" t="n">
        <v>13.9</v>
      </c>
      <c r="L207" t="inlineStr">
        <is>
          <t>Julio 2026 USA.xlsx</t>
        </is>
      </c>
      <c r="M207" t="inlineStr">
        <is>
          <t>Aprobado</t>
        </is>
      </c>
      <c r="N207" t="inlineStr">
        <is>
          <t>Puente para redise?ar vistas de Costos &amp; Gastos; no reemplaza P&amp;G oficial. Convertido a USD con la tasa promedio mensual del pais.</t>
        </is>
      </c>
    </row>
    <row r="208">
      <c r="A208" t="inlineStr">
        <is>
          <t>2026-07</t>
        </is>
      </c>
      <c r="B208" t="inlineStr">
        <is>
          <t>Estados Unidos</t>
        </is>
      </c>
      <c r="C208" t="inlineStr">
        <is>
          <t>USA</t>
        </is>
      </c>
      <c r="D208" t="inlineStr">
        <is>
          <t>USD</t>
        </is>
      </c>
      <c r="E208" t="inlineStr">
        <is>
          <t>PL-O-010</t>
        </is>
      </c>
      <c r="F208" t="inlineStr">
        <is>
          <t>Gastos de personal</t>
        </is>
      </c>
      <c r="G208" t="inlineStr">
        <is>
          <t>gasto_admin</t>
        </is>
      </c>
      <c r="H208" t="inlineStr">
        <is>
          <t>Personal</t>
        </is>
      </c>
      <c r="I208" t="inlineStr">
        <is>
          <t>Administracion</t>
        </is>
      </c>
      <c r="J208" t="n">
        <v>0</v>
      </c>
      <c r="K208" t="n">
        <v>15.3</v>
      </c>
      <c r="L208" t="inlineStr">
        <is>
          <t>Julio 2026 USA.xlsx</t>
        </is>
      </c>
      <c r="M208" t="inlineStr">
        <is>
          <t>Aprobado</t>
        </is>
      </c>
      <c r="N208" t="inlineStr">
        <is>
          <t>Puente para redise?ar vistas de Costos &amp; Gastos; no reemplaza P&amp;G oficial. Convertido a USD con la tasa promedio mensual del pais.</t>
        </is>
      </c>
    </row>
    <row r="209">
      <c r="A209" t="inlineStr">
        <is>
          <t>2026-07</t>
        </is>
      </c>
      <c r="B209" t="inlineStr">
        <is>
          <t>Estados Unidos</t>
        </is>
      </c>
      <c r="C209" t="inlineStr">
        <is>
          <t>USA</t>
        </is>
      </c>
      <c r="D209" t="inlineStr">
        <is>
          <t>USD</t>
        </is>
      </c>
      <c r="E209" t="inlineStr">
        <is>
          <t>PL-O-010</t>
        </is>
      </c>
      <c r="F209" t="inlineStr">
        <is>
          <t>Gastos de personal</t>
        </is>
      </c>
      <c r="G209" t="inlineStr">
        <is>
          <t>gasto_admin</t>
        </is>
      </c>
      <c r="H209" t="inlineStr">
        <is>
          <t>Personal</t>
        </is>
      </c>
      <c r="I209" t="inlineStr">
        <is>
          <t>Administracion</t>
        </is>
      </c>
      <c r="J209" t="n">
        <v>0</v>
      </c>
      <c r="K209" t="n">
        <v>2568.42</v>
      </c>
      <c r="L209" t="inlineStr">
        <is>
          <t>Julio 2026 USA.xlsx</t>
        </is>
      </c>
      <c r="M209" t="inlineStr">
        <is>
          <t>Aprobado</t>
        </is>
      </c>
      <c r="N209" t="inlineStr">
        <is>
          <t>Puente para redise?ar vistas de Costos &amp; Gastos; no reemplaza P&amp;G oficial. Convertido a USD con la tasa promedio mensual del pais.</t>
        </is>
      </c>
    </row>
    <row r="210">
      <c r="A210" t="inlineStr">
        <is>
          <t>2026-07</t>
        </is>
      </c>
      <c r="B210" t="inlineStr">
        <is>
          <t>Estados Unidos</t>
        </is>
      </c>
      <c r="C210" t="inlineStr">
        <is>
          <t>USA</t>
        </is>
      </c>
      <c r="D210" t="inlineStr">
        <is>
          <t>USD</t>
        </is>
      </c>
      <c r="E210" t="inlineStr">
        <is>
          <t>PL-O-010</t>
        </is>
      </c>
      <c r="F210" t="inlineStr">
        <is>
          <t>Gastos de personal</t>
        </is>
      </c>
      <c r="G210" t="inlineStr">
        <is>
          <t>gasto_admin</t>
        </is>
      </c>
      <c r="H210" t="inlineStr">
        <is>
          <t>Personal</t>
        </is>
      </c>
      <c r="I210" t="inlineStr">
        <is>
          <t>Administracion</t>
        </is>
      </c>
      <c r="J210" t="n">
        <v>0</v>
      </c>
      <c r="K210" t="n">
        <v>139.1</v>
      </c>
      <c r="L210" t="inlineStr">
        <is>
          <t>Julio 2026 USA.xlsx</t>
        </is>
      </c>
      <c r="M210" t="inlineStr">
        <is>
          <t>Aprobado</t>
        </is>
      </c>
      <c r="N210" t="inlineStr">
        <is>
          <t>Puente para redise?ar vistas de Costos &amp; Gastos; no reemplaza P&amp;G oficial. Convertido a USD con la tasa promedio mensual del pais.</t>
        </is>
      </c>
    </row>
    <row r="211">
      <c r="A211" t="inlineStr">
        <is>
          <t>2026-07</t>
        </is>
      </c>
      <c r="B211" t="inlineStr">
        <is>
          <t>Estados Unidos</t>
        </is>
      </c>
      <c r="C211" t="inlineStr">
        <is>
          <t>USA</t>
        </is>
      </c>
      <c r="D211" t="inlineStr">
        <is>
          <t>USD</t>
        </is>
      </c>
      <c r="E211" t="inlineStr">
        <is>
          <t>PL-O-010</t>
        </is>
      </c>
      <c r="F211" t="inlineStr">
        <is>
          <t>Gastos de personal</t>
        </is>
      </c>
      <c r="G211" t="inlineStr">
        <is>
          <t>gasto_admin</t>
        </is>
      </c>
      <c r="H211" t="inlineStr">
        <is>
          <t>Personal</t>
        </is>
      </c>
      <c r="I211" t="inlineStr">
        <is>
          <t>Administracion</t>
        </is>
      </c>
      <c r="J211" t="n">
        <v>0</v>
      </c>
      <c r="K211" t="n">
        <v>-540.92</v>
      </c>
      <c r="L211" t="inlineStr">
        <is>
          <t>Julio 2026 USA.xlsx</t>
        </is>
      </c>
      <c r="M211" t="inlineStr">
        <is>
          <t>Aprobado</t>
        </is>
      </c>
      <c r="N211" t="inlineStr">
        <is>
          <t>Puente para redise?ar vistas de Costos &amp; Gastos; no reemplaza P&amp;G oficial. Convertido a USD con la tasa promedio mensual del pais.</t>
        </is>
      </c>
    </row>
    <row r="212">
      <c r="A212" t="inlineStr">
        <is>
          <t>2026-07</t>
        </is>
      </c>
      <c r="B212" t="inlineStr">
        <is>
          <t>Estados Unidos</t>
        </is>
      </c>
      <c r="C212" t="inlineStr">
        <is>
          <t>USA</t>
        </is>
      </c>
      <c r="D212" t="inlineStr">
        <is>
          <t>USD</t>
        </is>
      </c>
      <c r="E212" t="inlineStr">
        <is>
          <t>PL-O-010</t>
        </is>
      </c>
      <c r="F212" t="inlineStr">
        <is>
          <t>Gastos de personal</t>
        </is>
      </c>
      <c r="G212" t="inlineStr">
        <is>
          <t>gasto_admin</t>
        </is>
      </c>
      <c r="H212" t="inlineStr">
        <is>
          <t>Personal</t>
        </is>
      </c>
      <c r="I212" t="inlineStr">
        <is>
          <t>Administracion</t>
        </is>
      </c>
      <c r="J212" t="n">
        <v>0</v>
      </c>
      <c r="K212" t="n">
        <v>122.93</v>
      </c>
      <c r="L212" t="inlineStr">
        <is>
          <t>Julio 2026 USA.xlsx</t>
        </is>
      </c>
      <c r="M212" t="inlineStr">
        <is>
          <t>Aprobado</t>
        </is>
      </c>
      <c r="N212" t="inlineStr">
        <is>
          <t>Puente para redise?ar vistas de Costos &amp; Gastos; no reemplaza P&amp;G oficial. Convertido a USD con la tasa promedio mensual del pais.</t>
        </is>
      </c>
    </row>
    <row r="213">
      <c r="A213" t="inlineStr">
        <is>
          <t>2026-07</t>
        </is>
      </c>
      <c r="B213" t="inlineStr">
        <is>
          <t>Estados Unidos</t>
        </is>
      </c>
      <c r="C213" t="inlineStr">
        <is>
          <t>USA</t>
        </is>
      </c>
      <c r="D213" t="inlineStr">
        <is>
          <t>USD</t>
        </is>
      </c>
      <c r="E213" t="inlineStr">
        <is>
          <t>PL-O-010</t>
        </is>
      </c>
      <c r="F213" t="inlineStr">
        <is>
          <t>Gastos de personal</t>
        </is>
      </c>
      <c r="G213" t="inlineStr">
        <is>
          <t>gasto_admin</t>
        </is>
      </c>
      <c r="H213" t="inlineStr">
        <is>
          <t>Personal</t>
        </is>
      </c>
      <c r="I213" t="inlineStr">
        <is>
          <t>Administracion</t>
        </is>
      </c>
      <c r="J213" t="n">
        <v>0</v>
      </c>
      <c r="K213" t="n">
        <v>56.7</v>
      </c>
      <c r="L213" t="inlineStr">
        <is>
          <t>Julio 2026 USA.xlsx</t>
        </is>
      </c>
      <c r="M213" t="inlineStr">
        <is>
          <t>Aprobado</t>
        </is>
      </c>
      <c r="N213" t="inlineStr">
        <is>
          <t>Puente para redise?ar vistas de Costos &amp; Gastos; no reemplaza P&amp;G oficial. Convertido a USD con la tasa promedio mensual del pais.</t>
        </is>
      </c>
    </row>
    <row r="214">
      <c r="A214" t="inlineStr">
        <is>
          <t>2026-07</t>
        </is>
      </c>
      <c r="B214" t="inlineStr">
        <is>
          <t>Estados Unidos</t>
        </is>
      </c>
      <c r="C214" t="inlineStr">
        <is>
          <t>USA</t>
        </is>
      </c>
      <c r="D214" t="inlineStr">
        <is>
          <t>USD</t>
        </is>
      </c>
      <c r="E214" t="inlineStr">
        <is>
          <t>PL-O-010</t>
        </is>
      </c>
      <c r="F214" t="inlineStr">
        <is>
          <t>Gastos de personal</t>
        </is>
      </c>
      <c r="G214" t="inlineStr">
        <is>
          <t>gasto_admin</t>
        </is>
      </c>
      <c r="H214" t="inlineStr">
        <is>
          <t>Personal</t>
        </is>
      </c>
      <c r="I214" t="inlineStr">
        <is>
          <t>Administracion</t>
        </is>
      </c>
      <c r="J214" t="n">
        <v>637.33</v>
      </c>
      <c r="K214" t="n">
        <v>4791.31</v>
      </c>
      <c r="L214" t="inlineStr">
        <is>
          <t>Julio 2026 USA.xlsx</t>
        </is>
      </c>
      <c r="M214" t="inlineStr">
        <is>
          <t>Aprobado</t>
        </is>
      </c>
      <c r="N214" t="inlineStr">
        <is>
          <t>Puente para redise?ar vistas de Costos &amp; Gastos; no reemplaza P&amp;G oficial. Convertido a USD con la tasa promedio mensual del pais.</t>
        </is>
      </c>
    </row>
    <row r="215">
      <c r="A215" t="inlineStr">
        <is>
          <t>2026-07</t>
        </is>
      </c>
      <c r="B215" t="inlineStr">
        <is>
          <t>Estados Unidos</t>
        </is>
      </c>
      <c r="C215" t="inlineStr">
        <is>
          <t>USA</t>
        </is>
      </c>
      <c r="D215" t="inlineStr">
        <is>
          <t>USD</t>
        </is>
      </c>
      <c r="E215" t="inlineStr">
        <is>
          <t>PL-O-020</t>
        </is>
      </c>
      <c r="F215" t="inlineStr">
        <is>
          <t>Honorarios y servicios profesionales</t>
        </is>
      </c>
      <c r="G215" t="inlineStr">
        <is>
          <t>gasto_admin</t>
        </is>
      </c>
      <c r="H215" t="inlineStr">
        <is>
          <t>Honorarios</t>
        </is>
      </c>
      <c r="I215" t="inlineStr">
        <is>
          <t>Administracion</t>
        </is>
      </c>
      <c r="J215" t="n">
        <v>100</v>
      </c>
      <c r="K215" t="n">
        <v>250</v>
      </c>
      <c r="L215" t="inlineStr">
        <is>
          <t>Julio 2026 USA.xlsx</t>
        </is>
      </c>
      <c r="M215" t="inlineStr">
        <is>
          <t>Aprobado</t>
        </is>
      </c>
      <c r="N215" t="inlineStr">
        <is>
          <t>Puente para redise?ar vistas de Costos &amp; Gastos; no reemplaza P&amp;G oficial. Convertido a USD con la tasa promedio mensual del pais.</t>
        </is>
      </c>
    </row>
    <row r="216">
      <c r="A216" t="inlineStr">
        <is>
          <t>2026-07</t>
        </is>
      </c>
      <c r="B216" t="inlineStr">
        <is>
          <t>Estados Unidos</t>
        </is>
      </c>
      <c r="C216" t="inlineStr">
        <is>
          <t>USA</t>
        </is>
      </c>
      <c r="D216" t="inlineStr">
        <is>
          <t>USD</t>
        </is>
      </c>
      <c r="E216" t="inlineStr">
        <is>
          <t>PL-O-020</t>
        </is>
      </c>
      <c r="F216" t="inlineStr">
        <is>
          <t>Honorarios y servicios profesionales</t>
        </is>
      </c>
      <c r="G216" t="inlineStr">
        <is>
          <t>gasto_admin</t>
        </is>
      </c>
      <c r="H216" t="inlineStr">
        <is>
          <t>Honorarios</t>
        </is>
      </c>
      <c r="I216" t="inlineStr">
        <is>
          <t>Administracion</t>
        </is>
      </c>
      <c r="J216" t="n">
        <v>0</v>
      </c>
      <c r="K216" t="n">
        <v>445</v>
      </c>
      <c r="L216" t="inlineStr">
        <is>
          <t>Julio 2026 USA.xlsx</t>
        </is>
      </c>
      <c r="M216" t="inlineStr">
        <is>
          <t>Aprobado</t>
        </is>
      </c>
      <c r="N216" t="inlineStr">
        <is>
          <t>Puente para redise?ar vistas de Costos &amp; Gastos; no reemplaza P&amp;G oficial. Convertido a USD con la tasa promedio mensual del pais.</t>
        </is>
      </c>
    </row>
    <row r="217">
      <c r="A217" t="inlineStr">
        <is>
          <t>2026-07</t>
        </is>
      </c>
      <c r="B217" t="inlineStr">
        <is>
          <t>Estados Unidos</t>
        </is>
      </c>
      <c r="C217" t="inlineStr">
        <is>
          <t>USA</t>
        </is>
      </c>
      <c r="D217" t="inlineStr">
        <is>
          <t>USD</t>
        </is>
      </c>
      <c r="E217" t="inlineStr">
        <is>
          <t>PL-O-020</t>
        </is>
      </c>
      <c r="F217" t="inlineStr">
        <is>
          <t>Honorarios y servicios profesionales</t>
        </is>
      </c>
      <c r="G217" t="inlineStr">
        <is>
          <t>gasto_admin</t>
        </is>
      </c>
      <c r="H217" t="inlineStr">
        <is>
          <t>Honorarios</t>
        </is>
      </c>
      <c r="I217" t="inlineStr">
        <is>
          <t>Administracion</t>
        </is>
      </c>
      <c r="J217" t="n">
        <v>0</v>
      </c>
      <c r="K217" t="n">
        <v>2000</v>
      </c>
      <c r="L217" t="inlineStr">
        <is>
          <t>Julio 2026 USA.xlsx</t>
        </is>
      </c>
      <c r="M217" t="inlineStr">
        <is>
          <t>Aprobado</t>
        </is>
      </c>
      <c r="N217" t="inlineStr">
        <is>
          <t>Puente para redise?ar vistas de Costos &amp; Gastos; no reemplaza P&amp;G oficial. Convertido a USD con la tasa promedio mensual del pais.</t>
        </is>
      </c>
    </row>
    <row r="218">
      <c r="A218" t="inlineStr">
        <is>
          <t>2026-07</t>
        </is>
      </c>
      <c r="B218" t="inlineStr">
        <is>
          <t>Estados Unidos</t>
        </is>
      </c>
      <c r="C218" t="inlineStr">
        <is>
          <t>USA</t>
        </is>
      </c>
      <c r="D218" t="inlineStr">
        <is>
          <t>USD</t>
        </is>
      </c>
      <c r="E218" t="inlineStr">
        <is>
          <t>PL-O-030</t>
        </is>
      </c>
      <c r="F218" t="inlineStr">
        <is>
          <t>Impuestos y contribuciones</t>
        </is>
      </c>
      <c r="G218" t="inlineStr">
        <is>
          <t>gasto_admin</t>
        </is>
      </c>
      <c r="H218" t="inlineStr">
        <is>
          <t>Diversos</t>
        </is>
      </c>
      <c r="I218" t="inlineStr">
        <is>
          <t>Administracion</t>
        </is>
      </c>
      <c r="J218" t="n">
        <v>0</v>
      </c>
      <c r="K218" t="n">
        <v>4024.05</v>
      </c>
      <c r="L218" t="inlineStr">
        <is>
          <t>Julio 2026 USA.xlsx</t>
        </is>
      </c>
      <c r="M218" t="inlineStr">
        <is>
          <t>Aprobado</t>
        </is>
      </c>
      <c r="N218" t="inlineStr">
        <is>
          <t>Puente para redise?ar vistas de Costos &amp; Gastos; no reemplaza P&amp;G oficial. Convertido a USD con la tasa promedio mensual del pais.</t>
        </is>
      </c>
    </row>
    <row r="219">
      <c r="A219" t="inlineStr">
        <is>
          <t>2026-07</t>
        </is>
      </c>
      <c r="B219" t="inlineStr">
        <is>
          <t>Estados Unidos</t>
        </is>
      </c>
      <c r="C219" t="inlineStr">
        <is>
          <t>USA</t>
        </is>
      </c>
      <c r="D219" t="inlineStr">
        <is>
          <t>USD</t>
        </is>
      </c>
      <c r="E219" t="inlineStr">
        <is>
          <t>PL-O-040</t>
        </is>
      </c>
      <c r="F219" t="inlineStr">
        <is>
          <t>Arrendamientos</t>
        </is>
      </c>
      <c r="G219" t="inlineStr">
        <is>
          <t>gasto_admin</t>
        </is>
      </c>
      <c r="H219" t="inlineStr">
        <is>
          <t>Arrendamiento</t>
        </is>
      </c>
      <c r="I219" t="inlineStr">
        <is>
          <t>Administracion</t>
        </is>
      </c>
      <c r="J219" t="n">
        <v>85.06</v>
      </c>
      <c r="K219" t="n">
        <v>85.06</v>
      </c>
      <c r="L219" t="inlineStr">
        <is>
          <t>Julio 2026 USA.xlsx</t>
        </is>
      </c>
      <c r="M219" t="inlineStr">
        <is>
          <t>Aprobado</t>
        </is>
      </c>
      <c r="N219" t="inlineStr">
        <is>
          <t>Puente para redise?ar vistas de Costos &amp; Gastos; no reemplaza P&amp;G oficial. Convertido a USD con la tasa promedio mensual del pais.</t>
        </is>
      </c>
    </row>
    <row r="220">
      <c r="A220" t="inlineStr">
        <is>
          <t>2026-07</t>
        </is>
      </c>
      <c r="B220" t="inlineStr">
        <is>
          <t>Estados Unidos</t>
        </is>
      </c>
      <c r="C220" t="inlineStr">
        <is>
          <t>USA</t>
        </is>
      </c>
      <c r="D220" t="inlineStr">
        <is>
          <t>USD</t>
        </is>
      </c>
      <c r="E220" t="inlineStr">
        <is>
          <t>PL-O-060</t>
        </is>
      </c>
      <c r="F220" t="inlineStr">
        <is>
          <t>Tecnología y procesamiento de datos</t>
        </is>
      </c>
      <c r="G220" t="inlineStr">
        <is>
          <t>gasto_admin</t>
        </is>
      </c>
      <c r="H220" t="inlineStr">
        <is>
          <t>Servicios</t>
        </is>
      </c>
      <c r="I220" t="inlineStr">
        <is>
          <t>Administracion</t>
        </is>
      </c>
      <c r="J220" t="n">
        <v>0</v>
      </c>
      <c r="K220" t="n">
        <v>225.35</v>
      </c>
      <c r="L220" t="inlineStr">
        <is>
          <t>Julio 2026 USA.xlsx</t>
        </is>
      </c>
      <c r="M220" t="inlineStr">
        <is>
          <t>Aprobado</t>
        </is>
      </c>
      <c r="N220" t="inlineStr">
        <is>
          <t>Puente para redise?ar vistas de Costos &amp; Gastos; no reemplaza P&amp;G oficial. Convertido a USD con la tasa promedio mensual del pais.</t>
        </is>
      </c>
    </row>
    <row r="221">
      <c r="A221" t="inlineStr">
        <is>
          <t>2026-07</t>
        </is>
      </c>
      <c r="B221" t="inlineStr">
        <is>
          <t>Estados Unidos</t>
        </is>
      </c>
      <c r="C221" t="inlineStr">
        <is>
          <t>USA</t>
        </is>
      </c>
      <c r="D221" t="inlineStr">
        <is>
          <t>USD</t>
        </is>
      </c>
      <c r="E221" t="inlineStr">
        <is>
          <t>PL-O-060</t>
        </is>
      </c>
      <c r="F221" t="inlineStr">
        <is>
          <t>Tecnología y procesamiento de datos</t>
        </is>
      </c>
      <c r="G221" t="inlineStr">
        <is>
          <t>gasto_admin</t>
        </is>
      </c>
      <c r="H221" t="inlineStr">
        <is>
          <t>Servicios</t>
        </is>
      </c>
      <c r="I221" t="inlineStr">
        <is>
          <t>Administracion</t>
        </is>
      </c>
      <c r="J221" t="n">
        <v>0</v>
      </c>
      <c r="K221" t="n">
        <v>191.4</v>
      </c>
      <c r="L221" t="inlineStr">
        <is>
          <t>Julio 2026 USA.xlsx</t>
        </is>
      </c>
      <c r="M221" t="inlineStr">
        <is>
          <t>Aprobado</t>
        </is>
      </c>
      <c r="N221" t="inlineStr">
        <is>
          <t>Puente para redise?ar vistas de Costos &amp; Gastos; no reemplaza P&amp;G oficial. Convertido a USD con la tasa promedio mensual del pais.</t>
        </is>
      </c>
    </row>
    <row r="222">
      <c r="A222" t="inlineStr">
        <is>
          <t>2026-07</t>
        </is>
      </c>
      <c r="B222" t="inlineStr">
        <is>
          <t>Estados Unidos</t>
        </is>
      </c>
      <c r="C222" t="inlineStr">
        <is>
          <t>USA</t>
        </is>
      </c>
      <c r="D222" t="inlineStr">
        <is>
          <t>USD</t>
        </is>
      </c>
      <c r="E222" t="inlineStr">
        <is>
          <t>PL-O-060</t>
        </is>
      </c>
      <c r="F222" t="inlineStr">
        <is>
          <t>Tecnología y procesamiento de datos</t>
        </is>
      </c>
      <c r="G222" t="inlineStr">
        <is>
          <t>gasto_admin</t>
        </is>
      </c>
      <c r="H222" t="inlineStr">
        <is>
          <t>Servicios</t>
        </is>
      </c>
      <c r="I222" t="inlineStr">
        <is>
          <t>Administracion</t>
        </is>
      </c>
      <c r="J222" t="n">
        <v>0</v>
      </c>
      <c r="K222" t="n">
        <v>32.1</v>
      </c>
      <c r="L222" t="inlineStr">
        <is>
          <t>Julio 2026 USA.xlsx</t>
        </is>
      </c>
      <c r="M222" t="inlineStr">
        <is>
          <t>Aprobado</t>
        </is>
      </c>
      <c r="N222" t="inlineStr">
        <is>
          <t>Puente para redise?ar vistas de Costos &amp; Gastos; no reemplaza P&amp;G oficial. Convertido a USD con la tasa promedio mensual del pais.</t>
        </is>
      </c>
    </row>
    <row r="223">
      <c r="A223" t="inlineStr">
        <is>
          <t>2026-07</t>
        </is>
      </c>
      <c r="B223" t="inlineStr">
        <is>
          <t>Estados Unidos</t>
        </is>
      </c>
      <c r="C223" t="inlineStr">
        <is>
          <t>USA</t>
        </is>
      </c>
      <c r="D223" t="inlineStr">
        <is>
          <t>USD</t>
        </is>
      </c>
      <c r="E223" t="inlineStr">
        <is>
          <t>PL-O-060</t>
        </is>
      </c>
      <c r="F223" t="inlineStr">
        <is>
          <t>Tecnología y procesamiento de datos</t>
        </is>
      </c>
      <c r="G223" t="inlineStr">
        <is>
          <t>gasto_admin</t>
        </is>
      </c>
      <c r="H223" t="inlineStr">
        <is>
          <t>Servicios</t>
        </is>
      </c>
      <c r="I223" t="inlineStr">
        <is>
          <t>Administracion</t>
        </is>
      </c>
      <c r="J223" t="n">
        <v>20</v>
      </c>
      <c r="K223" t="n">
        <v>120</v>
      </c>
      <c r="L223" t="inlineStr">
        <is>
          <t>Julio 2026 USA.xlsx</t>
        </is>
      </c>
      <c r="M223" t="inlineStr">
        <is>
          <t>Aprobado</t>
        </is>
      </c>
      <c r="N223" t="inlineStr">
        <is>
          <t>Puente para redise?ar vistas de Costos &amp; Gastos; no reemplaza P&amp;G oficial. Convertido a USD con la tasa promedio mensual del pais.</t>
        </is>
      </c>
    </row>
    <row r="224">
      <c r="A224" t="inlineStr">
        <is>
          <t>2026-07</t>
        </is>
      </c>
      <c r="B224" t="inlineStr">
        <is>
          <t>Estados Unidos</t>
        </is>
      </c>
      <c r="C224" t="inlineStr">
        <is>
          <t>USA</t>
        </is>
      </c>
      <c r="D224" t="inlineStr">
        <is>
          <t>USD</t>
        </is>
      </c>
      <c r="E224" t="inlineStr">
        <is>
          <t>PL-O-060</t>
        </is>
      </c>
      <c r="F224" t="inlineStr">
        <is>
          <t>Tecnología y procesamiento de datos</t>
        </is>
      </c>
      <c r="G224" t="inlineStr">
        <is>
          <t>gasto_admin</t>
        </is>
      </c>
      <c r="H224" t="inlineStr">
        <is>
          <t>Servicios</t>
        </is>
      </c>
      <c r="I224" t="inlineStr">
        <is>
          <t>Administracion</t>
        </is>
      </c>
      <c r="J224" t="n">
        <v>0</v>
      </c>
      <c r="K224" t="n">
        <v>7500</v>
      </c>
      <c r="L224" t="inlineStr">
        <is>
          <t>Julio 2026 USA.xlsx</t>
        </is>
      </c>
      <c r="M224" t="inlineStr">
        <is>
          <t>Aprobado</t>
        </is>
      </c>
      <c r="N224" t="inlineStr">
        <is>
          <t>Puente para redise?ar vistas de Costos &amp; Gastos; no reemplaza P&amp;G oficial. Convertido a USD con la tasa promedio mensual del pais.</t>
        </is>
      </c>
    </row>
    <row r="225">
      <c r="A225" t="inlineStr">
        <is>
          <t>2026-07</t>
        </is>
      </c>
      <c r="B225" t="inlineStr">
        <is>
          <t>Estados Unidos</t>
        </is>
      </c>
      <c r="C225" t="inlineStr">
        <is>
          <t>USA</t>
        </is>
      </c>
      <c r="D225" t="inlineStr">
        <is>
          <t>USD</t>
        </is>
      </c>
      <c r="E225" t="inlineStr">
        <is>
          <t>PL-O-060</t>
        </is>
      </c>
      <c r="F225" t="inlineStr">
        <is>
          <t>Tecnología y procesamiento de datos</t>
        </is>
      </c>
      <c r="G225" t="inlineStr">
        <is>
          <t>gasto_admin</t>
        </is>
      </c>
      <c r="H225" t="inlineStr">
        <is>
          <t>Servicios</t>
        </is>
      </c>
      <c r="I225" t="inlineStr">
        <is>
          <t>Administracion</t>
        </is>
      </c>
      <c r="J225" t="n">
        <v>225</v>
      </c>
      <c r="K225" t="n">
        <v>1252.2</v>
      </c>
      <c r="L225" t="inlineStr">
        <is>
          <t>Julio 2026 USA.xlsx</t>
        </is>
      </c>
      <c r="M225" t="inlineStr">
        <is>
          <t>Aprobado</t>
        </is>
      </c>
      <c r="N225" t="inlineStr">
        <is>
          <t>Puente para redise?ar vistas de Costos &amp; Gastos; no reemplaza P&amp;G oficial. Convertido a USD con la tasa promedio mensual del pais.</t>
        </is>
      </c>
    </row>
    <row r="226">
      <c r="A226" t="inlineStr">
        <is>
          <t>2026-07</t>
        </is>
      </c>
      <c r="B226" t="inlineStr">
        <is>
          <t>Estados Unidos</t>
        </is>
      </c>
      <c r="C226" t="inlineStr">
        <is>
          <t>USA</t>
        </is>
      </c>
      <c r="D226" t="inlineStr">
        <is>
          <t>USD</t>
        </is>
      </c>
      <c r="E226" t="inlineStr">
        <is>
          <t>PL-O-060</t>
        </is>
      </c>
      <c r="F226" t="inlineStr">
        <is>
          <t>Tecnología y procesamiento de datos</t>
        </is>
      </c>
      <c r="G226" t="inlineStr">
        <is>
          <t>gasto_admin</t>
        </is>
      </c>
      <c r="H226" t="inlineStr">
        <is>
          <t>Servicios</t>
        </is>
      </c>
      <c r="I226" t="inlineStr">
        <is>
          <t>Administracion</t>
        </is>
      </c>
      <c r="J226" t="n">
        <v>0</v>
      </c>
      <c r="K226" t="n">
        <v>191.53</v>
      </c>
      <c r="L226" t="inlineStr">
        <is>
          <t>Julio 2026 USA.xlsx</t>
        </is>
      </c>
      <c r="M226" t="inlineStr">
        <is>
          <t>Aprobado</t>
        </is>
      </c>
      <c r="N226" t="inlineStr">
        <is>
          <t>Puente para redise?ar vistas de Costos &amp; Gastos; no reemplaza P&amp;G oficial. Convertido a USD con la tasa promedio mensual del pais.</t>
        </is>
      </c>
    </row>
    <row r="227">
      <c r="A227" t="inlineStr">
        <is>
          <t>2026-07</t>
        </is>
      </c>
      <c r="B227" t="inlineStr">
        <is>
          <t>Estados Unidos</t>
        </is>
      </c>
      <c r="C227" t="inlineStr">
        <is>
          <t>USA</t>
        </is>
      </c>
      <c r="D227" t="inlineStr">
        <is>
          <t>USD</t>
        </is>
      </c>
      <c r="E227" t="inlineStr">
        <is>
          <t>PL-O-070</t>
        </is>
      </c>
      <c r="F227" t="inlineStr">
        <is>
          <t>Telecomunicaciones</t>
        </is>
      </c>
      <c r="G227" t="inlineStr">
        <is>
          <t>gasto_admin</t>
        </is>
      </c>
      <c r="H227" t="inlineStr">
        <is>
          <t>Servicios</t>
        </is>
      </c>
      <c r="I227" t="inlineStr">
        <is>
          <t>Administracion</t>
        </is>
      </c>
      <c r="J227" t="n">
        <v>164.53</v>
      </c>
      <c r="K227" t="n">
        <v>479.01</v>
      </c>
      <c r="L227" t="inlineStr">
        <is>
          <t>Julio 2026 USA.xlsx</t>
        </is>
      </c>
      <c r="M227" t="inlineStr">
        <is>
          <t>Aprobado</t>
        </is>
      </c>
      <c r="N227" t="inlineStr">
        <is>
          <t>Puente para redise?ar vistas de Costos &amp; Gastos; no reemplaza P&amp;G oficial. Convertido a USD con la tasa promedio mensual del pais.</t>
        </is>
      </c>
    </row>
    <row r="228">
      <c r="A228" t="inlineStr">
        <is>
          <t>2026-07</t>
        </is>
      </c>
      <c r="B228" t="inlineStr">
        <is>
          <t>Estados Unidos</t>
        </is>
      </c>
      <c r="C228" t="inlineStr">
        <is>
          <t>USA</t>
        </is>
      </c>
      <c r="D228" t="inlineStr">
        <is>
          <t>USD</t>
        </is>
      </c>
      <c r="E228" t="inlineStr">
        <is>
          <t>PL-O-080</t>
        </is>
      </c>
      <c r="F228" t="inlineStr">
        <is>
          <t>Correo y mensajería</t>
        </is>
      </c>
      <c r="G228" t="inlineStr">
        <is>
          <t>gasto_admin</t>
        </is>
      </c>
      <c r="H228" t="inlineStr">
        <is>
          <t>Servicios</t>
        </is>
      </c>
      <c r="I228" t="inlineStr">
        <is>
          <t>Administracion</t>
        </is>
      </c>
      <c r="J228" t="n">
        <v>0</v>
      </c>
      <c r="K228" t="n">
        <v>57.32</v>
      </c>
      <c r="L228" t="inlineStr">
        <is>
          <t>Julio 2026 USA.xlsx</t>
        </is>
      </c>
      <c r="M228" t="inlineStr">
        <is>
          <t>Aprobado</t>
        </is>
      </c>
      <c r="N228" t="inlineStr">
        <is>
          <t>Puente para redise?ar vistas de Costos &amp; Gastos; no reemplaza P&amp;G oficial. Convertido a USD con la tasa promedio mensual del pais.</t>
        </is>
      </c>
    </row>
    <row r="229">
      <c r="A229" t="inlineStr">
        <is>
          <t>2026-07</t>
        </is>
      </c>
      <c r="B229" t="inlineStr">
        <is>
          <t>Estados Unidos</t>
        </is>
      </c>
      <c r="C229" t="inlineStr">
        <is>
          <t>USA</t>
        </is>
      </c>
      <c r="D229" t="inlineStr">
        <is>
          <t>USD</t>
        </is>
      </c>
      <c r="E229" t="inlineStr">
        <is>
          <t>PL-O-100</t>
        </is>
      </c>
      <c r="F229" t="inlineStr">
        <is>
          <t>Otros servicios administrativos</t>
        </is>
      </c>
      <c r="G229" t="inlineStr">
        <is>
          <t>gasto_admin</t>
        </is>
      </c>
      <c r="H229" t="inlineStr">
        <is>
          <t>Servicios</t>
        </is>
      </c>
      <c r="I229" t="inlineStr">
        <is>
          <t>Administracion</t>
        </is>
      </c>
      <c r="J229" t="n">
        <v>0</v>
      </c>
      <c r="K229" t="n">
        <v>773.99</v>
      </c>
      <c r="L229" t="inlineStr">
        <is>
          <t>Julio 2026 USA.xlsx</t>
        </is>
      </c>
      <c r="M229" t="inlineStr">
        <is>
          <t>Revisar</t>
        </is>
      </c>
      <c r="N229" t="inlineStr">
        <is>
          <t>Puente para redise?ar vistas de Costos &amp; Gastos; no reemplaza P&amp;G oficial. Convertido a USD con la tasa promedio mensual del pais.</t>
        </is>
      </c>
    </row>
    <row r="230">
      <c r="A230" t="inlineStr">
        <is>
          <t>2026-07</t>
        </is>
      </c>
      <c r="B230" t="inlineStr">
        <is>
          <t>Estados Unidos</t>
        </is>
      </c>
      <c r="C230" t="inlineStr">
        <is>
          <t>USA</t>
        </is>
      </c>
      <c r="D230" t="inlineStr">
        <is>
          <t>USD</t>
        </is>
      </c>
      <c r="E230" t="inlineStr">
        <is>
          <t>PL-O-110</t>
        </is>
      </c>
      <c r="F230" t="inlineStr">
        <is>
          <t>Suministros y oficina</t>
        </is>
      </c>
      <c r="G230" t="inlineStr">
        <is>
          <t>gasto_admin</t>
        </is>
      </c>
      <c r="H230" t="inlineStr">
        <is>
          <t>Diversos</t>
        </is>
      </c>
      <c r="I230" t="inlineStr">
        <is>
          <t>Administracion</t>
        </is>
      </c>
      <c r="J230" t="n">
        <v>0</v>
      </c>
      <c r="K230" t="n">
        <v>35.1</v>
      </c>
      <c r="L230" t="inlineStr">
        <is>
          <t>Julio 2026 USA.xlsx</t>
        </is>
      </c>
      <c r="M230" t="inlineStr">
        <is>
          <t>Aprobado</t>
        </is>
      </c>
      <c r="N230" t="inlineStr">
        <is>
          <t>Puente para redise?ar vistas de Costos &amp; Gastos; no reemplaza P&amp;G oficial. Convertido a USD con la tasa promedio mensual del pais.</t>
        </is>
      </c>
    </row>
    <row r="231">
      <c r="A231" t="inlineStr">
        <is>
          <t>2026-07</t>
        </is>
      </c>
      <c r="B231" t="inlineStr">
        <is>
          <t>Estados Unidos</t>
        </is>
      </c>
      <c r="C231" t="inlineStr">
        <is>
          <t>USA</t>
        </is>
      </c>
      <c r="D231" t="inlineStr">
        <is>
          <t>USD</t>
        </is>
      </c>
      <c r="E231" t="inlineStr">
        <is>
          <t>PL-O-110</t>
        </is>
      </c>
      <c r="F231" t="inlineStr">
        <is>
          <t>Suministros y oficina</t>
        </is>
      </c>
      <c r="G231" t="inlineStr">
        <is>
          <t>gasto_admin</t>
        </is>
      </c>
      <c r="H231" t="inlineStr">
        <is>
          <t>Diversos</t>
        </is>
      </c>
      <c r="I231" t="inlineStr">
        <is>
          <t>Administracion</t>
        </is>
      </c>
      <c r="J231" t="n">
        <v>0</v>
      </c>
      <c r="K231" t="n">
        <v>82.58</v>
      </c>
      <c r="L231" t="inlineStr">
        <is>
          <t>Julio 2026 USA.xlsx</t>
        </is>
      </c>
      <c r="M231" t="inlineStr">
        <is>
          <t>Aprobado</t>
        </is>
      </c>
      <c r="N231" t="inlineStr">
        <is>
          <t>Puente para redise?ar vistas de Costos &amp; Gastos; no reemplaza P&amp;G oficial. Convertido a USD con la tasa promedio mensual del pais.</t>
        </is>
      </c>
    </row>
    <row r="232">
      <c r="A232" t="inlineStr">
        <is>
          <t>2026-07</t>
        </is>
      </c>
      <c r="B232" t="inlineStr">
        <is>
          <t>Estados Unidos</t>
        </is>
      </c>
      <c r="C232" t="inlineStr">
        <is>
          <t>USA</t>
        </is>
      </c>
      <c r="D232" t="inlineStr">
        <is>
          <t>USD</t>
        </is>
      </c>
      <c r="E232" t="inlineStr">
        <is>
          <t>PL-O-120</t>
        </is>
      </c>
      <c r="F232" t="inlineStr">
        <is>
          <t>Alimentación y restaurante</t>
        </is>
      </c>
      <c r="G232" t="inlineStr">
        <is>
          <t>gasto_admin</t>
        </is>
      </c>
      <c r="H232" t="inlineStr">
        <is>
          <t>Diversos</t>
        </is>
      </c>
      <c r="I232" t="inlineStr">
        <is>
          <t>Administracion</t>
        </is>
      </c>
      <c r="J232" t="n">
        <v>95.81</v>
      </c>
      <c r="K232" t="n">
        <v>350.1</v>
      </c>
      <c r="L232" t="inlineStr">
        <is>
          <t>Julio 2026 USA.xlsx</t>
        </is>
      </c>
      <c r="M232" t="inlineStr">
        <is>
          <t>Revisar</t>
        </is>
      </c>
      <c r="N232" t="inlineStr">
        <is>
          <t>Puente para redise?ar vistas de Costos &amp; Gastos; no reemplaza P&amp;G oficial. Convertido a USD con la tasa promedio mensual del pais.</t>
        </is>
      </c>
    </row>
    <row r="233">
      <c r="A233" t="inlineStr">
        <is>
          <t>2026-07</t>
        </is>
      </c>
      <c r="B233" t="inlineStr">
        <is>
          <t>Estados Unidos</t>
        </is>
      </c>
      <c r="C233" t="inlineStr">
        <is>
          <t>USA</t>
        </is>
      </c>
      <c r="D233" t="inlineStr">
        <is>
          <t>USD</t>
        </is>
      </c>
      <c r="E233" t="inlineStr">
        <is>
          <t>PL-O-120</t>
        </is>
      </c>
      <c r="F233" t="inlineStr">
        <is>
          <t>Alimentación y restaurante</t>
        </is>
      </c>
      <c r="G233" t="inlineStr">
        <is>
          <t>gasto_admin</t>
        </is>
      </c>
      <c r="H233" t="inlineStr">
        <is>
          <t>Diversos</t>
        </is>
      </c>
      <c r="I233" t="inlineStr">
        <is>
          <t>Administracion</t>
        </is>
      </c>
      <c r="J233" t="n">
        <v>0</v>
      </c>
      <c r="K233" t="n">
        <v>63.15</v>
      </c>
      <c r="L233" t="inlineStr">
        <is>
          <t>Julio 2026 USA.xlsx</t>
        </is>
      </c>
      <c r="M233" t="inlineStr">
        <is>
          <t>Revisar</t>
        </is>
      </c>
      <c r="N233" t="inlineStr">
        <is>
          <t>Puente para redise?ar vistas de Costos &amp; Gastos; no reemplaza P&amp;G oficial. Convertido a USD con la tasa promedio mensual del pais.</t>
        </is>
      </c>
    </row>
    <row r="234">
      <c r="A234" t="inlineStr">
        <is>
          <t>2026-07</t>
        </is>
      </c>
      <c r="B234" t="inlineStr">
        <is>
          <t>Estados Unidos</t>
        </is>
      </c>
      <c r="C234" t="inlineStr">
        <is>
          <t>USA</t>
        </is>
      </c>
      <c r="D234" t="inlineStr">
        <is>
          <t>USD</t>
        </is>
      </c>
      <c r="E234" t="inlineStr">
        <is>
          <t>PL-O-120</t>
        </is>
      </c>
      <c r="F234" t="inlineStr">
        <is>
          <t>Alimentación y restaurante</t>
        </is>
      </c>
      <c r="G234" t="inlineStr">
        <is>
          <t>gasto_admin</t>
        </is>
      </c>
      <c r="H234" t="inlineStr">
        <is>
          <t>Diversos</t>
        </is>
      </c>
      <c r="I234" t="inlineStr">
        <is>
          <t>Administracion</t>
        </is>
      </c>
      <c r="J234" t="n">
        <v>0</v>
      </c>
      <c r="K234" t="n">
        <v>55.93</v>
      </c>
      <c r="L234" t="inlineStr">
        <is>
          <t>Julio 2026 USA.xlsx</t>
        </is>
      </c>
      <c r="M234" t="inlineStr">
        <is>
          <t>Revisar</t>
        </is>
      </c>
      <c r="N234" t="inlineStr">
        <is>
          <t>Puente para redise?ar vistas de Costos &amp; Gastos; no reemplaza P&amp;G oficial. Convertido a USD con la tasa promedio mensual del pais.</t>
        </is>
      </c>
    </row>
    <row r="235">
      <c r="A235" t="inlineStr">
        <is>
          <t>2026-07</t>
        </is>
      </c>
      <c r="B235" t="inlineStr">
        <is>
          <t>Estados Unidos</t>
        </is>
      </c>
      <c r="C235" t="inlineStr">
        <is>
          <t>USA</t>
        </is>
      </c>
      <c r="D235" t="inlineStr">
        <is>
          <t>USD</t>
        </is>
      </c>
      <c r="E235" t="inlineStr">
        <is>
          <t>PL-O-120</t>
        </is>
      </c>
      <c r="F235" t="inlineStr">
        <is>
          <t>Alimentación y restaurante</t>
        </is>
      </c>
      <c r="G235" t="inlineStr">
        <is>
          <t>gasto_admin</t>
        </is>
      </c>
      <c r="H235" t="inlineStr">
        <is>
          <t>Diversos</t>
        </is>
      </c>
      <c r="I235" t="inlineStr">
        <is>
          <t>Administracion</t>
        </is>
      </c>
      <c r="J235" t="n">
        <v>0</v>
      </c>
      <c r="K235" t="n">
        <v>145.96</v>
      </c>
      <c r="L235" t="inlineStr">
        <is>
          <t>Julio 2026 USA.xlsx</t>
        </is>
      </c>
      <c r="M235" t="inlineStr">
        <is>
          <t>Revisar</t>
        </is>
      </c>
      <c r="N235" t="inlineStr">
        <is>
          <t>Puente para redise?ar vistas de Costos &amp; Gastos; no reemplaza P&amp;G oficial. Convertido a USD con la tasa promedio mensual del pais.</t>
        </is>
      </c>
    </row>
    <row r="236">
      <c r="A236" t="inlineStr">
        <is>
          <t>2026-07</t>
        </is>
      </c>
      <c r="B236" t="inlineStr">
        <is>
          <t>Estados Unidos</t>
        </is>
      </c>
      <c r="C236" t="inlineStr">
        <is>
          <t>USA</t>
        </is>
      </c>
      <c r="D236" t="inlineStr">
        <is>
          <t>USD</t>
        </is>
      </c>
      <c r="E236" t="inlineStr">
        <is>
          <t>PL-O-120</t>
        </is>
      </c>
      <c r="F236" t="inlineStr">
        <is>
          <t>Alimentación y restaurante</t>
        </is>
      </c>
      <c r="G236" t="inlineStr">
        <is>
          <t>gasto_admin</t>
        </is>
      </c>
      <c r="H236" t="inlineStr">
        <is>
          <t>Diversos</t>
        </is>
      </c>
      <c r="I236" t="inlineStr">
        <is>
          <t>Administracion</t>
        </is>
      </c>
      <c r="J236" t="n">
        <v>0</v>
      </c>
      <c r="K236" t="n">
        <v>92.97</v>
      </c>
      <c r="L236" t="inlineStr">
        <is>
          <t>Julio 2026 USA.xlsx</t>
        </is>
      </c>
      <c r="M236" t="inlineStr">
        <is>
          <t>Revisar</t>
        </is>
      </c>
      <c r="N236" t="inlineStr">
        <is>
          <t>Puente para redise?ar vistas de Costos &amp; Gastos; no reemplaza P&amp;G oficial. Convertido a USD con la tasa promedio mensual del pais.</t>
        </is>
      </c>
    </row>
    <row r="237">
      <c r="A237" t="inlineStr">
        <is>
          <t>2026-07</t>
        </is>
      </c>
      <c r="B237" t="inlineStr">
        <is>
          <t>Estados Unidos</t>
        </is>
      </c>
      <c r="C237" t="inlineStr">
        <is>
          <t>USA</t>
        </is>
      </c>
      <c r="D237" t="inlineStr">
        <is>
          <t>USD</t>
        </is>
      </c>
      <c r="E237" t="inlineStr">
        <is>
          <t>PL-O-120</t>
        </is>
      </c>
      <c r="F237" t="inlineStr">
        <is>
          <t>Alimentación y restaurante</t>
        </is>
      </c>
      <c r="G237" t="inlineStr">
        <is>
          <t>gasto_admin</t>
        </is>
      </c>
      <c r="H237" t="inlineStr">
        <is>
          <t>Diversos</t>
        </is>
      </c>
      <c r="I237" t="inlineStr">
        <is>
          <t>Administracion</t>
        </is>
      </c>
      <c r="J237" t="n">
        <v>0</v>
      </c>
      <c r="K237" t="n">
        <v>122.49</v>
      </c>
      <c r="L237" t="inlineStr">
        <is>
          <t>Julio 2026 USA.xlsx</t>
        </is>
      </c>
      <c r="M237" t="inlineStr">
        <is>
          <t>Revisar</t>
        </is>
      </c>
      <c r="N237" t="inlineStr">
        <is>
          <t>Puente para redise?ar vistas de Costos &amp; Gastos; no reemplaza P&amp;G oficial. Convertido a USD con la tasa promedio mensual del pais.</t>
        </is>
      </c>
    </row>
    <row r="238">
      <c r="A238" t="inlineStr">
        <is>
          <t>2026-07</t>
        </is>
      </c>
      <c r="B238" t="inlineStr">
        <is>
          <t>Estados Unidos</t>
        </is>
      </c>
      <c r="C238" t="inlineStr">
        <is>
          <t>USA</t>
        </is>
      </c>
      <c r="D238" t="inlineStr">
        <is>
          <t>USD</t>
        </is>
      </c>
      <c r="E238" t="inlineStr">
        <is>
          <t>PL-O-120</t>
        </is>
      </c>
      <c r="F238" t="inlineStr">
        <is>
          <t>Alimentación y restaurante</t>
        </is>
      </c>
      <c r="G238" t="inlineStr">
        <is>
          <t>gasto_admin</t>
        </is>
      </c>
      <c r="H238" t="inlineStr">
        <is>
          <t>Diversos</t>
        </is>
      </c>
      <c r="I238" t="inlineStr">
        <is>
          <t>Administracion</t>
        </is>
      </c>
      <c r="J238" t="n">
        <v>0</v>
      </c>
      <c r="K238" t="n">
        <v>417.15</v>
      </c>
      <c r="L238" t="inlineStr">
        <is>
          <t>Julio 2026 USA.xlsx</t>
        </is>
      </c>
      <c r="M238" t="inlineStr">
        <is>
          <t>Revisar</t>
        </is>
      </c>
      <c r="N238" t="inlineStr">
        <is>
          <t>Puente para redise?ar vistas de Costos &amp; Gastos; no reemplaza P&amp;G oficial. Convertido a USD con la tasa promedio mensual del pais.</t>
        </is>
      </c>
    </row>
    <row r="239">
      <c r="A239" t="inlineStr">
        <is>
          <t>2026-07</t>
        </is>
      </c>
      <c r="B239" t="inlineStr">
        <is>
          <t>Estados Unidos</t>
        </is>
      </c>
      <c r="C239" t="inlineStr">
        <is>
          <t>USA</t>
        </is>
      </c>
      <c r="D239" t="inlineStr">
        <is>
          <t>USD</t>
        </is>
      </c>
      <c r="E239" t="inlineStr">
        <is>
          <t>PL-O-120</t>
        </is>
      </c>
      <c r="F239" t="inlineStr">
        <is>
          <t>Alimentación y restaurante</t>
        </is>
      </c>
      <c r="G239" t="inlineStr">
        <is>
          <t>gasto_admin</t>
        </is>
      </c>
      <c r="H239" t="inlineStr">
        <is>
          <t>Diversos</t>
        </is>
      </c>
      <c r="I239" t="inlineStr">
        <is>
          <t>Administracion</t>
        </is>
      </c>
      <c r="J239" t="n">
        <v>0</v>
      </c>
      <c r="K239" t="n">
        <v>80.39</v>
      </c>
      <c r="L239" t="inlineStr">
        <is>
          <t>Julio 2026 USA.xlsx</t>
        </is>
      </c>
      <c r="M239" t="inlineStr">
        <is>
          <t>Revisar</t>
        </is>
      </c>
      <c r="N239" t="inlineStr">
        <is>
          <t>Puente para redise?ar vistas de Costos &amp; Gastos; no reemplaza P&amp;G oficial. Convertido a USD con la tasa promedio mensual del pais.</t>
        </is>
      </c>
    </row>
    <row r="240">
      <c r="A240" t="inlineStr">
        <is>
          <t>2026-07</t>
        </is>
      </c>
      <c r="B240" t="inlineStr">
        <is>
          <t>Estados Unidos</t>
        </is>
      </c>
      <c r="C240" t="inlineStr">
        <is>
          <t>USA</t>
        </is>
      </c>
      <c r="D240" t="inlineStr">
        <is>
          <t>USD</t>
        </is>
      </c>
      <c r="E240" t="inlineStr">
        <is>
          <t>PL-O-120</t>
        </is>
      </c>
      <c r="F240" t="inlineStr">
        <is>
          <t>Alimentación y restaurante</t>
        </is>
      </c>
      <c r="G240" t="inlineStr">
        <is>
          <t>gasto_admin</t>
        </is>
      </c>
      <c r="H240" t="inlineStr">
        <is>
          <t>Diversos</t>
        </is>
      </c>
      <c r="I240" t="inlineStr">
        <is>
          <t>Administracion</t>
        </is>
      </c>
      <c r="J240" t="n">
        <v>0</v>
      </c>
      <c r="K240" t="n">
        <v>214.32</v>
      </c>
      <c r="L240" t="inlineStr">
        <is>
          <t>Julio 2026 USA.xlsx</t>
        </is>
      </c>
      <c r="M240" t="inlineStr">
        <is>
          <t>Revisar</t>
        </is>
      </c>
      <c r="N240" t="inlineStr">
        <is>
          <t>Puente para redise?ar vistas de Costos &amp; Gastos; no reemplaza P&amp;G oficial. Convertido a USD con la tasa promedio mensual del pais.</t>
        </is>
      </c>
    </row>
    <row r="241">
      <c r="A241" t="inlineStr">
        <is>
          <t>2026-07</t>
        </is>
      </c>
      <c r="B241" t="inlineStr">
        <is>
          <t>Estados Unidos</t>
        </is>
      </c>
      <c r="C241" t="inlineStr">
        <is>
          <t>USA</t>
        </is>
      </c>
      <c r="D241" t="inlineStr">
        <is>
          <t>USD</t>
        </is>
      </c>
      <c r="E241" t="inlineStr">
        <is>
          <t>PL-O-120</t>
        </is>
      </c>
      <c r="F241" t="inlineStr">
        <is>
          <t>Alimentación y restaurante</t>
        </is>
      </c>
      <c r="G241" t="inlineStr">
        <is>
          <t>gasto_admin</t>
        </is>
      </c>
      <c r="H241" t="inlineStr">
        <is>
          <t>Diversos</t>
        </is>
      </c>
      <c r="I241" t="inlineStr">
        <is>
          <t>Administracion</t>
        </is>
      </c>
      <c r="J241" t="n">
        <v>36.49</v>
      </c>
      <c r="K241" t="n">
        <v>36.49</v>
      </c>
      <c r="L241" t="inlineStr">
        <is>
          <t>Julio 2026 USA.xlsx</t>
        </is>
      </c>
      <c r="M241" t="inlineStr">
        <is>
          <t>Revisar</t>
        </is>
      </c>
      <c r="N241" t="inlineStr">
        <is>
          <t>Puente para redise?ar vistas de Costos &amp; Gastos; no reemplaza P&amp;G oficial. Convertido a USD con la tasa promedio mensual del pais.</t>
        </is>
      </c>
    </row>
    <row r="242">
      <c r="A242" t="inlineStr">
        <is>
          <t>2026-07</t>
        </is>
      </c>
      <c r="B242" t="inlineStr">
        <is>
          <t>Estados Unidos</t>
        </is>
      </c>
      <c r="C242" t="inlineStr">
        <is>
          <t>USA</t>
        </is>
      </c>
      <c r="D242" t="inlineStr">
        <is>
          <t>USD</t>
        </is>
      </c>
      <c r="E242" t="inlineStr">
        <is>
          <t>PL-O-120</t>
        </is>
      </c>
      <c r="F242" t="inlineStr">
        <is>
          <t>Alimentación y restaurante</t>
        </is>
      </c>
      <c r="G242" t="inlineStr">
        <is>
          <t>gasto_admin</t>
        </is>
      </c>
      <c r="H242" t="inlineStr">
        <is>
          <t>Diversos</t>
        </is>
      </c>
      <c r="I242" t="inlineStr">
        <is>
          <t>Administracion</t>
        </is>
      </c>
      <c r="J242" t="n">
        <v>0</v>
      </c>
      <c r="K242" t="n">
        <v>284.61</v>
      </c>
      <c r="L242" t="inlineStr">
        <is>
          <t>Julio 2026 USA.xlsx</t>
        </is>
      </c>
      <c r="M242" t="inlineStr">
        <is>
          <t>Revisar</t>
        </is>
      </c>
      <c r="N242" t="inlineStr">
        <is>
          <t>Puente para redise?ar vistas de Costos &amp; Gastos; no reemplaza P&amp;G oficial. Convertido a USD con la tasa promedio mensual del pais.</t>
        </is>
      </c>
    </row>
    <row r="243">
      <c r="A243" t="inlineStr">
        <is>
          <t>2026-07</t>
        </is>
      </c>
      <c r="B243" t="inlineStr">
        <is>
          <t>Estados Unidos</t>
        </is>
      </c>
      <c r="C243" t="inlineStr">
        <is>
          <t>USA</t>
        </is>
      </c>
      <c r="D243" t="inlineStr">
        <is>
          <t>USD</t>
        </is>
      </c>
      <c r="E243" t="inlineStr">
        <is>
          <t>PL-O-120</t>
        </is>
      </c>
      <c r="F243" t="inlineStr">
        <is>
          <t>Alimentación y restaurante</t>
        </is>
      </c>
      <c r="G243" t="inlineStr">
        <is>
          <t>gasto_admin</t>
        </is>
      </c>
      <c r="H243" t="inlineStr">
        <is>
          <t>Diversos</t>
        </is>
      </c>
      <c r="I243" t="inlineStr">
        <is>
          <t>Administracion</t>
        </is>
      </c>
      <c r="J243" t="n">
        <v>0</v>
      </c>
      <c r="K243" t="n">
        <v>372.46</v>
      </c>
      <c r="L243" t="inlineStr">
        <is>
          <t>Julio 2026 USA.xlsx</t>
        </is>
      </c>
      <c r="M243" t="inlineStr">
        <is>
          <t>Revisar</t>
        </is>
      </c>
      <c r="N243" t="inlineStr">
        <is>
          <t>Puente para redise?ar vistas de Costos &amp; Gastos; no reemplaza P&amp;G oficial. Convertido a USD con la tasa promedio mensual del pais.</t>
        </is>
      </c>
    </row>
    <row r="244">
      <c r="A244" t="inlineStr">
        <is>
          <t>2026-07</t>
        </is>
      </c>
      <c r="B244" t="inlineStr">
        <is>
          <t>Estados Unidos</t>
        </is>
      </c>
      <c r="C244" t="inlineStr">
        <is>
          <t>USA</t>
        </is>
      </c>
      <c r="D244" t="inlineStr">
        <is>
          <t>USD</t>
        </is>
      </c>
      <c r="E244" t="inlineStr">
        <is>
          <t>PL-O-120</t>
        </is>
      </c>
      <c r="F244" t="inlineStr">
        <is>
          <t>Alimentación y restaurante</t>
        </is>
      </c>
      <c r="G244" t="inlineStr">
        <is>
          <t>gasto_admin</t>
        </is>
      </c>
      <c r="H244" t="inlineStr">
        <is>
          <t>Diversos</t>
        </is>
      </c>
      <c r="I244" t="inlineStr">
        <is>
          <t>Administracion</t>
        </is>
      </c>
      <c r="J244" t="n">
        <v>0</v>
      </c>
      <c r="K244" t="n">
        <v>30.09</v>
      </c>
      <c r="L244" t="inlineStr">
        <is>
          <t>Julio 2026 USA.xlsx</t>
        </is>
      </c>
      <c r="M244" t="inlineStr">
        <is>
          <t>Revisar</t>
        </is>
      </c>
      <c r="N244" t="inlineStr">
        <is>
          <t>Puente para redise?ar vistas de Costos &amp; Gastos; no reemplaza P&amp;G oficial. Convertido a USD con la tasa promedio mensual del pais.</t>
        </is>
      </c>
    </row>
    <row r="245">
      <c r="A245" t="inlineStr">
        <is>
          <t>2026-07</t>
        </is>
      </c>
      <c r="B245" t="inlineStr">
        <is>
          <t>Estados Unidos</t>
        </is>
      </c>
      <c r="C245" t="inlineStr">
        <is>
          <t>USA</t>
        </is>
      </c>
      <c r="D245" t="inlineStr">
        <is>
          <t>USD</t>
        </is>
      </c>
      <c r="E245" t="inlineStr">
        <is>
          <t>PL-O-120</t>
        </is>
      </c>
      <c r="F245" t="inlineStr">
        <is>
          <t>Alimentación y restaurante</t>
        </is>
      </c>
      <c r="G245" t="inlineStr">
        <is>
          <t>gasto_admin</t>
        </is>
      </c>
      <c r="H245" t="inlineStr">
        <is>
          <t>Diversos</t>
        </is>
      </c>
      <c r="I245" t="inlineStr">
        <is>
          <t>Administracion</t>
        </is>
      </c>
      <c r="J245" t="n">
        <v>0</v>
      </c>
      <c r="K245" t="n">
        <v>182.88</v>
      </c>
      <c r="L245" t="inlineStr">
        <is>
          <t>Julio 2026 USA.xlsx</t>
        </is>
      </c>
      <c r="M245" t="inlineStr">
        <is>
          <t>Revisar</t>
        </is>
      </c>
      <c r="N245" t="inlineStr">
        <is>
          <t>Puente para redise?ar vistas de Costos &amp; Gastos; no reemplaza P&amp;G oficial. Convertido a USD con la tasa promedio mensual del pais.</t>
        </is>
      </c>
    </row>
    <row r="246">
      <c r="A246" t="inlineStr">
        <is>
          <t>2026-07</t>
        </is>
      </c>
      <c r="B246" t="inlineStr">
        <is>
          <t>Estados Unidos</t>
        </is>
      </c>
      <c r="C246" t="inlineStr">
        <is>
          <t>USA</t>
        </is>
      </c>
      <c r="D246" t="inlineStr">
        <is>
          <t>USD</t>
        </is>
      </c>
      <c r="E246" t="inlineStr">
        <is>
          <t>PL-O-120</t>
        </is>
      </c>
      <c r="F246" t="inlineStr">
        <is>
          <t>Alimentación y restaurante</t>
        </is>
      </c>
      <c r="G246" t="inlineStr">
        <is>
          <t>gasto_admin</t>
        </is>
      </c>
      <c r="H246" t="inlineStr">
        <is>
          <t>Diversos</t>
        </is>
      </c>
      <c r="I246" t="inlineStr">
        <is>
          <t>Administracion</t>
        </is>
      </c>
      <c r="J246" t="n">
        <v>45.36</v>
      </c>
      <c r="K246" t="n">
        <v>45.36</v>
      </c>
      <c r="L246" t="inlineStr">
        <is>
          <t>Julio 2026 USA.xlsx</t>
        </is>
      </c>
      <c r="M246" t="inlineStr">
        <is>
          <t>Revisar</t>
        </is>
      </c>
      <c r="N246" t="inlineStr">
        <is>
          <t>Puente para redise?ar vistas de Costos &amp; Gastos; no reemplaza P&amp;G oficial. Convertido a USD con la tasa promedio mensual del pais.</t>
        </is>
      </c>
    </row>
    <row r="247">
      <c r="A247" t="inlineStr">
        <is>
          <t>2026-07</t>
        </is>
      </c>
      <c r="B247" t="inlineStr">
        <is>
          <t>Estados Unidos</t>
        </is>
      </c>
      <c r="C247" t="inlineStr">
        <is>
          <t>USA</t>
        </is>
      </c>
      <c r="D247" t="inlineStr">
        <is>
          <t>USD</t>
        </is>
      </c>
      <c r="E247" t="inlineStr">
        <is>
          <t>PL-O-120</t>
        </is>
      </c>
      <c r="F247" t="inlineStr">
        <is>
          <t>Alimentación y restaurante</t>
        </is>
      </c>
      <c r="G247" t="inlineStr">
        <is>
          <t>gasto_admin</t>
        </is>
      </c>
      <c r="H247" t="inlineStr">
        <is>
          <t>Diversos</t>
        </is>
      </c>
      <c r="I247" t="inlineStr">
        <is>
          <t>Administracion</t>
        </is>
      </c>
      <c r="J247" t="n">
        <v>0</v>
      </c>
      <c r="K247" t="n">
        <v>7.03</v>
      </c>
      <c r="L247" t="inlineStr">
        <is>
          <t>Julio 2026 USA.xlsx</t>
        </is>
      </c>
      <c r="M247" t="inlineStr">
        <is>
          <t>Revisar</t>
        </is>
      </c>
      <c r="N247" t="inlineStr">
        <is>
          <t>Puente para redise?ar vistas de Costos &amp; Gastos; no reemplaza P&amp;G oficial. Convertido a USD con la tasa promedio mensual del pais.</t>
        </is>
      </c>
    </row>
    <row r="248">
      <c r="A248" t="inlineStr">
        <is>
          <t>2026-07</t>
        </is>
      </c>
      <c r="B248" t="inlineStr">
        <is>
          <t>Estados Unidos</t>
        </is>
      </c>
      <c r="C248" t="inlineStr">
        <is>
          <t>USA</t>
        </is>
      </c>
      <c r="D248" t="inlineStr">
        <is>
          <t>USD</t>
        </is>
      </c>
      <c r="E248" t="inlineStr">
        <is>
          <t>PL-O-120</t>
        </is>
      </c>
      <c r="F248" t="inlineStr">
        <is>
          <t>Alimentación y restaurante</t>
        </is>
      </c>
      <c r="G248" t="inlineStr">
        <is>
          <t>gasto_admin</t>
        </is>
      </c>
      <c r="H248" t="inlineStr">
        <is>
          <t>Diversos</t>
        </is>
      </c>
      <c r="I248" t="inlineStr">
        <is>
          <t>Administracion</t>
        </is>
      </c>
      <c r="J248" t="n">
        <v>0</v>
      </c>
      <c r="K248" t="n">
        <v>299.25</v>
      </c>
      <c r="L248" t="inlineStr">
        <is>
          <t>Julio 2026 USA.xlsx</t>
        </is>
      </c>
      <c r="M248" t="inlineStr">
        <is>
          <t>Revisar</t>
        </is>
      </c>
      <c r="N248" t="inlineStr">
        <is>
          <t>Puente para redise?ar vistas de Costos &amp; Gastos; no reemplaza P&amp;G oficial. Convertido a USD con la tasa promedio mensual del pais.</t>
        </is>
      </c>
    </row>
    <row r="249">
      <c r="A249" t="inlineStr">
        <is>
          <t>2026-07</t>
        </is>
      </c>
      <c r="B249" t="inlineStr">
        <is>
          <t>Estados Unidos</t>
        </is>
      </c>
      <c r="C249" t="inlineStr">
        <is>
          <t>USA</t>
        </is>
      </c>
      <c r="D249" t="inlineStr">
        <is>
          <t>USD</t>
        </is>
      </c>
      <c r="E249" t="inlineStr">
        <is>
          <t>PL-O-120</t>
        </is>
      </c>
      <c r="F249" t="inlineStr">
        <is>
          <t>Alimentación y restaurante</t>
        </is>
      </c>
      <c r="G249" t="inlineStr">
        <is>
          <t>gasto_admin</t>
        </is>
      </c>
      <c r="H249" t="inlineStr">
        <is>
          <t>Diversos</t>
        </is>
      </c>
      <c r="I249" t="inlineStr">
        <is>
          <t>Administracion</t>
        </is>
      </c>
      <c r="J249" t="n">
        <v>0</v>
      </c>
      <c r="K249" t="n">
        <v>27.93</v>
      </c>
      <c r="L249" t="inlineStr">
        <is>
          <t>Julio 2026 USA.xlsx</t>
        </is>
      </c>
      <c r="M249" t="inlineStr">
        <is>
          <t>Revisar</t>
        </is>
      </c>
      <c r="N249" t="inlineStr">
        <is>
          <t>Puente para redise?ar vistas de Costos &amp; Gastos; no reemplaza P&amp;G oficial. Convertido a USD con la tasa promedio mensual del pais.</t>
        </is>
      </c>
    </row>
    <row r="250">
      <c r="A250" t="inlineStr">
        <is>
          <t>2026-07</t>
        </is>
      </c>
      <c r="B250" t="inlineStr">
        <is>
          <t>Estados Unidos</t>
        </is>
      </c>
      <c r="C250" t="inlineStr">
        <is>
          <t>USA</t>
        </is>
      </c>
      <c r="D250" t="inlineStr">
        <is>
          <t>USD</t>
        </is>
      </c>
      <c r="E250" t="inlineStr">
        <is>
          <t>PL-O-120</t>
        </is>
      </c>
      <c r="F250" t="inlineStr">
        <is>
          <t>Alimentación y restaurante</t>
        </is>
      </c>
      <c r="G250" t="inlineStr">
        <is>
          <t>gasto_admin</t>
        </is>
      </c>
      <c r="H250" t="inlineStr">
        <is>
          <t>Diversos</t>
        </is>
      </c>
      <c r="I250" t="inlineStr">
        <is>
          <t>Administracion</t>
        </is>
      </c>
      <c r="J250" t="n">
        <v>0</v>
      </c>
      <c r="K250" t="n">
        <v>72.54000000000001</v>
      </c>
      <c r="L250" t="inlineStr">
        <is>
          <t>Julio 2026 USA.xlsx</t>
        </is>
      </c>
      <c r="M250" t="inlineStr">
        <is>
          <t>Revisar</t>
        </is>
      </c>
      <c r="N250" t="inlineStr">
        <is>
          <t>Puente para redise?ar vistas de Costos &amp; Gastos; no reemplaza P&amp;G oficial. Convertido a USD con la tasa promedio mensual del pais.</t>
        </is>
      </c>
    </row>
    <row r="251">
      <c r="A251" t="inlineStr">
        <is>
          <t>2026-07</t>
        </is>
      </c>
      <c r="B251" t="inlineStr">
        <is>
          <t>Estados Unidos</t>
        </is>
      </c>
      <c r="C251" t="inlineStr">
        <is>
          <t>USA</t>
        </is>
      </c>
      <c r="D251" t="inlineStr">
        <is>
          <t>USD</t>
        </is>
      </c>
      <c r="E251" t="inlineStr">
        <is>
          <t>PL-O-120</t>
        </is>
      </c>
      <c r="F251" t="inlineStr">
        <is>
          <t>Alimentación y restaurante</t>
        </is>
      </c>
      <c r="G251" t="inlineStr">
        <is>
          <t>gasto_admin</t>
        </is>
      </c>
      <c r="H251" t="inlineStr">
        <is>
          <t>Diversos</t>
        </is>
      </c>
      <c r="I251" t="inlineStr">
        <is>
          <t>Administracion</t>
        </is>
      </c>
      <c r="J251" t="n">
        <v>0</v>
      </c>
      <c r="K251" t="n">
        <v>476.54</v>
      </c>
      <c r="L251" t="inlineStr">
        <is>
          <t>Julio 2026 USA.xlsx</t>
        </is>
      </c>
      <c r="M251" t="inlineStr">
        <is>
          <t>Revisar</t>
        </is>
      </c>
      <c r="N251" t="inlineStr">
        <is>
          <t>Puente para redise?ar vistas de Costos &amp; Gastos; no reemplaza P&amp;G oficial. Convertido a USD con la tasa promedio mensual del pais.</t>
        </is>
      </c>
    </row>
    <row r="252">
      <c r="A252" t="inlineStr">
        <is>
          <t>2026-07</t>
        </is>
      </c>
      <c r="B252" t="inlineStr">
        <is>
          <t>Estados Unidos</t>
        </is>
      </c>
      <c r="C252" t="inlineStr">
        <is>
          <t>USA</t>
        </is>
      </c>
      <c r="D252" t="inlineStr">
        <is>
          <t>USD</t>
        </is>
      </c>
      <c r="E252" t="inlineStr">
        <is>
          <t>PL-O-120</t>
        </is>
      </c>
      <c r="F252" t="inlineStr">
        <is>
          <t>Alimentación y restaurante</t>
        </is>
      </c>
      <c r="G252" t="inlineStr">
        <is>
          <t>gasto_admin</t>
        </is>
      </c>
      <c r="H252" t="inlineStr">
        <is>
          <t>Diversos</t>
        </is>
      </c>
      <c r="I252" t="inlineStr">
        <is>
          <t>Administracion</t>
        </is>
      </c>
      <c r="J252" t="n">
        <v>0</v>
      </c>
      <c r="K252" t="n">
        <v>259.2</v>
      </c>
      <c r="L252" t="inlineStr">
        <is>
          <t>Julio 2026 USA.xlsx</t>
        </is>
      </c>
      <c r="M252" t="inlineStr">
        <is>
          <t>Revisar</t>
        </is>
      </c>
      <c r="N252" t="inlineStr">
        <is>
          <t>Puente para redise?ar vistas de Costos &amp; Gastos; no reemplaza P&amp;G oficial. Convertido a USD con la tasa promedio mensual del pais.</t>
        </is>
      </c>
    </row>
    <row r="253">
      <c r="A253" t="inlineStr">
        <is>
          <t>2026-07</t>
        </is>
      </c>
      <c r="B253" t="inlineStr">
        <is>
          <t>Estados Unidos</t>
        </is>
      </c>
      <c r="C253" t="inlineStr">
        <is>
          <t>USA</t>
        </is>
      </c>
      <c r="D253" t="inlineStr">
        <is>
          <t>USD</t>
        </is>
      </c>
      <c r="E253" t="inlineStr">
        <is>
          <t>PL-O-120</t>
        </is>
      </c>
      <c r="F253" t="inlineStr">
        <is>
          <t>Alimentación y restaurante</t>
        </is>
      </c>
      <c r="G253" t="inlineStr">
        <is>
          <t>gasto_admin</t>
        </is>
      </c>
      <c r="H253" t="inlineStr">
        <is>
          <t>Diversos</t>
        </is>
      </c>
      <c r="I253" t="inlineStr">
        <is>
          <t>Administracion</t>
        </is>
      </c>
      <c r="J253" t="n">
        <v>0</v>
      </c>
      <c r="K253" t="n">
        <v>237.15</v>
      </c>
      <c r="L253" t="inlineStr">
        <is>
          <t>Julio 2026 USA.xlsx</t>
        </is>
      </c>
      <c r="M253" t="inlineStr">
        <is>
          <t>Revisar</t>
        </is>
      </c>
      <c r="N253" t="inlineStr">
        <is>
          <t>Puente para redise?ar vistas de Costos &amp; Gastos; no reemplaza P&amp;G oficial. Convertido a USD con la tasa promedio mensual del pais.</t>
        </is>
      </c>
    </row>
    <row r="254">
      <c r="A254" t="inlineStr">
        <is>
          <t>2026-07</t>
        </is>
      </c>
      <c r="B254" t="inlineStr">
        <is>
          <t>Estados Unidos</t>
        </is>
      </c>
      <c r="C254" t="inlineStr">
        <is>
          <t>USA</t>
        </is>
      </c>
      <c r="D254" t="inlineStr">
        <is>
          <t>USD</t>
        </is>
      </c>
      <c r="E254" t="inlineStr">
        <is>
          <t>PL-O-130</t>
        </is>
      </c>
      <c r="F254" t="inlineStr">
        <is>
          <t>Transporte local y parqueaderos</t>
        </is>
      </c>
      <c r="G254" t="inlineStr">
        <is>
          <t>gasto_admin</t>
        </is>
      </c>
      <c r="H254" t="inlineStr">
        <is>
          <t>Viajes</t>
        </is>
      </c>
      <c r="I254" t="inlineStr">
        <is>
          <t>Administracion</t>
        </is>
      </c>
      <c r="J254" t="n">
        <v>0</v>
      </c>
      <c r="K254" t="n">
        <v>10</v>
      </c>
      <c r="L254" t="inlineStr">
        <is>
          <t>Julio 2026 USA.xlsx</t>
        </is>
      </c>
      <c r="M254" t="inlineStr">
        <is>
          <t>Aprobado</t>
        </is>
      </c>
      <c r="N254" t="inlineStr">
        <is>
          <t>Puente para redise?ar vistas de Costos &amp; Gastos; no reemplaza P&amp;G oficial. Convertido a USD con la tasa promedio mensual del pais.</t>
        </is>
      </c>
    </row>
    <row r="255">
      <c r="A255" t="inlineStr">
        <is>
          <t>2026-07</t>
        </is>
      </c>
      <c r="B255" t="inlineStr">
        <is>
          <t>Estados Unidos</t>
        </is>
      </c>
      <c r="C255" t="inlineStr">
        <is>
          <t>USA</t>
        </is>
      </c>
      <c r="D255" t="inlineStr">
        <is>
          <t>USD</t>
        </is>
      </c>
      <c r="E255" t="inlineStr">
        <is>
          <t>PL-O-130</t>
        </is>
      </c>
      <c r="F255" t="inlineStr">
        <is>
          <t>Transporte local y parqueaderos</t>
        </is>
      </c>
      <c r="G255" t="inlineStr">
        <is>
          <t>gasto_admin</t>
        </is>
      </c>
      <c r="H255" t="inlineStr">
        <is>
          <t>Viajes</t>
        </is>
      </c>
      <c r="I255" t="inlineStr">
        <is>
          <t>Administracion</t>
        </is>
      </c>
      <c r="J255" t="n">
        <v>0</v>
      </c>
      <c r="K255" t="n">
        <v>12.75</v>
      </c>
      <c r="L255" t="inlineStr">
        <is>
          <t>Julio 2026 USA.xlsx</t>
        </is>
      </c>
      <c r="M255" t="inlineStr">
        <is>
          <t>Aprobado</t>
        </is>
      </c>
      <c r="N255" t="inlineStr">
        <is>
          <t>Puente para redise?ar vistas de Costos &amp; Gastos; no reemplaza P&amp;G oficial. Convertido a USD con la tasa promedio mensual del pais.</t>
        </is>
      </c>
    </row>
    <row r="256">
      <c r="A256" t="inlineStr">
        <is>
          <t>2026-07</t>
        </is>
      </c>
      <c r="B256" t="inlineStr">
        <is>
          <t>Estados Unidos</t>
        </is>
      </c>
      <c r="C256" t="inlineStr">
        <is>
          <t>USA</t>
        </is>
      </c>
      <c r="D256" t="inlineStr">
        <is>
          <t>USD</t>
        </is>
      </c>
      <c r="E256" t="inlineStr">
        <is>
          <t>PL-O-130</t>
        </is>
      </c>
      <c r="F256" t="inlineStr">
        <is>
          <t>Transporte local y parqueaderos</t>
        </is>
      </c>
      <c r="G256" t="inlineStr">
        <is>
          <t>gasto_admin</t>
        </is>
      </c>
      <c r="H256" t="inlineStr">
        <is>
          <t>Viajes</t>
        </is>
      </c>
      <c r="I256" t="inlineStr">
        <is>
          <t>Administracion</t>
        </is>
      </c>
      <c r="J256" t="n">
        <v>0</v>
      </c>
      <c r="K256" t="n">
        <v>35</v>
      </c>
      <c r="L256" t="inlineStr">
        <is>
          <t>Julio 2026 USA.xlsx</t>
        </is>
      </c>
      <c r="M256" t="inlineStr">
        <is>
          <t>Aprobado</t>
        </is>
      </c>
      <c r="N256" t="inlineStr">
        <is>
          <t>Puente para redise?ar vistas de Costos &amp; Gastos; no reemplaza P&amp;G oficial. Convertido a USD con la tasa promedio mensual del pais.</t>
        </is>
      </c>
    </row>
    <row r="257">
      <c r="A257" t="inlineStr">
        <is>
          <t>2026-07</t>
        </is>
      </c>
      <c r="B257" t="inlineStr">
        <is>
          <t>Estados Unidos</t>
        </is>
      </c>
      <c r="C257" t="inlineStr">
        <is>
          <t>USA</t>
        </is>
      </c>
      <c r="D257" t="inlineStr">
        <is>
          <t>USD</t>
        </is>
      </c>
      <c r="E257" t="inlineStr">
        <is>
          <t>PL-O-020</t>
        </is>
      </c>
      <c r="F257" t="inlineStr">
        <is>
          <t>Honorarios y servicios profesionales</t>
        </is>
      </c>
      <c r="G257" t="inlineStr">
        <is>
          <t>gasto_admin</t>
        </is>
      </c>
      <c r="H257" t="inlineStr">
        <is>
          <t>Honorarios</t>
        </is>
      </c>
      <c r="I257" t="inlineStr">
        <is>
          <t>Administracion</t>
        </is>
      </c>
      <c r="J257" t="n">
        <v>8000</v>
      </c>
      <c r="K257" t="n">
        <v>10333.33</v>
      </c>
      <c r="L257" t="inlineStr">
        <is>
          <t>Julio 2026 USA.xlsx</t>
        </is>
      </c>
      <c r="M257" t="inlineStr">
        <is>
          <t>Aprobado</t>
        </is>
      </c>
      <c r="N257" t="inlineStr">
        <is>
          <t>Puente para redise?ar vistas de Costos &amp; Gastos; no reemplaza P&amp;G oficial. Convertido a USD con la tasa promedio mensual del pais.</t>
        </is>
      </c>
    </row>
    <row r="258">
      <c r="A258" t="inlineStr">
        <is>
          <t>2026-07</t>
        </is>
      </c>
      <c r="B258" t="inlineStr">
        <is>
          <t>Estados Unidos</t>
        </is>
      </c>
      <c r="C258" t="inlineStr">
        <is>
          <t>USA</t>
        </is>
      </c>
      <c r="D258" t="inlineStr">
        <is>
          <t>USD</t>
        </is>
      </c>
      <c r="E258" t="inlineStr">
        <is>
          <t>PL-O-020</t>
        </is>
      </c>
      <c r="F258" t="inlineStr">
        <is>
          <t>Honorarios y servicios profesionales</t>
        </is>
      </c>
      <c r="G258" t="inlineStr">
        <is>
          <t>gasto_admin</t>
        </is>
      </c>
      <c r="H258" t="inlineStr">
        <is>
          <t>Honorarios</t>
        </is>
      </c>
      <c r="I258" t="inlineStr">
        <is>
          <t>Administracion</t>
        </is>
      </c>
      <c r="J258" t="n">
        <v>0</v>
      </c>
      <c r="K258" t="n">
        <v>2557.46</v>
      </c>
      <c r="L258" t="inlineStr">
        <is>
          <t>Julio 2026 USA.xlsx</t>
        </is>
      </c>
      <c r="M258" t="inlineStr">
        <is>
          <t>Aprobado</t>
        </is>
      </c>
      <c r="N258" t="inlineStr">
        <is>
          <t>Puente para redise?ar vistas de Costos &amp; Gastos; no reemplaza P&amp;G oficial. Convertido a USD con la tasa promedio mensual del pais.</t>
        </is>
      </c>
    </row>
    <row r="259">
      <c r="A259" t="inlineStr">
        <is>
          <t>2026-07</t>
        </is>
      </c>
      <c r="B259" t="inlineStr">
        <is>
          <t>Estados Unidos</t>
        </is>
      </c>
      <c r="C259" t="inlineStr">
        <is>
          <t>USA</t>
        </is>
      </c>
      <c r="D259" t="inlineStr">
        <is>
          <t>USD</t>
        </is>
      </c>
      <c r="E259" t="inlineStr">
        <is>
          <t>PL-O-020</t>
        </is>
      </c>
      <c r="F259" t="inlineStr">
        <is>
          <t>Honorarios y servicios profesionales</t>
        </is>
      </c>
      <c r="G259" t="inlineStr">
        <is>
          <t>gasto_admin</t>
        </is>
      </c>
      <c r="H259" t="inlineStr">
        <is>
          <t>Honorarios</t>
        </is>
      </c>
      <c r="I259" t="inlineStr">
        <is>
          <t>Administracion</t>
        </is>
      </c>
      <c r="J259" t="n">
        <v>0</v>
      </c>
      <c r="K259" t="n">
        <v>5666.67</v>
      </c>
      <c r="L259" t="inlineStr">
        <is>
          <t>Julio 2026 USA.xlsx</t>
        </is>
      </c>
      <c r="M259" t="inlineStr">
        <is>
          <t>Aprobado</t>
        </is>
      </c>
      <c r="N259" t="inlineStr">
        <is>
          <t>Puente para redise?ar vistas de Costos &amp; Gastos; no reemplaza P&amp;G oficial. Convertido a USD con la tasa promedio mensual del pais.</t>
        </is>
      </c>
    </row>
    <row r="260">
      <c r="A260" t="inlineStr">
        <is>
          <t>2026-07</t>
        </is>
      </c>
      <c r="B260" t="inlineStr">
        <is>
          <t>Estados Unidos</t>
        </is>
      </c>
      <c r="C260" t="inlineStr">
        <is>
          <t>USA</t>
        </is>
      </c>
      <c r="D260" t="inlineStr">
        <is>
          <t>USD</t>
        </is>
      </c>
      <c r="E260" t="inlineStr">
        <is>
          <t>PL-S-020</t>
        </is>
      </c>
      <c r="F260" t="inlineStr">
        <is>
          <t>Mercadeo y publicidad</t>
        </is>
      </c>
      <c r="G260" t="inlineStr">
        <is>
          <t>gasto_comercial</t>
        </is>
      </c>
      <c r="H260" t="inlineStr">
        <is>
          <t>Servicios</t>
        </is>
      </c>
      <c r="I260" t="inlineStr">
        <is>
          <t>Comercial</t>
        </is>
      </c>
      <c r="J260" t="n">
        <v>0</v>
      </c>
      <c r="K260" t="n">
        <v>400</v>
      </c>
      <c r="L260" t="inlineStr">
        <is>
          <t>Julio 2026 USA.xlsx</t>
        </is>
      </c>
      <c r="M260" t="inlineStr">
        <is>
          <t>Aprobado</t>
        </is>
      </c>
      <c r="N260" t="inlineStr">
        <is>
          <t>Puente para redise?ar vistas de Costos &amp; Gastos; no reemplaza P&amp;G oficial. Convertido a USD con la tasa promedio mensual del pais.</t>
        </is>
      </c>
    </row>
    <row r="261">
      <c r="A261" t="inlineStr">
        <is>
          <t>2026-07</t>
        </is>
      </c>
      <c r="B261" t="inlineStr">
        <is>
          <t>Estados Unidos</t>
        </is>
      </c>
      <c r="C261" t="inlineStr">
        <is>
          <t>USA</t>
        </is>
      </c>
      <c r="D261" t="inlineStr">
        <is>
          <t>USD</t>
        </is>
      </c>
      <c r="E261" t="inlineStr">
        <is>
          <t>PL-S-030</t>
        </is>
      </c>
      <c r="F261" t="inlineStr">
        <is>
          <t>Otros servicios comerciales</t>
        </is>
      </c>
      <c r="G261" t="inlineStr">
        <is>
          <t>gasto_comercial</t>
        </is>
      </c>
      <c r="H261" t="inlineStr">
        <is>
          <t>Servicios</t>
        </is>
      </c>
      <c r="I261" t="inlineStr">
        <is>
          <t>Comercial</t>
        </is>
      </c>
      <c r="J261" t="n">
        <v>0</v>
      </c>
      <c r="K261" t="n">
        <v>3500</v>
      </c>
      <c r="L261" t="inlineStr">
        <is>
          <t>Julio 2026 USA.xlsx</t>
        </is>
      </c>
      <c r="M261" t="inlineStr">
        <is>
          <t>Revisar</t>
        </is>
      </c>
      <c r="N261" t="inlineStr">
        <is>
          <t>Puente para redise?ar vistas de Costos &amp; Gastos; no reemplaza P&amp;G oficial. Convertido a USD con la tasa promedio mensual del pais.</t>
        </is>
      </c>
    </row>
    <row r="262">
      <c r="A262" t="inlineStr">
        <is>
          <t>2026-07</t>
        </is>
      </c>
      <c r="B262" t="inlineStr">
        <is>
          <t>Estados Unidos</t>
        </is>
      </c>
      <c r="C262" t="inlineStr">
        <is>
          <t>USA</t>
        </is>
      </c>
      <c r="D262" t="inlineStr">
        <is>
          <t>USD</t>
        </is>
      </c>
      <c r="E262" t="inlineStr">
        <is>
          <t>PL-S-030</t>
        </is>
      </c>
      <c r="F262" t="inlineStr">
        <is>
          <t>Otros servicios comerciales</t>
        </is>
      </c>
      <c r="G262" t="inlineStr">
        <is>
          <t>gasto_comercial</t>
        </is>
      </c>
      <c r="H262" t="inlineStr">
        <is>
          <t>Servicios</t>
        </is>
      </c>
      <c r="I262" t="inlineStr">
        <is>
          <t>Comercial</t>
        </is>
      </c>
      <c r="J262" t="n">
        <v>0</v>
      </c>
      <c r="K262" t="n">
        <v>648</v>
      </c>
      <c r="L262" t="inlineStr">
        <is>
          <t>Julio 2026 USA.xlsx</t>
        </is>
      </c>
      <c r="M262" t="inlineStr">
        <is>
          <t>Revisar</t>
        </is>
      </c>
      <c r="N262" t="inlineStr">
        <is>
          <t>Puente para redise?ar vistas de Costos &amp; Gastos; no reemplaza P&amp;G oficial. Convertido a USD con la tasa promedio mensual del pais.</t>
        </is>
      </c>
    </row>
    <row r="263">
      <c r="A263" t="inlineStr">
        <is>
          <t>2026-07</t>
        </is>
      </c>
      <c r="B263" t="inlineStr">
        <is>
          <t>Estados Unidos</t>
        </is>
      </c>
      <c r="C263" t="inlineStr">
        <is>
          <t>USA</t>
        </is>
      </c>
      <c r="D263" t="inlineStr">
        <is>
          <t>USD</t>
        </is>
      </c>
      <c r="E263" t="inlineStr">
        <is>
          <t>PL-F-010</t>
        </is>
      </c>
      <c r="F263" t="inlineStr">
        <is>
          <t>Gastos financieros</t>
        </is>
      </c>
      <c r="G263" t="inlineStr">
        <is>
          <t>gasto_area</t>
        </is>
      </c>
      <c r="H263" t="inlineStr">
        <is>
          <t>Financieros</t>
        </is>
      </c>
      <c r="I263" t="inlineStr">
        <is>
          <t>Financieros</t>
        </is>
      </c>
      <c r="J263" t="n">
        <v>0</v>
      </c>
      <c r="K263" t="n">
        <v>0.34</v>
      </c>
      <c r="L263" t="inlineStr">
        <is>
          <t>Julio 2026 USA.xlsx</t>
        </is>
      </c>
      <c r="M263" t="inlineStr">
        <is>
          <t>Aprobado</t>
        </is>
      </c>
      <c r="N263" t="inlineStr">
        <is>
          <t>Puente para redise?ar vistas de Costos &amp; Gastos; no reemplaza P&amp;G oficial. Convertido a USD con la tasa promedio mensual del pais.</t>
        </is>
      </c>
    </row>
    <row r="264">
      <c r="A264" t="inlineStr">
        <is>
          <t>2026-07</t>
        </is>
      </c>
      <c r="B264" t="inlineStr">
        <is>
          <t>Estados Unidos</t>
        </is>
      </c>
      <c r="C264" t="inlineStr">
        <is>
          <t>USA</t>
        </is>
      </c>
      <c r="D264" t="inlineStr">
        <is>
          <t>USD</t>
        </is>
      </c>
      <c r="E264" t="inlineStr">
        <is>
          <t>PL-F-010</t>
        </is>
      </c>
      <c r="F264" t="inlineStr">
        <is>
          <t>Gastos financieros</t>
        </is>
      </c>
      <c r="G264" t="inlineStr">
        <is>
          <t>gasto_area</t>
        </is>
      </c>
      <c r="H264" t="inlineStr">
        <is>
          <t>Financieros</t>
        </is>
      </c>
      <c r="I264" t="inlineStr">
        <is>
          <t>Financieros</t>
        </is>
      </c>
      <c r="J264" t="n">
        <v>0</v>
      </c>
      <c r="K264" t="n">
        <v>15</v>
      </c>
      <c r="L264" t="inlineStr">
        <is>
          <t>Julio 2026 USA.xlsx</t>
        </is>
      </c>
      <c r="M264" t="inlineStr">
        <is>
          <t>Aprobado</t>
        </is>
      </c>
      <c r="N264" t="inlineStr">
        <is>
          <t>Puente para redise?ar vistas de Costos &amp; Gastos; no reemplaza P&amp;G oficial. Convertido a USD con la tasa promedio mensual del pais.</t>
        </is>
      </c>
    </row>
    <row r="265">
      <c r="A265" t="inlineStr">
        <is>
          <t>2026-07</t>
        </is>
      </c>
      <c r="B265" t="inlineStr">
        <is>
          <t>Estados Unidos</t>
        </is>
      </c>
      <c r="C265" t="inlineStr">
        <is>
          <t>USA</t>
        </is>
      </c>
      <c r="D265" t="inlineStr">
        <is>
          <t>USD</t>
        </is>
      </c>
      <c r="E265" t="inlineStr">
        <is>
          <t>PL-F-010</t>
        </is>
      </c>
      <c r="F265" t="inlineStr">
        <is>
          <t>Gastos financieros</t>
        </is>
      </c>
      <c r="G265" t="inlineStr">
        <is>
          <t>gasto_area</t>
        </is>
      </c>
      <c r="H265" t="inlineStr">
        <is>
          <t>Financieros</t>
        </is>
      </c>
      <c r="I265" t="inlineStr">
        <is>
          <t>Financieros</t>
        </is>
      </c>
      <c r="J265" t="n">
        <v>8.33</v>
      </c>
      <c r="K265" t="n">
        <v>236.54</v>
      </c>
      <c r="L265" t="inlineStr">
        <is>
          <t>Julio 2026 USA.xlsx</t>
        </is>
      </c>
      <c r="M265" t="inlineStr">
        <is>
          <t>Aprobado</t>
        </is>
      </c>
      <c r="N265" t="inlineStr">
        <is>
          <t>Puente para redise?ar vistas de Costos &amp; Gastos; no reemplaza P&amp;G oficial. Convertido a USD con la tasa promedio mensual del pais.</t>
        </is>
      </c>
    </row>
    <row r="266">
      <c r="A266" t="inlineStr">
        <is>
          <t>2026-07</t>
        </is>
      </c>
      <c r="B266" t="inlineStr">
        <is>
          <t>Estados Unidos</t>
        </is>
      </c>
      <c r="C266" t="inlineStr">
        <is>
          <t>USA</t>
        </is>
      </c>
      <c r="D266" t="inlineStr">
        <is>
          <t>USD</t>
        </is>
      </c>
      <c r="E266" t="inlineStr">
        <is>
          <t>PL-F-010</t>
        </is>
      </c>
      <c r="F266" t="inlineStr">
        <is>
          <t>Gastos financieros</t>
        </is>
      </c>
      <c r="G266" t="inlineStr">
        <is>
          <t>gasto_area</t>
        </is>
      </c>
      <c r="H266" t="inlineStr">
        <is>
          <t>Financieros</t>
        </is>
      </c>
      <c r="I266" t="inlineStr">
        <is>
          <t>Financieros</t>
        </is>
      </c>
      <c r="J266" t="n">
        <v>0</v>
      </c>
      <c r="K266" t="n">
        <v>3.11</v>
      </c>
      <c r="L266" t="inlineStr">
        <is>
          <t>Julio 2026 USA.xlsx</t>
        </is>
      </c>
      <c r="M266" t="inlineStr">
        <is>
          <t>Aprobado</t>
        </is>
      </c>
      <c r="N266" t="inlineStr">
        <is>
          <t>Puente para redise?ar vistas de Costos &amp; Gastos; no reemplaza P&amp;G oficial. Convertido a USD con la tasa promedio mensual del pais.</t>
        </is>
      </c>
    </row>
    <row r="267">
      <c r="A267" t="inlineStr">
        <is>
          <t>2026-07</t>
        </is>
      </c>
      <c r="B267" t="inlineStr">
        <is>
          <t>Estados Unidos</t>
        </is>
      </c>
      <c r="C267" t="inlineStr">
        <is>
          <t>USA</t>
        </is>
      </c>
      <c r="D267" t="inlineStr">
        <is>
          <t>USD</t>
        </is>
      </c>
      <c r="E267" t="inlineStr">
        <is>
          <t>PL-F-010</t>
        </is>
      </c>
      <c r="F267" t="inlineStr">
        <is>
          <t>Gastos financieros</t>
        </is>
      </c>
      <c r="G267" t="inlineStr">
        <is>
          <t>gasto_area</t>
        </is>
      </c>
      <c r="H267" t="inlineStr">
        <is>
          <t>Financieros</t>
        </is>
      </c>
      <c r="I267" t="inlineStr">
        <is>
          <t>Financieros</t>
        </is>
      </c>
      <c r="J267" t="n">
        <v>125.95</v>
      </c>
      <c r="K267" t="n">
        <v>656.65</v>
      </c>
      <c r="L267" t="inlineStr">
        <is>
          <t>Julio 2026 USA.xlsx</t>
        </is>
      </c>
      <c r="M267" t="inlineStr">
        <is>
          <t>Aprobado</t>
        </is>
      </c>
      <c r="N267" t="inlineStr">
        <is>
          <t>Puente para redise?ar vistas de Costos &amp; Gastos; no reemplaza P&amp;G oficial. Convertido a USD con la tasa promedio mensual del pais.</t>
        </is>
      </c>
    </row>
    <row r="268">
      <c r="A268" t="inlineStr">
        <is>
          <t>2026-07</t>
        </is>
      </c>
      <c r="B268" t="inlineStr">
        <is>
          <t>Estados Unidos</t>
        </is>
      </c>
      <c r="C268" t="inlineStr">
        <is>
          <t>USA</t>
        </is>
      </c>
      <c r="D268" t="inlineStr">
        <is>
          <t>USD</t>
        </is>
      </c>
      <c r="E268" t="inlineStr">
        <is>
          <t>PL-F-010</t>
        </is>
      </c>
      <c r="F268" t="inlineStr">
        <is>
          <t>Gastos financieros</t>
        </is>
      </c>
      <c r="G268" t="inlineStr">
        <is>
          <t>gasto_area</t>
        </is>
      </c>
      <c r="H268" t="inlineStr">
        <is>
          <t>Financieros</t>
        </is>
      </c>
      <c r="I268" t="inlineStr">
        <is>
          <t>Financieros</t>
        </is>
      </c>
      <c r="J268" t="n">
        <v>0</v>
      </c>
      <c r="K268" t="n">
        <v>0.9</v>
      </c>
      <c r="L268" t="inlineStr">
        <is>
          <t>Julio 2026 USA.xlsx</t>
        </is>
      </c>
      <c r="M268" t="inlineStr">
        <is>
          <t>Aprobado</t>
        </is>
      </c>
      <c r="N268" t="inlineStr">
        <is>
          <t>Puente para redise?ar vistas de Costos &amp; Gastos; no reemplaza P&amp;G oficial. Convertido a USD con la tasa promedio mensual del pais.</t>
        </is>
      </c>
    </row>
    <row r="269">
      <c r="A269" t="inlineStr">
        <is>
          <t>2026-06</t>
        </is>
      </c>
      <c r="B269" t="inlineStr">
        <is>
          <t>Costa Rica</t>
        </is>
      </c>
      <c r="C269" t="inlineStr">
        <is>
          <t>CR</t>
        </is>
      </c>
      <c r="D269" t="inlineStr">
        <is>
          <t>USD</t>
        </is>
      </c>
      <c r="E269" t="inlineStr">
        <is>
          <t>PL-O-010</t>
        </is>
      </c>
      <c r="F269" t="inlineStr">
        <is>
          <t>Gastos de personal</t>
        </is>
      </c>
      <c r="G269" t="inlineStr">
        <is>
          <t>gasto_admin</t>
        </is>
      </c>
      <c r="H269" t="inlineStr">
        <is>
          <t>Personal</t>
        </is>
      </c>
      <c r="I269" t="inlineStr">
        <is>
          <t>Administracion</t>
        </is>
      </c>
      <c r="J269" t="n">
        <v>1850</v>
      </c>
      <c r="K269" t="n">
        <v>7250</v>
      </c>
      <c r="L269" t="inlineStr">
        <is>
          <t>Junio 2026 CR.xlsx</t>
        </is>
      </c>
      <c r="M269" t="inlineStr">
        <is>
          <t>Aprobado</t>
        </is>
      </c>
      <c r="N269" t="inlineStr">
        <is>
          <t>Puente para redise?ar vistas de Costos &amp; Gastos; no reemplaza P&amp;G oficial. Convertido a USD con la tasa promedio mensual del pais.</t>
        </is>
      </c>
    </row>
    <row r="270">
      <c r="A270" t="inlineStr">
        <is>
          <t>2026-06</t>
        </is>
      </c>
      <c r="B270" t="inlineStr">
        <is>
          <t>Costa Rica</t>
        </is>
      </c>
      <c r="C270" t="inlineStr">
        <is>
          <t>CR</t>
        </is>
      </c>
      <c r="D270" t="inlineStr">
        <is>
          <t>USD</t>
        </is>
      </c>
      <c r="E270" t="inlineStr">
        <is>
          <t>PL-O-090</t>
        </is>
      </c>
      <c r="F270" t="inlineStr">
        <is>
          <t>Viajes y representación</t>
        </is>
      </c>
      <c r="G270" t="inlineStr">
        <is>
          <t>gasto_admin</t>
        </is>
      </c>
      <c r="H270" t="inlineStr">
        <is>
          <t>Viajes</t>
        </is>
      </c>
      <c r="I270" t="inlineStr">
        <is>
          <t>Administracion</t>
        </is>
      </c>
      <c r="J270" t="n">
        <v>300</v>
      </c>
      <c r="K270" t="n">
        <v>1800</v>
      </c>
      <c r="L270" t="inlineStr">
        <is>
          <t>Junio 2026 CR.xlsx</t>
        </is>
      </c>
      <c r="M270" t="inlineStr">
        <is>
          <t>Aprobado</t>
        </is>
      </c>
      <c r="N270" t="inlineStr">
        <is>
          <t>Puente para redise?ar vistas de Costos &amp; Gastos; no reemplaza P&amp;G oficial. Convertido a USD con la tasa promedio mensual del pais.</t>
        </is>
      </c>
    </row>
    <row r="271">
      <c r="A271" t="inlineStr">
        <is>
          <t>2026-06</t>
        </is>
      </c>
      <c r="B271" t="inlineStr">
        <is>
          <t>Costa Rica</t>
        </is>
      </c>
      <c r="C271" t="inlineStr">
        <is>
          <t>CR</t>
        </is>
      </c>
      <c r="D271" t="inlineStr">
        <is>
          <t>USD</t>
        </is>
      </c>
      <c r="E271" t="inlineStr">
        <is>
          <t>PL-O-010</t>
        </is>
      </c>
      <c r="F271" t="inlineStr">
        <is>
          <t>Gastos de personal</t>
        </is>
      </c>
      <c r="G271" t="inlineStr">
        <is>
          <t>gasto_admin</t>
        </is>
      </c>
      <c r="H271" t="inlineStr">
        <is>
          <t>Personal</t>
        </is>
      </c>
      <c r="I271" t="inlineStr">
        <is>
          <t>Administracion</t>
        </is>
      </c>
      <c r="J271" t="n">
        <v>400</v>
      </c>
      <c r="K271" t="n">
        <v>2412.37</v>
      </c>
      <c r="L271" t="inlineStr">
        <is>
          <t>Junio 2026 CR.xlsx</t>
        </is>
      </c>
      <c r="M271" t="inlineStr">
        <is>
          <t>Aprobado</t>
        </is>
      </c>
      <c r="N271" t="inlineStr">
        <is>
          <t>Puente para redise?ar vistas de Costos &amp; Gastos; no reemplaza P&amp;G oficial. Convertido a USD con la tasa promedio mensual del pais.</t>
        </is>
      </c>
    </row>
    <row r="272">
      <c r="A272" t="inlineStr">
        <is>
          <t>2026-06</t>
        </is>
      </c>
      <c r="B272" t="inlineStr">
        <is>
          <t>Costa Rica</t>
        </is>
      </c>
      <c r="C272" t="inlineStr">
        <is>
          <t>CR</t>
        </is>
      </c>
      <c r="D272" t="inlineStr">
        <is>
          <t>USD</t>
        </is>
      </c>
      <c r="E272" t="inlineStr">
        <is>
          <t>PL-O-020</t>
        </is>
      </c>
      <c r="F272" t="inlineStr">
        <is>
          <t>Honorarios y servicios profesionales</t>
        </is>
      </c>
      <c r="G272" t="inlineStr">
        <is>
          <t>gasto_admin</t>
        </is>
      </c>
      <c r="H272" t="inlineStr">
        <is>
          <t>Honorarios</t>
        </is>
      </c>
      <c r="I272" t="inlineStr">
        <is>
          <t>Administracion</t>
        </is>
      </c>
      <c r="J272" t="n">
        <v>0</v>
      </c>
      <c r="K272" t="n">
        <v>270.35</v>
      </c>
      <c r="L272" t="inlineStr">
        <is>
          <t>Junio 2026 CR.xlsx</t>
        </is>
      </c>
      <c r="M272" t="inlineStr">
        <is>
          <t>Aprobado</t>
        </is>
      </c>
      <c r="N272" t="inlineStr">
        <is>
          <t>Puente para redise?ar vistas de Costos &amp; Gastos; no reemplaza P&amp;G oficial. Convertido a USD con la tasa promedio mensual del pais.</t>
        </is>
      </c>
    </row>
    <row r="273">
      <c r="A273" t="inlineStr">
        <is>
          <t>2026-06</t>
        </is>
      </c>
      <c r="B273" t="inlineStr">
        <is>
          <t>Costa Rica</t>
        </is>
      </c>
      <c r="C273" t="inlineStr">
        <is>
          <t>CR</t>
        </is>
      </c>
      <c r="D273" t="inlineStr">
        <is>
          <t>USD</t>
        </is>
      </c>
      <c r="E273" t="inlineStr">
        <is>
          <t>PL-O-030</t>
        </is>
      </c>
      <c r="F273" t="inlineStr">
        <is>
          <t>Impuestos y contribuciones</t>
        </is>
      </c>
      <c r="G273" t="inlineStr">
        <is>
          <t>gasto_admin</t>
        </is>
      </c>
      <c r="H273" t="inlineStr">
        <is>
          <t>Diversos</t>
        </is>
      </c>
      <c r="I273" t="inlineStr">
        <is>
          <t>Administracion</t>
        </is>
      </c>
      <c r="J273" t="n">
        <v>0</v>
      </c>
      <c r="K273" t="n">
        <v>252.73</v>
      </c>
      <c r="L273" t="inlineStr">
        <is>
          <t>Junio 2026 CR.xlsx</t>
        </is>
      </c>
      <c r="M273" t="inlineStr">
        <is>
          <t>Aprobado</t>
        </is>
      </c>
      <c r="N273" t="inlineStr">
        <is>
          <t>Puente para redise?ar vistas de Costos &amp; Gastos; no reemplaza P&amp;G oficial. Convertido a USD con la tasa promedio mensual del pais.</t>
        </is>
      </c>
    </row>
    <row r="274">
      <c r="A274" t="inlineStr">
        <is>
          <t>2026-06</t>
        </is>
      </c>
      <c r="B274" t="inlineStr">
        <is>
          <t>Costa Rica</t>
        </is>
      </c>
      <c r="C274" t="inlineStr">
        <is>
          <t>CR</t>
        </is>
      </c>
      <c r="D274" t="inlineStr">
        <is>
          <t>USD</t>
        </is>
      </c>
      <c r="E274" t="inlineStr">
        <is>
          <t>PL-O-030</t>
        </is>
      </c>
      <c r="F274" t="inlineStr">
        <is>
          <t>Impuestos y contribuciones</t>
        </is>
      </c>
      <c r="G274" t="inlineStr">
        <is>
          <t>gasto_admin</t>
        </is>
      </c>
      <c r="H274" t="inlineStr">
        <is>
          <t>Diversos</t>
        </is>
      </c>
      <c r="I274" t="inlineStr">
        <is>
          <t>Administracion</t>
        </is>
      </c>
      <c r="J274" t="n">
        <v>0</v>
      </c>
      <c r="K274" t="n">
        <v>142.19</v>
      </c>
      <c r="L274" t="inlineStr">
        <is>
          <t>Junio 2026 CR.xlsx</t>
        </is>
      </c>
      <c r="M274" t="inlineStr">
        <is>
          <t>Aprobado</t>
        </is>
      </c>
      <c r="N274" t="inlineStr">
        <is>
          <t>Puente para redise?ar vistas de Costos &amp; Gastos; no reemplaza P&amp;G oficial. Convertido a USD con la tasa promedio mensual del pais.</t>
        </is>
      </c>
    </row>
    <row r="275">
      <c r="A275" t="inlineStr">
        <is>
          <t>2026-06</t>
        </is>
      </c>
      <c r="B275" t="inlineStr">
        <is>
          <t>Costa Rica</t>
        </is>
      </c>
      <c r="C275" t="inlineStr">
        <is>
          <t>CR</t>
        </is>
      </c>
      <c r="D275" t="inlineStr">
        <is>
          <t>USD</t>
        </is>
      </c>
      <c r="E275" t="inlineStr">
        <is>
          <t>PL-O-030</t>
        </is>
      </c>
      <c r="F275" t="inlineStr">
        <is>
          <t>Impuestos y contribuciones</t>
        </is>
      </c>
      <c r="G275" t="inlineStr">
        <is>
          <t>gasto_admin</t>
        </is>
      </c>
      <c r="H275" t="inlineStr">
        <is>
          <t>Diversos</t>
        </is>
      </c>
      <c r="I275" t="inlineStr">
        <is>
          <t>Administracion</t>
        </is>
      </c>
      <c r="J275" t="n">
        <v>0</v>
      </c>
      <c r="K275" t="n">
        <v>64.79000000000001</v>
      </c>
      <c r="L275" t="inlineStr">
        <is>
          <t>Junio 2026 CR.xlsx</t>
        </is>
      </c>
      <c r="M275" t="inlineStr">
        <is>
          <t>Aprobado</t>
        </is>
      </c>
      <c r="N275" t="inlineStr">
        <is>
          <t>Puente para redise?ar vistas de Costos &amp; Gastos; no reemplaza P&amp;G oficial. Convertido a USD con la tasa promedio mensual del pais.</t>
        </is>
      </c>
    </row>
    <row r="276">
      <c r="A276" t="inlineStr">
        <is>
          <t>2026-06</t>
        </is>
      </c>
      <c r="B276" t="inlineStr">
        <is>
          <t>Costa Rica</t>
        </is>
      </c>
      <c r="C276" t="inlineStr">
        <is>
          <t>CR</t>
        </is>
      </c>
      <c r="D276" t="inlineStr">
        <is>
          <t>USD</t>
        </is>
      </c>
      <c r="E276" t="inlineStr">
        <is>
          <t>PL-O-050</t>
        </is>
      </c>
      <c r="F276" t="inlineStr">
        <is>
          <t>Seguros</t>
        </is>
      </c>
      <c r="G276" t="inlineStr">
        <is>
          <t>gasto_admin</t>
        </is>
      </c>
      <c r="H276" t="inlineStr">
        <is>
          <t>Seguros</t>
        </is>
      </c>
      <c r="I276" t="inlineStr">
        <is>
          <t>Administracion</t>
        </is>
      </c>
      <c r="J276" t="n">
        <v>0</v>
      </c>
      <c r="K276" t="n">
        <v>9205.719999999999</v>
      </c>
      <c r="L276" t="inlineStr">
        <is>
          <t>Junio 2026 CR.xlsx</t>
        </is>
      </c>
      <c r="M276" t="inlineStr">
        <is>
          <t>Aprobado</t>
        </is>
      </c>
      <c r="N276" t="inlineStr">
        <is>
          <t>Puente para redise?ar vistas de Costos &amp; Gastos; no reemplaza P&amp;G oficial. Convertido a USD con la tasa promedio mensual del pais.</t>
        </is>
      </c>
    </row>
    <row r="277">
      <c r="A277" t="inlineStr">
        <is>
          <t>2026-06</t>
        </is>
      </c>
      <c r="B277" t="inlineStr">
        <is>
          <t>Costa Rica</t>
        </is>
      </c>
      <c r="C277" t="inlineStr">
        <is>
          <t>CR</t>
        </is>
      </c>
      <c r="D277" t="inlineStr">
        <is>
          <t>USD</t>
        </is>
      </c>
      <c r="E277" t="inlineStr">
        <is>
          <t>PL-O-050</t>
        </is>
      </c>
      <c r="F277" t="inlineStr">
        <is>
          <t>Seguros</t>
        </is>
      </c>
      <c r="G277" t="inlineStr">
        <is>
          <t>gasto_admin</t>
        </is>
      </c>
      <c r="H277" t="inlineStr">
        <is>
          <t>Seguros</t>
        </is>
      </c>
      <c r="I277" t="inlineStr">
        <is>
          <t>Administracion</t>
        </is>
      </c>
      <c r="J277" t="n">
        <v>0</v>
      </c>
      <c r="K277" t="n">
        <v>70.81</v>
      </c>
      <c r="L277" t="inlineStr">
        <is>
          <t>Junio 2026 CR.xlsx</t>
        </is>
      </c>
      <c r="M277" t="inlineStr">
        <is>
          <t>Aprobado</t>
        </is>
      </c>
      <c r="N277" t="inlineStr">
        <is>
          <t>Puente para redise?ar vistas de Costos &amp; Gastos; no reemplaza P&amp;G oficial. Convertido a USD con la tasa promedio mensual del pais.</t>
        </is>
      </c>
    </row>
    <row r="278">
      <c r="A278" t="inlineStr">
        <is>
          <t>2026-06</t>
        </is>
      </c>
      <c r="B278" t="inlineStr">
        <is>
          <t>Costa Rica</t>
        </is>
      </c>
      <c r="C278" t="inlineStr">
        <is>
          <t>CR</t>
        </is>
      </c>
      <c r="D278" t="inlineStr">
        <is>
          <t>USD</t>
        </is>
      </c>
      <c r="E278" t="inlineStr">
        <is>
          <t>PL-O-060</t>
        </is>
      </c>
      <c r="F278" t="inlineStr">
        <is>
          <t>Tecnología y procesamiento de datos</t>
        </is>
      </c>
      <c r="G278" t="inlineStr">
        <is>
          <t>gasto_admin</t>
        </is>
      </c>
      <c r="H278" t="inlineStr">
        <is>
          <t>Servicios</t>
        </is>
      </c>
      <c r="I278" t="inlineStr">
        <is>
          <t>Administracion</t>
        </is>
      </c>
      <c r="J278" t="n">
        <v>0</v>
      </c>
      <c r="K278" t="n">
        <v>115.51</v>
      </c>
      <c r="L278" t="inlineStr">
        <is>
          <t>Junio 2026 CR.xlsx</t>
        </is>
      </c>
      <c r="M278" t="inlineStr">
        <is>
          <t>Aprobado</t>
        </is>
      </c>
      <c r="N278" t="inlineStr">
        <is>
          <t>Puente para redise?ar vistas de Costos &amp; Gastos; no reemplaza P&amp;G oficial. Convertido a USD con la tasa promedio mensual del pais.</t>
        </is>
      </c>
    </row>
    <row r="279">
      <c r="A279" t="inlineStr">
        <is>
          <t>2026-06</t>
        </is>
      </c>
      <c r="B279" t="inlineStr">
        <is>
          <t>Costa Rica</t>
        </is>
      </c>
      <c r="C279" t="inlineStr">
        <is>
          <t>CR</t>
        </is>
      </c>
      <c r="D279" t="inlineStr">
        <is>
          <t>USD</t>
        </is>
      </c>
      <c r="E279" t="inlineStr">
        <is>
          <t>PL-O-060</t>
        </is>
      </c>
      <c r="F279" t="inlineStr">
        <is>
          <t>Tecnología y procesamiento de datos</t>
        </is>
      </c>
      <c r="G279" t="inlineStr">
        <is>
          <t>gasto_admin</t>
        </is>
      </c>
      <c r="H279" t="inlineStr">
        <is>
          <t>Servicios</t>
        </is>
      </c>
      <c r="I279" t="inlineStr">
        <is>
          <t>Administracion</t>
        </is>
      </c>
      <c r="J279" t="n">
        <v>34.3</v>
      </c>
      <c r="K279" t="n">
        <v>34.3</v>
      </c>
      <c r="L279" t="inlineStr">
        <is>
          <t>Junio 2026 CR.xlsx</t>
        </is>
      </c>
      <c r="M279" t="inlineStr">
        <is>
          <t>Aprobado</t>
        </is>
      </c>
      <c r="N279" t="inlineStr">
        <is>
          <t>Puente para redise?ar vistas de Costos &amp; Gastos; no reemplaza P&amp;G oficial. Convertido a USD con la tasa promedio mensual del pais.</t>
        </is>
      </c>
    </row>
    <row r="280">
      <c r="A280" t="inlineStr">
        <is>
          <t>2026-06</t>
        </is>
      </c>
      <c r="B280" t="inlineStr">
        <is>
          <t>Costa Rica</t>
        </is>
      </c>
      <c r="C280" t="inlineStr">
        <is>
          <t>CR</t>
        </is>
      </c>
      <c r="D280" t="inlineStr">
        <is>
          <t>USD</t>
        </is>
      </c>
      <c r="E280" t="inlineStr">
        <is>
          <t>PL-O-110</t>
        </is>
      </c>
      <c r="F280" t="inlineStr">
        <is>
          <t>Suministros y oficina</t>
        </is>
      </c>
      <c r="G280" t="inlineStr">
        <is>
          <t>gasto_admin</t>
        </is>
      </c>
      <c r="H280" t="inlineStr">
        <is>
          <t>Diversos</t>
        </is>
      </c>
      <c r="I280" t="inlineStr">
        <is>
          <t>Administracion</t>
        </is>
      </c>
      <c r="J280" t="n">
        <v>37.69</v>
      </c>
      <c r="K280" t="n">
        <v>37.69</v>
      </c>
      <c r="L280" t="inlineStr">
        <is>
          <t>Junio 2026 CR.xlsx</t>
        </is>
      </c>
      <c r="M280" t="inlineStr">
        <is>
          <t>Aprobado</t>
        </is>
      </c>
      <c r="N280" t="inlineStr">
        <is>
          <t>Puente para redise?ar vistas de Costos &amp; Gastos; no reemplaza P&amp;G oficial. Convertido a USD con la tasa promedio mensual del pais.</t>
        </is>
      </c>
    </row>
    <row r="281">
      <c r="A281" t="inlineStr">
        <is>
          <t>2026-06</t>
        </is>
      </c>
      <c r="B281" t="inlineStr">
        <is>
          <t>Costa Rica</t>
        </is>
      </c>
      <c r="C281" t="inlineStr">
        <is>
          <t>CR</t>
        </is>
      </c>
      <c r="D281" t="inlineStr">
        <is>
          <t>USD</t>
        </is>
      </c>
      <c r="E281" t="inlineStr">
        <is>
          <t>PL-O-110</t>
        </is>
      </c>
      <c r="F281" t="inlineStr">
        <is>
          <t>Suministros y oficina</t>
        </is>
      </c>
      <c r="G281" t="inlineStr">
        <is>
          <t>gasto_admin</t>
        </is>
      </c>
      <c r="H281" t="inlineStr">
        <is>
          <t>Diversos</t>
        </is>
      </c>
      <c r="I281" t="inlineStr">
        <is>
          <t>Administracion</t>
        </is>
      </c>
      <c r="J281" t="n">
        <v>0</v>
      </c>
      <c r="K281" t="n">
        <v>39.61</v>
      </c>
      <c r="L281" t="inlineStr">
        <is>
          <t>Junio 2026 CR.xlsx</t>
        </is>
      </c>
      <c r="M281" t="inlineStr">
        <is>
          <t>Aprobado</t>
        </is>
      </c>
      <c r="N281" t="inlineStr">
        <is>
          <t>Puente para redise?ar vistas de Costos &amp; Gastos; no reemplaza P&amp;G oficial. Convertido a USD con la tasa promedio mensual del pais.</t>
        </is>
      </c>
    </row>
    <row r="282">
      <c r="A282" t="inlineStr">
        <is>
          <t>2026-06</t>
        </is>
      </c>
      <c r="B282" t="inlineStr">
        <is>
          <t>Costa Rica</t>
        </is>
      </c>
      <c r="C282" t="inlineStr">
        <is>
          <t>CR</t>
        </is>
      </c>
      <c r="D282" t="inlineStr">
        <is>
          <t>USD</t>
        </is>
      </c>
      <c r="E282" t="inlineStr">
        <is>
          <t>PL-O-110</t>
        </is>
      </c>
      <c r="F282" t="inlineStr">
        <is>
          <t>Suministros y oficina</t>
        </is>
      </c>
      <c r="G282" t="inlineStr">
        <is>
          <t>gasto_admin</t>
        </is>
      </c>
      <c r="H282" t="inlineStr">
        <is>
          <t>Diversos</t>
        </is>
      </c>
      <c r="I282" t="inlineStr">
        <is>
          <t>Administracion</t>
        </is>
      </c>
      <c r="J282" t="n">
        <v>0</v>
      </c>
      <c r="K282" t="n">
        <v>74.31</v>
      </c>
      <c r="L282" t="inlineStr">
        <is>
          <t>Junio 2026 CR.xlsx</t>
        </is>
      </c>
      <c r="M282" t="inlineStr">
        <is>
          <t>Aprobado</t>
        </is>
      </c>
      <c r="N282" t="inlineStr">
        <is>
          <t>Puente para redise?ar vistas de Costos &amp; Gastos; no reemplaza P&amp;G oficial. Convertido a USD con la tasa promedio mensual del pais.</t>
        </is>
      </c>
    </row>
    <row r="283">
      <c r="A283" t="inlineStr">
        <is>
          <t>2026-06</t>
        </is>
      </c>
      <c r="B283" t="inlineStr">
        <is>
          <t>Costa Rica</t>
        </is>
      </c>
      <c r="C283" t="inlineStr">
        <is>
          <t>CR</t>
        </is>
      </c>
      <c r="D283" t="inlineStr">
        <is>
          <t>USD</t>
        </is>
      </c>
      <c r="E283" t="inlineStr">
        <is>
          <t>PL-O-110</t>
        </is>
      </c>
      <c r="F283" t="inlineStr">
        <is>
          <t>Suministros y oficina</t>
        </is>
      </c>
      <c r="G283" t="inlineStr">
        <is>
          <t>gasto_admin</t>
        </is>
      </c>
      <c r="H283" t="inlineStr">
        <is>
          <t>Diversos</t>
        </is>
      </c>
      <c r="I283" t="inlineStr">
        <is>
          <t>Administracion</t>
        </is>
      </c>
      <c r="J283" t="n">
        <v>0</v>
      </c>
      <c r="K283" t="n">
        <v>15</v>
      </c>
      <c r="L283" t="inlineStr">
        <is>
          <t>Junio 2026 CR.xlsx</t>
        </is>
      </c>
      <c r="M283" t="inlineStr">
        <is>
          <t>Aprobado</t>
        </is>
      </c>
      <c r="N283" t="inlineStr">
        <is>
          <t>Puente para redise?ar vistas de Costos &amp; Gastos; no reemplaza P&amp;G oficial. Convertido a USD con la tasa promedio mensual del pais.</t>
        </is>
      </c>
    </row>
    <row r="284">
      <c r="A284" t="inlineStr">
        <is>
          <t>2026-06</t>
        </is>
      </c>
      <c r="B284" t="inlineStr">
        <is>
          <t>Costa Rica</t>
        </is>
      </c>
      <c r="C284" t="inlineStr">
        <is>
          <t>CR</t>
        </is>
      </c>
      <c r="D284" t="inlineStr">
        <is>
          <t>USD</t>
        </is>
      </c>
      <c r="E284" t="inlineStr">
        <is>
          <t>PL-O-110</t>
        </is>
      </c>
      <c r="F284" t="inlineStr">
        <is>
          <t>Suministros y oficina</t>
        </is>
      </c>
      <c r="G284" t="inlineStr">
        <is>
          <t>gasto_admin</t>
        </is>
      </c>
      <c r="H284" t="inlineStr">
        <is>
          <t>Diversos</t>
        </is>
      </c>
      <c r="I284" t="inlineStr">
        <is>
          <t>Administracion</t>
        </is>
      </c>
      <c r="J284" t="n">
        <v>0</v>
      </c>
      <c r="K284" t="n">
        <v>7</v>
      </c>
      <c r="L284" t="inlineStr">
        <is>
          <t>Junio 2026 CR.xlsx</t>
        </is>
      </c>
      <c r="M284" t="inlineStr">
        <is>
          <t>Aprobado</t>
        </is>
      </c>
      <c r="N284" t="inlineStr">
        <is>
          <t>Puente para redise?ar vistas de Costos &amp; Gastos; no reemplaza P&amp;G oficial. Convertido a USD con la tasa promedio mensual del pais.</t>
        </is>
      </c>
    </row>
    <row r="285">
      <c r="A285" t="inlineStr">
        <is>
          <t>2026-06</t>
        </is>
      </c>
      <c r="B285" t="inlineStr">
        <is>
          <t>Costa Rica</t>
        </is>
      </c>
      <c r="C285" t="inlineStr">
        <is>
          <t>CR</t>
        </is>
      </c>
      <c r="D285" t="inlineStr">
        <is>
          <t>USD</t>
        </is>
      </c>
      <c r="E285" t="inlineStr">
        <is>
          <t>PL-F-010</t>
        </is>
      </c>
      <c r="F285" t="inlineStr">
        <is>
          <t>Gastos financieros</t>
        </is>
      </c>
      <c r="G285" t="inlineStr">
        <is>
          <t>gasto_area</t>
        </is>
      </c>
      <c r="H285" t="inlineStr">
        <is>
          <t>Financieros</t>
        </is>
      </c>
      <c r="I285" t="inlineStr">
        <is>
          <t>Financieros</t>
        </is>
      </c>
      <c r="J285" t="n">
        <v>50</v>
      </c>
      <c r="K285" t="n">
        <v>200</v>
      </c>
      <c r="L285" t="inlineStr">
        <is>
          <t>Junio 2026 CR.xlsx</t>
        </is>
      </c>
      <c r="M285" t="inlineStr">
        <is>
          <t>Aprobado</t>
        </is>
      </c>
      <c r="N285" t="inlineStr">
        <is>
          <t>Puente para redise?ar vistas de Costos &amp; Gastos; no reemplaza P&amp;G oficial. Convertido a USD con la tasa promedio mensual del pais.</t>
        </is>
      </c>
    </row>
    <row r="286">
      <c r="A286" t="inlineStr">
        <is>
          <t>2026-06</t>
        </is>
      </c>
      <c r="B286" t="inlineStr">
        <is>
          <t>Costa Rica</t>
        </is>
      </c>
      <c r="C286" t="inlineStr">
        <is>
          <t>CR</t>
        </is>
      </c>
      <c r="D286" t="inlineStr">
        <is>
          <t>USD</t>
        </is>
      </c>
      <c r="E286" t="inlineStr">
        <is>
          <t>PL-F-010</t>
        </is>
      </c>
      <c r="F286" t="inlineStr">
        <is>
          <t>Gastos financieros</t>
        </is>
      </c>
      <c r="G286" t="inlineStr">
        <is>
          <t>gasto_area</t>
        </is>
      </c>
      <c r="H286" t="inlineStr">
        <is>
          <t>Financieros</t>
        </is>
      </c>
      <c r="I286" t="inlineStr">
        <is>
          <t>Financieros</t>
        </is>
      </c>
      <c r="J286" t="n">
        <v>0</v>
      </c>
      <c r="K286" t="n">
        <v>6</v>
      </c>
      <c r="L286" t="inlineStr">
        <is>
          <t>Junio 2026 CR.xlsx</t>
        </is>
      </c>
      <c r="M286" t="inlineStr">
        <is>
          <t>Aprobado</t>
        </is>
      </c>
      <c r="N286" t="inlineStr">
        <is>
          <t>Puente para redise?ar vistas de Costos &amp; Gastos; no reemplaza P&amp;G oficial. Convertido a USD con la tasa promedio mensual del pais.</t>
        </is>
      </c>
    </row>
    <row r="287">
      <c r="A287" t="inlineStr">
        <is>
          <t>2026-06</t>
        </is>
      </c>
      <c r="B287" t="inlineStr">
        <is>
          <t>Peru</t>
        </is>
      </c>
      <c r="C287" t="inlineStr">
        <is>
          <t>PERU</t>
        </is>
      </c>
      <c r="D287" t="inlineStr">
        <is>
          <t>USD</t>
        </is>
      </c>
      <c r="E287" t="inlineStr">
        <is>
          <t>PL-O-020</t>
        </is>
      </c>
      <c r="F287" t="inlineStr">
        <is>
          <t>Honorarios y servicios profesionales</t>
        </is>
      </c>
      <c r="G287" t="inlineStr">
        <is>
          <t>gasto_admin</t>
        </is>
      </c>
      <c r="H287" t="inlineStr">
        <is>
          <t>Honorarios</t>
        </is>
      </c>
      <c r="I287" t="inlineStr">
        <is>
          <t>Administracion</t>
        </is>
      </c>
      <c r="J287" t="n">
        <v>155.07</v>
      </c>
      <c r="K287" t="n">
        <v>762.6900000000001</v>
      </c>
      <c r="L287" t="inlineStr">
        <is>
          <t>Junio 2026 PERU.xlsx</t>
        </is>
      </c>
      <c r="M287" t="inlineStr">
        <is>
          <t>Aprobado</t>
        </is>
      </c>
      <c r="N287" t="inlineStr">
        <is>
          <t>Puente para redise?ar vistas de Costos &amp; Gastos; no reemplaza P&amp;G oficial. Convertido a USD con la tasa promedio mensual del pais.</t>
        </is>
      </c>
    </row>
    <row r="288">
      <c r="A288" t="inlineStr">
        <is>
          <t>2026-06</t>
        </is>
      </c>
      <c r="B288" t="inlineStr">
        <is>
          <t>Peru</t>
        </is>
      </c>
      <c r="C288" t="inlineStr">
        <is>
          <t>PERU</t>
        </is>
      </c>
      <c r="D288" t="inlineStr">
        <is>
          <t>USD</t>
        </is>
      </c>
      <c r="E288" t="inlineStr">
        <is>
          <t>PL-O-020</t>
        </is>
      </c>
      <c r="F288" t="inlineStr">
        <is>
          <t>Honorarios y servicios profesionales</t>
        </is>
      </c>
      <c r="G288" t="inlineStr">
        <is>
          <t>gasto_admin</t>
        </is>
      </c>
      <c r="H288" t="inlineStr">
        <is>
          <t>Honorarios</t>
        </is>
      </c>
      <c r="I288" t="inlineStr">
        <is>
          <t>Administracion</t>
        </is>
      </c>
      <c r="J288" t="n">
        <v>102.79</v>
      </c>
      <c r="K288" t="n">
        <v>837</v>
      </c>
      <c r="L288" t="inlineStr">
        <is>
          <t>Junio 2026 PERU.xlsx</t>
        </is>
      </c>
      <c r="M288" t="inlineStr">
        <is>
          <t>Aprobado</t>
        </is>
      </c>
      <c r="N288" t="inlineStr">
        <is>
          <t>Puente para redise?ar vistas de Costos &amp; Gastos; no reemplaza P&amp;G oficial. Convertido a USD con la tasa promedio mensual del pais.</t>
        </is>
      </c>
    </row>
    <row r="289">
      <c r="A289" t="inlineStr">
        <is>
          <t>2026-06</t>
        </is>
      </c>
      <c r="B289" t="inlineStr">
        <is>
          <t>Peru</t>
        </is>
      </c>
      <c r="C289" t="inlineStr">
        <is>
          <t>PERU</t>
        </is>
      </c>
      <c r="D289" t="inlineStr">
        <is>
          <t>USD</t>
        </is>
      </c>
      <c r="E289" t="inlineStr">
        <is>
          <t>PL-S-010</t>
        </is>
      </c>
      <c r="F289" t="inlineStr">
        <is>
          <t>Honorarios comerciales y técnicos</t>
        </is>
      </c>
      <c r="G289" t="inlineStr">
        <is>
          <t>gasto_comercial</t>
        </is>
      </c>
      <c r="H289" t="inlineStr">
        <is>
          <t>Honorarios</t>
        </is>
      </c>
      <c r="I289" t="inlineStr">
        <is>
          <t>Comercial</t>
        </is>
      </c>
      <c r="J289" t="n">
        <v>0</v>
      </c>
      <c r="K289" t="n">
        <v>2173.36</v>
      </c>
      <c r="L289" t="inlineStr">
        <is>
          <t>Junio 2026 PERU.xlsx</t>
        </is>
      </c>
      <c r="M289" t="inlineStr">
        <is>
          <t>Aprobado</t>
        </is>
      </c>
      <c r="N289" t="inlineStr">
        <is>
          <t>Puente para redise?ar vistas de Costos &amp; Gastos; no reemplaza P&amp;G oficial. Convertido a USD con la tasa promedio mensual del pais.</t>
        </is>
      </c>
    </row>
    <row r="290">
      <c r="A290" t="inlineStr">
        <is>
          <t>2026-06</t>
        </is>
      </c>
      <c r="B290" t="inlineStr">
        <is>
          <t>Peru</t>
        </is>
      </c>
      <c r="C290" t="inlineStr">
        <is>
          <t>PERU</t>
        </is>
      </c>
      <c r="D290" t="inlineStr">
        <is>
          <t>USD</t>
        </is>
      </c>
      <c r="E290" t="inlineStr">
        <is>
          <t>PL-S-010</t>
        </is>
      </c>
      <c r="F290" t="inlineStr">
        <is>
          <t>Honorarios comerciales y técnicos</t>
        </is>
      </c>
      <c r="G290" t="inlineStr">
        <is>
          <t>gasto_comercial</t>
        </is>
      </c>
      <c r="H290" t="inlineStr">
        <is>
          <t>Honorarios</t>
        </is>
      </c>
      <c r="I290" t="inlineStr">
        <is>
          <t>Comercial</t>
        </is>
      </c>
      <c r="J290" t="n">
        <v>0</v>
      </c>
      <c r="K290" t="n">
        <v>4517.83</v>
      </c>
      <c r="L290" t="inlineStr">
        <is>
          <t>Junio 2026 PERU.xlsx</t>
        </is>
      </c>
      <c r="M290" t="inlineStr">
        <is>
          <t>Aprobado</t>
        </is>
      </c>
      <c r="N290" t="inlineStr">
        <is>
          <t>Puente para redise?ar vistas de Costos &amp; Gastos; no reemplaza P&amp;G oficial. Convertido a USD con la tasa promedio mensual del pais.</t>
        </is>
      </c>
    </row>
    <row r="291">
      <c r="A291" t="inlineStr">
        <is>
          <t>2026-06</t>
        </is>
      </c>
      <c r="B291" t="inlineStr">
        <is>
          <t>Peru</t>
        </is>
      </c>
      <c r="C291" t="inlineStr">
        <is>
          <t>PERU</t>
        </is>
      </c>
      <c r="D291" t="inlineStr">
        <is>
          <t>USD</t>
        </is>
      </c>
      <c r="E291" t="inlineStr">
        <is>
          <t>PL-S-010</t>
        </is>
      </c>
      <c r="F291" t="inlineStr">
        <is>
          <t>Honorarios comerciales y técnicos</t>
        </is>
      </c>
      <c r="G291" t="inlineStr">
        <is>
          <t>gasto_comercial</t>
        </is>
      </c>
      <c r="H291" t="inlineStr">
        <is>
          <t>Honorarios</t>
        </is>
      </c>
      <c r="I291" t="inlineStr">
        <is>
          <t>Comercial</t>
        </is>
      </c>
      <c r="J291" t="n">
        <v>0</v>
      </c>
      <c r="K291" t="n">
        <v>2173.36</v>
      </c>
      <c r="L291" t="inlineStr">
        <is>
          <t>Junio 2026 PERU.xlsx</t>
        </is>
      </c>
      <c r="M291" t="inlineStr">
        <is>
          <t>Aprobado</t>
        </is>
      </c>
      <c r="N291" t="inlineStr">
        <is>
          <t>Puente para redise?ar vistas de Costos &amp; Gastos; no reemplaza P&amp;G oficial. Convertido a USD con la tasa promedio mensual del pais.</t>
        </is>
      </c>
    </row>
    <row r="292">
      <c r="A292" t="inlineStr">
        <is>
          <t>2026-06</t>
        </is>
      </c>
      <c r="B292" t="inlineStr">
        <is>
          <t>Peru</t>
        </is>
      </c>
      <c r="C292" t="inlineStr">
        <is>
          <t>PERU</t>
        </is>
      </c>
      <c r="D292" t="inlineStr">
        <is>
          <t>USD</t>
        </is>
      </c>
      <c r="E292" t="inlineStr">
        <is>
          <t>PL-S-010</t>
        </is>
      </c>
      <c r="F292" t="inlineStr">
        <is>
          <t>Honorarios comerciales y técnicos</t>
        </is>
      </c>
      <c r="G292" t="inlineStr">
        <is>
          <t>gasto_comercial</t>
        </is>
      </c>
      <c r="H292" t="inlineStr">
        <is>
          <t>Honorarios</t>
        </is>
      </c>
      <c r="I292" t="inlineStr">
        <is>
          <t>Comercial</t>
        </is>
      </c>
      <c r="J292" t="n">
        <v>0</v>
      </c>
      <c r="K292" t="n">
        <v>624.67</v>
      </c>
      <c r="L292" t="inlineStr">
        <is>
          <t>Junio 2026 PERU.xlsx</t>
        </is>
      </c>
      <c r="M292" t="inlineStr">
        <is>
          <t>Aprobado</t>
        </is>
      </c>
      <c r="N292" t="inlineStr">
        <is>
          <t>Puente para redise?ar vistas de Costos &amp; Gastos; no reemplaza P&amp;G oficial. Convertido a USD con la tasa promedio mensual del pais.</t>
        </is>
      </c>
    </row>
    <row r="293">
      <c r="A293" t="inlineStr">
        <is>
          <t>2026-06</t>
        </is>
      </c>
      <c r="B293" t="inlineStr">
        <is>
          <t>Peru</t>
        </is>
      </c>
      <c r="C293" t="inlineStr">
        <is>
          <t>PERU</t>
        </is>
      </c>
      <c r="D293" t="inlineStr">
        <is>
          <t>USD</t>
        </is>
      </c>
      <c r="E293" t="inlineStr">
        <is>
          <t>PL-S-020</t>
        </is>
      </c>
      <c r="F293" t="inlineStr">
        <is>
          <t>Mercadeo y publicidad</t>
        </is>
      </c>
      <c r="G293" t="inlineStr">
        <is>
          <t>gasto_comercial</t>
        </is>
      </c>
      <c r="H293" t="inlineStr">
        <is>
          <t>Servicios</t>
        </is>
      </c>
      <c r="I293" t="inlineStr">
        <is>
          <t>Comercial</t>
        </is>
      </c>
      <c r="J293" t="n">
        <v>0</v>
      </c>
      <c r="K293" t="n">
        <v>501.08</v>
      </c>
      <c r="L293" t="inlineStr">
        <is>
          <t>Junio 2026 PERU.xlsx</t>
        </is>
      </c>
      <c r="M293" t="inlineStr">
        <is>
          <t>Aprobado</t>
        </is>
      </c>
      <c r="N293" t="inlineStr">
        <is>
          <t>Puente para redise?ar vistas de Costos &amp; Gastos; no reemplaza P&amp;G oficial. Convertido a USD con la tasa promedio mensual del pais.</t>
        </is>
      </c>
    </row>
    <row r="294">
      <c r="A294" t="inlineStr">
        <is>
          <t>2026-06</t>
        </is>
      </c>
      <c r="B294" t="inlineStr">
        <is>
          <t>Peru</t>
        </is>
      </c>
      <c r="C294" t="inlineStr">
        <is>
          <t>PERU</t>
        </is>
      </c>
      <c r="D294" t="inlineStr">
        <is>
          <t>USD</t>
        </is>
      </c>
      <c r="E294" t="inlineStr">
        <is>
          <t>PL-S-040</t>
        </is>
      </c>
      <c r="F294" t="inlineStr">
        <is>
          <t>Viajes comerciales</t>
        </is>
      </c>
      <c r="G294" t="inlineStr">
        <is>
          <t>gasto_comercial</t>
        </is>
      </c>
      <c r="H294" t="inlineStr">
        <is>
          <t>Viajes</t>
        </is>
      </c>
      <c r="I294" t="inlineStr">
        <is>
          <t>Comercial</t>
        </is>
      </c>
      <c r="J294" t="n">
        <v>828.84</v>
      </c>
      <c r="K294" t="n">
        <v>828.84</v>
      </c>
      <c r="L294" t="inlineStr">
        <is>
          <t>Junio 2026 PERU.xlsx</t>
        </is>
      </c>
      <c r="M294" t="inlineStr">
        <is>
          <t>Aprobado</t>
        </is>
      </c>
      <c r="N294" t="inlineStr">
        <is>
          <t>Puente para redise?ar vistas de Costos &amp; Gastos; no reemplaza P&amp;G oficial. Convertido a USD con la tasa promedio mensual del pais.</t>
        </is>
      </c>
    </row>
    <row r="295">
      <c r="A295" t="inlineStr">
        <is>
          <t>2026-06</t>
        </is>
      </c>
      <c r="B295" t="inlineStr">
        <is>
          <t>Peru</t>
        </is>
      </c>
      <c r="C295" t="inlineStr">
        <is>
          <t>PERU</t>
        </is>
      </c>
      <c r="D295" t="inlineStr">
        <is>
          <t>USD</t>
        </is>
      </c>
      <c r="E295" t="inlineStr">
        <is>
          <t>PL-S-040</t>
        </is>
      </c>
      <c r="F295" t="inlineStr">
        <is>
          <t>Viajes comerciales</t>
        </is>
      </c>
      <c r="G295" t="inlineStr">
        <is>
          <t>gasto_comercial</t>
        </is>
      </c>
      <c r="H295" t="inlineStr">
        <is>
          <t>Viajes</t>
        </is>
      </c>
      <c r="I295" t="inlineStr">
        <is>
          <t>Comercial</t>
        </is>
      </c>
      <c r="J295" t="n">
        <v>0</v>
      </c>
      <c r="K295" t="n">
        <v>78.48999999999999</v>
      </c>
      <c r="L295" t="inlineStr">
        <is>
          <t>Junio 2026 PERU.xlsx</t>
        </is>
      </c>
      <c r="M295" t="inlineStr">
        <is>
          <t>Aprobado</t>
        </is>
      </c>
      <c r="N295" t="inlineStr">
        <is>
          <t>Puente para redise?ar vistas de Costos &amp; Gastos; no reemplaza P&amp;G oficial. Convertido a USD con la tasa promedio mensual del pais.</t>
        </is>
      </c>
    </row>
    <row r="296">
      <c r="A296" t="inlineStr">
        <is>
          <t>2026-06</t>
        </is>
      </c>
      <c r="B296" t="inlineStr">
        <is>
          <t>Peru</t>
        </is>
      </c>
      <c r="C296" t="inlineStr">
        <is>
          <t>PERU</t>
        </is>
      </c>
      <c r="D296" t="inlineStr">
        <is>
          <t>USD</t>
        </is>
      </c>
      <c r="E296" t="inlineStr">
        <is>
          <t>PL-S-040</t>
        </is>
      </c>
      <c r="F296" t="inlineStr">
        <is>
          <t>Viajes comerciales</t>
        </is>
      </c>
      <c r="G296" t="inlineStr">
        <is>
          <t>gasto_comercial</t>
        </is>
      </c>
      <c r="H296" t="inlineStr">
        <is>
          <t>Viajes</t>
        </is>
      </c>
      <c r="I296" t="inlineStr">
        <is>
          <t>Comercial</t>
        </is>
      </c>
      <c r="J296" t="n">
        <v>347.43</v>
      </c>
      <c r="K296" t="n">
        <v>347.43</v>
      </c>
      <c r="L296" t="inlineStr">
        <is>
          <t>Junio 2026 PERU.xlsx</t>
        </is>
      </c>
      <c r="M296" t="inlineStr">
        <is>
          <t>Aprobado</t>
        </is>
      </c>
      <c r="N296" t="inlineStr">
        <is>
          <t>Puente para redise?ar vistas de Costos &amp; Gastos; no reemplaza P&amp;G oficial. Convertido a USD con la tasa promedio mensual del pais.</t>
        </is>
      </c>
    </row>
    <row r="297">
      <c r="A297" t="inlineStr">
        <is>
          <t>2026-06</t>
        </is>
      </c>
      <c r="B297" t="inlineStr">
        <is>
          <t>Peru</t>
        </is>
      </c>
      <c r="C297" t="inlineStr">
        <is>
          <t>PERU</t>
        </is>
      </c>
      <c r="D297" t="inlineStr">
        <is>
          <t>USD</t>
        </is>
      </c>
      <c r="E297" t="inlineStr">
        <is>
          <t>PL-S-040</t>
        </is>
      </c>
      <c r="F297" t="inlineStr">
        <is>
          <t>Viajes comerciales</t>
        </is>
      </c>
      <c r="G297" t="inlineStr">
        <is>
          <t>gasto_comercial</t>
        </is>
      </c>
      <c r="H297" t="inlineStr">
        <is>
          <t>Viajes</t>
        </is>
      </c>
      <c r="I297" t="inlineStr">
        <is>
          <t>Comercial</t>
        </is>
      </c>
      <c r="J297" t="n">
        <v>0</v>
      </c>
      <c r="K297" t="n">
        <v>23.73</v>
      </c>
      <c r="L297" t="inlineStr">
        <is>
          <t>Junio 2026 PERU.xlsx</t>
        </is>
      </c>
      <c r="M297" t="inlineStr">
        <is>
          <t>Aprobado</t>
        </is>
      </c>
      <c r="N297" t="inlineStr">
        <is>
          <t>Puente para redise?ar vistas de Costos &amp; Gastos; no reemplaza P&amp;G oficial. Convertido a USD con la tasa promedio mensual del pais.</t>
        </is>
      </c>
    </row>
    <row r="298">
      <c r="A298" t="inlineStr">
        <is>
          <t>2026-06</t>
        </is>
      </c>
      <c r="B298" t="inlineStr">
        <is>
          <t>Peru</t>
        </is>
      </c>
      <c r="C298" t="inlineStr">
        <is>
          <t>PERU</t>
        </is>
      </c>
      <c r="D298" t="inlineStr">
        <is>
          <t>USD</t>
        </is>
      </c>
      <c r="E298" t="inlineStr">
        <is>
          <t>PL-S-040</t>
        </is>
      </c>
      <c r="F298" t="inlineStr">
        <is>
          <t>Viajes comerciales</t>
        </is>
      </c>
      <c r="G298" t="inlineStr">
        <is>
          <t>gasto_comercial</t>
        </is>
      </c>
      <c r="H298" t="inlineStr">
        <is>
          <t>Viajes</t>
        </is>
      </c>
      <c r="I298" t="inlineStr">
        <is>
          <t>Comercial</t>
        </is>
      </c>
      <c r="J298" t="n">
        <v>0</v>
      </c>
      <c r="K298" t="n">
        <v>6.07</v>
      </c>
      <c r="L298" t="inlineStr">
        <is>
          <t>Junio 2026 PERU.xlsx</t>
        </is>
      </c>
      <c r="M298" t="inlineStr">
        <is>
          <t>Aprobado</t>
        </is>
      </c>
      <c r="N298" t="inlineStr">
        <is>
          <t>Puente para redise?ar vistas de Costos &amp; Gastos; no reemplaza P&amp;G oficial. Convertido a USD con la tasa promedio mensual del pais.</t>
        </is>
      </c>
    </row>
    <row r="299">
      <c r="A299" t="inlineStr">
        <is>
          <t>2026-06</t>
        </is>
      </c>
      <c r="B299" t="inlineStr">
        <is>
          <t>Peru</t>
        </is>
      </c>
      <c r="C299" t="inlineStr">
        <is>
          <t>PERU</t>
        </is>
      </c>
      <c r="D299" t="inlineStr">
        <is>
          <t>USD</t>
        </is>
      </c>
      <c r="E299" t="inlineStr">
        <is>
          <t>PL-S-040</t>
        </is>
      </c>
      <c r="F299" t="inlineStr">
        <is>
          <t>Viajes comerciales</t>
        </is>
      </c>
      <c r="G299" t="inlineStr">
        <is>
          <t>gasto_comercial</t>
        </is>
      </c>
      <c r="H299" t="inlineStr">
        <is>
          <t>Viajes</t>
        </is>
      </c>
      <c r="I299" t="inlineStr">
        <is>
          <t>Comercial</t>
        </is>
      </c>
      <c r="J299" t="n">
        <v>138.47</v>
      </c>
      <c r="K299" t="n">
        <v>138.47</v>
      </c>
      <c r="L299" t="inlineStr">
        <is>
          <t>Junio 2026 PERU.xlsx</t>
        </is>
      </c>
      <c r="M299" t="inlineStr">
        <is>
          <t>Aprobado</t>
        </is>
      </c>
      <c r="N299" t="inlineStr">
        <is>
          <t>Puente para redise?ar vistas de Costos &amp; Gastos; no reemplaza P&amp;G oficial. Convertido a USD con la tasa promedio mensual del pais.</t>
        </is>
      </c>
    </row>
    <row r="300">
      <c r="A300" t="inlineStr">
        <is>
          <t>2026-06</t>
        </is>
      </c>
      <c r="B300" t="inlineStr">
        <is>
          <t>Peru</t>
        </is>
      </c>
      <c r="C300" t="inlineStr">
        <is>
          <t>PERU</t>
        </is>
      </c>
      <c r="D300" t="inlineStr">
        <is>
          <t>USD</t>
        </is>
      </c>
      <c r="E300" t="inlineStr">
        <is>
          <t>PL-S-040</t>
        </is>
      </c>
      <c r="F300" t="inlineStr">
        <is>
          <t>Viajes comerciales</t>
        </is>
      </c>
      <c r="G300" t="inlineStr">
        <is>
          <t>gasto_comercial</t>
        </is>
      </c>
      <c r="H300" t="inlineStr">
        <is>
          <t>Viajes</t>
        </is>
      </c>
      <c r="I300" t="inlineStr">
        <is>
          <t>Comercial</t>
        </is>
      </c>
      <c r="J300" t="n">
        <v>75.18000000000001</v>
      </c>
      <c r="K300" t="n">
        <v>75.18000000000001</v>
      </c>
      <c r="L300" t="inlineStr">
        <is>
          <t>Junio 2026 PERU.xlsx</t>
        </is>
      </c>
      <c r="M300" t="inlineStr">
        <is>
          <t>Aprobado</t>
        </is>
      </c>
      <c r="N300" t="inlineStr">
        <is>
          <t>Puente para redise?ar vistas de Costos &amp; Gastos; no reemplaza P&amp;G oficial. Convertido a USD con la tasa promedio mensual del pais.</t>
        </is>
      </c>
    </row>
    <row r="301">
      <c r="A301" t="inlineStr">
        <is>
          <t>2026-06</t>
        </is>
      </c>
      <c r="B301" t="inlineStr">
        <is>
          <t>Peru</t>
        </is>
      </c>
      <c r="C301" t="inlineStr">
        <is>
          <t>PERU</t>
        </is>
      </c>
      <c r="D301" t="inlineStr">
        <is>
          <t>USD</t>
        </is>
      </c>
      <c r="E301" t="inlineStr">
        <is>
          <t>PL-S-040</t>
        </is>
      </c>
      <c r="F301" t="inlineStr">
        <is>
          <t>Viajes comerciales</t>
        </is>
      </c>
      <c r="G301" t="inlineStr">
        <is>
          <t>gasto_comercial</t>
        </is>
      </c>
      <c r="H301" t="inlineStr">
        <is>
          <t>Viajes</t>
        </is>
      </c>
      <c r="I301" t="inlineStr">
        <is>
          <t>Comercial</t>
        </is>
      </c>
      <c r="J301" t="n">
        <v>79</v>
      </c>
      <c r="K301" t="n">
        <v>79</v>
      </c>
      <c r="L301" t="inlineStr">
        <is>
          <t>Junio 2026 PERU.xlsx</t>
        </is>
      </c>
      <c r="M301" t="inlineStr">
        <is>
          <t>Aprobado</t>
        </is>
      </c>
      <c r="N301" t="inlineStr">
        <is>
          <t>Puente para redise?ar vistas de Costos &amp; Gastos; no reemplaza P&amp;G oficial. Convertido a USD con la tasa promedio mensual del pais.</t>
        </is>
      </c>
    </row>
    <row r="302">
      <c r="A302" t="inlineStr">
        <is>
          <t>2026-06</t>
        </is>
      </c>
      <c r="B302" t="inlineStr">
        <is>
          <t>Peru</t>
        </is>
      </c>
      <c r="C302" t="inlineStr">
        <is>
          <t>PERU</t>
        </is>
      </c>
      <c r="D302" t="inlineStr">
        <is>
          <t>USD</t>
        </is>
      </c>
      <c r="E302" t="inlineStr">
        <is>
          <t>PL-S-040</t>
        </is>
      </c>
      <c r="F302" t="inlineStr">
        <is>
          <t>Viajes comerciales</t>
        </is>
      </c>
      <c r="G302" t="inlineStr">
        <is>
          <t>gasto_comercial</t>
        </is>
      </c>
      <c r="H302" t="inlineStr">
        <is>
          <t>Viajes</t>
        </is>
      </c>
      <c r="I302" t="inlineStr">
        <is>
          <t>Comercial</t>
        </is>
      </c>
      <c r="J302" t="n">
        <v>0</v>
      </c>
      <c r="K302" t="n">
        <v>33.48</v>
      </c>
      <c r="L302" t="inlineStr">
        <is>
          <t>Junio 2026 PERU.xlsx</t>
        </is>
      </c>
      <c r="M302" t="inlineStr">
        <is>
          <t>Aprobado</t>
        </is>
      </c>
      <c r="N302" t="inlineStr">
        <is>
          <t>Puente para redise?ar vistas de Costos &amp; Gastos; no reemplaza P&amp;G oficial. Convertido a USD con la tasa promedio mensual del pais.</t>
        </is>
      </c>
    </row>
    <row r="303">
      <c r="A303" t="inlineStr">
        <is>
          <t>2026-06</t>
        </is>
      </c>
      <c r="B303" t="inlineStr">
        <is>
          <t>Peru</t>
        </is>
      </c>
      <c r="C303" t="inlineStr">
        <is>
          <t>PERU</t>
        </is>
      </c>
      <c r="D303" t="inlineStr">
        <is>
          <t>USD</t>
        </is>
      </c>
      <c r="E303" t="inlineStr">
        <is>
          <t>PL-S-040</t>
        </is>
      </c>
      <c r="F303" t="inlineStr">
        <is>
          <t>Viajes comerciales</t>
        </is>
      </c>
      <c r="G303" t="inlineStr">
        <is>
          <t>gasto_comercial</t>
        </is>
      </c>
      <c r="H303" t="inlineStr">
        <is>
          <t>Viajes</t>
        </is>
      </c>
      <c r="I303" t="inlineStr">
        <is>
          <t>Comercial</t>
        </is>
      </c>
      <c r="J303" t="n">
        <v>36.59</v>
      </c>
      <c r="K303" t="n">
        <v>36.59</v>
      </c>
      <c r="L303" t="inlineStr">
        <is>
          <t>Junio 2026 PERU.xlsx</t>
        </is>
      </c>
      <c r="M303" t="inlineStr">
        <is>
          <t>Aprobado</t>
        </is>
      </c>
      <c r="N303" t="inlineStr">
        <is>
          <t>Puente para redise?ar vistas de Costos &amp; Gastos; no reemplaza P&amp;G oficial. Convertido a USD con la tasa promedio mensual del pais.</t>
        </is>
      </c>
    </row>
    <row r="304">
      <c r="A304" t="inlineStr">
        <is>
          <t>2026-06</t>
        </is>
      </c>
      <c r="B304" t="inlineStr">
        <is>
          <t>Peru</t>
        </is>
      </c>
      <c r="C304" t="inlineStr">
        <is>
          <t>PERU</t>
        </is>
      </c>
      <c r="D304" t="inlineStr">
        <is>
          <t>USD</t>
        </is>
      </c>
      <c r="E304" t="inlineStr">
        <is>
          <t>PL-S-040</t>
        </is>
      </c>
      <c r="F304" t="inlineStr">
        <is>
          <t>Viajes comerciales</t>
        </is>
      </c>
      <c r="G304" t="inlineStr">
        <is>
          <t>gasto_comercial</t>
        </is>
      </c>
      <c r="H304" t="inlineStr">
        <is>
          <t>Viajes</t>
        </is>
      </c>
      <c r="I304" t="inlineStr">
        <is>
          <t>Comercial</t>
        </is>
      </c>
      <c r="J304" t="n">
        <v>5.73</v>
      </c>
      <c r="K304" t="n">
        <v>5.73</v>
      </c>
      <c r="L304" t="inlineStr">
        <is>
          <t>Junio 2026 PERU.xlsx</t>
        </is>
      </c>
      <c r="M304" t="inlineStr">
        <is>
          <t>Aprobado</t>
        </is>
      </c>
      <c r="N304" t="inlineStr">
        <is>
          <t>Puente para redise?ar vistas de Costos &amp; Gastos; no reemplaza P&amp;G oficial. Convertido a USD con la tasa promedio mensual del pais.</t>
        </is>
      </c>
    </row>
    <row r="305">
      <c r="A305" t="inlineStr">
        <is>
          <t>2026-06</t>
        </is>
      </c>
      <c r="B305" t="inlineStr">
        <is>
          <t>Peru</t>
        </is>
      </c>
      <c r="C305" t="inlineStr">
        <is>
          <t>PERU</t>
        </is>
      </c>
      <c r="D305" t="inlineStr">
        <is>
          <t>USD</t>
        </is>
      </c>
      <c r="E305" t="inlineStr">
        <is>
          <t>PL-S-040</t>
        </is>
      </c>
      <c r="F305" t="inlineStr">
        <is>
          <t>Viajes comerciales</t>
        </is>
      </c>
      <c r="G305" t="inlineStr">
        <is>
          <t>gasto_comercial</t>
        </is>
      </c>
      <c r="H305" t="inlineStr">
        <is>
          <t>Viajes</t>
        </is>
      </c>
      <c r="I305" t="inlineStr">
        <is>
          <t>Comercial</t>
        </is>
      </c>
      <c r="J305" t="n">
        <v>0</v>
      </c>
      <c r="K305" t="n">
        <v>152.72</v>
      </c>
      <c r="L305" t="inlineStr">
        <is>
          <t>Junio 2026 PERU.xlsx</t>
        </is>
      </c>
      <c r="M305" t="inlineStr">
        <is>
          <t>Aprobado</t>
        </is>
      </c>
      <c r="N305" t="inlineStr">
        <is>
          <t>Puente para redise?ar vistas de Costos &amp; Gastos; no reemplaza P&amp;G oficial. Convertido a USD con la tasa promedio mensual del pais.</t>
        </is>
      </c>
    </row>
    <row r="306">
      <c r="A306" t="inlineStr">
        <is>
          <t>2026-06</t>
        </is>
      </c>
      <c r="B306" t="inlineStr">
        <is>
          <t>Peru</t>
        </is>
      </c>
      <c r="C306" t="inlineStr">
        <is>
          <t>PERU</t>
        </is>
      </c>
      <c r="D306" t="inlineStr">
        <is>
          <t>USD</t>
        </is>
      </c>
      <c r="E306" t="inlineStr">
        <is>
          <t>PL-S-040</t>
        </is>
      </c>
      <c r="F306" t="inlineStr">
        <is>
          <t>Viajes comerciales</t>
        </is>
      </c>
      <c r="G306" t="inlineStr">
        <is>
          <t>gasto_comercial</t>
        </is>
      </c>
      <c r="H306" t="inlineStr">
        <is>
          <t>Viajes</t>
        </is>
      </c>
      <c r="I306" t="inlineStr">
        <is>
          <t>Comercial</t>
        </is>
      </c>
      <c r="J306" t="n">
        <v>0</v>
      </c>
      <c r="K306" t="n">
        <v>1.76</v>
      </c>
      <c r="L306" t="inlineStr">
        <is>
          <t>Junio 2026 PERU.xlsx</t>
        </is>
      </c>
      <c r="M306" t="inlineStr">
        <is>
          <t>Aprobado</t>
        </is>
      </c>
      <c r="N306" t="inlineStr">
        <is>
          <t>Puente para redise?ar vistas de Costos &amp; Gastos; no reemplaza P&amp;G oficial. Convertido a USD con la tasa promedio mensual del pais.</t>
        </is>
      </c>
    </row>
    <row r="307">
      <c r="A307" t="inlineStr">
        <is>
          <t>2026-06</t>
        </is>
      </c>
      <c r="B307" t="inlineStr">
        <is>
          <t>Peru</t>
        </is>
      </c>
      <c r="C307" t="inlineStr">
        <is>
          <t>PERU</t>
        </is>
      </c>
      <c r="D307" t="inlineStr">
        <is>
          <t>USD</t>
        </is>
      </c>
      <c r="E307" t="inlineStr">
        <is>
          <t>PL-S-040</t>
        </is>
      </c>
      <c r="F307" t="inlineStr">
        <is>
          <t>Viajes comerciales</t>
        </is>
      </c>
      <c r="G307" t="inlineStr">
        <is>
          <t>gasto_comercial</t>
        </is>
      </c>
      <c r="H307" t="inlineStr">
        <is>
          <t>Viajes</t>
        </is>
      </c>
      <c r="I307" t="inlineStr">
        <is>
          <t>Comercial</t>
        </is>
      </c>
      <c r="J307" t="n">
        <v>0</v>
      </c>
      <c r="K307" t="n">
        <v>66.47</v>
      </c>
      <c r="L307" t="inlineStr">
        <is>
          <t>Junio 2026 PERU.xlsx</t>
        </is>
      </c>
      <c r="M307" t="inlineStr">
        <is>
          <t>Aprobado</t>
        </is>
      </c>
      <c r="N307" t="inlineStr">
        <is>
          <t>Puente para redise?ar vistas de Costos &amp; Gastos; no reemplaza P&amp;G oficial. Convertido a USD con la tasa promedio mensual del pais.</t>
        </is>
      </c>
    </row>
    <row r="308">
      <c r="A308" t="inlineStr">
        <is>
          <t>2026-06</t>
        </is>
      </c>
      <c r="B308" t="inlineStr">
        <is>
          <t>Peru</t>
        </is>
      </c>
      <c r="C308" t="inlineStr">
        <is>
          <t>PERU</t>
        </is>
      </c>
      <c r="D308" t="inlineStr">
        <is>
          <t>USD</t>
        </is>
      </c>
      <c r="E308" t="inlineStr">
        <is>
          <t>PL-S-040</t>
        </is>
      </c>
      <c r="F308" t="inlineStr">
        <is>
          <t>Viajes comerciales</t>
        </is>
      </c>
      <c r="G308" t="inlineStr">
        <is>
          <t>gasto_comercial</t>
        </is>
      </c>
      <c r="H308" t="inlineStr">
        <is>
          <t>Viajes</t>
        </is>
      </c>
      <c r="I308" t="inlineStr">
        <is>
          <t>Comercial</t>
        </is>
      </c>
      <c r="J308" t="n">
        <v>0</v>
      </c>
      <c r="K308" t="n">
        <v>113.57</v>
      </c>
      <c r="L308" t="inlineStr">
        <is>
          <t>Junio 2026 PERU.xlsx</t>
        </is>
      </c>
      <c r="M308" t="inlineStr">
        <is>
          <t>Aprobado</t>
        </is>
      </c>
      <c r="N308" t="inlineStr">
        <is>
          <t>Puente para redise?ar vistas de Costos &amp; Gastos; no reemplaza P&amp;G oficial. Convertido a USD con la tasa promedio mensual del pais.</t>
        </is>
      </c>
    </row>
    <row r="309">
      <c r="A309" t="inlineStr">
        <is>
          <t>2026-06</t>
        </is>
      </c>
      <c r="B309" t="inlineStr">
        <is>
          <t>Peru</t>
        </is>
      </c>
      <c r="C309" t="inlineStr">
        <is>
          <t>PERU</t>
        </is>
      </c>
      <c r="D309" t="inlineStr">
        <is>
          <t>USD</t>
        </is>
      </c>
      <c r="E309" t="inlineStr">
        <is>
          <t>PL-S-040</t>
        </is>
      </c>
      <c r="F309" t="inlineStr">
        <is>
          <t>Viajes comerciales</t>
        </is>
      </c>
      <c r="G309" t="inlineStr">
        <is>
          <t>gasto_comercial</t>
        </is>
      </c>
      <c r="H309" t="inlineStr">
        <is>
          <t>Viajes</t>
        </is>
      </c>
      <c r="I309" t="inlineStr">
        <is>
          <t>Comercial</t>
        </is>
      </c>
      <c r="J309" t="n">
        <v>0</v>
      </c>
      <c r="K309" t="n">
        <v>44.26</v>
      </c>
      <c r="L309" t="inlineStr">
        <is>
          <t>Junio 2026 PERU.xlsx</t>
        </is>
      </c>
      <c r="M309" t="inlineStr">
        <is>
          <t>Aprobado</t>
        </is>
      </c>
      <c r="N309" t="inlineStr">
        <is>
          <t>Puente para redise?ar vistas de Costos &amp; Gastos; no reemplaza P&amp;G oficial. Convertido a USD con la tasa promedio mensual del pais.</t>
        </is>
      </c>
    </row>
    <row r="310">
      <c r="A310" t="inlineStr">
        <is>
          <t>2026-06</t>
        </is>
      </c>
      <c r="B310" t="inlineStr">
        <is>
          <t>Peru</t>
        </is>
      </c>
      <c r="C310" t="inlineStr">
        <is>
          <t>PERU</t>
        </is>
      </c>
      <c r="D310" t="inlineStr">
        <is>
          <t>USD</t>
        </is>
      </c>
      <c r="E310" t="inlineStr">
        <is>
          <t>PL-S-040</t>
        </is>
      </c>
      <c r="F310" t="inlineStr">
        <is>
          <t>Viajes comerciales</t>
        </is>
      </c>
      <c r="G310" t="inlineStr">
        <is>
          <t>gasto_comercial</t>
        </is>
      </c>
      <c r="H310" t="inlineStr">
        <is>
          <t>Viajes</t>
        </is>
      </c>
      <c r="I310" t="inlineStr">
        <is>
          <t>Comercial</t>
        </is>
      </c>
      <c r="J310" t="n">
        <v>0</v>
      </c>
      <c r="K310" t="n">
        <v>7.05</v>
      </c>
      <c r="L310" t="inlineStr">
        <is>
          <t>Junio 2026 PERU.xlsx</t>
        </is>
      </c>
      <c r="M310" t="inlineStr">
        <is>
          <t>Aprobado</t>
        </is>
      </c>
      <c r="N310" t="inlineStr">
        <is>
          <t>Puente para redise?ar vistas de Costos &amp; Gastos; no reemplaza P&amp;G oficial. Convertido a USD con la tasa promedio mensual del pais.</t>
        </is>
      </c>
    </row>
    <row r="311">
      <c r="A311" t="inlineStr">
        <is>
          <t>2026-06</t>
        </is>
      </c>
      <c r="B311" t="inlineStr">
        <is>
          <t>Peru</t>
        </is>
      </c>
      <c r="C311" t="inlineStr">
        <is>
          <t>PERU</t>
        </is>
      </c>
      <c r="D311" t="inlineStr">
        <is>
          <t>USD</t>
        </is>
      </c>
      <c r="E311" t="inlineStr">
        <is>
          <t>PL-S-040</t>
        </is>
      </c>
      <c r="F311" t="inlineStr">
        <is>
          <t>Viajes comerciales</t>
        </is>
      </c>
      <c r="G311" t="inlineStr">
        <is>
          <t>gasto_comercial</t>
        </is>
      </c>
      <c r="H311" t="inlineStr">
        <is>
          <t>Viajes</t>
        </is>
      </c>
      <c r="I311" t="inlineStr">
        <is>
          <t>Comercial</t>
        </is>
      </c>
      <c r="J311" t="n">
        <v>0</v>
      </c>
      <c r="K311" t="n">
        <v>7.05</v>
      </c>
      <c r="L311" t="inlineStr">
        <is>
          <t>Junio 2026 PERU.xlsx</t>
        </is>
      </c>
      <c r="M311" t="inlineStr">
        <is>
          <t>Aprobado</t>
        </is>
      </c>
      <c r="N311" t="inlineStr">
        <is>
          <t>Puente para redise?ar vistas de Costos &amp; Gastos; no reemplaza P&amp;G oficial. Convertido a USD con la tasa promedio mensual del pais.</t>
        </is>
      </c>
    </row>
    <row r="312">
      <c r="A312" t="inlineStr">
        <is>
          <t>2026-06</t>
        </is>
      </c>
      <c r="B312" t="inlineStr">
        <is>
          <t>Peru</t>
        </is>
      </c>
      <c r="C312" t="inlineStr">
        <is>
          <t>PERU</t>
        </is>
      </c>
      <c r="D312" t="inlineStr">
        <is>
          <t>USD</t>
        </is>
      </c>
      <c r="E312" t="inlineStr">
        <is>
          <t>PL-S-040</t>
        </is>
      </c>
      <c r="F312" t="inlineStr">
        <is>
          <t>Viajes comerciales</t>
        </is>
      </c>
      <c r="G312" t="inlineStr">
        <is>
          <t>gasto_comercial</t>
        </is>
      </c>
      <c r="H312" t="inlineStr">
        <is>
          <t>Viajes</t>
        </is>
      </c>
      <c r="I312" t="inlineStr">
        <is>
          <t>Comercial</t>
        </is>
      </c>
      <c r="J312" t="n">
        <v>426.03</v>
      </c>
      <c r="K312" t="n">
        <v>426.03</v>
      </c>
      <c r="L312" t="inlineStr">
        <is>
          <t>Junio 2026 PERU.xlsx</t>
        </is>
      </c>
      <c r="M312" t="inlineStr">
        <is>
          <t>Aprobado</t>
        </is>
      </c>
      <c r="N312" t="inlineStr">
        <is>
          <t>Puente para redise?ar vistas de Costos &amp; Gastos; no reemplaza P&amp;G oficial. Convertido a USD con la tasa promedio mensual del pais.</t>
        </is>
      </c>
    </row>
    <row r="313">
      <c r="A313" t="inlineStr">
        <is>
          <t>2026-06</t>
        </is>
      </c>
      <c r="B313" t="inlineStr">
        <is>
          <t>Peru</t>
        </is>
      </c>
      <c r="C313" t="inlineStr">
        <is>
          <t>PERU</t>
        </is>
      </c>
      <c r="D313" t="inlineStr">
        <is>
          <t>USD</t>
        </is>
      </c>
      <c r="E313" t="inlineStr">
        <is>
          <t>PL-S-040</t>
        </is>
      </c>
      <c r="F313" t="inlineStr">
        <is>
          <t>Viajes comerciales</t>
        </is>
      </c>
      <c r="G313" t="inlineStr">
        <is>
          <t>gasto_comercial</t>
        </is>
      </c>
      <c r="H313" t="inlineStr">
        <is>
          <t>Viajes</t>
        </is>
      </c>
      <c r="I313" t="inlineStr">
        <is>
          <t>Comercial</t>
        </is>
      </c>
      <c r="J313" t="n">
        <v>0</v>
      </c>
      <c r="K313" t="n">
        <v>1511.37</v>
      </c>
      <c r="L313" t="inlineStr">
        <is>
          <t>Junio 2026 PERU.xlsx</t>
        </is>
      </c>
      <c r="M313" t="inlineStr">
        <is>
          <t>Aprobado</t>
        </is>
      </c>
      <c r="N313" t="inlineStr">
        <is>
          <t>Puente para redise?ar vistas de Costos &amp; Gastos; no reemplaza P&amp;G oficial. Convertido a USD con la tasa promedio mensual del pais.</t>
        </is>
      </c>
    </row>
    <row r="314">
      <c r="A314" t="inlineStr">
        <is>
          <t>2026-06</t>
        </is>
      </c>
      <c r="B314" t="inlineStr">
        <is>
          <t>Peru</t>
        </is>
      </c>
      <c r="C314" t="inlineStr">
        <is>
          <t>PERU</t>
        </is>
      </c>
      <c r="D314" t="inlineStr">
        <is>
          <t>USD</t>
        </is>
      </c>
      <c r="E314" t="inlineStr">
        <is>
          <t>PL-S-040</t>
        </is>
      </c>
      <c r="F314" t="inlineStr">
        <is>
          <t>Viajes comerciales</t>
        </is>
      </c>
      <c r="G314" t="inlineStr">
        <is>
          <t>gasto_comercial</t>
        </is>
      </c>
      <c r="H314" t="inlineStr">
        <is>
          <t>Viajes</t>
        </is>
      </c>
      <c r="I314" t="inlineStr">
        <is>
          <t>Comercial</t>
        </is>
      </c>
      <c r="J314" t="n">
        <v>14.68</v>
      </c>
      <c r="K314" t="n">
        <v>14.68</v>
      </c>
      <c r="L314" t="inlineStr">
        <is>
          <t>Junio 2026 PERU.xlsx</t>
        </is>
      </c>
      <c r="M314" t="inlineStr">
        <is>
          <t>Aprobado</t>
        </is>
      </c>
      <c r="N314" t="inlineStr">
        <is>
          <t>Puente para redise?ar vistas de Costos &amp; Gastos; no reemplaza P&amp;G oficial. Convertido a USD con la tasa promedio mensual del pais.</t>
        </is>
      </c>
    </row>
    <row r="315">
      <c r="A315" t="inlineStr">
        <is>
          <t>2026-06</t>
        </is>
      </c>
      <c r="B315" t="inlineStr">
        <is>
          <t>Peru</t>
        </is>
      </c>
      <c r="C315" t="inlineStr">
        <is>
          <t>PERU</t>
        </is>
      </c>
      <c r="D315" t="inlineStr">
        <is>
          <t>USD</t>
        </is>
      </c>
      <c r="E315" t="inlineStr">
        <is>
          <t>PL-S-040</t>
        </is>
      </c>
      <c r="F315" t="inlineStr">
        <is>
          <t>Viajes comerciales</t>
        </is>
      </c>
      <c r="G315" t="inlineStr">
        <is>
          <t>gasto_comercial</t>
        </is>
      </c>
      <c r="H315" t="inlineStr">
        <is>
          <t>Viajes</t>
        </is>
      </c>
      <c r="I315" t="inlineStr">
        <is>
          <t>Comercial</t>
        </is>
      </c>
      <c r="J315" t="n">
        <v>8.81</v>
      </c>
      <c r="K315" t="n">
        <v>8.81</v>
      </c>
      <c r="L315" t="inlineStr">
        <is>
          <t>Junio 2026 PERU.xlsx</t>
        </is>
      </c>
      <c r="M315" t="inlineStr">
        <is>
          <t>Aprobado</t>
        </is>
      </c>
      <c r="N315" t="inlineStr">
        <is>
          <t>Puente para redise?ar vistas de Costos &amp; Gastos; no reemplaza P&amp;G oficial. Convertido a USD con la tasa promedio mensual del pais.</t>
        </is>
      </c>
    </row>
    <row r="316">
      <c r="A316" t="inlineStr">
        <is>
          <t>2026-06</t>
        </is>
      </c>
      <c r="B316" t="inlineStr">
        <is>
          <t>Peru</t>
        </is>
      </c>
      <c r="C316" t="inlineStr">
        <is>
          <t>PERU</t>
        </is>
      </c>
      <c r="D316" t="inlineStr">
        <is>
          <t>USD</t>
        </is>
      </c>
      <c r="E316" t="inlineStr">
        <is>
          <t>PL-S-050</t>
        </is>
      </c>
      <c r="F316" t="inlineStr">
        <is>
          <t>Transporte comercial</t>
        </is>
      </c>
      <c r="G316" t="inlineStr">
        <is>
          <t>gasto_comercial</t>
        </is>
      </c>
      <c r="H316" t="inlineStr">
        <is>
          <t>Viajes</t>
        </is>
      </c>
      <c r="I316" t="inlineStr">
        <is>
          <t>Comercial</t>
        </is>
      </c>
      <c r="J316" t="n">
        <v>22.91</v>
      </c>
      <c r="K316" t="n">
        <v>45.81</v>
      </c>
      <c r="L316" t="inlineStr">
        <is>
          <t>Junio 2026 PERU.xlsx</t>
        </is>
      </c>
      <c r="M316" t="inlineStr">
        <is>
          <t>Aprobado</t>
        </is>
      </c>
      <c r="N316" t="inlineStr">
        <is>
          <t>Puente para redise?ar vistas de Costos &amp; Gastos; no reemplaza P&amp;G oficial. Convertido a USD con la tasa promedio mensual del pais.</t>
        </is>
      </c>
    </row>
    <row r="317">
      <c r="A317" t="inlineStr">
        <is>
          <t>2026-06</t>
        </is>
      </c>
      <c r="B317" t="inlineStr">
        <is>
          <t>Peru</t>
        </is>
      </c>
      <c r="C317" t="inlineStr">
        <is>
          <t>PERU</t>
        </is>
      </c>
      <c r="D317" t="inlineStr">
        <is>
          <t>USD</t>
        </is>
      </c>
      <c r="E317" t="inlineStr">
        <is>
          <t>PL-S-050</t>
        </is>
      </c>
      <c r="F317" t="inlineStr">
        <is>
          <t>Transporte comercial</t>
        </is>
      </c>
      <c r="G317" t="inlineStr">
        <is>
          <t>gasto_comercial</t>
        </is>
      </c>
      <c r="H317" t="inlineStr">
        <is>
          <t>Viajes</t>
        </is>
      </c>
      <c r="I317" t="inlineStr">
        <is>
          <t>Comercial</t>
        </is>
      </c>
      <c r="J317" t="n">
        <v>114.35</v>
      </c>
      <c r="K317" t="n">
        <v>114.35</v>
      </c>
      <c r="L317" t="inlineStr">
        <is>
          <t>Junio 2026 PERU.xlsx</t>
        </is>
      </c>
      <c r="M317" t="inlineStr">
        <is>
          <t>Aprobado</t>
        </is>
      </c>
      <c r="N317" t="inlineStr">
        <is>
          <t>Puente para redise?ar vistas de Costos &amp; Gastos; no reemplaza P&amp;G oficial. Convertido a USD con la tasa promedio mensual del pais.</t>
        </is>
      </c>
    </row>
    <row r="318">
      <c r="A318" t="inlineStr">
        <is>
          <t>2026-06</t>
        </is>
      </c>
      <c r="B318" t="inlineStr">
        <is>
          <t>Peru</t>
        </is>
      </c>
      <c r="C318" t="inlineStr">
        <is>
          <t>PERU</t>
        </is>
      </c>
      <c r="D318" t="inlineStr">
        <is>
          <t>USD</t>
        </is>
      </c>
      <c r="E318" t="inlineStr">
        <is>
          <t>PL-S-060</t>
        </is>
      </c>
      <c r="F318" t="inlineStr">
        <is>
          <t>Otros gastos comerciales</t>
        </is>
      </c>
      <c r="G318" t="inlineStr">
        <is>
          <t>gasto_comercial</t>
        </is>
      </c>
      <c r="H318" t="inlineStr">
        <is>
          <t>Diversos</t>
        </is>
      </c>
      <c r="I318" t="inlineStr">
        <is>
          <t>Comercial</t>
        </is>
      </c>
      <c r="J318" t="n">
        <v>23.47</v>
      </c>
      <c r="K318" t="n">
        <v>23.47</v>
      </c>
      <c r="L318" t="inlineStr">
        <is>
          <t>Junio 2026 PERU.xlsx</t>
        </is>
      </c>
      <c r="M318" t="inlineStr">
        <is>
          <t>Revisar</t>
        </is>
      </c>
      <c r="N318" t="inlineStr">
        <is>
          <t>Puente para redise?ar vistas de Costos &amp; Gastos; no reemplaza P&amp;G oficial. Convertido a USD con la tasa promedio mensual del pais.</t>
        </is>
      </c>
    </row>
    <row r="319">
      <c r="A319" t="inlineStr">
        <is>
          <t>2026-06</t>
        </is>
      </c>
      <c r="B319" t="inlineStr">
        <is>
          <t>Peru</t>
        </is>
      </c>
      <c r="C319" t="inlineStr">
        <is>
          <t>PERU</t>
        </is>
      </c>
      <c r="D319" t="inlineStr">
        <is>
          <t>USD</t>
        </is>
      </c>
      <c r="E319" t="inlineStr">
        <is>
          <t>PL-S-060</t>
        </is>
      </c>
      <c r="F319" t="inlineStr">
        <is>
          <t>Otros gastos comerciales</t>
        </is>
      </c>
      <c r="G319" t="inlineStr">
        <is>
          <t>gasto_comercial</t>
        </is>
      </c>
      <c r="H319" t="inlineStr">
        <is>
          <t>Diversos</t>
        </is>
      </c>
      <c r="I319" t="inlineStr">
        <is>
          <t>Comercial</t>
        </is>
      </c>
      <c r="J319" t="n">
        <v>11.93</v>
      </c>
      <c r="K319" t="n">
        <v>11.93</v>
      </c>
      <c r="L319" t="inlineStr">
        <is>
          <t>Junio 2026 PERU.xlsx</t>
        </is>
      </c>
      <c r="M319" t="inlineStr">
        <is>
          <t>Revisar</t>
        </is>
      </c>
      <c r="N319" t="inlineStr">
        <is>
          <t>Puente para redise?ar vistas de Costos &amp; Gastos; no reemplaza P&amp;G oficial. Convertido a USD con la tasa promedio mensual del pais.</t>
        </is>
      </c>
    </row>
    <row r="320">
      <c r="A320" t="inlineStr">
        <is>
          <t>2026-06</t>
        </is>
      </c>
      <c r="B320" t="inlineStr">
        <is>
          <t>Peru</t>
        </is>
      </c>
      <c r="C320" t="inlineStr">
        <is>
          <t>PERU</t>
        </is>
      </c>
      <c r="D320" t="inlineStr">
        <is>
          <t>USD</t>
        </is>
      </c>
      <c r="E320" t="inlineStr">
        <is>
          <t>PL-S-060</t>
        </is>
      </c>
      <c r="F320" t="inlineStr">
        <is>
          <t>Otros gastos comerciales</t>
        </is>
      </c>
      <c r="G320" t="inlineStr">
        <is>
          <t>gasto_comercial</t>
        </is>
      </c>
      <c r="H320" t="inlineStr">
        <is>
          <t>Diversos</t>
        </is>
      </c>
      <c r="I320" t="inlineStr">
        <is>
          <t>Comercial</t>
        </is>
      </c>
      <c r="J320" t="n">
        <v>1161.23</v>
      </c>
      <c r="K320" t="n">
        <v>1161.23</v>
      </c>
      <c r="L320" t="inlineStr">
        <is>
          <t>Junio 2026 PERU.xlsx</t>
        </is>
      </c>
      <c r="M320" t="inlineStr">
        <is>
          <t>Revisar</t>
        </is>
      </c>
      <c r="N320" t="inlineStr">
        <is>
          <t>Puente para redise?ar vistas de Costos &amp; Gastos; no reemplaza P&amp;G oficial. Convertido a USD con la tasa promedio mensual del pais.</t>
        </is>
      </c>
    </row>
    <row r="321">
      <c r="A321" t="inlineStr">
        <is>
          <t>2026-06</t>
        </is>
      </c>
      <c r="B321" t="inlineStr">
        <is>
          <t>Peru</t>
        </is>
      </c>
      <c r="C321" t="inlineStr">
        <is>
          <t>PERU</t>
        </is>
      </c>
      <c r="D321" t="inlineStr">
        <is>
          <t>USD</t>
        </is>
      </c>
      <c r="E321" t="inlineStr">
        <is>
          <t>PL-S-060</t>
        </is>
      </c>
      <c r="F321" t="inlineStr">
        <is>
          <t>Otros gastos comerciales</t>
        </is>
      </c>
      <c r="G321" t="inlineStr">
        <is>
          <t>gasto_comercial</t>
        </is>
      </c>
      <c r="H321" t="inlineStr">
        <is>
          <t>Diversos</t>
        </is>
      </c>
      <c r="I321" t="inlineStr">
        <is>
          <t>Comercial</t>
        </is>
      </c>
      <c r="J321" t="n">
        <v>0</v>
      </c>
      <c r="K321" t="n">
        <v>0.5600000000000001</v>
      </c>
      <c r="L321" t="inlineStr">
        <is>
          <t>Junio 2026 PERU.xlsx</t>
        </is>
      </c>
      <c r="M321" t="inlineStr">
        <is>
          <t>Revisar</t>
        </is>
      </c>
      <c r="N321" t="inlineStr">
        <is>
          <t>Puente para redise?ar vistas de Costos &amp; Gastos; no reemplaza P&amp;G oficial. Convertido a USD con la tasa promedio mensual del pais.</t>
        </is>
      </c>
    </row>
    <row r="322">
      <c r="A322" t="inlineStr">
        <is>
          <t>2026-06</t>
        </is>
      </c>
      <c r="B322" t="inlineStr">
        <is>
          <t>Peru</t>
        </is>
      </c>
      <c r="C322" t="inlineStr">
        <is>
          <t>PERU</t>
        </is>
      </c>
      <c r="D322" t="inlineStr">
        <is>
          <t>USD</t>
        </is>
      </c>
      <c r="E322" t="inlineStr">
        <is>
          <t>PL-F-010</t>
        </is>
      </c>
      <c r="F322" t="inlineStr">
        <is>
          <t>Gastos financieros</t>
        </is>
      </c>
      <c r="G322" t="inlineStr">
        <is>
          <t>gasto_area</t>
        </is>
      </c>
      <c r="H322" t="inlineStr">
        <is>
          <t>Financieros</t>
        </is>
      </c>
      <c r="I322" t="inlineStr">
        <is>
          <t>Financieros</t>
        </is>
      </c>
      <c r="J322" t="n">
        <v>68.62</v>
      </c>
      <c r="K322" t="n">
        <v>135.33</v>
      </c>
      <c r="L322" t="inlineStr">
        <is>
          <t>Junio 2026 PERU.xlsx</t>
        </is>
      </c>
      <c r="M322" t="inlineStr">
        <is>
          <t>Aprobado</t>
        </is>
      </c>
      <c r="N322" t="inlineStr">
        <is>
          <t>Puente para redise?ar vistas de Costos &amp; Gastos; no reemplaza P&amp;G oficial. Convertido a USD con la tasa promedio mensual del pais.</t>
        </is>
      </c>
    </row>
    <row r="323">
      <c r="A323" t="inlineStr">
        <is>
          <t>2026-06</t>
        </is>
      </c>
      <c r="B323" t="inlineStr">
        <is>
          <t>Peru</t>
        </is>
      </c>
      <c r="C323" t="inlineStr">
        <is>
          <t>PERU</t>
        </is>
      </c>
      <c r="D323" t="inlineStr">
        <is>
          <t>USD</t>
        </is>
      </c>
      <c r="E323" t="inlineStr">
        <is>
          <t>PL-F-010</t>
        </is>
      </c>
      <c r="F323" t="inlineStr">
        <is>
          <t>Gastos financieros</t>
        </is>
      </c>
      <c r="G323" t="inlineStr">
        <is>
          <t>gasto_area</t>
        </is>
      </c>
      <c r="H323" t="inlineStr">
        <is>
          <t>Financieros</t>
        </is>
      </c>
      <c r="I323" t="inlineStr">
        <is>
          <t>Financieros</t>
        </is>
      </c>
      <c r="J323" t="n">
        <v>0</v>
      </c>
      <c r="K323" t="n">
        <v>1.26</v>
      </c>
      <c r="L323" t="inlineStr">
        <is>
          <t>Junio 2026 PERU.xlsx</t>
        </is>
      </c>
      <c r="M323" t="inlineStr">
        <is>
          <t>Aprobado</t>
        </is>
      </c>
      <c r="N323" t="inlineStr">
        <is>
          <t>Puente para redise?ar vistas de Costos &amp; Gastos; no reemplaza P&amp;G oficial. Convertido a USD con la tasa promedio mensual del pais.</t>
        </is>
      </c>
    </row>
    <row r="324">
      <c r="A324" t="inlineStr">
        <is>
          <t>2026-06</t>
        </is>
      </c>
      <c r="B324" t="inlineStr">
        <is>
          <t>Peru</t>
        </is>
      </c>
      <c r="C324" t="inlineStr">
        <is>
          <t>PERU</t>
        </is>
      </c>
      <c r="D324" t="inlineStr">
        <is>
          <t>USD</t>
        </is>
      </c>
      <c r="E324" t="inlineStr">
        <is>
          <t>PL-F-010</t>
        </is>
      </c>
      <c r="F324" t="inlineStr">
        <is>
          <t>Gastos financieros</t>
        </is>
      </c>
      <c r="G324" t="inlineStr">
        <is>
          <t>gasto_area</t>
        </is>
      </c>
      <c r="H324" t="inlineStr">
        <is>
          <t>Financieros</t>
        </is>
      </c>
      <c r="I324" t="inlineStr">
        <is>
          <t>Financieros</t>
        </is>
      </c>
      <c r="J324" t="n">
        <v>0</v>
      </c>
      <c r="K324" t="n">
        <v>50.54</v>
      </c>
      <c r="L324" t="inlineStr">
        <is>
          <t>Junio 2026 PERU.xlsx</t>
        </is>
      </c>
      <c r="M324" t="inlineStr">
        <is>
          <t>Aprobado</t>
        </is>
      </c>
      <c r="N324" t="inlineStr">
        <is>
          <t>Puente para redise?ar vistas de Costos &amp; Gastos; no reemplaza P&amp;G oficial. Convertido a USD con la tasa promedio mensual del pais.</t>
        </is>
      </c>
    </row>
    <row r="325">
      <c r="A325" t="inlineStr">
        <is>
          <t>2026-06</t>
        </is>
      </c>
      <c r="B325" t="inlineStr">
        <is>
          <t>Peru</t>
        </is>
      </c>
      <c r="C325" t="inlineStr">
        <is>
          <t>PERU</t>
        </is>
      </c>
      <c r="D325" t="inlineStr">
        <is>
          <t>USD</t>
        </is>
      </c>
      <c r="E325" t="inlineStr">
        <is>
          <t>PL-F-010</t>
        </is>
      </c>
      <c r="F325" t="inlineStr">
        <is>
          <t>Gastos financieros</t>
        </is>
      </c>
      <c r="G325" t="inlineStr">
        <is>
          <t>gasto_area</t>
        </is>
      </c>
      <c r="H325" t="inlineStr">
        <is>
          <t>Financieros</t>
        </is>
      </c>
      <c r="I325" t="inlineStr">
        <is>
          <t>Financieros</t>
        </is>
      </c>
      <c r="J325" t="n">
        <v>0.15</v>
      </c>
      <c r="K325" t="n">
        <v>2.32</v>
      </c>
      <c r="L325" t="inlineStr">
        <is>
          <t>Junio 2026 PERU.xlsx</t>
        </is>
      </c>
      <c r="M325" t="inlineStr">
        <is>
          <t>Aprobado</t>
        </is>
      </c>
      <c r="N325" t="inlineStr">
        <is>
          <t>Puente para redise?ar vistas de Costos &amp; Gastos; no reemplaza P&amp;G oficial. Convertido a USD con la tasa promedio mensual del pais.</t>
        </is>
      </c>
    </row>
    <row r="326">
      <c r="A326" t="inlineStr">
        <is>
          <t>2026-06</t>
        </is>
      </c>
      <c r="B326" t="inlineStr">
        <is>
          <t>Peru</t>
        </is>
      </c>
      <c r="C326" t="inlineStr">
        <is>
          <t>PERU</t>
        </is>
      </c>
      <c r="D326" t="inlineStr">
        <is>
          <t>USD</t>
        </is>
      </c>
      <c r="E326" t="inlineStr">
        <is>
          <t>PL-F-010</t>
        </is>
      </c>
      <c r="F326" t="inlineStr">
        <is>
          <t>Gastos financieros</t>
        </is>
      </c>
      <c r="G326" t="inlineStr">
        <is>
          <t>gasto_area</t>
        </is>
      </c>
      <c r="H326" t="inlineStr">
        <is>
          <t>Financieros</t>
        </is>
      </c>
      <c r="I326" t="inlineStr">
        <is>
          <t>Financieros</t>
        </is>
      </c>
      <c r="J326" t="n">
        <v>23.49</v>
      </c>
      <c r="K326" t="n">
        <v>153.27</v>
      </c>
      <c r="L326" t="inlineStr">
        <is>
          <t>Junio 2026 PERU.xlsx</t>
        </is>
      </c>
      <c r="M326" t="inlineStr">
        <is>
          <t>Aprobado</t>
        </is>
      </c>
      <c r="N326" t="inlineStr">
        <is>
          <t>Puente para redise?ar vistas de Costos &amp; Gastos; no reemplaza P&amp;G oficial. Convertido a USD con la tasa promedio mensual del pais.</t>
        </is>
      </c>
    </row>
    <row r="327">
      <c r="A327" t="inlineStr">
        <is>
          <t>2026-06</t>
        </is>
      </c>
      <c r="B327" t="inlineStr">
        <is>
          <t>Peru</t>
        </is>
      </c>
      <c r="C327" t="inlineStr">
        <is>
          <t>PERU</t>
        </is>
      </c>
      <c r="D327" t="inlineStr">
        <is>
          <t>USD</t>
        </is>
      </c>
      <c r="E327" t="inlineStr">
        <is>
          <t>PL-F-010</t>
        </is>
      </c>
      <c r="F327" t="inlineStr">
        <is>
          <t>Gastos financieros</t>
        </is>
      </c>
      <c r="G327" t="inlineStr">
        <is>
          <t>gasto_area</t>
        </is>
      </c>
      <c r="H327" t="inlineStr">
        <is>
          <t>Financieros</t>
        </is>
      </c>
      <c r="I327" t="inlineStr">
        <is>
          <t>Financieros</t>
        </is>
      </c>
      <c r="J327" t="n">
        <v>0</v>
      </c>
      <c r="K327" t="n">
        <v>1.26</v>
      </c>
      <c r="L327" t="inlineStr">
        <is>
          <t>Junio 2026 PERU.xlsx</t>
        </is>
      </c>
      <c r="M327" t="inlineStr">
        <is>
          <t>Aprobado</t>
        </is>
      </c>
      <c r="N327" t="inlineStr">
        <is>
          <t>Puente para redise?ar vistas de Costos &amp; Gastos; no reemplaza P&amp;G oficial. Convertido a USD con la tasa promedio mensual del pais.</t>
        </is>
      </c>
    </row>
    <row r="328">
      <c r="A328" t="inlineStr">
        <is>
          <t>2026-06</t>
        </is>
      </c>
      <c r="B328" t="inlineStr">
        <is>
          <t>Peru</t>
        </is>
      </c>
      <c r="C328" t="inlineStr">
        <is>
          <t>PERU</t>
        </is>
      </c>
      <c r="D328" t="inlineStr">
        <is>
          <t>USD</t>
        </is>
      </c>
      <c r="E328" t="inlineStr">
        <is>
          <t>PL-F-010</t>
        </is>
      </c>
      <c r="F328" t="inlineStr">
        <is>
          <t>Gastos financieros</t>
        </is>
      </c>
      <c r="G328" t="inlineStr">
        <is>
          <t>gasto_area</t>
        </is>
      </c>
      <c r="H328" t="inlineStr">
        <is>
          <t>Financieros</t>
        </is>
      </c>
      <c r="I328" t="inlineStr">
        <is>
          <t>Financieros</t>
        </is>
      </c>
      <c r="J328" t="n">
        <v>0</v>
      </c>
      <c r="K328" t="n">
        <v>-1.26</v>
      </c>
      <c r="L328" t="inlineStr">
        <is>
          <t>Junio 2026 PERU.xlsx</t>
        </is>
      </c>
      <c r="M328" t="inlineStr">
        <is>
          <t>Aprobado</t>
        </is>
      </c>
      <c r="N328" t="inlineStr">
        <is>
          <t>Puente para redise?ar vistas de Costos &amp; Gastos; no reemplaza P&amp;G oficial. Convertido a USD con la tasa promedio mensual del pais.</t>
        </is>
      </c>
    </row>
    <row r="329">
      <c r="A329" t="inlineStr">
        <is>
          <t>2026-06</t>
        </is>
      </c>
      <c r="B329" t="inlineStr">
        <is>
          <t>Estados Unidos</t>
        </is>
      </c>
      <c r="C329" t="inlineStr">
        <is>
          <t>USA</t>
        </is>
      </c>
      <c r="D329" t="inlineStr">
        <is>
          <t>USD</t>
        </is>
      </c>
      <c r="E329" t="inlineStr">
        <is>
          <t>PL-O-010</t>
        </is>
      </c>
      <c r="F329" t="inlineStr">
        <is>
          <t>Gastos de personal</t>
        </is>
      </c>
      <c r="G329" t="inlineStr">
        <is>
          <t>gasto_admin</t>
        </is>
      </c>
      <c r="H329" t="inlineStr">
        <is>
          <t>Personal</t>
        </is>
      </c>
      <c r="I329" t="inlineStr">
        <is>
          <t>Administracion</t>
        </is>
      </c>
      <c r="J329" t="n">
        <v>2592.17</v>
      </c>
      <c r="K329" t="n">
        <v>15553.02</v>
      </c>
      <c r="L329" t="inlineStr">
        <is>
          <t>Junio 2026 USA.xlsx</t>
        </is>
      </c>
      <c r="M329" t="inlineStr">
        <is>
          <t>Aprobado</t>
        </is>
      </c>
      <c r="N329" t="inlineStr">
        <is>
          <t>Puente para redise?ar vistas de Costos &amp; Gastos; no reemplaza P&amp;G oficial. Convertido a USD con la tasa promedio mensual del pais.</t>
        </is>
      </c>
    </row>
    <row r="330">
      <c r="A330" t="inlineStr">
        <is>
          <t>2026-06</t>
        </is>
      </c>
      <c r="B330" t="inlineStr">
        <is>
          <t>Estados Unidos</t>
        </is>
      </c>
      <c r="C330" t="inlineStr">
        <is>
          <t>USA</t>
        </is>
      </c>
      <c r="D330" t="inlineStr">
        <is>
          <t>USD</t>
        </is>
      </c>
      <c r="E330" t="inlineStr">
        <is>
          <t>PL-O-010</t>
        </is>
      </c>
      <c r="F330" t="inlineStr">
        <is>
          <t>Gastos de personal</t>
        </is>
      </c>
      <c r="G330" t="inlineStr">
        <is>
          <t>gasto_admin</t>
        </is>
      </c>
      <c r="H330" t="inlineStr">
        <is>
          <t>Personal</t>
        </is>
      </c>
      <c r="I330" t="inlineStr">
        <is>
          <t>Administracion</t>
        </is>
      </c>
      <c r="J330" t="n">
        <v>4000</v>
      </c>
      <c r="K330" t="n">
        <v>4000</v>
      </c>
      <c r="L330" t="inlineStr">
        <is>
          <t>Junio 2026 USA.xlsx</t>
        </is>
      </c>
      <c r="M330" t="inlineStr">
        <is>
          <t>Aprobado</t>
        </is>
      </c>
      <c r="N330" t="inlineStr">
        <is>
          <t>Puente para redise?ar vistas de Costos &amp; Gastos; no reemplaza P&amp;G oficial. Convertido a USD con la tasa promedio mensual del pais.</t>
        </is>
      </c>
    </row>
    <row r="331">
      <c r="A331" t="inlineStr">
        <is>
          <t>2026-06</t>
        </is>
      </c>
      <c r="B331" t="inlineStr">
        <is>
          <t>Estados Unidos</t>
        </is>
      </c>
      <c r="C331" t="inlineStr">
        <is>
          <t>USA</t>
        </is>
      </c>
      <c r="D331" t="inlineStr">
        <is>
          <t>USD</t>
        </is>
      </c>
      <c r="E331" t="inlineStr">
        <is>
          <t>PL-O-010</t>
        </is>
      </c>
      <c r="F331" t="inlineStr">
        <is>
          <t>Gastos de personal</t>
        </is>
      </c>
      <c r="G331" t="inlineStr">
        <is>
          <t>gasto_admin</t>
        </is>
      </c>
      <c r="H331" t="inlineStr">
        <is>
          <t>Personal</t>
        </is>
      </c>
      <c r="I331" t="inlineStr">
        <is>
          <t>Administracion</t>
        </is>
      </c>
      <c r="J331" t="n">
        <v>5000</v>
      </c>
      <c r="K331" t="n">
        <v>5000</v>
      </c>
      <c r="L331" t="inlineStr">
        <is>
          <t>Junio 2026 USA.xlsx</t>
        </is>
      </c>
      <c r="M331" t="inlineStr">
        <is>
          <t>Aprobado</t>
        </is>
      </c>
      <c r="N331" t="inlineStr">
        <is>
          <t>Puente para redise?ar vistas de Costos &amp; Gastos; no reemplaza P&amp;G oficial. Convertido a USD con la tasa promedio mensual del pais.</t>
        </is>
      </c>
    </row>
    <row r="332">
      <c r="A332" t="inlineStr">
        <is>
          <t>2026-06</t>
        </is>
      </c>
      <c r="B332" t="inlineStr">
        <is>
          <t>Estados Unidos</t>
        </is>
      </c>
      <c r="C332" t="inlineStr">
        <is>
          <t>USA</t>
        </is>
      </c>
      <c r="D332" t="inlineStr">
        <is>
          <t>USD</t>
        </is>
      </c>
      <c r="E332" t="inlineStr">
        <is>
          <t>PL-O-090</t>
        </is>
      </c>
      <c r="F332" t="inlineStr">
        <is>
          <t>Viajes y representación</t>
        </is>
      </c>
      <c r="G332" t="inlineStr">
        <is>
          <t>gasto_admin</t>
        </is>
      </c>
      <c r="H332" t="inlineStr">
        <is>
          <t>Viajes</t>
        </is>
      </c>
      <c r="I332" t="inlineStr">
        <is>
          <t>Administracion</t>
        </is>
      </c>
      <c r="J332" t="n">
        <v>0</v>
      </c>
      <c r="K332" t="n">
        <v>78.43000000000001</v>
      </c>
      <c r="L332" t="inlineStr">
        <is>
          <t>Junio 2026 USA.xlsx</t>
        </is>
      </c>
      <c r="M332" t="inlineStr">
        <is>
          <t>Aprobado</t>
        </is>
      </c>
      <c r="N332" t="inlineStr">
        <is>
          <t>Puente para redise?ar vistas de Costos &amp; Gastos; no reemplaza P&amp;G oficial. Convertido a USD con la tasa promedio mensual del pais.</t>
        </is>
      </c>
    </row>
    <row r="333">
      <c r="A333" t="inlineStr">
        <is>
          <t>2026-06</t>
        </is>
      </c>
      <c r="B333" t="inlineStr">
        <is>
          <t>Estados Unidos</t>
        </is>
      </c>
      <c r="C333" t="inlineStr">
        <is>
          <t>USA</t>
        </is>
      </c>
      <c r="D333" t="inlineStr">
        <is>
          <t>USD</t>
        </is>
      </c>
      <c r="E333" t="inlineStr">
        <is>
          <t>PL-O-090</t>
        </is>
      </c>
      <c r="F333" t="inlineStr">
        <is>
          <t>Viajes y representación</t>
        </is>
      </c>
      <c r="G333" t="inlineStr">
        <is>
          <t>gasto_admin</t>
        </is>
      </c>
      <c r="H333" t="inlineStr">
        <is>
          <t>Viajes</t>
        </is>
      </c>
      <c r="I333" t="inlineStr">
        <is>
          <t>Administracion</t>
        </is>
      </c>
      <c r="J333" t="n">
        <v>0</v>
      </c>
      <c r="K333" t="n">
        <v>64.79000000000001</v>
      </c>
      <c r="L333" t="inlineStr">
        <is>
          <t>Junio 2026 USA.xlsx</t>
        </is>
      </c>
      <c r="M333" t="inlineStr">
        <is>
          <t>Aprobado</t>
        </is>
      </c>
      <c r="N333" t="inlineStr">
        <is>
          <t>Puente para redise?ar vistas de Costos &amp; Gastos; no reemplaza P&amp;G oficial. Convertido a USD con la tasa promedio mensual del pais.</t>
        </is>
      </c>
    </row>
    <row r="334">
      <c r="A334" t="inlineStr">
        <is>
          <t>2026-06</t>
        </is>
      </c>
      <c r="B334" t="inlineStr">
        <is>
          <t>Estados Unidos</t>
        </is>
      </c>
      <c r="C334" t="inlineStr">
        <is>
          <t>USA</t>
        </is>
      </c>
      <c r="D334" t="inlineStr">
        <is>
          <t>USD</t>
        </is>
      </c>
      <c r="E334" t="inlineStr">
        <is>
          <t>PL-O-090</t>
        </is>
      </c>
      <c r="F334" t="inlineStr">
        <is>
          <t>Viajes y representación</t>
        </is>
      </c>
      <c r="G334" t="inlineStr">
        <is>
          <t>gasto_admin</t>
        </is>
      </c>
      <c r="H334" t="inlineStr">
        <is>
          <t>Viajes</t>
        </is>
      </c>
      <c r="I334" t="inlineStr">
        <is>
          <t>Administracion</t>
        </is>
      </c>
      <c r="J334" t="n">
        <v>0</v>
      </c>
      <c r="K334" t="n">
        <v>35.04</v>
      </c>
      <c r="L334" t="inlineStr">
        <is>
          <t>Junio 2026 USA.xlsx</t>
        </is>
      </c>
      <c r="M334" t="inlineStr">
        <is>
          <t>Aprobado</t>
        </is>
      </c>
      <c r="N334" t="inlineStr">
        <is>
          <t>Puente para redise?ar vistas de Costos &amp; Gastos; no reemplaza P&amp;G oficial. Convertido a USD con la tasa promedio mensual del pais.</t>
        </is>
      </c>
    </row>
    <row r="335">
      <c r="A335" t="inlineStr">
        <is>
          <t>2026-06</t>
        </is>
      </c>
      <c r="B335" t="inlineStr">
        <is>
          <t>Estados Unidos</t>
        </is>
      </c>
      <c r="C335" t="inlineStr">
        <is>
          <t>USA</t>
        </is>
      </c>
      <c r="D335" t="inlineStr">
        <is>
          <t>USD</t>
        </is>
      </c>
      <c r="E335" t="inlineStr">
        <is>
          <t>PL-O-090</t>
        </is>
      </c>
      <c r="F335" t="inlineStr">
        <is>
          <t>Viajes y representación</t>
        </is>
      </c>
      <c r="G335" t="inlineStr">
        <is>
          <t>gasto_admin</t>
        </is>
      </c>
      <c r="H335" t="inlineStr">
        <is>
          <t>Viajes</t>
        </is>
      </c>
      <c r="I335" t="inlineStr">
        <is>
          <t>Administracion</t>
        </is>
      </c>
      <c r="J335" t="n">
        <v>38.21</v>
      </c>
      <c r="K335" t="n">
        <v>60.35</v>
      </c>
      <c r="L335" t="inlineStr">
        <is>
          <t>Junio 2026 USA.xlsx</t>
        </is>
      </c>
      <c r="M335" t="inlineStr">
        <is>
          <t>Aprobado</t>
        </is>
      </c>
      <c r="N335" t="inlineStr">
        <is>
          <t>Puente para redise?ar vistas de Costos &amp; Gastos; no reemplaza P&amp;G oficial. Convertido a USD con la tasa promedio mensual del pais.</t>
        </is>
      </c>
    </row>
    <row r="336">
      <c r="A336" t="inlineStr">
        <is>
          <t>2026-06</t>
        </is>
      </c>
      <c r="B336" t="inlineStr">
        <is>
          <t>Estados Unidos</t>
        </is>
      </c>
      <c r="C336" t="inlineStr">
        <is>
          <t>USA</t>
        </is>
      </c>
      <c r="D336" t="inlineStr">
        <is>
          <t>USD</t>
        </is>
      </c>
      <c r="E336" t="inlineStr">
        <is>
          <t>PL-O-090</t>
        </is>
      </c>
      <c r="F336" t="inlineStr">
        <is>
          <t>Viajes y representación</t>
        </is>
      </c>
      <c r="G336" t="inlineStr">
        <is>
          <t>gasto_admin</t>
        </is>
      </c>
      <c r="H336" t="inlineStr">
        <is>
          <t>Viajes</t>
        </is>
      </c>
      <c r="I336" t="inlineStr">
        <is>
          <t>Administracion</t>
        </is>
      </c>
      <c r="J336" t="n">
        <v>0</v>
      </c>
      <c r="K336" t="n">
        <v>13.54</v>
      </c>
      <c r="L336" t="inlineStr">
        <is>
          <t>Junio 2026 USA.xlsx</t>
        </is>
      </c>
      <c r="M336" t="inlineStr">
        <is>
          <t>Aprobado</t>
        </is>
      </c>
      <c r="N336" t="inlineStr">
        <is>
          <t>Puente para redise?ar vistas de Costos &amp; Gastos; no reemplaza P&amp;G oficial. Convertido a USD con la tasa promedio mensual del pais.</t>
        </is>
      </c>
    </row>
    <row r="337">
      <c r="A337" t="inlineStr">
        <is>
          <t>2026-06</t>
        </is>
      </c>
      <c r="B337" t="inlineStr">
        <is>
          <t>Estados Unidos</t>
        </is>
      </c>
      <c r="C337" t="inlineStr">
        <is>
          <t>USA</t>
        </is>
      </c>
      <c r="D337" t="inlineStr">
        <is>
          <t>USD</t>
        </is>
      </c>
      <c r="E337" t="inlineStr">
        <is>
          <t>PL-O-010</t>
        </is>
      </c>
      <c r="F337" t="inlineStr">
        <is>
          <t>Gastos de personal</t>
        </is>
      </c>
      <c r="G337" t="inlineStr">
        <is>
          <t>gasto_admin</t>
        </is>
      </c>
      <c r="H337" t="inlineStr">
        <is>
          <t>Personal</t>
        </is>
      </c>
      <c r="I337" t="inlineStr">
        <is>
          <t>Administracion</t>
        </is>
      </c>
      <c r="J337" t="n">
        <v>0</v>
      </c>
      <c r="K337" t="n">
        <v>7600</v>
      </c>
      <c r="L337" t="inlineStr">
        <is>
          <t>Junio 2026 USA.xlsx</t>
        </is>
      </c>
      <c r="M337" t="inlineStr">
        <is>
          <t>Aprobado</t>
        </is>
      </c>
      <c r="N337" t="inlineStr">
        <is>
          <t>Puente para redise?ar vistas de Costos &amp; Gastos; no reemplaza P&amp;G oficial. Convertido a USD con la tasa promedio mensual del pais.</t>
        </is>
      </c>
    </row>
    <row r="338">
      <c r="A338" t="inlineStr">
        <is>
          <t>2026-06</t>
        </is>
      </c>
      <c r="B338" t="inlineStr">
        <is>
          <t>Estados Unidos</t>
        </is>
      </c>
      <c r="C338" t="inlineStr">
        <is>
          <t>USA</t>
        </is>
      </c>
      <c r="D338" t="inlineStr">
        <is>
          <t>USD</t>
        </is>
      </c>
      <c r="E338" t="inlineStr">
        <is>
          <t>PL-O-010</t>
        </is>
      </c>
      <c r="F338" t="inlineStr">
        <is>
          <t>Gastos de personal</t>
        </is>
      </c>
      <c r="G338" t="inlineStr">
        <is>
          <t>gasto_admin</t>
        </is>
      </c>
      <c r="H338" t="inlineStr">
        <is>
          <t>Personal</t>
        </is>
      </c>
      <c r="I338" t="inlineStr">
        <is>
          <t>Administracion</t>
        </is>
      </c>
      <c r="J338" t="n">
        <v>0</v>
      </c>
      <c r="K338" t="n">
        <v>276.06</v>
      </c>
      <c r="L338" t="inlineStr">
        <is>
          <t>Junio 2026 USA.xlsx</t>
        </is>
      </c>
      <c r="M338" t="inlineStr">
        <is>
          <t>Aprobado</t>
        </is>
      </c>
      <c r="N338" t="inlineStr">
        <is>
          <t>Puente para redise?ar vistas de Costos &amp; Gastos; no reemplaza P&amp;G oficial. Convertido a USD con la tasa promedio mensual del pais.</t>
        </is>
      </c>
    </row>
    <row r="339">
      <c r="A339" t="inlineStr">
        <is>
          <t>2026-06</t>
        </is>
      </c>
      <c r="B339" t="inlineStr">
        <is>
          <t>Estados Unidos</t>
        </is>
      </c>
      <c r="C339" t="inlineStr">
        <is>
          <t>USA</t>
        </is>
      </c>
      <c r="D339" t="inlineStr">
        <is>
          <t>USD</t>
        </is>
      </c>
      <c r="E339" t="inlineStr">
        <is>
          <t>PL-O-010</t>
        </is>
      </c>
      <c r="F339" t="inlineStr">
        <is>
          <t>Gastos de personal</t>
        </is>
      </c>
      <c r="G339" t="inlineStr">
        <is>
          <t>gasto_admin</t>
        </is>
      </c>
      <c r="H339" t="inlineStr">
        <is>
          <t>Personal</t>
        </is>
      </c>
      <c r="I339" t="inlineStr">
        <is>
          <t>Administracion</t>
        </is>
      </c>
      <c r="J339" t="n">
        <v>0</v>
      </c>
      <c r="K339" t="n">
        <v>13.9</v>
      </c>
      <c r="L339" t="inlineStr">
        <is>
          <t>Junio 2026 USA.xlsx</t>
        </is>
      </c>
      <c r="M339" t="inlineStr">
        <is>
          <t>Aprobado</t>
        </is>
      </c>
      <c r="N339" t="inlineStr">
        <is>
          <t>Puente para redise?ar vistas de Costos &amp; Gastos; no reemplaza P&amp;G oficial. Convertido a USD con la tasa promedio mensual del pais.</t>
        </is>
      </c>
    </row>
    <row r="340">
      <c r="A340" t="inlineStr">
        <is>
          <t>2026-06</t>
        </is>
      </c>
      <c r="B340" t="inlineStr">
        <is>
          <t>Estados Unidos</t>
        </is>
      </c>
      <c r="C340" t="inlineStr">
        <is>
          <t>USA</t>
        </is>
      </c>
      <c r="D340" t="inlineStr">
        <is>
          <t>USD</t>
        </is>
      </c>
      <c r="E340" t="inlineStr">
        <is>
          <t>PL-O-010</t>
        </is>
      </c>
      <c r="F340" t="inlineStr">
        <is>
          <t>Gastos de personal</t>
        </is>
      </c>
      <c r="G340" t="inlineStr">
        <is>
          <t>gasto_admin</t>
        </is>
      </c>
      <c r="H340" t="inlineStr">
        <is>
          <t>Personal</t>
        </is>
      </c>
      <c r="I340" t="inlineStr">
        <is>
          <t>Administracion</t>
        </is>
      </c>
      <c r="J340" t="n">
        <v>0</v>
      </c>
      <c r="K340" t="n">
        <v>15.3</v>
      </c>
      <c r="L340" t="inlineStr">
        <is>
          <t>Junio 2026 USA.xlsx</t>
        </is>
      </c>
      <c r="M340" t="inlineStr">
        <is>
          <t>Aprobado</t>
        </is>
      </c>
      <c r="N340" t="inlineStr">
        <is>
          <t>Puente para redise?ar vistas de Costos &amp; Gastos; no reemplaza P&amp;G oficial. Convertido a USD con la tasa promedio mensual del pais.</t>
        </is>
      </c>
    </row>
    <row r="341">
      <c r="A341" t="inlineStr">
        <is>
          <t>2026-06</t>
        </is>
      </c>
      <c r="B341" t="inlineStr">
        <is>
          <t>Estados Unidos</t>
        </is>
      </c>
      <c r="C341" t="inlineStr">
        <is>
          <t>USA</t>
        </is>
      </c>
      <c r="D341" t="inlineStr">
        <is>
          <t>USD</t>
        </is>
      </c>
      <c r="E341" t="inlineStr">
        <is>
          <t>PL-O-010</t>
        </is>
      </c>
      <c r="F341" t="inlineStr">
        <is>
          <t>Gastos de personal</t>
        </is>
      </c>
      <c r="G341" t="inlineStr">
        <is>
          <t>gasto_admin</t>
        </is>
      </c>
      <c r="H341" t="inlineStr">
        <is>
          <t>Personal</t>
        </is>
      </c>
      <c r="I341" t="inlineStr">
        <is>
          <t>Administracion</t>
        </is>
      </c>
      <c r="J341" t="n">
        <v>755.41</v>
      </c>
      <c r="K341" t="n">
        <v>2568.42</v>
      </c>
      <c r="L341" t="inlineStr">
        <is>
          <t>Junio 2026 USA.xlsx</t>
        </is>
      </c>
      <c r="M341" t="inlineStr">
        <is>
          <t>Aprobado</t>
        </is>
      </c>
      <c r="N341" t="inlineStr">
        <is>
          <t>Puente para redise?ar vistas de Costos &amp; Gastos; no reemplaza P&amp;G oficial. Convertido a USD con la tasa promedio mensual del pais.</t>
        </is>
      </c>
    </row>
    <row r="342">
      <c r="A342" t="inlineStr">
        <is>
          <t>2026-06</t>
        </is>
      </c>
      <c r="B342" t="inlineStr">
        <is>
          <t>Estados Unidos</t>
        </is>
      </c>
      <c r="C342" t="inlineStr">
        <is>
          <t>USA</t>
        </is>
      </c>
      <c r="D342" t="inlineStr">
        <is>
          <t>USD</t>
        </is>
      </c>
      <c r="E342" t="inlineStr">
        <is>
          <t>PL-O-010</t>
        </is>
      </c>
      <c r="F342" t="inlineStr">
        <is>
          <t>Gastos de personal</t>
        </is>
      </c>
      <c r="G342" t="inlineStr">
        <is>
          <t>gasto_admin</t>
        </is>
      </c>
      <c r="H342" t="inlineStr">
        <is>
          <t>Personal</t>
        </is>
      </c>
      <c r="I342" t="inlineStr">
        <is>
          <t>Administracion</t>
        </is>
      </c>
      <c r="J342" t="n">
        <v>0</v>
      </c>
      <c r="K342" t="n">
        <v>139.1</v>
      </c>
      <c r="L342" t="inlineStr">
        <is>
          <t>Junio 2026 USA.xlsx</t>
        </is>
      </c>
      <c r="M342" t="inlineStr">
        <is>
          <t>Aprobado</t>
        </is>
      </c>
      <c r="N342" t="inlineStr">
        <is>
          <t>Puente para redise?ar vistas de Costos &amp; Gastos; no reemplaza P&amp;G oficial. Convertido a USD con la tasa promedio mensual del pais.</t>
        </is>
      </c>
    </row>
    <row r="343">
      <c r="A343" t="inlineStr">
        <is>
          <t>2026-06</t>
        </is>
      </c>
      <c r="B343" t="inlineStr">
        <is>
          <t>Estados Unidos</t>
        </is>
      </c>
      <c r="C343" t="inlineStr">
        <is>
          <t>USA</t>
        </is>
      </c>
      <c r="D343" t="inlineStr">
        <is>
          <t>USD</t>
        </is>
      </c>
      <c r="E343" t="inlineStr">
        <is>
          <t>PL-O-010</t>
        </is>
      </c>
      <c r="F343" t="inlineStr">
        <is>
          <t>Gastos de personal</t>
        </is>
      </c>
      <c r="G343" t="inlineStr">
        <is>
          <t>gasto_admin</t>
        </is>
      </c>
      <c r="H343" t="inlineStr">
        <is>
          <t>Personal</t>
        </is>
      </c>
      <c r="I343" t="inlineStr">
        <is>
          <t>Administracion</t>
        </is>
      </c>
      <c r="J343" t="n">
        <v>0</v>
      </c>
      <c r="K343" t="n">
        <v>-540.92</v>
      </c>
      <c r="L343" t="inlineStr">
        <is>
          <t>Junio 2026 USA.xlsx</t>
        </is>
      </c>
      <c r="M343" t="inlineStr">
        <is>
          <t>Aprobado</t>
        </is>
      </c>
      <c r="N343" t="inlineStr">
        <is>
          <t>Puente para redise?ar vistas de Costos &amp; Gastos; no reemplaza P&amp;G oficial. Convertido a USD con la tasa promedio mensual del pais.</t>
        </is>
      </c>
    </row>
    <row r="344">
      <c r="A344" t="inlineStr">
        <is>
          <t>2026-06</t>
        </is>
      </c>
      <c r="B344" t="inlineStr">
        <is>
          <t>Estados Unidos</t>
        </is>
      </c>
      <c r="C344" t="inlineStr">
        <is>
          <t>USA</t>
        </is>
      </c>
      <c r="D344" t="inlineStr">
        <is>
          <t>USD</t>
        </is>
      </c>
      <c r="E344" t="inlineStr">
        <is>
          <t>PL-O-010</t>
        </is>
      </c>
      <c r="F344" t="inlineStr">
        <is>
          <t>Gastos de personal</t>
        </is>
      </c>
      <c r="G344" t="inlineStr">
        <is>
          <t>gasto_admin</t>
        </is>
      </c>
      <c r="H344" t="inlineStr">
        <is>
          <t>Personal</t>
        </is>
      </c>
      <c r="I344" t="inlineStr">
        <is>
          <t>Administracion</t>
        </is>
      </c>
      <c r="J344" t="n">
        <v>0</v>
      </c>
      <c r="K344" t="n">
        <v>122.93</v>
      </c>
      <c r="L344" t="inlineStr">
        <is>
          <t>Junio 2026 USA.xlsx</t>
        </is>
      </c>
      <c r="M344" t="inlineStr">
        <is>
          <t>Aprobado</t>
        </is>
      </c>
      <c r="N344" t="inlineStr">
        <is>
          <t>Puente para redise?ar vistas de Costos &amp; Gastos; no reemplaza P&amp;G oficial. Convertido a USD con la tasa promedio mensual del pais.</t>
        </is>
      </c>
    </row>
    <row r="345">
      <c r="A345" t="inlineStr">
        <is>
          <t>2026-06</t>
        </is>
      </c>
      <c r="B345" t="inlineStr">
        <is>
          <t>Estados Unidos</t>
        </is>
      </c>
      <c r="C345" t="inlineStr">
        <is>
          <t>USA</t>
        </is>
      </c>
      <c r="D345" t="inlineStr">
        <is>
          <t>USD</t>
        </is>
      </c>
      <c r="E345" t="inlineStr">
        <is>
          <t>PL-O-010</t>
        </is>
      </c>
      <c r="F345" t="inlineStr">
        <is>
          <t>Gastos de personal</t>
        </is>
      </c>
      <c r="G345" t="inlineStr">
        <is>
          <t>gasto_admin</t>
        </is>
      </c>
      <c r="H345" t="inlineStr">
        <is>
          <t>Personal</t>
        </is>
      </c>
      <c r="I345" t="inlineStr">
        <is>
          <t>Administracion</t>
        </is>
      </c>
      <c r="J345" t="n">
        <v>0</v>
      </c>
      <c r="K345" t="n">
        <v>56.7</v>
      </c>
      <c r="L345" t="inlineStr">
        <is>
          <t>Junio 2026 USA.xlsx</t>
        </is>
      </c>
      <c r="M345" t="inlineStr">
        <is>
          <t>Aprobado</t>
        </is>
      </c>
      <c r="N345" t="inlineStr">
        <is>
          <t>Puente para redise?ar vistas de Costos &amp; Gastos; no reemplaza P&amp;G oficial. Convertido a USD con la tasa promedio mensual del pais.</t>
        </is>
      </c>
    </row>
    <row r="346">
      <c r="A346" t="inlineStr">
        <is>
          <t>2026-06</t>
        </is>
      </c>
      <c r="B346" t="inlineStr">
        <is>
          <t>Estados Unidos</t>
        </is>
      </c>
      <c r="C346" t="inlineStr">
        <is>
          <t>USA</t>
        </is>
      </c>
      <c r="D346" t="inlineStr">
        <is>
          <t>USD</t>
        </is>
      </c>
      <c r="E346" t="inlineStr">
        <is>
          <t>PL-O-010</t>
        </is>
      </c>
      <c r="F346" t="inlineStr">
        <is>
          <t>Gastos de personal</t>
        </is>
      </c>
      <c r="G346" t="inlineStr">
        <is>
          <t>gasto_admin</t>
        </is>
      </c>
      <c r="H346" t="inlineStr">
        <is>
          <t>Personal</t>
        </is>
      </c>
      <c r="I346" t="inlineStr">
        <is>
          <t>Administracion</t>
        </is>
      </c>
      <c r="J346" t="n">
        <v>637.33</v>
      </c>
      <c r="K346" t="n">
        <v>4153.98</v>
      </c>
      <c r="L346" t="inlineStr">
        <is>
          <t>Junio 2026 USA.xlsx</t>
        </is>
      </c>
      <c r="M346" t="inlineStr">
        <is>
          <t>Aprobado</t>
        </is>
      </c>
      <c r="N346" t="inlineStr">
        <is>
          <t>Puente para redise?ar vistas de Costos &amp; Gastos; no reemplaza P&amp;G oficial. Convertido a USD con la tasa promedio mensual del pais.</t>
        </is>
      </c>
    </row>
    <row r="347">
      <c r="A347" t="inlineStr">
        <is>
          <t>2026-06</t>
        </is>
      </c>
      <c r="B347" t="inlineStr">
        <is>
          <t>Estados Unidos</t>
        </is>
      </c>
      <c r="C347" t="inlineStr">
        <is>
          <t>USA</t>
        </is>
      </c>
      <c r="D347" t="inlineStr">
        <is>
          <t>USD</t>
        </is>
      </c>
      <c r="E347" t="inlineStr">
        <is>
          <t>PL-O-020</t>
        </is>
      </c>
      <c r="F347" t="inlineStr">
        <is>
          <t>Honorarios y servicios profesionales</t>
        </is>
      </c>
      <c r="G347" t="inlineStr">
        <is>
          <t>gasto_admin</t>
        </is>
      </c>
      <c r="H347" t="inlineStr">
        <is>
          <t>Honorarios</t>
        </is>
      </c>
      <c r="I347" t="inlineStr">
        <is>
          <t>Administracion</t>
        </is>
      </c>
      <c r="J347" t="n">
        <v>150</v>
      </c>
      <c r="K347" t="n">
        <v>150</v>
      </c>
      <c r="L347" t="inlineStr">
        <is>
          <t>Junio 2026 USA.xlsx</t>
        </is>
      </c>
      <c r="M347" t="inlineStr">
        <is>
          <t>Aprobado</t>
        </is>
      </c>
      <c r="N347" t="inlineStr">
        <is>
          <t>Puente para redise?ar vistas de Costos &amp; Gastos; no reemplaza P&amp;G oficial. Convertido a USD con la tasa promedio mensual del pais.</t>
        </is>
      </c>
    </row>
    <row r="348">
      <c r="A348" t="inlineStr">
        <is>
          <t>2026-06</t>
        </is>
      </c>
      <c r="B348" t="inlineStr">
        <is>
          <t>Estados Unidos</t>
        </is>
      </c>
      <c r="C348" t="inlineStr">
        <is>
          <t>USA</t>
        </is>
      </c>
      <c r="D348" t="inlineStr">
        <is>
          <t>USD</t>
        </is>
      </c>
      <c r="E348" t="inlineStr">
        <is>
          <t>PL-O-020</t>
        </is>
      </c>
      <c r="F348" t="inlineStr">
        <is>
          <t>Honorarios y servicios profesionales</t>
        </is>
      </c>
      <c r="G348" t="inlineStr">
        <is>
          <t>gasto_admin</t>
        </is>
      </c>
      <c r="H348" t="inlineStr">
        <is>
          <t>Honorarios</t>
        </is>
      </c>
      <c r="I348" t="inlineStr">
        <is>
          <t>Administracion</t>
        </is>
      </c>
      <c r="J348" t="n">
        <v>0</v>
      </c>
      <c r="K348" t="n">
        <v>445</v>
      </c>
      <c r="L348" t="inlineStr">
        <is>
          <t>Junio 2026 USA.xlsx</t>
        </is>
      </c>
      <c r="M348" t="inlineStr">
        <is>
          <t>Aprobado</t>
        </is>
      </c>
      <c r="N348" t="inlineStr">
        <is>
          <t>Puente para redise?ar vistas de Costos &amp; Gastos; no reemplaza P&amp;G oficial. Convertido a USD con la tasa promedio mensual del pais.</t>
        </is>
      </c>
    </row>
    <row r="349">
      <c r="A349" t="inlineStr">
        <is>
          <t>2026-06</t>
        </is>
      </c>
      <c r="B349" t="inlineStr">
        <is>
          <t>Estados Unidos</t>
        </is>
      </c>
      <c r="C349" t="inlineStr">
        <is>
          <t>USA</t>
        </is>
      </c>
      <c r="D349" t="inlineStr">
        <is>
          <t>USD</t>
        </is>
      </c>
      <c r="E349" t="inlineStr">
        <is>
          <t>PL-O-020</t>
        </is>
      </c>
      <c r="F349" t="inlineStr">
        <is>
          <t>Honorarios y servicios profesionales</t>
        </is>
      </c>
      <c r="G349" t="inlineStr">
        <is>
          <t>gasto_admin</t>
        </is>
      </c>
      <c r="H349" t="inlineStr">
        <is>
          <t>Honorarios</t>
        </is>
      </c>
      <c r="I349" t="inlineStr">
        <is>
          <t>Administracion</t>
        </is>
      </c>
      <c r="J349" t="n">
        <v>2000</v>
      </c>
      <c r="K349" t="n">
        <v>2000</v>
      </c>
      <c r="L349" t="inlineStr">
        <is>
          <t>Junio 2026 USA.xlsx</t>
        </is>
      </c>
      <c r="M349" t="inlineStr">
        <is>
          <t>Aprobado</t>
        </is>
      </c>
      <c r="N349" t="inlineStr">
        <is>
          <t>Puente para redise?ar vistas de Costos &amp; Gastos; no reemplaza P&amp;G oficial. Convertido a USD con la tasa promedio mensual del pais.</t>
        </is>
      </c>
    </row>
    <row r="350">
      <c r="A350" t="inlineStr">
        <is>
          <t>2026-06</t>
        </is>
      </c>
      <c r="B350" t="inlineStr">
        <is>
          <t>Estados Unidos</t>
        </is>
      </c>
      <c r="C350" t="inlineStr">
        <is>
          <t>USA</t>
        </is>
      </c>
      <c r="D350" t="inlineStr">
        <is>
          <t>USD</t>
        </is>
      </c>
      <c r="E350" t="inlineStr">
        <is>
          <t>PL-O-030</t>
        </is>
      </c>
      <c r="F350" t="inlineStr">
        <is>
          <t>Impuestos y contribuciones</t>
        </is>
      </c>
      <c r="G350" t="inlineStr">
        <is>
          <t>gasto_admin</t>
        </is>
      </c>
      <c r="H350" t="inlineStr">
        <is>
          <t>Diversos</t>
        </is>
      </c>
      <c r="I350" t="inlineStr">
        <is>
          <t>Administracion</t>
        </is>
      </c>
      <c r="J350" t="n">
        <v>0</v>
      </c>
      <c r="K350" t="n">
        <v>4024.05</v>
      </c>
      <c r="L350" t="inlineStr">
        <is>
          <t>Junio 2026 USA.xlsx</t>
        </is>
      </c>
      <c r="M350" t="inlineStr">
        <is>
          <t>Aprobado</t>
        </is>
      </c>
      <c r="N350" t="inlineStr">
        <is>
          <t>Puente para redise?ar vistas de Costos &amp; Gastos; no reemplaza P&amp;G oficial. Convertido a USD con la tasa promedio mensual del pais.</t>
        </is>
      </c>
    </row>
    <row r="351">
      <c r="A351" t="inlineStr">
        <is>
          <t>2026-06</t>
        </is>
      </c>
      <c r="B351" t="inlineStr">
        <is>
          <t>Estados Unidos</t>
        </is>
      </c>
      <c r="C351" t="inlineStr">
        <is>
          <t>USA</t>
        </is>
      </c>
      <c r="D351" t="inlineStr">
        <is>
          <t>USD</t>
        </is>
      </c>
      <c r="E351" t="inlineStr">
        <is>
          <t>PL-O-060</t>
        </is>
      </c>
      <c r="F351" t="inlineStr">
        <is>
          <t>Tecnología y procesamiento de datos</t>
        </is>
      </c>
      <c r="G351" t="inlineStr">
        <is>
          <t>gasto_admin</t>
        </is>
      </c>
      <c r="H351" t="inlineStr">
        <is>
          <t>Servicios</t>
        </is>
      </c>
      <c r="I351" t="inlineStr">
        <is>
          <t>Administracion</t>
        </is>
      </c>
      <c r="J351" t="n">
        <v>0</v>
      </c>
      <c r="K351" t="n">
        <v>225.35</v>
      </c>
      <c r="L351" t="inlineStr">
        <is>
          <t>Junio 2026 USA.xlsx</t>
        </is>
      </c>
      <c r="M351" t="inlineStr">
        <is>
          <t>Aprobado</t>
        </is>
      </c>
      <c r="N351" t="inlineStr">
        <is>
          <t>Puente para redise?ar vistas de Costos &amp; Gastos; no reemplaza P&amp;G oficial. Convertido a USD con la tasa promedio mensual del pais.</t>
        </is>
      </c>
    </row>
    <row r="352">
      <c r="A352" t="inlineStr">
        <is>
          <t>2026-06</t>
        </is>
      </c>
      <c r="B352" t="inlineStr">
        <is>
          <t>Estados Unidos</t>
        </is>
      </c>
      <c r="C352" t="inlineStr">
        <is>
          <t>USA</t>
        </is>
      </c>
      <c r="D352" t="inlineStr">
        <is>
          <t>USD</t>
        </is>
      </c>
      <c r="E352" t="inlineStr">
        <is>
          <t>PL-O-060</t>
        </is>
      </c>
      <c r="F352" t="inlineStr">
        <is>
          <t>Tecnología y procesamiento de datos</t>
        </is>
      </c>
      <c r="G352" t="inlineStr">
        <is>
          <t>gasto_admin</t>
        </is>
      </c>
      <c r="H352" t="inlineStr">
        <is>
          <t>Servicios</t>
        </is>
      </c>
      <c r="I352" t="inlineStr">
        <is>
          <t>Administracion</t>
        </is>
      </c>
      <c r="J352" t="n">
        <v>0</v>
      </c>
      <c r="K352" t="n">
        <v>191.4</v>
      </c>
      <c r="L352" t="inlineStr">
        <is>
          <t>Junio 2026 USA.xlsx</t>
        </is>
      </c>
      <c r="M352" t="inlineStr">
        <is>
          <t>Aprobado</t>
        </is>
      </c>
      <c r="N352" t="inlineStr">
        <is>
          <t>Puente para redise?ar vistas de Costos &amp; Gastos; no reemplaza P&amp;G oficial. Convertido a USD con la tasa promedio mensual del pais.</t>
        </is>
      </c>
    </row>
    <row r="353">
      <c r="A353" t="inlineStr">
        <is>
          <t>2026-06</t>
        </is>
      </c>
      <c r="B353" t="inlineStr">
        <is>
          <t>Estados Unidos</t>
        </is>
      </c>
      <c r="C353" t="inlineStr">
        <is>
          <t>USA</t>
        </is>
      </c>
      <c r="D353" t="inlineStr">
        <is>
          <t>USD</t>
        </is>
      </c>
      <c r="E353" t="inlineStr">
        <is>
          <t>PL-O-060</t>
        </is>
      </c>
      <c r="F353" t="inlineStr">
        <is>
          <t>Tecnología y procesamiento de datos</t>
        </is>
      </c>
      <c r="G353" t="inlineStr">
        <is>
          <t>gasto_admin</t>
        </is>
      </c>
      <c r="H353" t="inlineStr">
        <is>
          <t>Servicios</t>
        </is>
      </c>
      <c r="I353" t="inlineStr">
        <is>
          <t>Administracion</t>
        </is>
      </c>
      <c r="J353" t="n">
        <v>0</v>
      </c>
      <c r="K353" t="n">
        <v>32.1</v>
      </c>
      <c r="L353" t="inlineStr">
        <is>
          <t>Junio 2026 USA.xlsx</t>
        </is>
      </c>
      <c r="M353" t="inlineStr">
        <is>
          <t>Aprobado</t>
        </is>
      </c>
      <c r="N353" t="inlineStr">
        <is>
          <t>Puente para redise?ar vistas de Costos &amp; Gastos; no reemplaza P&amp;G oficial. Convertido a USD con la tasa promedio mensual del pais.</t>
        </is>
      </c>
    </row>
    <row r="354">
      <c r="A354" t="inlineStr">
        <is>
          <t>2026-06</t>
        </is>
      </c>
      <c r="B354" t="inlineStr">
        <is>
          <t>Estados Unidos</t>
        </is>
      </c>
      <c r="C354" t="inlineStr">
        <is>
          <t>USA</t>
        </is>
      </c>
      <c r="D354" t="inlineStr">
        <is>
          <t>USD</t>
        </is>
      </c>
      <c r="E354" t="inlineStr">
        <is>
          <t>PL-O-060</t>
        </is>
      </c>
      <c r="F354" t="inlineStr">
        <is>
          <t>Tecnología y procesamiento de datos</t>
        </is>
      </c>
      <c r="G354" t="inlineStr">
        <is>
          <t>gasto_admin</t>
        </is>
      </c>
      <c r="H354" t="inlineStr">
        <is>
          <t>Servicios</t>
        </is>
      </c>
      <c r="I354" t="inlineStr">
        <is>
          <t>Administracion</t>
        </is>
      </c>
      <c r="J354" t="n">
        <v>20</v>
      </c>
      <c r="K354" t="n">
        <v>100</v>
      </c>
      <c r="L354" t="inlineStr">
        <is>
          <t>Junio 2026 USA.xlsx</t>
        </is>
      </c>
      <c r="M354" t="inlineStr">
        <is>
          <t>Aprobado</t>
        </is>
      </c>
      <c r="N354" t="inlineStr">
        <is>
          <t>Puente para redise?ar vistas de Costos &amp; Gastos; no reemplaza P&amp;G oficial. Convertido a USD con la tasa promedio mensual del pais.</t>
        </is>
      </c>
    </row>
    <row r="355">
      <c r="A355" t="inlineStr">
        <is>
          <t>2026-06</t>
        </is>
      </c>
      <c r="B355" t="inlineStr">
        <is>
          <t>Estados Unidos</t>
        </is>
      </c>
      <c r="C355" t="inlineStr">
        <is>
          <t>USA</t>
        </is>
      </c>
      <c r="D355" t="inlineStr">
        <is>
          <t>USD</t>
        </is>
      </c>
      <c r="E355" t="inlineStr">
        <is>
          <t>PL-O-060</t>
        </is>
      </c>
      <c r="F355" t="inlineStr">
        <is>
          <t>Tecnología y procesamiento de datos</t>
        </is>
      </c>
      <c r="G355" t="inlineStr">
        <is>
          <t>gasto_admin</t>
        </is>
      </c>
      <c r="H355" t="inlineStr">
        <is>
          <t>Servicios</t>
        </is>
      </c>
      <c r="I355" t="inlineStr">
        <is>
          <t>Administracion</t>
        </is>
      </c>
      <c r="J355" t="n">
        <v>0</v>
      </c>
      <c r="K355" t="n">
        <v>7500</v>
      </c>
      <c r="L355" t="inlineStr">
        <is>
          <t>Junio 2026 USA.xlsx</t>
        </is>
      </c>
      <c r="M355" t="inlineStr">
        <is>
          <t>Aprobado</t>
        </is>
      </c>
      <c r="N355" t="inlineStr">
        <is>
          <t>Puente para redise?ar vistas de Costos &amp; Gastos; no reemplaza P&amp;G oficial. Convertido a USD con la tasa promedio mensual del pais.</t>
        </is>
      </c>
    </row>
    <row r="356">
      <c r="A356" t="inlineStr">
        <is>
          <t>2026-06</t>
        </is>
      </c>
      <c r="B356" t="inlineStr">
        <is>
          <t>Estados Unidos</t>
        </is>
      </c>
      <c r="C356" t="inlineStr">
        <is>
          <t>USA</t>
        </is>
      </c>
      <c r="D356" t="inlineStr">
        <is>
          <t>USD</t>
        </is>
      </c>
      <c r="E356" t="inlineStr">
        <is>
          <t>PL-O-060</t>
        </is>
      </c>
      <c r="F356" t="inlineStr">
        <is>
          <t>Tecnología y procesamiento de datos</t>
        </is>
      </c>
      <c r="G356" t="inlineStr">
        <is>
          <t>gasto_admin</t>
        </is>
      </c>
      <c r="H356" t="inlineStr">
        <is>
          <t>Servicios</t>
        </is>
      </c>
      <c r="I356" t="inlineStr">
        <is>
          <t>Administracion</t>
        </is>
      </c>
      <c r="J356" t="n">
        <v>0</v>
      </c>
      <c r="K356" t="n">
        <v>1027.2</v>
      </c>
      <c r="L356" t="inlineStr">
        <is>
          <t>Junio 2026 USA.xlsx</t>
        </is>
      </c>
      <c r="M356" t="inlineStr">
        <is>
          <t>Aprobado</t>
        </is>
      </c>
      <c r="N356" t="inlineStr">
        <is>
          <t>Puente para redise?ar vistas de Costos &amp; Gastos; no reemplaza P&amp;G oficial. Convertido a USD con la tasa promedio mensual del pais.</t>
        </is>
      </c>
    </row>
    <row r="357">
      <c r="A357" t="inlineStr">
        <is>
          <t>2026-06</t>
        </is>
      </c>
      <c r="B357" t="inlineStr">
        <is>
          <t>Estados Unidos</t>
        </is>
      </c>
      <c r="C357" t="inlineStr">
        <is>
          <t>USA</t>
        </is>
      </c>
      <c r="D357" t="inlineStr">
        <is>
          <t>USD</t>
        </is>
      </c>
      <c r="E357" t="inlineStr">
        <is>
          <t>PL-O-060</t>
        </is>
      </c>
      <c r="F357" t="inlineStr">
        <is>
          <t>Tecnología y procesamiento de datos</t>
        </is>
      </c>
      <c r="G357" t="inlineStr">
        <is>
          <t>gasto_admin</t>
        </is>
      </c>
      <c r="H357" t="inlineStr">
        <is>
          <t>Servicios</t>
        </is>
      </c>
      <c r="I357" t="inlineStr">
        <is>
          <t>Administracion</t>
        </is>
      </c>
      <c r="J357" t="n">
        <v>0</v>
      </c>
      <c r="K357" t="n">
        <v>191.53</v>
      </c>
      <c r="L357" t="inlineStr">
        <is>
          <t>Junio 2026 USA.xlsx</t>
        </is>
      </c>
      <c r="M357" t="inlineStr">
        <is>
          <t>Aprobado</t>
        </is>
      </c>
      <c r="N357" t="inlineStr">
        <is>
          <t>Puente para redise?ar vistas de Costos &amp; Gastos; no reemplaza P&amp;G oficial. Convertido a USD con la tasa promedio mensual del pais.</t>
        </is>
      </c>
    </row>
    <row r="358">
      <c r="A358" t="inlineStr">
        <is>
          <t>2026-06</t>
        </is>
      </c>
      <c r="B358" t="inlineStr">
        <is>
          <t>Estados Unidos</t>
        </is>
      </c>
      <c r="C358" t="inlineStr">
        <is>
          <t>USA</t>
        </is>
      </c>
      <c r="D358" t="inlineStr">
        <is>
          <t>USD</t>
        </is>
      </c>
      <c r="E358" t="inlineStr">
        <is>
          <t>PL-O-070</t>
        </is>
      </c>
      <c r="F358" t="inlineStr">
        <is>
          <t>Telecomunicaciones</t>
        </is>
      </c>
      <c r="G358" t="inlineStr">
        <is>
          <t>gasto_admin</t>
        </is>
      </c>
      <c r="H358" t="inlineStr">
        <is>
          <t>Servicios</t>
        </is>
      </c>
      <c r="I358" t="inlineStr">
        <is>
          <t>Administracion</t>
        </is>
      </c>
      <c r="J358" t="n">
        <v>160.88</v>
      </c>
      <c r="K358" t="n">
        <v>314.48</v>
      </c>
      <c r="L358" t="inlineStr">
        <is>
          <t>Junio 2026 USA.xlsx</t>
        </is>
      </c>
      <c r="M358" t="inlineStr">
        <is>
          <t>Aprobado</t>
        </is>
      </c>
      <c r="N358" t="inlineStr">
        <is>
          <t>Puente para redise?ar vistas de Costos &amp; Gastos; no reemplaza P&amp;G oficial. Convertido a USD con la tasa promedio mensual del pais.</t>
        </is>
      </c>
    </row>
    <row r="359">
      <c r="A359" t="inlineStr">
        <is>
          <t>2026-06</t>
        </is>
      </c>
      <c r="B359" t="inlineStr">
        <is>
          <t>Estados Unidos</t>
        </is>
      </c>
      <c r="C359" t="inlineStr">
        <is>
          <t>USA</t>
        </is>
      </c>
      <c r="D359" t="inlineStr">
        <is>
          <t>USD</t>
        </is>
      </c>
      <c r="E359" t="inlineStr">
        <is>
          <t>PL-O-080</t>
        </is>
      </c>
      <c r="F359" t="inlineStr">
        <is>
          <t>Correo y mensajería</t>
        </is>
      </c>
      <c r="G359" t="inlineStr">
        <is>
          <t>gasto_admin</t>
        </is>
      </c>
      <c r="H359" t="inlineStr">
        <is>
          <t>Servicios</t>
        </is>
      </c>
      <c r="I359" t="inlineStr">
        <is>
          <t>Administracion</t>
        </is>
      </c>
      <c r="J359" t="n">
        <v>0</v>
      </c>
      <c r="K359" t="n">
        <v>57.32</v>
      </c>
      <c r="L359" t="inlineStr">
        <is>
          <t>Junio 2026 USA.xlsx</t>
        </is>
      </c>
      <c r="M359" t="inlineStr">
        <is>
          <t>Aprobado</t>
        </is>
      </c>
      <c r="N359" t="inlineStr">
        <is>
          <t>Puente para redise?ar vistas de Costos &amp; Gastos; no reemplaza P&amp;G oficial. Convertido a USD con la tasa promedio mensual del pais.</t>
        </is>
      </c>
    </row>
    <row r="360">
      <c r="A360" t="inlineStr">
        <is>
          <t>2026-06</t>
        </is>
      </c>
      <c r="B360" t="inlineStr">
        <is>
          <t>Estados Unidos</t>
        </is>
      </c>
      <c r="C360" t="inlineStr">
        <is>
          <t>USA</t>
        </is>
      </c>
      <c r="D360" t="inlineStr">
        <is>
          <t>USD</t>
        </is>
      </c>
      <c r="E360" t="inlineStr">
        <is>
          <t>PL-O-100</t>
        </is>
      </c>
      <c r="F360" t="inlineStr">
        <is>
          <t>Otros servicios administrativos</t>
        </is>
      </c>
      <c r="G360" t="inlineStr">
        <is>
          <t>gasto_admin</t>
        </is>
      </c>
      <c r="H360" t="inlineStr">
        <is>
          <t>Servicios</t>
        </is>
      </c>
      <c r="I360" t="inlineStr">
        <is>
          <t>Administracion</t>
        </is>
      </c>
      <c r="J360" t="n">
        <v>0</v>
      </c>
      <c r="K360" t="n">
        <v>773.99</v>
      </c>
      <c r="L360" t="inlineStr">
        <is>
          <t>Junio 2026 USA.xlsx</t>
        </is>
      </c>
      <c r="M360" t="inlineStr">
        <is>
          <t>Revisar</t>
        </is>
      </c>
      <c r="N360" t="inlineStr">
        <is>
          <t>Puente para redise?ar vistas de Costos &amp; Gastos; no reemplaza P&amp;G oficial. Convertido a USD con la tasa promedio mensual del pais.</t>
        </is>
      </c>
    </row>
    <row r="361">
      <c r="A361" t="inlineStr">
        <is>
          <t>2026-06</t>
        </is>
      </c>
      <c r="B361" t="inlineStr">
        <is>
          <t>Estados Unidos</t>
        </is>
      </c>
      <c r="C361" t="inlineStr">
        <is>
          <t>USA</t>
        </is>
      </c>
      <c r="D361" t="inlineStr">
        <is>
          <t>USD</t>
        </is>
      </c>
      <c r="E361" t="inlineStr">
        <is>
          <t>PL-O-110</t>
        </is>
      </c>
      <c r="F361" t="inlineStr">
        <is>
          <t>Suministros y oficina</t>
        </is>
      </c>
      <c r="G361" t="inlineStr">
        <is>
          <t>gasto_admin</t>
        </is>
      </c>
      <c r="H361" t="inlineStr">
        <is>
          <t>Diversos</t>
        </is>
      </c>
      <c r="I361" t="inlineStr">
        <is>
          <t>Administracion</t>
        </is>
      </c>
      <c r="J361" t="n">
        <v>0</v>
      </c>
      <c r="K361" t="n">
        <v>35.1</v>
      </c>
      <c r="L361" t="inlineStr">
        <is>
          <t>Junio 2026 USA.xlsx</t>
        </is>
      </c>
      <c r="M361" t="inlineStr">
        <is>
          <t>Aprobado</t>
        </is>
      </c>
      <c r="N361" t="inlineStr">
        <is>
          <t>Puente para redise?ar vistas de Costos &amp; Gastos; no reemplaza P&amp;G oficial. Convertido a USD con la tasa promedio mensual del pais.</t>
        </is>
      </c>
    </row>
    <row r="362">
      <c r="A362" t="inlineStr">
        <is>
          <t>2026-06</t>
        </is>
      </c>
      <c r="B362" t="inlineStr">
        <is>
          <t>Estados Unidos</t>
        </is>
      </c>
      <c r="C362" t="inlineStr">
        <is>
          <t>USA</t>
        </is>
      </c>
      <c r="D362" t="inlineStr">
        <is>
          <t>USD</t>
        </is>
      </c>
      <c r="E362" t="inlineStr">
        <is>
          <t>PL-O-110</t>
        </is>
      </c>
      <c r="F362" t="inlineStr">
        <is>
          <t>Suministros y oficina</t>
        </is>
      </c>
      <c r="G362" t="inlineStr">
        <is>
          <t>gasto_admin</t>
        </is>
      </c>
      <c r="H362" t="inlineStr">
        <is>
          <t>Diversos</t>
        </is>
      </c>
      <c r="I362" t="inlineStr">
        <is>
          <t>Administracion</t>
        </is>
      </c>
      <c r="J362" t="n">
        <v>0</v>
      </c>
      <c r="K362" t="n">
        <v>82.58</v>
      </c>
      <c r="L362" t="inlineStr">
        <is>
          <t>Junio 2026 USA.xlsx</t>
        </is>
      </c>
      <c r="M362" t="inlineStr">
        <is>
          <t>Aprobado</t>
        </is>
      </c>
      <c r="N362" t="inlineStr">
        <is>
          <t>Puente para redise?ar vistas de Costos &amp; Gastos; no reemplaza P&amp;G oficial. Convertido a USD con la tasa promedio mensual del pais.</t>
        </is>
      </c>
    </row>
    <row r="363">
      <c r="A363" t="inlineStr">
        <is>
          <t>2026-06</t>
        </is>
      </c>
      <c r="B363" t="inlineStr">
        <is>
          <t>Estados Unidos</t>
        </is>
      </c>
      <c r="C363" t="inlineStr">
        <is>
          <t>USA</t>
        </is>
      </c>
      <c r="D363" t="inlineStr">
        <is>
          <t>USD</t>
        </is>
      </c>
      <c r="E363" t="inlineStr">
        <is>
          <t>PL-O-120</t>
        </is>
      </c>
      <c r="F363" t="inlineStr">
        <is>
          <t>Alimentación y restaurante</t>
        </is>
      </c>
      <c r="G363" t="inlineStr">
        <is>
          <t>gasto_admin</t>
        </is>
      </c>
      <c r="H363" t="inlineStr">
        <is>
          <t>Diversos</t>
        </is>
      </c>
      <c r="I363" t="inlineStr">
        <is>
          <t>Administracion</t>
        </is>
      </c>
      <c r="J363" t="n">
        <v>0</v>
      </c>
      <c r="K363" t="n">
        <v>254.29</v>
      </c>
      <c r="L363" t="inlineStr">
        <is>
          <t>Junio 2026 USA.xlsx</t>
        </is>
      </c>
      <c r="M363" t="inlineStr">
        <is>
          <t>Revisar</t>
        </is>
      </c>
      <c r="N363" t="inlineStr">
        <is>
          <t>Puente para redise?ar vistas de Costos &amp; Gastos; no reemplaza P&amp;G oficial. Convertido a USD con la tasa promedio mensual del pais.</t>
        </is>
      </c>
    </row>
    <row r="364">
      <c r="A364" t="inlineStr">
        <is>
          <t>2026-06</t>
        </is>
      </c>
      <c r="B364" t="inlineStr">
        <is>
          <t>Estados Unidos</t>
        </is>
      </c>
      <c r="C364" t="inlineStr">
        <is>
          <t>USA</t>
        </is>
      </c>
      <c r="D364" t="inlineStr">
        <is>
          <t>USD</t>
        </is>
      </c>
      <c r="E364" t="inlineStr">
        <is>
          <t>PL-O-120</t>
        </is>
      </c>
      <c r="F364" t="inlineStr">
        <is>
          <t>Alimentación y restaurante</t>
        </is>
      </c>
      <c r="G364" t="inlineStr">
        <is>
          <t>gasto_admin</t>
        </is>
      </c>
      <c r="H364" t="inlineStr">
        <is>
          <t>Diversos</t>
        </is>
      </c>
      <c r="I364" t="inlineStr">
        <is>
          <t>Administracion</t>
        </is>
      </c>
      <c r="J364" t="n">
        <v>0</v>
      </c>
      <c r="K364" t="n">
        <v>63.15</v>
      </c>
      <c r="L364" t="inlineStr">
        <is>
          <t>Junio 2026 USA.xlsx</t>
        </is>
      </c>
      <c r="M364" t="inlineStr">
        <is>
          <t>Revisar</t>
        </is>
      </c>
      <c r="N364" t="inlineStr">
        <is>
          <t>Puente para redise?ar vistas de Costos &amp; Gastos; no reemplaza P&amp;G oficial. Convertido a USD con la tasa promedio mensual del pais.</t>
        </is>
      </c>
    </row>
    <row r="365">
      <c r="A365" t="inlineStr">
        <is>
          <t>2026-06</t>
        </is>
      </c>
      <c r="B365" t="inlineStr">
        <is>
          <t>Estados Unidos</t>
        </is>
      </c>
      <c r="C365" t="inlineStr">
        <is>
          <t>USA</t>
        </is>
      </c>
      <c r="D365" t="inlineStr">
        <is>
          <t>USD</t>
        </is>
      </c>
      <c r="E365" t="inlineStr">
        <is>
          <t>PL-O-120</t>
        </is>
      </c>
      <c r="F365" t="inlineStr">
        <is>
          <t>Alimentación y restaurante</t>
        </is>
      </c>
      <c r="G365" t="inlineStr">
        <is>
          <t>gasto_admin</t>
        </is>
      </c>
      <c r="H365" t="inlineStr">
        <is>
          <t>Diversos</t>
        </is>
      </c>
      <c r="I365" t="inlineStr">
        <is>
          <t>Administracion</t>
        </is>
      </c>
      <c r="J365" t="n">
        <v>0</v>
      </c>
      <c r="K365" t="n">
        <v>55.93</v>
      </c>
      <c r="L365" t="inlineStr">
        <is>
          <t>Junio 2026 USA.xlsx</t>
        </is>
      </c>
      <c r="M365" t="inlineStr">
        <is>
          <t>Revisar</t>
        </is>
      </c>
      <c r="N365" t="inlineStr">
        <is>
          <t>Puente para redise?ar vistas de Costos &amp; Gastos; no reemplaza P&amp;G oficial. Convertido a USD con la tasa promedio mensual del pais.</t>
        </is>
      </c>
    </row>
    <row r="366">
      <c r="A366" t="inlineStr">
        <is>
          <t>2026-06</t>
        </is>
      </c>
      <c r="B366" t="inlineStr">
        <is>
          <t>Estados Unidos</t>
        </is>
      </c>
      <c r="C366" t="inlineStr">
        <is>
          <t>USA</t>
        </is>
      </c>
      <c r="D366" t="inlineStr">
        <is>
          <t>USD</t>
        </is>
      </c>
      <c r="E366" t="inlineStr">
        <is>
          <t>PL-O-120</t>
        </is>
      </c>
      <c r="F366" t="inlineStr">
        <is>
          <t>Alimentación y restaurante</t>
        </is>
      </c>
      <c r="G366" t="inlineStr">
        <is>
          <t>gasto_admin</t>
        </is>
      </c>
      <c r="H366" t="inlineStr">
        <is>
          <t>Diversos</t>
        </is>
      </c>
      <c r="I366" t="inlineStr">
        <is>
          <t>Administracion</t>
        </is>
      </c>
      <c r="J366" t="n">
        <v>0</v>
      </c>
      <c r="K366" t="n">
        <v>145.96</v>
      </c>
      <c r="L366" t="inlineStr">
        <is>
          <t>Junio 2026 USA.xlsx</t>
        </is>
      </c>
      <c r="M366" t="inlineStr">
        <is>
          <t>Revisar</t>
        </is>
      </c>
      <c r="N366" t="inlineStr">
        <is>
          <t>Puente para redise?ar vistas de Costos &amp; Gastos; no reemplaza P&amp;G oficial. Convertido a USD con la tasa promedio mensual del pais.</t>
        </is>
      </c>
    </row>
    <row r="367">
      <c r="A367" t="inlineStr">
        <is>
          <t>2026-06</t>
        </is>
      </c>
      <c r="B367" t="inlineStr">
        <is>
          <t>Estados Unidos</t>
        </is>
      </c>
      <c r="C367" t="inlineStr">
        <is>
          <t>USA</t>
        </is>
      </c>
      <c r="D367" t="inlineStr">
        <is>
          <t>USD</t>
        </is>
      </c>
      <c r="E367" t="inlineStr">
        <is>
          <t>PL-O-120</t>
        </is>
      </c>
      <c r="F367" t="inlineStr">
        <is>
          <t>Alimentación y restaurante</t>
        </is>
      </c>
      <c r="G367" t="inlineStr">
        <is>
          <t>gasto_admin</t>
        </is>
      </c>
      <c r="H367" t="inlineStr">
        <is>
          <t>Diversos</t>
        </is>
      </c>
      <c r="I367" t="inlineStr">
        <is>
          <t>Administracion</t>
        </is>
      </c>
      <c r="J367" t="n">
        <v>0</v>
      </c>
      <c r="K367" t="n">
        <v>92.97</v>
      </c>
      <c r="L367" t="inlineStr">
        <is>
          <t>Junio 2026 USA.xlsx</t>
        </is>
      </c>
      <c r="M367" t="inlineStr">
        <is>
          <t>Revisar</t>
        </is>
      </c>
      <c r="N367" t="inlineStr">
        <is>
          <t>Puente para redise?ar vistas de Costos &amp; Gastos; no reemplaza P&amp;G oficial. Convertido a USD con la tasa promedio mensual del pais.</t>
        </is>
      </c>
    </row>
    <row r="368">
      <c r="A368" t="inlineStr">
        <is>
          <t>2026-06</t>
        </is>
      </c>
      <c r="B368" t="inlineStr">
        <is>
          <t>Estados Unidos</t>
        </is>
      </c>
      <c r="C368" t="inlineStr">
        <is>
          <t>USA</t>
        </is>
      </c>
      <c r="D368" t="inlineStr">
        <is>
          <t>USD</t>
        </is>
      </c>
      <c r="E368" t="inlineStr">
        <is>
          <t>PL-O-120</t>
        </is>
      </c>
      <c r="F368" t="inlineStr">
        <is>
          <t>Alimentación y restaurante</t>
        </is>
      </c>
      <c r="G368" t="inlineStr">
        <is>
          <t>gasto_admin</t>
        </is>
      </c>
      <c r="H368" t="inlineStr">
        <is>
          <t>Diversos</t>
        </is>
      </c>
      <c r="I368" t="inlineStr">
        <is>
          <t>Administracion</t>
        </is>
      </c>
      <c r="J368" t="n">
        <v>0</v>
      </c>
      <c r="K368" t="n">
        <v>122.49</v>
      </c>
      <c r="L368" t="inlineStr">
        <is>
          <t>Junio 2026 USA.xlsx</t>
        </is>
      </c>
      <c r="M368" t="inlineStr">
        <is>
          <t>Revisar</t>
        </is>
      </c>
      <c r="N368" t="inlineStr">
        <is>
          <t>Puente para redise?ar vistas de Costos &amp; Gastos; no reemplaza P&amp;G oficial. Convertido a USD con la tasa promedio mensual del pais.</t>
        </is>
      </c>
    </row>
    <row r="369">
      <c r="A369" t="inlineStr">
        <is>
          <t>2026-06</t>
        </is>
      </c>
      <c r="B369" t="inlineStr">
        <is>
          <t>Estados Unidos</t>
        </is>
      </c>
      <c r="C369" t="inlineStr">
        <is>
          <t>USA</t>
        </is>
      </c>
      <c r="D369" t="inlineStr">
        <is>
          <t>USD</t>
        </is>
      </c>
      <c r="E369" t="inlineStr">
        <is>
          <t>PL-O-120</t>
        </is>
      </c>
      <c r="F369" t="inlineStr">
        <is>
          <t>Alimentación y restaurante</t>
        </is>
      </c>
      <c r="G369" t="inlineStr">
        <is>
          <t>gasto_admin</t>
        </is>
      </c>
      <c r="H369" t="inlineStr">
        <is>
          <t>Diversos</t>
        </is>
      </c>
      <c r="I369" t="inlineStr">
        <is>
          <t>Administracion</t>
        </is>
      </c>
      <c r="J369" t="n">
        <v>232.55</v>
      </c>
      <c r="K369" t="n">
        <v>417.15</v>
      </c>
      <c r="L369" t="inlineStr">
        <is>
          <t>Junio 2026 USA.xlsx</t>
        </is>
      </c>
      <c r="M369" t="inlineStr">
        <is>
          <t>Revisar</t>
        </is>
      </c>
      <c r="N369" t="inlineStr">
        <is>
          <t>Puente para redise?ar vistas de Costos &amp; Gastos; no reemplaza P&amp;G oficial. Convertido a USD con la tasa promedio mensual del pais.</t>
        </is>
      </c>
    </row>
    <row r="370">
      <c r="A370" t="inlineStr">
        <is>
          <t>2026-06</t>
        </is>
      </c>
      <c r="B370" t="inlineStr">
        <is>
          <t>Estados Unidos</t>
        </is>
      </c>
      <c r="C370" t="inlineStr">
        <is>
          <t>USA</t>
        </is>
      </c>
      <c r="D370" t="inlineStr">
        <is>
          <t>USD</t>
        </is>
      </c>
      <c r="E370" t="inlineStr">
        <is>
          <t>PL-O-120</t>
        </is>
      </c>
      <c r="F370" t="inlineStr">
        <is>
          <t>Alimentación y restaurante</t>
        </is>
      </c>
      <c r="G370" t="inlineStr">
        <is>
          <t>gasto_admin</t>
        </is>
      </c>
      <c r="H370" t="inlineStr">
        <is>
          <t>Diversos</t>
        </is>
      </c>
      <c r="I370" t="inlineStr">
        <is>
          <t>Administracion</t>
        </is>
      </c>
      <c r="J370" t="n">
        <v>0</v>
      </c>
      <c r="K370" t="n">
        <v>80.39</v>
      </c>
      <c r="L370" t="inlineStr">
        <is>
          <t>Junio 2026 USA.xlsx</t>
        </is>
      </c>
      <c r="M370" t="inlineStr">
        <is>
          <t>Revisar</t>
        </is>
      </c>
      <c r="N370" t="inlineStr">
        <is>
          <t>Puente para redise?ar vistas de Costos &amp; Gastos; no reemplaza P&amp;G oficial. Convertido a USD con la tasa promedio mensual del pais.</t>
        </is>
      </c>
    </row>
    <row r="371">
      <c r="A371" t="inlineStr">
        <is>
          <t>2026-06</t>
        </is>
      </c>
      <c r="B371" t="inlineStr">
        <is>
          <t>Estados Unidos</t>
        </is>
      </c>
      <c r="C371" t="inlineStr">
        <is>
          <t>USA</t>
        </is>
      </c>
      <c r="D371" t="inlineStr">
        <is>
          <t>USD</t>
        </is>
      </c>
      <c r="E371" t="inlineStr">
        <is>
          <t>PL-O-120</t>
        </is>
      </c>
      <c r="F371" t="inlineStr">
        <is>
          <t>Alimentación y restaurante</t>
        </is>
      </c>
      <c r="G371" t="inlineStr">
        <is>
          <t>gasto_admin</t>
        </is>
      </c>
      <c r="H371" t="inlineStr">
        <is>
          <t>Diversos</t>
        </is>
      </c>
      <c r="I371" t="inlineStr">
        <is>
          <t>Administracion</t>
        </is>
      </c>
      <c r="J371" t="n">
        <v>0</v>
      </c>
      <c r="K371" t="n">
        <v>214.32</v>
      </c>
      <c r="L371" t="inlineStr">
        <is>
          <t>Junio 2026 USA.xlsx</t>
        </is>
      </c>
      <c r="M371" t="inlineStr">
        <is>
          <t>Revisar</t>
        </is>
      </c>
      <c r="N371" t="inlineStr">
        <is>
          <t>Puente para redise?ar vistas de Costos &amp; Gastos; no reemplaza P&amp;G oficial. Convertido a USD con la tasa promedio mensual del pais.</t>
        </is>
      </c>
    </row>
    <row r="372">
      <c r="A372" t="inlineStr">
        <is>
          <t>2026-06</t>
        </is>
      </c>
      <c r="B372" t="inlineStr">
        <is>
          <t>Estados Unidos</t>
        </is>
      </c>
      <c r="C372" t="inlineStr">
        <is>
          <t>USA</t>
        </is>
      </c>
      <c r="D372" t="inlineStr">
        <is>
          <t>USD</t>
        </is>
      </c>
      <c r="E372" t="inlineStr">
        <is>
          <t>PL-O-120</t>
        </is>
      </c>
      <c r="F372" t="inlineStr">
        <is>
          <t>Alimentación y restaurante</t>
        </is>
      </c>
      <c r="G372" t="inlineStr">
        <is>
          <t>gasto_admin</t>
        </is>
      </c>
      <c r="H372" t="inlineStr">
        <is>
          <t>Diversos</t>
        </is>
      </c>
      <c r="I372" t="inlineStr">
        <is>
          <t>Administracion</t>
        </is>
      </c>
      <c r="J372" t="n">
        <v>106.93</v>
      </c>
      <c r="K372" t="n">
        <v>284.61</v>
      </c>
      <c r="L372" t="inlineStr">
        <is>
          <t>Junio 2026 USA.xlsx</t>
        </is>
      </c>
      <c r="M372" t="inlineStr">
        <is>
          <t>Revisar</t>
        </is>
      </c>
      <c r="N372" t="inlineStr">
        <is>
          <t>Puente para redise?ar vistas de Costos &amp; Gastos; no reemplaza P&amp;G oficial. Convertido a USD con la tasa promedio mensual del pais.</t>
        </is>
      </c>
    </row>
    <row r="373">
      <c r="A373" t="inlineStr">
        <is>
          <t>2026-06</t>
        </is>
      </c>
      <c r="B373" t="inlineStr">
        <is>
          <t>Estados Unidos</t>
        </is>
      </c>
      <c r="C373" t="inlineStr">
        <is>
          <t>USA</t>
        </is>
      </c>
      <c r="D373" t="inlineStr">
        <is>
          <t>USD</t>
        </is>
      </c>
      <c r="E373" t="inlineStr">
        <is>
          <t>PL-O-120</t>
        </is>
      </c>
      <c r="F373" t="inlineStr">
        <is>
          <t>Alimentación y restaurante</t>
        </is>
      </c>
      <c r="G373" t="inlineStr">
        <is>
          <t>gasto_admin</t>
        </is>
      </c>
      <c r="H373" t="inlineStr">
        <is>
          <t>Diversos</t>
        </is>
      </c>
      <c r="I373" t="inlineStr">
        <is>
          <t>Administracion</t>
        </is>
      </c>
      <c r="J373" t="n">
        <v>124.46</v>
      </c>
      <c r="K373" t="n">
        <v>372.46</v>
      </c>
      <c r="L373" t="inlineStr">
        <is>
          <t>Junio 2026 USA.xlsx</t>
        </is>
      </c>
      <c r="M373" t="inlineStr">
        <is>
          <t>Revisar</t>
        </is>
      </c>
      <c r="N373" t="inlineStr">
        <is>
          <t>Puente para redise?ar vistas de Costos &amp; Gastos; no reemplaza P&amp;G oficial. Convertido a USD con la tasa promedio mensual del pais.</t>
        </is>
      </c>
    </row>
    <row r="374">
      <c r="A374" t="inlineStr">
        <is>
          <t>2026-06</t>
        </is>
      </c>
      <c r="B374" t="inlineStr">
        <is>
          <t>Estados Unidos</t>
        </is>
      </c>
      <c r="C374" t="inlineStr">
        <is>
          <t>USA</t>
        </is>
      </c>
      <c r="D374" t="inlineStr">
        <is>
          <t>USD</t>
        </is>
      </c>
      <c r="E374" t="inlineStr">
        <is>
          <t>PL-O-120</t>
        </is>
      </c>
      <c r="F374" t="inlineStr">
        <is>
          <t>Alimentación y restaurante</t>
        </is>
      </c>
      <c r="G374" t="inlineStr">
        <is>
          <t>gasto_admin</t>
        </is>
      </c>
      <c r="H374" t="inlineStr">
        <is>
          <t>Diversos</t>
        </is>
      </c>
      <c r="I374" t="inlineStr">
        <is>
          <t>Administracion</t>
        </is>
      </c>
      <c r="J374" t="n">
        <v>0</v>
      </c>
      <c r="K374" t="n">
        <v>30.09</v>
      </c>
      <c r="L374" t="inlineStr">
        <is>
          <t>Junio 2026 USA.xlsx</t>
        </is>
      </c>
      <c r="M374" t="inlineStr">
        <is>
          <t>Revisar</t>
        </is>
      </c>
      <c r="N374" t="inlineStr">
        <is>
          <t>Puente para redise?ar vistas de Costos &amp; Gastos; no reemplaza P&amp;G oficial. Convertido a USD con la tasa promedio mensual del pais.</t>
        </is>
      </c>
    </row>
    <row r="375">
      <c r="A375" t="inlineStr">
        <is>
          <t>2026-06</t>
        </is>
      </c>
      <c r="B375" t="inlineStr">
        <is>
          <t>Estados Unidos</t>
        </is>
      </c>
      <c r="C375" t="inlineStr">
        <is>
          <t>USA</t>
        </is>
      </c>
      <c r="D375" t="inlineStr">
        <is>
          <t>USD</t>
        </is>
      </c>
      <c r="E375" t="inlineStr">
        <is>
          <t>PL-O-120</t>
        </is>
      </c>
      <c r="F375" t="inlineStr">
        <is>
          <t>Alimentación y restaurante</t>
        </is>
      </c>
      <c r="G375" t="inlineStr">
        <is>
          <t>gasto_admin</t>
        </is>
      </c>
      <c r="H375" t="inlineStr">
        <is>
          <t>Diversos</t>
        </is>
      </c>
      <c r="I375" t="inlineStr">
        <is>
          <t>Administracion</t>
        </is>
      </c>
      <c r="J375" t="n">
        <v>0</v>
      </c>
      <c r="K375" t="n">
        <v>182.88</v>
      </c>
      <c r="L375" t="inlineStr">
        <is>
          <t>Junio 2026 USA.xlsx</t>
        </is>
      </c>
      <c r="M375" t="inlineStr">
        <is>
          <t>Revisar</t>
        </is>
      </c>
      <c r="N375" t="inlineStr">
        <is>
          <t>Puente para redise?ar vistas de Costos &amp; Gastos; no reemplaza P&amp;G oficial. Convertido a USD con la tasa promedio mensual del pais.</t>
        </is>
      </c>
    </row>
    <row r="376">
      <c r="A376" t="inlineStr">
        <is>
          <t>2026-06</t>
        </is>
      </c>
      <c r="B376" t="inlineStr">
        <is>
          <t>Estados Unidos</t>
        </is>
      </c>
      <c r="C376" t="inlineStr">
        <is>
          <t>USA</t>
        </is>
      </c>
      <c r="D376" t="inlineStr">
        <is>
          <t>USD</t>
        </is>
      </c>
      <c r="E376" t="inlineStr">
        <is>
          <t>PL-O-120</t>
        </is>
      </c>
      <c r="F376" t="inlineStr">
        <is>
          <t>Alimentación y restaurante</t>
        </is>
      </c>
      <c r="G376" t="inlineStr">
        <is>
          <t>gasto_admin</t>
        </is>
      </c>
      <c r="H376" t="inlineStr">
        <is>
          <t>Diversos</t>
        </is>
      </c>
      <c r="I376" t="inlineStr">
        <is>
          <t>Administracion</t>
        </is>
      </c>
      <c r="J376" t="n">
        <v>0</v>
      </c>
      <c r="K376" t="n">
        <v>7.03</v>
      </c>
      <c r="L376" t="inlineStr">
        <is>
          <t>Junio 2026 USA.xlsx</t>
        </is>
      </c>
      <c r="M376" t="inlineStr">
        <is>
          <t>Revisar</t>
        </is>
      </c>
      <c r="N376" t="inlineStr">
        <is>
          <t>Puente para redise?ar vistas de Costos &amp; Gastos; no reemplaza P&amp;G oficial. Convertido a USD con la tasa promedio mensual del pais.</t>
        </is>
      </c>
    </row>
    <row r="377">
      <c r="A377" t="inlineStr">
        <is>
          <t>2026-06</t>
        </is>
      </c>
      <c r="B377" t="inlineStr">
        <is>
          <t>Estados Unidos</t>
        </is>
      </c>
      <c r="C377" t="inlineStr">
        <is>
          <t>USA</t>
        </is>
      </c>
      <c r="D377" t="inlineStr">
        <is>
          <t>USD</t>
        </is>
      </c>
      <c r="E377" t="inlineStr">
        <is>
          <t>PL-O-120</t>
        </is>
      </c>
      <c r="F377" t="inlineStr">
        <is>
          <t>Alimentación y restaurante</t>
        </is>
      </c>
      <c r="G377" t="inlineStr">
        <is>
          <t>gasto_admin</t>
        </is>
      </c>
      <c r="H377" t="inlineStr">
        <is>
          <t>Diversos</t>
        </is>
      </c>
      <c r="I377" t="inlineStr">
        <is>
          <t>Administracion</t>
        </is>
      </c>
      <c r="J377" t="n">
        <v>171.99</v>
      </c>
      <c r="K377" t="n">
        <v>299.25</v>
      </c>
      <c r="L377" t="inlineStr">
        <is>
          <t>Junio 2026 USA.xlsx</t>
        </is>
      </c>
      <c r="M377" t="inlineStr">
        <is>
          <t>Revisar</t>
        </is>
      </c>
      <c r="N377" t="inlineStr">
        <is>
          <t>Puente para redise?ar vistas de Costos &amp; Gastos; no reemplaza P&amp;G oficial. Convertido a USD con la tasa promedio mensual del pais.</t>
        </is>
      </c>
    </row>
    <row r="378">
      <c r="A378" t="inlineStr">
        <is>
          <t>2026-06</t>
        </is>
      </c>
      <c r="B378" t="inlineStr">
        <is>
          <t>Estados Unidos</t>
        </is>
      </c>
      <c r="C378" t="inlineStr">
        <is>
          <t>USA</t>
        </is>
      </c>
      <c r="D378" t="inlineStr">
        <is>
          <t>USD</t>
        </is>
      </c>
      <c r="E378" t="inlineStr">
        <is>
          <t>PL-O-120</t>
        </is>
      </c>
      <c r="F378" t="inlineStr">
        <is>
          <t>Alimentación y restaurante</t>
        </is>
      </c>
      <c r="G378" t="inlineStr">
        <is>
          <t>gasto_admin</t>
        </is>
      </c>
      <c r="H378" t="inlineStr">
        <is>
          <t>Diversos</t>
        </is>
      </c>
      <c r="I378" t="inlineStr">
        <is>
          <t>Administracion</t>
        </is>
      </c>
      <c r="J378" t="n">
        <v>0</v>
      </c>
      <c r="K378" t="n">
        <v>27.93</v>
      </c>
      <c r="L378" t="inlineStr">
        <is>
          <t>Junio 2026 USA.xlsx</t>
        </is>
      </c>
      <c r="M378" t="inlineStr">
        <is>
          <t>Revisar</t>
        </is>
      </c>
      <c r="N378" t="inlineStr">
        <is>
          <t>Puente para redise?ar vistas de Costos &amp; Gastos; no reemplaza P&amp;G oficial. Convertido a USD con la tasa promedio mensual del pais.</t>
        </is>
      </c>
    </row>
    <row r="379">
      <c r="A379" t="inlineStr">
        <is>
          <t>2026-06</t>
        </is>
      </c>
      <c r="B379" t="inlineStr">
        <is>
          <t>Estados Unidos</t>
        </is>
      </c>
      <c r="C379" t="inlineStr">
        <is>
          <t>USA</t>
        </is>
      </c>
      <c r="D379" t="inlineStr">
        <is>
          <t>USD</t>
        </is>
      </c>
      <c r="E379" t="inlineStr">
        <is>
          <t>PL-O-120</t>
        </is>
      </c>
      <c r="F379" t="inlineStr">
        <is>
          <t>Alimentación y restaurante</t>
        </is>
      </c>
      <c r="G379" t="inlineStr">
        <is>
          <t>gasto_admin</t>
        </is>
      </c>
      <c r="H379" t="inlineStr">
        <is>
          <t>Diversos</t>
        </is>
      </c>
      <c r="I379" t="inlineStr">
        <is>
          <t>Administracion</t>
        </is>
      </c>
      <c r="J379" t="n">
        <v>0</v>
      </c>
      <c r="K379" t="n">
        <v>72.54000000000001</v>
      </c>
      <c r="L379" t="inlineStr">
        <is>
          <t>Junio 2026 USA.xlsx</t>
        </is>
      </c>
      <c r="M379" t="inlineStr">
        <is>
          <t>Revisar</t>
        </is>
      </c>
      <c r="N379" t="inlineStr">
        <is>
          <t>Puente para redise?ar vistas de Costos &amp; Gastos; no reemplaza P&amp;G oficial. Convertido a USD con la tasa promedio mensual del pais.</t>
        </is>
      </c>
    </row>
    <row r="380">
      <c r="A380" t="inlineStr">
        <is>
          <t>2026-06</t>
        </is>
      </c>
      <c r="B380" t="inlineStr">
        <is>
          <t>Estados Unidos</t>
        </is>
      </c>
      <c r="C380" t="inlineStr">
        <is>
          <t>USA</t>
        </is>
      </c>
      <c r="D380" t="inlineStr">
        <is>
          <t>USD</t>
        </is>
      </c>
      <c r="E380" t="inlineStr">
        <is>
          <t>PL-O-120</t>
        </is>
      </c>
      <c r="F380" t="inlineStr">
        <is>
          <t>Alimentación y restaurante</t>
        </is>
      </c>
      <c r="G380" t="inlineStr">
        <is>
          <t>gasto_admin</t>
        </is>
      </c>
      <c r="H380" t="inlineStr">
        <is>
          <t>Diversos</t>
        </is>
      </c>
      <c r="I380" t="inlineStr">
        <is>
          <t>Administracion</t>
        </is>
      </c>
      <c r="J380" t="n">
        <v>240.29</v>
      </c>
      <c r="K380" t="n">
        <v>476.54</v>
      </c>
      <c r="L380" t="inlineStr">
        <is>
          <t>Junio 2026 USA.xlsx</t>
        </is>
      </c>
      <c r="M380" t="inlineStr">
        <is>
          <t>Revisar</t>
        </is>
      </c>
      <c r="N380" t="inlineStr">
        <is>
          <t>Puente para redise?ar vistas de Costos &amp; Gastos; no reemplaza P&amp;G oficial. Convertido a USD con la tasa promedio mensual del pais.</t>
        </is>
      </c>
    </row>
    <row r="381">
      <c r="A381" t="inlineStr">
        <is>
          <t>2026-06</t>
        </is>
      </c>
      <c r="B381" t="inlineStr">
        <is>
          <t>Estados Unidos</t>
        </is>
      </c>
      <c r="C381" t="inlineStr">
        <is>
          <t>USA</t>
        </is>
      </c>
      <c r="D381" t="inlineStr">
        <is>
          <t>USD</t>
        </is>
      </c>
      <c r="E381" t="inlineStr">
        <is>
          <t>PL-O-120</t>
        </is>
      </c>
      <c r="F381" t="inlineStr">
        <is>
          <t>Alimentación y restaurante</t>
        </is>
      </c>
      <c r="G381" t="inlineStr">
        <is>
          <t>gasto_admin</t>
        </is>
      </c>
      <c r="H381" t="inlineStr">
        <is>
          <t>Diversos</t>
        </is>
      </c>
      <c r="I381" t="inlineStr">
        <is>
          <t>Administracion</t>
        </is>
      </c>
      <c r="J381" t="n">
        <v>0</v>
      </c>
      <c r="K381" t="n">
        <v>259.2</v>
      </c>
      <c r="L381" t="inlineStr">
        <is>
          <t>Junio 2026 USA.xlsx</t>
        </is>
      </c>
      <c r="M381" t="inlineStr">
        <is>
          <t>Revisar</t>
        </is>
      </c>
      <c r="N381" t="inlineStr">
        <is>
          <t>Puente para redise?ar vistas de Costos &amp; Gastos; no reemplaza P&amp;G oficial. Convertido a USD con la tasa promedio mensual del pais.</t>
        </is>
      </c>
    </row>
    <row r="382">
      <c r="A382" t="inlineStr">
        <is>
          <t>2026-06</t>
        </is>
      </c>
      <c r="B382" t="inlineStr">
        <is>
          <t>Estados Unidos</t>
        </is>
      </c>
      <c r="C382" t="inlineStr">
        <is>
          <t>USA</t>
        </is>
      </c>
      <c r="D382" t="inlineStr">
        <is>
          <t>USD</t>
        </is>
      </c>
      <c r="E382" t="inlineStr">
        <is>
          <t>PL-O-120</t>
        </is>
      </c>
      <c r="F382" t="inlineStr">
        <is>
          <t>Alimentación y restaurante</t>
        </is>
      </c>
      <c r="G382" t="inlineStr">
        <is>
          <t>gasto_admin</t>
        </is>
      </c>
      <c r="H382" t="inlineStr">
        <is>
          <t>Diversos</t>
        </is>
      </c>
      <c r="I382" t="inlineStr">
        <is>
          <t>Administracion</t>
        </is>
      </c>
      <c r="J382" t="n">
        <v>237.15</v>
      </c>
      <c r="K382" t="n">
        <v>237.15</v>
      </c>
      <c r="L382" t="inlineStr">
        <is>
          <t>Junio 2026 USA.xlsx</t>
        </is>
      </c>
      <c r="M382" t="inlineStr">
        <is>
          <t>Revisar</t>
        </is>
      </c>
      <c r="N382" t="inlineStr">
        <is>
          <t>Puente para redise?ar vistas de Costos &amp; Gastos; no reemplaza P&amp;G oficial. Convertido a USD con la tasa promedio mensual del pais.</t>
        </is>
      </c>
    </row>
    <row r="383">
      <c r="A383" t="inlineStr">
        <is>
          <t>2026-06</t>
        </is>
      </c>
      <c r="B383" t="inlineStr">
        <is>
          <t>Estados Unidos</t>
        </is>
      </c>
      <c r="C383" t="inlineStr">
        <is>
          <t>USA</t>
        </is>
      </c>
      <c r="D383" t="inlineStr">
        <is>
          <t>USD</t>
        </is>
      </c>
      <c r="E383" t="inlineStr">
        <is>
          <t>PL-O-130</t>
        </is>
      </c>
      <c r="F383" t="inlineStr">
        <is>
          <t>Transporte local y parqueaderos</t>
        </is>
      </c>
      <c r="G383" t="inlineStr">
        <is>
          <t>gasto_admin</t>
        </is>
      </c>
      <c r="H383" t="inlineStr">
        <is>
          <t>Viajes</t>
        </is>
      </c>
      <c r="I383" t="inlineStr">
        <is>
          <t>Administracion</t>
        </is>
      </c>
      <c r="J383" t="n">
        <v>0</v>
      </c>
      <c r="K383" t="n">
        <v>10</v>
      </c>
      <c r="L383" t="inlineStr">
        <is>
          <t>Junio 2026 USA.xlsx</t>
        </is>
      </c>
      <c r="M383" t="inlineStr">
        <is>
          <t>Aprobado</t>
        </is>
      </c>
      <c r="N383" t="inlineStr">
        <is>
          <t>Puente para redise?ar vistas de Costos &amp; Gastos; no reemplaza P&amp;G oficial. Convertido a USD con la tasa promedio mensual del pais.</t>
        </is>
      </c>
    </row>
    <row r="384">
      <c r="A384" t="inlineStr">
        <is>
          <t>2026-06</t>
        </is>
      </c>
      <c r="B384" t="inlineStr">
        <is>
          <t>Estados Unidos</t>
        </is>
      </c>
      <c r="C384" t="inlineStr">
        <is>
          <t>USA</t>
        </is>
      </c>
      <c r="D384" t="inlineStr">
        <is>
          <t>USD</t>
        </is>
      </c>
      <c r="E384" t="inlineStr">
        <is>
          <t>PL-O-130</t>
        </is>
      </c>
      <c r="F384" t="inlineStr">
        <is>
          <t>Transporte local y parqueaderos</t>
        </is>
      </c>
      <c r="G384" t="inlineStr">
        <is>
          <t>gasto_admin</t>
        </is>
      </c>
      <c r="H384" t="inlineStr">
        <is>
          <t>Viajes</t>
        </is>
      </c>
      <c r="I384" t="inlineStr">
        <is>
          <t>Administracion</t>
        </is>
      </c>
      <c r="J384" t="n">
        <v>0</v>
      </c>
      <c r="K384" t="n">
        <v>12.75</v>
      </c>
      <c r="L384" t="inlineStr">
        <is>
          <t>Junio 2026 USA.xlsx</t>
        </is>
      </c>
      <c r="M384" t="inlineStr">
        <is>
          <t>Aprobado</t>
        </is>
      </c>
      <c r="N384" t="inlineStr">
        <is>
          <t>Puente para redise?ar vistas de Costos &amp; Gastos; no reemplaza P&amp;G oficial. Convertido a USD con la tasa promedio mensual del pais.</t>
        </is>
      </c>
    </row>
    <row r="385">
      <c r="A385" t="inlineStr">
        <is>
          <t>2026-06</t>
        </is>
      </c>
      <c r="B385" t="inlineStr">
        <is>
          <t>Estados Unidos</t>
        </is>
      </c>
      <c r="C385" t="inlineStr">
        <is>
          <t>USA</t>
        </is>
      </c>
      <c r="D385" t="inlineStr">
        <is>
          <t>USD</t>
        </is>
      </c>
      <c r="E385" t="inlineStr">
        <is>
          <t>PL-O-130</t>
        </is>
      </c>
      <c r="F385" t="inlineStr">
        <is>
          <t>Transporte local y parqueaderos</t>
        </is>
      </c>
      <c r="G385" t="inlineStr">
        <is>
          <t>gasto_admin</t>
        </is>
      </c>
      <c r="H385" t="inlineStr">
        <is>
          <t>Viajes</t>
        </is>
      </c>
      <c r="I385" t="inlineStr">
        <is>
          <t>Administracion</t>
        </is>
      </c>
      <c r="J385" t="n">
        <v>35</v>
      </c>
      <c r="K385" t="n">
        <v>35</v>
      </c>
      <c r="L385" t="inlineStr">
        <is>
          <t>Junio 2026 USA.xlsx</t>
        </is>
      </c>
      <c r="M385" t="inlineStr">
        <is>
          <t>Aprobado</t>
        </is>
      </c>
      <c r="N385" t="inlineStr">
        <is>
          <t>Puente para redise?ar vistas de Costos &amp; Gastos; no reemplaza P&amp;G oficial. Convertido a USD con la tasa promedio mensual del pais.</t>
        </is>
      </c>
    </row>
    <row r="386">
      <c r="A386" t="inlineStr">
        <is>
          <t>2026-06</t>
        </is>
      </c>
      <c r="B386" t="inlineStr">
        <is>
          <t>Estados Unidos</t>
        </is>
      </c>
      <c r="C386" t="inlineStr">
        <is>
          <t>USA</t>
        </is>
      </c>
      <c r="D386" t="inlineStr">
        <is>
          <t>USD</t>
        </is>
      </c>
      <c r="E386" t="inlineStr">
        <is>
          <t>PL-O-020</t>
        </is>
      </c>
      <c r="F386" t="inlineStr">
        <is>
          <t>Honorarios y servicios profesionales</t>
        </is>
      </c>
      <c r="G386" t="inlineStr">
        <is>
          <t>gasto_admin</t>
        </is>
      </c>
      <c r="H386" t="inlineStr">
        <is>
          <t>Honorarios</t>
        </is>
      </c>
      <c r="I386" t="inlineStr">
        <is>
          <t>Administracion</t>
        </is>
      </c>
      <c r="J386" t="n">
        <v>0</v>
      </c>
      <c r="K386" t="n">
        <v>2333.33</v>
      </c>
      <c r="L386" t="inlineStr">
        <is>
          <t>Junio 2026 USA.xlsx</t>
        </is>
      </c>
      <c r="M386" t="inlineStr">
        <is>
          <t>Aprobado</t>
        </is>
      </c>
      <c r="N386" t="inlineStr">
        <is>
          <t>Puente para redise?ar vistas de Costos &amp; Gastos; no reemplaza P&amp;G oficial. Convertido a USD con la tasa promedio mensual del pais.</t>
        </is>
      </c>
    </row>
    <row r="387">
      <c r="A387" t="inlineStr">
        <is>
          <t>2026-06</t>
        </is>
      </c>
      <c r="B387" t="inlineStr">
        <is>
          <t>Estados Unidos</t>
        </is>
      </c>
      <c r="C387" t="inlineStr">
        <is>
          <t>USA</t>
        </is>
      </c>
      <c r="D387" t="inlineStr">
        <is>
          <t>USD</t>
        </is>
      </c>
      <c r="E387" t="inlineStr">
        <is>
          <t>PL-O-020</t>
        </is>
      </c>
      <c r="F387" t="inlineStr">
        <is>
          <t>Honorarios y servicios profesionales</t>
        </is>
      </c>
      <c r="G387" t="inlineStr">
        <is>
          <t>gasto_admin</t>
        </is>
      </c>
      <c r="H387" t="inlineStr">
        <is>
          <t>Honorarios</t>
        </is>
      </c>
      <c r="I387" t="inlineStr">
        <is>
          <t>Administracion</t>
        </is>
      </c>
      <c r="J387" t="n">
        <v>0</v>
      </c>
      <c r="K387" t="n">
        <v>2557.46</v>
      </c>
      <c r="L387" t="inlineStr">
        <is>
          <t>Junio 2026 USA.xlsx</t>
        </is>
      </c>
      <c r="M387" t="inlineStr">
        <is>
          <t>Aprobado</t>
        </is>
      </c>
      <c r="N387" t="inlineStr">
        <is>
          <t>Puente para redise?ar vistas de Costos &amp; Gastos; no reemplaza P&amp;G oficial. Convertido a USD con la tasa promedio mensual del pais.</t>
        </is>
      </c>
    </row>
    <row r="388">
      <c r="A388" t="inlineStr">
        <is>
          <t>2026-06</t>
        </is>
      </c>
      <c r="B388" t="inlineStr">
        <is>
          <t>Estados Unidos</t>
        </is>
      </c>
      <c r="C388" t="inlineStr">
        <is>
          <t>USA</t>
        </is>
      </c>
      <c r="D388" t="inlineStr">
        <is>
          <t>USD</t>
        </is>
      </c>
      <c r="E388" t="inlineStr">
        <is>
          <t>PL-O-020</t>
        </is>
      </c>
      <c r="F388" t="inlineStr">
        <is>
          <t>Honorarios y servicios profesionales</t>
        </is>
      </c>
      <c r="G388" t="inlineStr">
        <is>
          <t>gasto_admin</t>
        </is>
      </c>
      <c r="H388" t="inlineStr">
        <is>
          <t>Honorarios</t>
        </is>
      </c>
      <c r="I388" t="inlineStr">
        <is>
          <t>Administracion</t>
        </is>
      </c>
      <c r="J388" t="n">
        <v>2500</v>
      </c>
      <c r="K388" t="n">
        <v>5666.67</v>
      </c>
      <c r="L388" t="inlineStr">
        <is>
          <t>Junio 2026 USA.xlsx</t>
        </is>
      </c>
      <c r="M388" t="inlineStr">
        <is>
          <t>Aprobado</t>
        </is>
      </c>
      <c r="N388" t="inlineStr">
        <is>
          <t>Puente para redise?ar vistas de Costos &amp; Gastos; no reemplaza P&amp;G oficial. Convertido a USD con la tasa promedio mensual del pais.</t>
        </is>
      </c>
    </row>
    <row r="389">
      <c r="A389" t="inlineStr">
        <is>
          <t>2026-06</t>
        </is>
      </c>
      <c r="B389" t="inlineStr">
        <is>
          <t>Estados Unidos</t>
        </is>
      </c>
      <c r="C389" t="inlineStr">
        <is>
          <t>USA</t>
        </is>
      </c>
      <c r="D389" t="inlineStr">
        <is>
          <t>USD</t>
        </is>
      </c>
      <c r="E389" t="inlineStr">
        <is>
          <t>PL-S-020</t>
        </is>
      </c>
      <c r="F389" t="inlineStr">
        <is>
          <t>Mercadeo y publicidad</t>
        </is>
      </c>
      <c r="G389" t="inlineStr">
        <is>
          <t>gasto_comercial</t>
        </is>
      </c>
      <c r="H389" t="inlineStr">
        <is>
          <t>Servicios</t>
        </is>
      </c>
      <c r="I389" t="inlineStr">
        <is>
          <t>Comercial</t>
        </is>
      </c>
      <c r="J389" t="n">
        <v>0</v>
      </c>
      <c r="K389" t="n">
        <v>400</v>
      </c>
      <c r="L389" t="inlineStr">
        <is>
          <t>Junio 2026 USA.xlsx</t>
        </is>
      </c>
      <c r="M389" t="inlineStr">
        <is>
          <t>Aprobado</t>
        </is>
      </c>
      <c r="N389" t="inlineStr">
        <is>
          <t>Puente para redise?ar vistas de Costos &amp; Gastos; no reemplaza P&amp;G oficial. Convertido a USD con la tasa promedio mensual del pais.</t>
        </is>
      </c>
    </row>
    <row r="390">
      <c r="A390" t="inlineStr">
        <is>
          <t>2026-06</t>
        </is>
      </c>
      <c r="B390" t="inlineStr">
        <is>
          <t>Estados Unidos</t>
        </is>
      </c>
      <c r="C390" t="inlineStr">
        <is>
          <t>USA</t>
        </is>
      </c>
      <c r="D390" t="inlineStr">
        <is>
          <t>USD</t>
        </is>
      </c>
      <c r="E390" t="inlineStr">
        <is>
          <t>PL-S-030</t>
        </is>
      </c>
      <c r="F390" t="inlineStr">
        <is>
          <t>Otros servicios comerciales</t>
        </is>
      </c>
      <c r="G390" t="inlineStr">
        <is>
          <t>gasto_comercial</t>
        </is>
      </c>
      <c r="H390" t="inlineStr">
        <is>
          <t>Servicios</t>
        </is>
      </c>
      <c r="I390" t="inlineStr">
        <is>
          <t>Comercial</t>
        </is>
      </c>
      <c r="J390" t="n">
        <v>0</v>
      </c>
      <c r="K390" t="n">
        <v>3500</v>
      </c>
      <c r="L390" t="inlineStr">
        <is>
          <t>Junio 2026 USA.xlsx</t>
        </is>
      </c>
      <c r="M390" t="inlineStr">
        <is>
          <t>Revisar</t>
        </is>
      </c>
      <c r="N390" t="inlineStr">
        <is>
          <t>Puente para redise?ar vistas de Costos &amp; Gastos; no reemplaza P&amp;G oficial. Convertido a USD con la tasa promedio mensual del pais.</t>
        </is>
      </c>
    </row>
    <row r="391">
      <c r="A391" t="inlineStr">
        <is>
          <t>2026-06</t>
        </is>
      </c>
      <c r="B391" t="inlineStr">
        <is>
          <t>Estados Unidos</t>
        </is>
      </c>
      <c r="C391" t="inlineStr">
        <is>
          <t>USA</t>
        </is>
      </c>
      <c r="D391" t="inlineStr">
        <is>
          <t>USD</t>
        </is>
      </c>
      <c r="E391" t="inlineStr">
        <is>
          <t>PL-S-030</t>
        </is>
      </c>
      <c r="F391" t="inlineStr">
        <is>
          <t>Otros servicios comerciales</t>
        </is>
      </c>
      <c r="G391" t="inlineStr">
        <is>
          <t>gasto_comercial</t>
        </is>
      </c>
      <c r="H391" t="inlineStr">
        <is>
          <t>Servicios</t>
        </is>
      </c>
      <c r="I391" t="inlineStr">
        <is>
          <t>Comercial</t>
        </is>
      </c>
      <c r="J391" t="n">
        <v>0</v>
      </c>
      <c r="K391" t="n">
        <v>648</v>
      </c>
      <c r="L391" t="inlineStr">
        <is>
          <t>Junio 2026 USA.xlsx</t>
        </is>
      </c>
      <c r="M391" t="inlineStr">
        <is>
          <t>Revisar</t>
        </is>
      </c>
      <c r="N391" t="inlineStr">
        <is>
          <t>Puente para redise?ar vistas de Costos &amp; Gastos; no reemplaza P&amp;G oficial. Convertido a USD con la tasa promedio mensual del pais.</t>
        </is>
      </c>
    </row>
    <row r="392">
      <c r="A392" t="inlineStr">
        <is>
          <t>2026-06</t>
        </is>
      </c>
      <c r="B392" t="inlineStr">
        <is>
          <t>Estados Unidos</t>
        </is>
      </c>
      <c r="C392" t="inlineStr">
        <is>
          <t>USA</t>
        </is>
      </c>
      <c r="D392" t="inlineStr">
        <is>
          <t>USD</t>
        </is>
      </c>
      <c r="E392" t="inlineStr">
        <is>
          <t>PL-F-010</t>
        </is>
      </c>
      <c r="F392" t="inlineStr">
        <is>
          <t>Gastos financieros</t>
        </is>
      </c>
      <c r="G392" t="inlineStr">
        <is>
          <t>gasto_area</t>
        </is>
      </c>
      <c r="H392" t="inlineStr">
        <is>
          <t>Financieros</t>
        </is>
      </c>
      <c r="I392" t="inlineStr">
        <is>
          <t>Financieros</t>
        </is>
      </c>
      <c r="J392" t="n">
        <v>0</v>
      </c>
      <c r="K392" t="n">
        <v>0.34</v>
      </c>
      <c r="L392" t="inlineStr">
        <is>
          <t>Junio 2026 USA.xlsx</t>
        </is>
      </c>
      <c r="M392" t="inlineStr">
        <is>
          <t>Aprobado</t>
        </is>
      </c>
      <c r="N392" t="inlineStr">
        <is>
          <t>Puente para redise?ar vistas de Costos &amp; Gastos; no reemplaza P&amp;G oficial. Convertido a USD con la tasa promedio mensual del pais.</t>
        </is>
      </c>
    </row>
    <row r="393">
      <c r="A393" t="inlineStr">
        <is>
          <t>2026-06</t>
        </is>
      </c>
      <c r="B393" t="inlineStr">
        <is>
          <t>Estados Unidos</t>
        </is>
      </c>
      <c r="C393" t="inlineStr">
        <is>
          <t>USA</t>
        </is>
      </c>
      <c r="D393" t="inlineStr">
        <is>
          <t>USD</t>
        </is>
      </c>
      <c r="E393" t="inlineStr">
        <is>
          <t>PL-F-010</t>
        </is>
      </c>
      <c r="F393" t="inlineStr">
        <is>
          <t>Gastos financieros</t>
        </is>
      </c>
      <c r="G393" t="inlineStr">
        <is>
          <t>gasto_area</t>
        </is>
      </c>
      <c r="H393" t="inlineStr">
        <is>
          <t>Financieros</t>
        </is>
      </c>
      <c r="I393" t="inlineStr">
        <is>
          <t>Financieros</t>
        </is>
      </c>
      <c r="J393" t="n">
        <v>0</v>
      </c>
      <c r="K393" t="n">
        <v>15</v>
      </c>
      <c r="L393" t="inlineStr">
        <is>
          <t>Junio 2026 USA.xlsx</t>
        </is>
      </c>
      <c r="M393" t="inlineStr">
        <is>
          <t>Aprobado</t>
        </is>
      </c>
      <c r="N393" t="inlineStr">
        <is>
          <t>Puente para redise?ar vistas de Costos &amp; Gastos; no reemplaza P&amp;G oficial. Convertido a USD con la tasa promedio mensual del pais.</t>
        </is>
      </c>
    </row>
    <row r="394">
      <c r="A394" t="inlineStr">
        <is>
          <t>2026-06</t>
        </is>
      </c>
      <c r="B394" t="inlineStr">
        <is>
          <t>Estados Unidos</t>
        </is>
      </c>
      <c r="C394" t="inlineStr">
        <is>
          <t>USA</t>
        </is>
      </c>
      <c r="D394" t="inlineStr">
        <is>
          <t>USD</t>
        </is>
      </c>
      <c r="E394" t="inlineStr">
        <is>
          <t>PL-F-010</t>
        </is>
      </c>
      <c r="F394" t="inlineStr">
        <is>
          <t>Gastos financieros</t>
        </is>
      </c>
      <c r="G394" t="inlineStr">
        <is>
          <t>gasto_area</t>
        </is>
      </c>
      <c r="H394" t="inlineStr">
        <is>
          <t>Financieros</t>
        </is>
      </c>
      <c r="I394" t="inlineStr">
        <is>
          <t>Financieros</t>
        </is>
      </c>
      <c r="J394" t="n">
        <v>201.11</v>
      </c>
      <c r="K394" t="n">
        <v>228.21</v>
      </c>
      <c r="L394" t="inlineStr">
        <is>
          <t>Junio 2026 USA.xlsx</t>
        </is>
      </c>
      <c r="M394" t="inlineStr">
        <is>
          <t>Aprobado</t>
        </is>
      </c>
      <c r="N394" t="inlineStr">
        <is>
          <t>Puente para redise?ar vistas de Costos &amp; Gastos; no reemplaza P&amp;G oficial. Convertido a USD con la tasa promedio mensual del pais.</t>
        </is>
      </c>
    </row>
    <row r="395">
      <c r="A395" t="inlineStr">
        <is>
          <t>2026-06</t>
        </is>
      </c>
      <c r="B395" t="inlineStr">
        <is>
          <t>Estados Unidos</t>
        </is>
      </c>
      <c r="C395" t="inlineStr">
        <is>
          <t>USA</t>
        </is>
      </c>
      <c r="D395" t="inlineStr">
        <is>
          <t>USD</t>
        </is>
      </c>
      <c r="E395" t="inlineStr">
        <is>
          <t>PL-F-010</t>
        </is>
      </c>
      <c r="F395" t="inlineStr">
        <is>
          <t>Gastos financieros</t>
        </is>
      </c>
      <c r="G395" t="inlineStr">
        <is>
          <t>gasto_area</t>
        </is>
      </c>
      <c r="H395" t="inlineStr">
        <is>
          <t>Financieros</t>
        </is>
      </c>
      <c r="I395" t="inlineStr">
        <is>
          <t>Financieros</t>
        </is>
      </c>
      <c r="J395" t="n">
        <v>0</v>
      </c>
      <c r="K395" t="n">
        <v>3.11</v>
      </c>
      <c r="L395" t="inlineStr">
        <is>
          <t>Junio 2026 USA.xlsx</t>
        </is>
      </c>
      <c r="M395" t="inlineStr">
        <is>
          <t>Aprobado</t>
        </is>
      </c>
      <c r="N395" t="inlineStr">
        <is>
          <t>Puente para redise?ar vistas de Costos &amp; Gastos; no reemplaza P&amp;G oficial. Convertido a USD con la tasa promedio mensual del pais.</t>
        </is>
      </c>
    </row>
    <row r="396">
      <c r="A396" t="inlineStr">
        <is>
          <t>2026-06</t>
        </is>
      </c>
      <c r="B396" t="inlineStr">
        <is>
          <t>Estados Unidos</t>
        </is>
      </c>
      <c r="C396" t="inlineStr">
        <is>
          <t>USA</t>
        </is>
      </c>
      <c r="D396" t="inlineStr">
        <is>
          <t>USD</t>
        </is>
      </c>
      <c r="E396" t="inlineStr">
        <is>
          <t>PL-F-010</t>
        </is>
      </c>
      <c r="F396" t="inlineStr">
        <is>
          <t>Gastos financieros</t>
        </is>
      </c>
      <c r="G396" t="inlineStr">
        <is>
          <t>gasto_area</t>
        </is>
      </c>
      <c r="H396" t="inlineStr">
        <is>
          <t>Financieros</t>
        </is>
      </c>
      <c r="I396" t="inlineStr">
        <is>
          <t>Financieros</t>
        </is>
      </c>
      <c r="J396" t="n">
        <v>125.95</v>
      </c>
      <c r="K396" t="n">
        <v>530.7</v>
      </c>
      <c r="L396" t="inlineStr">
        <is>
          <t>Junio 2026 USA.xlsx</t>
        </is>
      </c>
      <c r="M396" t="inlineStr">
        <is>
          <t>Aprobado</t>
        </is>
      </c>
      <c r="N396" t="inlineStr">
        <is>
          <t>Puente para redise?ar vistas de Costos &amp; Gastos; no reemplaza P&amp;G oficial. Convertido a USD con la tasa promedio mensual del pais.</t>
        </is>
      </c>
    </row>
    <row r="397">
      <c r="A397" t="inlineStr">
        <is>
          <t>2026-06</t>
        </is>
      </c>
      <c r="B397" t="inlineStr">
        <is>
          <t>Estados Unidos</t>
        </is>
      </c>
      <c r="C397" t="inlineStr">
        <is>
          <t>USA</t>
        </is>
      </c>
      <c r="D397" t="inlineStr">
        <is>
          <t>USD</t>
        </is>
      </c>
      <c r="E397" t="inlineStr">
        <is>
          <t>PL-F-010</t>
        </is>
      </c>
      <c r="F397" t="inlineStr">
        <is>
          <t>Gastos financieros</t>
        </is>
      </c>
      <c r="G397" t="inlineStr">
        <is>
          <t>gasto_area</t>
        </is>
      </c>
      <c r="H397" t="inlineStr">
        <is>
          <t>Financieros</t>
        </is>
      </c>
      <c r="I397" t="inlineStr">
        <is>
          <t>Financieros</t>
        </is>
      </c>
      <c r="J397" t="n">
        <v>0</v>
      </c>
      <c r="K397" t="n">
        <v>0.9</v>
      </c>
      <c r="L397" t="inlineStr">
        <is>
          <t>Junio 2026 USA.xlsx</t>
        </is>
      </c>
      <c r="M397" t="inlineStr">
        <is>
          <t>Aprobado</t>
        </is>
      </c>
      <c r="N397" t="inlineStr">
        <is>
          <t>Puente para redise?ar vistas de Costos &amp; Gastos; no reemplaza P&amp;G oficial. Convertido a USD con la tasa promedio mensual del pais.</t>
        </is>
      </c>
    </row>
    <row r="398">
      <c r="A398" t="inlineStr">
        <is>
          <t>2026-03</t>
        </is>
      </c>
      <c r="B398" t="inlineStr">
        <is>
          <t>Costa Rica</t>
        </is>
      </c>
      <c r="C398" t="inlineStr">
        <is>
          <t>CR</t>
        </is>
      </c>
      <c r="D398" t="inlineStr">
        <is>
          <t>USD</t>
        </is>
      </c>
      <c r="E398" t="inlineStr">
        <is>
          <t>PL-O-010</t>
        </is>
      </c>
      <c r="F398" t="inlineStr">
        <is>
          <t>Gastos de personal</t>
        </is>
      </c>
      <c r="G398" t="inlineStr">
        <is>
          <t>gasto_admin</t>
        </is>
      </c>
      <c r="H398" t="inlineStr">
        <is>
          <t>Personal</t>
        </is>
      </c>
      <c r="I398" t="inlineStr">
        <is>
          <t>Administracion</t>
        </is>
      </c>
      <c r="J398" t="n">
        <v>1200</v>
      </c>
      <c r="K398" t="n">
        <v>3600</v>
      </c>
      <c r="L398" t="inlineStr">
        <is>
          <t>Marzo 2026 CR.xlsx</t>
        </is>
      </c>
      <c r="M398" t="inlineStr">
        <is>
          <t>Aprobado</t>
        </is>
      </c>
      <c r="N398" t="inlineStr">
        <is>
          <t>Puente para redise?ar vistas de Costos &amp; Gastos; no reemplaza P&amp;G oficial. Convertido a USD con la tasa promedio mensual del pais.</t>
        </is>
      </c>
    </row>
    <row r="399">
      <c r="A399" t="inlineStr">
        <is>
          <t>2026-03</t>
        </is>
      </c>
      <c r="B399" t="inlineStr">
        <is>
          <t>Costa Rica</t>
        </is>
      </c>
      <c r="C399" t="inlineStr">
        <is>
          <t>CR</t>
        </is>
      </c>
      <c r="D399" t="inlineStr">
        <is>
          <t>USD</t>
        </is>
      </c>
      <c r="E399" t="inlineStr">
        <is>
          <t>PL-O-090</t>
        </is>
      </c>
      <c r="F399" t="inlineStr">
        <is>
          <t>Viajes y representación</t>
        </is>
      </c>
      <c r="G399" t="inlineStr">
        <is>
          <t>gasto_admin</t>
        </is>
      </c>
      <c r="H399" t="inlineStr">
        <is>
          <t>Viajes</t>
        </is>
      </c>
      <c r="I399" t="inlineStr">
        <is>
          <t>Administracion</t>
        </is>
      </c>
      <c r="J399" t="n">
        <v>300</v>
      </c>
      <c r="K399" t="n">
        <v>900</v>
      </c>
      <c r="L399" t="inlineStr">
        <is>
          <t>Marzo 2026 CR.xlsx</t>
        </is>
      </c>
      <c r="M399" t="inlineStr">
        <is>
          <t>Aprobado</t>
        </is>
      </c>
      <c r="N399" t="inlineStr">
        <is>
          <t>Puente para redise?ar vistas de Costos &amp; Gastos; no reemplaza P&amp;G oficial. Convertido a USD con la tasa promedio mensual del pais.</t>
        </is>
      </c>
    </row>
    <row r="400">
      <c r="A400" t="inlineStr">
        <is>
          <t>2026-03</t>
        </is>
      </c>
      <c r="B400" t="inlineStr">
        <is>
          <t>Costa Rica</t>
        </is>
      </c>
      <c r="C400" t="inlineStr">
        <is>
          <t>CR</t>
        </is>
      </c>
      <c r="D400" t="inlineStr">
        <is>
          <t>USD</t>
        </is>
      </c>
      <c r="E400" t="inlineStr">
        <is>
          <t>PL-O-010</t>
        </is>
      </c>
      <c r="F400" t="inlineStr">
        <is>
          <t>Gastos de personal</t>
        </is>
      </c>
      <c r="G400" t="inlineStr">
        <is>
          <t>gasto_admin</t>
        </is>
      </c>
      <c r="H400" t="inlineStr">
        <is>
          <t>Personal</t>
        </is>
      </c>
      <c r="I400" t="inlineStr">
        <is>
          <t>Administracion</t>
        </is>
      </c>
      <c r="J400" t="n">
        <v>400</v>
      </c>
      <c r="K400" t="n">
        <v>1212.37</v>
      </c>
      <c r="L400" t="inlineStr">
        <is>
          <t>Marzo 2026 CR.xlsx</t>
        </is>
      </c>
      <c r="M400" t="inlineStr">
        <is>
          <t>Aprobado</t>
        </is>
      </c>
      <c r="N400" t="inlineStr">
        <is>
          <t>Puente para redise?ar vistas de Costos &amp; Gastos; no reemplaza P&amp;G oficial. Convertido a USD con la tasa promedio mensual del pais.</t>
        </is>
      </c>
    </row>
    <row r="401">
      <c r="A401" t="inlineStr">
        <is>
          <t>2026-03</t>
        </is>
      </c>
      <c r="B401" t="inlineStr">
        <is>
          <t>Costa Rica</t>
        </is>
      </c>
      <c r="C401" t="inlineStr">
        <is>
          <t>CR</t>
        </is>
      </c>
      <c r="D401" t="inlineStr">
        <is>
          <t>USD</t>
        </is>
      </c>
      <c r="E401" t="inlineStr">
        <is>
          <t>PL-O-020</t>
        </is>
      </c>
      <c r="F401" t="inlineStr">
        <is>
          <t>Honorarios y servicios profesionales</t>
        </is>
      </c>
      <c r="G401" t="inlineStr">
        <is>
          <t>gasto_admin</t>
        </is>
      </c>
      <c r="H401" t="inlineStr">
        <is>
          <t>Honorarios</t>
        </is>
      </c>
      <c r="I401" t="inlineStr">
        <is>
          <t>Administracion</t>
        </is>
      </c>
      <c r="J401" t="n">
        <v>47.76</v>
      </c>
      <c r="K401" t="n">
        <v>270.35</v>
      </c>
      <c r="L401" t="inlineStr">
        <is>
          <t>Marzo 2026 CR.xlsx</t>
        </is>
      </c>
      <c r="M401" t="inlineStr">
        <is>
          <t>Aprobado</t>
        </is>
      </c>
      <c r="N401" t="inlineStr">
        <is>
          <t>Puente para redise?ar vistas de Costos &amp; Gastos; no reemplaza P&amp;G oficial. Convertido a USD con la tasa promedio mensual del pais.</t>
        </is>
      </c>
    </row>
    <row r="402">
      <c r="A402" t="inlineStr">
        <is>
          <t>2026-03</t>
        </is>
      </c>
      <c r="B402" t="inlineStr">
        <is>
          <t>Costa Rica</t>
        </is>
      </c>
      <c r="C402" t="inlineStr">
        <is>
          <t>CR</t>
        </is>
      </c>
      <c r="D402" t="inlineStr">
        <is>
          <t>USD</t>
        </is>
      </c>
      <c r="E402" t="inlineStr">
        <is>
          <t>PL-O-030</t>
        </is>
      </c>
      <c r="F402" t="inlineStr">
        <is>
          <t>Impuestos y contribuciones</t>
        </is>
      </c>
      <c r="G402" t="inlineStr">
        <is>
          <t>gasto_admin</t>
        </is>
      </c>
      <c r="H402" t="inlineStr">
        <is>
          <t>Diversos</t>
        </is>
      </c>
      <c r="I402" t="inlineStr">
        <is>
          <t>Administracion</t>
        </is>
      </c>
      <c r="J402" t="n">
        <v>12</v>
      </c>
      <c r="K402" t="n">
        <v>252.73</v>
      </c>
      <c r="L402" t="inlineStr">
        <is>
          <t>Marzo 2026 CR.xlsx</t>
        </is>
      </c>
      <c r="M402" t="inlineStr">
        <is>
          <t>Aprobado</t>
        </is>
      </c>
      <c r="N402" t="inlineStr">
        <is>
          <t>Puente para redise?ar vistas de Costos &amp; Gastos; no reemplaza P&amp;G oficial. Convertido a USD con la tasa promedio mensual del pais.</t>
        </is>
      </c>
    </row>
    <row r="403">
      <c r="A403" t="inlineStr">
        <is>
          <t>2026-03</t>
        </is>
      </c>
      <c r="B403" t="inlineStr">
        <is>
          <t>Costa Rica</t>
        </is>
      </c>
      <c r="C403" t="inlineStr">
        <is>
          <t>CR</t>
        </is>
      </c>
      <c r="D403" t="inlineStr">
        <is>
          <t>USD</t>
        </is>
      </c>
      <c r="E403" t="inlineStr">
        <is>
          <t>PL-O-030</t>
        </is>
      </c>
      <c r="F403" t="inlineStr">
        <is>
          <t>Impuestos y contribuciones</t>
        </is>
      </c>
      <c r="G403" t="inlineStr">
        <is>
          <t>gasto_admin</t>
        </is>
      </c>
      <c r="H403" t="inlineStr">
        <is>
          <t>Diversos</t>
        </is>
      </c>
      <c r="I403" t="inlineStr">
        <is>
          <t>Administracion</t>
        </is>
      </c>
      <c r="J403" t="n">
        <v>26.55</v>
      </c>
      <c r="K403" t="n">
        <v>26.55</v>
      </c>
      <c r="L403" t="inlineStr">
        <is>
          <t>Marzo 2026 CR.xlsx</t>
        </is>
      </c>
      <c r="M403" t="inlineStr">
        <is>
          <t>Aprobado</t>
        </is>
      </c>
      <c r="N403" t="inlineStr">
        <is>
          <t>Puente para redise?ar vistas de Costos &amp; Gastos; no reemplaza P&amp;G oficial. Convertido a USD con la tasa promedio mensual del pais.</t>
        </is>
      </c>
    </row>
    <row r="404">
      <c r="A404" t="inlineStr">
        <is>
          <t>2026-03</t>
        </is>
      </c>
      <c r="B404" t="inlineStr">
        <is>
          <t>Costa Rica</t>
        </is>
      </c>
      <c r="C404" t="inlineStr">
        <is>
          <t>CR</t>
        </is>
      </c>
      <c r="D404" t="inlineStr">
        <is>
          <t>USD</t>
        </is>
      </c>
      <c r="E404" t="inlineStr">
        <is>
          <t>PL-O-030</t>
        </is>
      </c>
      <c r="F404" t="inlineStr">
        <is>
          <t>Impuestos y contribuciones</t>
        </is>
      </c>
      <c r="G404" t="inlineStr">
        <is>
          <t>gasto_admin</t>
        </is>
      </c>
      <c r="H404" t="inlineStr">
        <is>
          <t>Diversos</t>
        </is>
      </c>
      <c r="I404" t="inlineStr">
        <is>
          <t>Administracion</t>
        </is>
      </c>
      <c r="J404" t="n">
        <v>64.79000000000001</v>
      </c>
      <c r="K404" t="n">
        <v>64.79000000000001</v>
      </c>
      <c r="L404" t="inlineStr">
        <is>
          <t>Marzo 2026 CR.xlsx</t>
        </is>
      </c>
      <c r="M404" t="inlineStr">
        <is>
          <t>Aprobado</t>
        </is>
      </c>
      <c r="N404" t="inlineStr">
        <is>
          <t>Puente para redise?ar vistas de Costos &amp; Gastos; no reemplaza P&amp;G oficial. Convertido a USD con la tasa promedio mensual del pais.</t>
        </is>
      </c>
    </row>
    <row r="405">
      <c r="A405" t="inlineStr">
        <is>
          <t>2026-03</t>
        </is>
      </c>
      <c r="B405" t="inlineStr">
        <is>
          <t>Costa Rica</t>
        </is>
      </c>
      <c r="C405" t="inlineStr">
        <is>
          <t>CR</t>
        </is>
      </c>
      <c r="D405" t="inlineStr">
        <is>
          <t>USD</t>
        </is>
      </c>
      <c r="E405" t="inlineStr">
        <is>
          <t>PL-O-050</t>
        </is>
      </c>
      <c r="F405" t="inlineStr">
        <is>
          <t>Seguros</t>
        </is>
      </c>
      <c r="G405" t="inlineStr">
        <is>
          <t>gasto_admin</t>
        </is>
      </c>
      <c r="H405" t="inlineStr">
        <is>
          <t>Seguros</t>
        </is>
      </c>
      <c r="I405" t="inlineStr">
        <is>
          <t>Administracion</t>
        </is>
      </c>
      <c r="J405" t="n">
        <v>70.81</v>
      </c>
      <c r="K405" t="n">
        <v>70.81</v>
      </c>
      <c r="L405" t="inlineStr">
        <is>
          <t>Marzo 2026 CR.xlsx</t>
        </is>
      </c>
      <c r="M405" t="inlineStr">
        <is>
          <t>Aprobado</t>
        </is>
      </c>
      <c r="N405" t="inlineStr">
        <is>
          <t>Puente para redise?ar vistas de Costos &amp; Gastos; no reemplaza P&amp;G oficial. Convertido a USD con la tasa promedio mensual del pais.</t>
        </is>
      </c>
    </row>
    <row r="406">
      <c r="A406" t="inlineStr">
        <is>
          <t>2026-03</t>
        </is>
      </c>
      <c r="B406" t="inlineStr">
        <is>
          <t>Costa Rica</t>
        </is>
      </c>
      <c r="C406" t="inlineStr">
        <is>
          <t>CR</t>
        </is>
      </c>
      <c r="D406" t="inlineStr">
        <is>
          <t>USD</t>
        </is>
      </c>
      <c r="E406" t="inlineStr">
        <is>
          <t>PL-O-110</t>
        </is>
      </c>
      <c r="F406" t="inlineStr">
        <is>
          <t>Suministros y oficina</t>
        </is>
      </c>
      <c r="G406" t="inlineStr">
        <is>
          <t>gasto_admin</t>
        </is>
      </c>
      <c r="H406" t="inlineStr">
        <is>
          <t>Diversos</t>
        </is>
      </c>
      <c r="I406" t="inlineStr">
        <is>
          <t>Administracion</t>
        </is>
      </c>
      <c r="J406" t="n">
        <v>39.61</v>
      </c>
      <c r="K406" t="n">
        <v>39.61</v>
      </c>
      <c r="L406" t="inlineStr">
        <is>
          <t>Marzo 2026 CR.xlsx</t>
        </is>
      </c>
      <c r="M406" t="inlineStr">
        <is>
          <t>Aprobado</t>
        </is>
      </c>
      <c r="N406" t="inlineStr">
        <is>
          <t>Puente para redise?ar vistas de Costos &amp; Gastos; no reemplaza P&amp;G oficial. Convertido a USD con la tasa promedio mensual del pais.</t>
        </is>
      </c>
    </row>
    <row r="407">
      <c r="A407" t="inlineStr">
        <is>
          <t>2026-03</t>
        </is>
      </c>
      <c r="B407" t="inlineStr">
        <is>
          <t>Costa Rica</t>
        </is>
      </c>
      <c r="C407" t="inlineStr">
        <is>
          <t>CR</t>
        </is>
      </c>
      <c r="D407" t="inlineStr">
        <is>
          <t>USD</t>
        </is>
      </c>
      <c r="E407" t="inlineStr">
        <is>
          <t>PL-O-110</t>
        </is>
      </c>
      <c r="F407" t="inlineStr">
        <is>
          <t>Suministros y oficina</t>
        </is>
      </c>
      <c r="G407" t="inlineStr">
        <is>
          <t>gasto_admin</t>
        </is>
      </c>
      <c r="H407" t="inlineStr">
        <is>
          <t>Diversos</t>
        </is>
      </c>
      <c r="I407" t="inlineStr">
        <is>
          <t>Administracion</t>
        </is>
      </c>
      <c r="J407" t="n">
        <v>74.31</v>
      </c>
      <c r="K407" t="n">
        <v>74.31</v>
      </c>
      <c r="L407" t="inlineStr">
        <is>
          <t>Marzo 2026 CR.xlsx</t>
        </is>
      </c>
      <c r="M407" t="inlineStr">
        <is>
          <t>Aprobado</t>
        </is>
      </c>
      <c r="N407" t="inlineStr">
        <is>
          <t>Puente para redise?ar vistas de Costos &amp; Gastos; no reemplaza P&amp;G oficial. Convertido a USD con la tasa promedio mensual del pais.</t>
        </is>
      </c>
    </row>
    <row r="408">
      <c r="A408" t="inlineStr">
        <is>
          <t>2026-03</t>
        </is>
      </c>
      <c r="B408" t="inlineStr">
        <is>
          <t>Costa Rica</t>
        </is>
      </c>
      <c r="C408" t="inlineStr">
        <is>
          <t>CR</t>
        </is>
      </c>
      <c r="D408" t="inlineStr">
        <is>
          <t>USD</t>
        </is>
      </c>
      <c r="E408" t="inlineStr">
        <is>
          <t>PL-O-110</t>
        </is>
      </c>
      <c r="F408" t="inlineStr">
        <is>
          <t>Suministros y oficina</t>
        </is>
      </c>
      <c r="G408" t="inlineStr">
        <is>
          <t>gasto_admin</t>
        </is>
      </c>
      <c r="H408" t="inlineStr">
        <is>
          <t>Diversos</t>
        </is>
      </c>
      <c r="I408" t="inlineStr">
        <is>
          <t>Administracion</t>
        </is>
      </c>
      <c r="J408" t="n">
        <v>0</v>
      </c>
      <c r="K408" t="n">
        <v>15</v>
      </c>
      <c r="L408" t="inlineStr">
        <is>
          <t>Marzo 2026 CR.xlsx</t>
        </is>
      </c>
      <c r="M408" t="inlineStr">
        <is>
          <t>Aprobado</t>
        </is>
      </c>
      <c r="N408" t="inlineStr">
        <is>
          <t>Puente para redise?ar vistas de Costos &amp; Gastos; no reemplaza P&amp;G oficial. Convertido a USD con la tasa promedio mensual del pais.</t>
        </is>
      </c>
    </row>
    <row r="409">
      <c r="A409" t="inlineStr">
        <is>
          <t>2026-03</t>
        </is>
      </c>
      <c r="B409" t="inlineStr">
        <is>
          <t>Costa Rica</t>
        </is>
      </c>
      <c r="C409" t="inlineStr">
        <is>
          <t>CR</t>
        </is>
      </c>
      <c r="D409" t="inlineStr">
        <is>
          <t>USD</t>
        </is>
      </c>
      <c r="E409" t="inlineStr">
        <is>
          <t>PL-O-110</t>
        </is>
      </c>
      <c r="F409" t="inlineStr">
        <is>
          <t>Suministros y oficina</t>
        </is>
      </c>
      <c r="G409" t="inlineStr">
        <is>
          <t>gasto_admin</t>
        </is>
      </c>
      <c r="H409" t="inlineStr">
        <is>
          <t>Diversos</t>
        </is>
      </c>
      <c r="I409" t="inlineStr">
        <is>
          <t>Administracion</t>
        </is>
      </c>
      <c r="J409" t="n">
        <v>0</v>
      </c>
      <c r="K409" t="n">
        <v>7</v>
      </c>
      <c r="L409" t="inlineStr">
        <is>
          <t>Marzo 2026 CR.xlsx</t>
        </is>
      </c>
      <c r="M409" t="inlineStr">
        <is>
          <t>Aprobado</t>
        </is>
      </c>
      <c r="N409" t="inlineStr">
        <is>
          <t>Puente para redise?ar vistas de Costos &amp; Gastos; no reemplaza P&amp;G oficial. Convertido a USD con la tasa promedio mensual del pais.</t>
        </is>
      </c>
    </row>
    <row r="410">
      <c r="A410" t="inlineStr">
        <is>
          <t>2026-03</t>
        </is>
      </c>
      <c r="B410" t="inlineStr">
        <is>
          <t>Costa Rica</t>
        </is>
      </c>
      <c r="C410" t="inlineStr">
        <is>
          <t>CR</t>
        </is>
      </c>
      <c r="D410" t="inlineStr">
        <is>
          <t>USD</t>
        </is>
      </c>
      <c r="E410" t="inlineStr">
        <is>
          <t>PL-F-010</t>
        </is>
      </c>
      <c r="F410" t="inlineStr">
        <is>
          <t>Gastos financieros</t>
        </is>
      </c>
      <c r="G410" t="inlineStr">
        <is>
          <t>gasto_area</t>
        </is>
      </c>
      <c r="H410" t="inlineStr">
        <is>
          <t>Financieros</t>
        </is>
      </c>
      <c r="I410" t="inlineStr">
        <is>
          <t>Financieros</t>
        </is>
      </c>
      <c r="J410" t="n">
        <v>30</v>
      </c>
      <c r="K410" t="n">
        <v>80</v>
      </c>
      <c r="L410" t="inlineStr">
        <is>
          <t>Marzo 2026 CR.xlsx</t>
        </is>
      </c>
      <c r="M410" t="inlineStr">
        <is>
          <t>Aprobado</t>
        </is>
      </c>
      <c r="N410" t="inlineStr">
        <is>
          <t>Puente para redise?ar vistas de Costos &amp; Gastos; no reemplaza P&amp;G oficial. Convertido a USD con la tasa promedio mensual del pais.</t>
        </is>
      </c>
    </row>
    <row r="411">
      <c r="A411" t="inlineStr">
        <is>
          <t>2026-03</t>
        </is>
      </c>
      <c r="B411" t="inlineStr">
        <is>
          <t>Peru</t>
        </is>
      </c>
      <c r="C411" t="inlineStr">
        <is>
          <t>PERU</t>
        </is>
      </c>
      <c r="D411" t="inlineStr">
        <is>
          <t>USD</t>
        </is>
      </c>
      <c r="E411" t="inlineStr">
        <is>
          <t>PL-O-020</t>
        </is>
      </c>
      <c r="F411" t="inlineStr">
        <is>
          <t>Honorarios y servicios profesionales</t>
        </is>
      </c>
      <c r="G411" t="inlineStr">
        <is>
          <t>gasto_admin</t>
        </is>
      </c>
      <c r="H411" t="inlineStr">
        <is>
          <t>Honorarios</t>
        </is>
      </c>
      <c r="I411" t="inlineStr">
        <is>
          <t>Administracion</t>
        </is>
      </c>
      <c r="J411" t="n">
        <v>152.09</v>
      </c>
      <c r="K411" t="n">
        <v>446.65</v>
      </c>
      <c r="L411" t="inlineStr">
        <is>
          <t>Marzo 2026 PERU.xlsx</t>
        </is>
      </c>
      <c r="M411" t="inlineStr">
        <is>
          <t>Aprobado</t>
        </is>
      </c>
      <c r="N411" t="inlineStr">
        <is>
          <t>Puente para redise?ar vistas de Costos &amp; Gastos; no reemplaza P&amp;G oficial. Convertido a USD con la tasa promedio mensual del pais.</t>
        </is>
      </c>
    </row>
    <row r="412">
      <c r="A412" t="inlineStr">
        <is>
          <t>2026-03</t>
        </is>
      </c>
      <c r="B412" t="inlineStr">
        <is>
          <t>Peru</t>
        </is>
      </c>
      <c r="C412" t="inlineStr">
        <is>
          <t>PERU</t>
        </is>
      </c>
      <c r="D412" t="inlineStr">
        <is>
          <t>USD</t>
        </is>
      </c>
      <c r="E412" t="inlineStr">
        <is>
          <t>PL-O-020</t>
        </is>
      </c>
      <c r="F412" t="inlineStr">
        <is>
          <t>Honorarios y servicios profesionales</t>
        </is>
      </c>
      <c r="G412" t="inlineStr">
        <is>
          <t>gasto_admin</t>
        </is>
      </c>
      <c r="H412" t="inlineStr">
        <is>
          <t>Honorarios</t>
        </is>
      </c>
      <c r="I412" t="inlineStr">
        <is>
          <t>Administracion</t>
        </is>
      </c>
      <c r="J412" t="n">
        <v>319.12</v>
      </c>
      <c r="K412" t="n">
        <v>522.1900000000001</v>
      </c>
      <c r="L412" t="inlineStr">
        <is>
          <t>Marzo 2026 PERU.xlsx</t>
        </is>
      </c>
      <c r="M412" t="inlineStr">
        <is>
          <t>Aprobado</t>
        </is>
      </c>
      <c r="N412" t="inlineStr">
        <is>
          <t>Puente para redise?ar vistas de Costos &amp; Gastos; no reemplaza P&amp;G oficial. Convertido a USD con la tasa promedio mensual del pais.</t>
        </is>
      </c>
    </row>
    <row r="413">
      <c r="A413" t="inlineStr">
        <is>
          <t>2026-03</t>
        </is>
      </c>
      <c r="B413" t="inlineStr">
        <is>
          <t>Peru</t>
        </is>
      </c>
      <c r="C413" t="inlineStr">
        <is>
          <t>PERU</t>
        </is>
      </c>
      <c r="D413" t="inlineStr">
        <is>
          <t>USD</t>
        </is>
      </c>
      <c r="E413" t="inlineStr">
        <is>
          <t>PL-S-010</t>
        </is>
      </c>
      <c r="F413" t="inlineStr">
        <is>
          <t>Honorarios comerciales y técnicos</t>
        </is>
      </c>
      <c r="G413" t="inlineStr">
        <is>
          <t>gasto_comercial</t>
        </is>
      </c>
      <c r="H413" t="inlineStr">
        <is>
          <t>Honorarios</t>
        </is>
      </c>
      <c r="I413" t="inlineStr">
        <is>
          <t>Comercial</t>
        </is>
      </c>
      <c r="J413" t="n">
        <v>0</v>
      </c>
      <c r="K413" t="n">
        <v>617.0599999999999</v>
      </c>
      <c r="L413" t="inlineStr">
        <is>
          <t>Marzo 2026 PERU.xlsx</t>
        </is>
      </c>
      <c r="M413" t="inlineStr">
        <is>
          <t>Aprobado</t>
        </is>
      </c>
      <c r="N413" t="inlineStr">
        <is>
          <t>Puente para redise?ar vistas de Costos &amp; Gastos; no reemplaza P&amp;G oficial. Convertido a USD con la tasa promedio mensual del pais.</t>
        </is>
      </c>
    </row>
    <row r="414">
      <c r="A414" t="inlineStr">
        <is>
          <t>2026-03</t>
        </is>
      </c>
      <c r="B414" t="inlineStr">
        <is>
          <t>Peru</t>
        </is>
      </c>
      <c r="C414" t="inlineStr">
        <is>
          <t>PERU</t>
        </is>
      </c>
      <c r="D414" t="inlineStr">
        <is>
          <t>USD</t>
        </is>
      </c>
      <c r="E414" t="inlineStr">
        <is>
          <t>PL-S-020</t>
        </is>
      </c>
      <c r="F414" t="inlineStr">
        <is>
          <t>Mercadeo y publicidad</t>
        </is>
      </c>
      <c r="G414" t="inlineStr">
        <is>
          <t>gasto_comercial</t>
        </is>
      </c>
      <c r="H414" t="inlineStr">
        <is>
          <t>Servicios</t>
        </is>
      </c>
      <c r="I414" t="inlineStr">
        <is>
          <t>Comercial</t>
        </is>
      </c>
      <c r="J414" t="n">
        <v>0</v>
      </c>
      <c r="K414" t="n">
        <v>494.98</v>
      </c>
      <c r="L414" t="inlineStr">
        <is>
          <t>Marzo 2026 PERU.xlsx</t>
        </is>
      </c>
      <c r="M414" t="inlineStr">
        <is>
          <t>Aprobado</t>
        </is>
      </c>
      <c r="N414" t="inlineStr">
        <is>
          <t>Puente para redise?ar vistas de Costos &amp; Gastos; no reemplaza P&amp;G oficial. Convertido a USD con la tasa promedio mensual del pais.</t>
        </is>
      </c>
    </row>
    <row r="415">
      <c r="A415" t="inlineStr">
        <is>
          <t>2026-03</t>
        </is>
      </c>
      <c r="B415" t="inlineStr">
        <is>
          <t>Peru</t>
        </is>
      </c>
      <c r="C415" t="inlineStr">
        <is>
          <t>PERU</t>
        </is>
      </c>
      <c r="D415" t="inlineStr">
        <is>
          <t>USD</t>
        </is>
      </c>
      <c r="E415" t="inlineStr">
        <is>
          <t>PL-S-040</t>
        </is>
      </c>
      <c r="F415" t="inlineStr">
        <is>
          <t>Viajes comerciales</t>
        </is>
      </c>
      <c r="G415" t="inlineStr">
        <is>
          <t>gasto_comercial</t>
        </is>
      </c>
      <c r="H415" t="inlineStr">
        <is>
          <t>Viajes</t>
        </is>
      </c>
      <c r="I415" t="inlineStr">
        <is>
          <t>Comercial</t>
        </is>
      </c>
      <c r="J415" t="n">
        <v>77.53</v>
      </c>
      <c r="K415" t="n">
        <v>77.53</v>
      </c>
      <c r="L415" t="inlineStr">
        <is>
          <t>Marzo 2026 PERU.xlsx</t>
        </is>
      </c>
      <c r="M415" t="inlineStr">
        <is>
          <t>Aprobado</t>
        </is>
      </c>
      <c r="N415" t="inlineStr">
        <is>
          <t>Puente para redise?ar vistas de Costos &amp; Gastos; no reemplaza P&amp;G oficial. Convertido a USD con la tasa promedio mensual del pais.</t>
        </is>
      </c>
    </row>
    <row r="416">
      <c r="A416" t="inlineStr">
        <is>
          <t>2026-03</t>
        </is>
      </c>
      <c r="B416" t="inlineStr">
        <is>
          <t>Peru</t>
        </is>
      </c>
      <c r="C416" t="inlineStr">
        <is>
          <t>PERU</t>
        </is>
      </c>
      <c r="D416" t="inlineStr">
        <is>
          <t>USD</t>
        </is>
      </c>
      <c r="E416" t="inlineStr">
        <is>
          <t>PL-S-040</t>
        </is>
      </c>
      <c r="F416" t="inlineStr">
        <is>
          <t>Viajes comerciales</t>
        </is>
      </c>
      <c r="G416" t="inlineStr">
        <is>
          <t>gasto_comercial</t>
        </is>
      </c>
      <c r="H416" t="inlineStr">
        <is>
          <t>Viajes</t>
        </is>
      </c>
      <c r="I416" t="inlineStr">
        <is>
          <t>Comercial</t>
        </is>
      </c>
      <c r="J416" t="n">
        <v>0</v>
      </c>
      <c r="K416" t="n">
        <v>23.44</v>
      </c>
      <c r="L416" t="inlineStr">
        <is>
          <t>Marzo 2026 PERU.xlsx</t>
        </is>
      </c>
      <c r="M416" t="inlineStr">
        <is>
          <t>Aprobado</t>
        </is>
      </c>
      <c r="N416" t="inlineStr">
        <is>
          <t>Puente para redise?ar vistas de Costos &amp; Gastos; no reemplaza P&amp;G oficial. Convertido a USD con la tasa promedio mensual del pais.</t>
        </is>
      </c>
    </row>
    <row r="417">
      <c r="A417" t="inlineStr">
        <is>
          <t>2026-03</t>
        </is>
      </c>
      <c r="B417" t="inlineStr">
        <is>
          <t>Peru</t>
        </is>
      </c>
      <c r="C417" t="inlineStr">
        <is>
          <t>PERU</t>
        </is>
      </c>
      <c r="D417" t="inlineStr">
        <is>
          <t>USD</t>
        </is>
      </c>
      <c r="E417" t="inlineStr">
        <is>
          <t>PL-S-040</t>
        </is>
      </c>
      <c r="F417" t="inlineStr">
        <is>
          <t>Viajes comerciales</t>
        </is>
      </c>
      <c r="G417" t="inlineStr">
        <is>
          <t>gasto_comercial</t>
        </is>
      </c>
      <c r="H417" t="inlineStr">
        <is>
          <t>Viajes</t>
        </is>
      </c>
      <c r="I417" t="inlineStr">
        <is>
          <t>Comercial</t>
        </is>
      </c>
      <c r="J417" t="n">
        <v>6</v>
      </c>
      <c r="K417" t="n">
        <v>6</v>
      </c>
      <c r="L417" t="inlineStr">
        <is>
          <t>Marzo 2026 PERU.xlsx</t>
        </is>
      </c>
      <c r="M417" t="inlineStr">
        <is>
          <t>Aprobado</t>
        </is>
      </c>
      <c r="N417" t="inlineStr">
        <is>
          <t>Puente para redise?ar vistas de Costos &amp; Gastos; no reemplaza P&amp;G oficial. Convertido a USD con la tasa promedio mensual del pais.</t>
        </is>
      </c>
    </row>
    <row r="418">
      <c r="A418" t="inlineStr">
        <is>
          <t>2026-03</t>
        </is>
      </c>
      <c r="B418" t="inlineStr">
        <is>
          <t>Peru</t>
        </is>
      </c>
      <c r="C418" t="inlineStr">
        <is>
          <t>PERU</t>
        </is>
      </c>
      <c r="D418" t="inlineStr">
        <is>
          <t>USD</t>
        </is>
      </c>
      <c r="E418" t="inlineStr">
        <is>
          <t>PL-S-040</t>
        </is>
      </c>
      <c r="F418" t="inlineStr">
        <is>
          <t>Viajes comerciales</t>
        </is>
      </c>
      <c r="G418" t="inlineStr">
        <is>
          <t>gasto_comercial</t>
        </is>
      </c>
      <c r="H418" t="inlineStr">
        <is>
          <t>Viajes</t>
        </is>
      </c>
      <c r="I418" t="inlineStr">
        <is>
          <t>Comercial</t>
        </is>
      </c>
      <c r="J418" t="n">
        <v>0</v>
      </c>
      <c r="K418" t="n">
        <v>33.07</v>
      </c>
      <c r="L418" t="inlineStr">
        <is>
          <t>Marzo 2026 PERU.xlsx</t>
        </is>
      </c>
      <c r="M418" t="inlineStr">
        <is>
          <t>Aprobado</t>
        </is>
      </c>
      <c r="N418" t="inlineStr">
        <is>
          <t>Puente para redise?ar vistas de Costos &amp; Gastos; no reemplaza P&amp;G oficial. Convertido a USD con la tasa promedio mensual del pais.</t>
        </is>
      </c>
    </row>
    <row r="419">
      <c r="A419" t="inlineStr">
        <is>
          <t>2026-03</t>
        </is>
      </c>
      <c r="B419" t="inlineStr">
        <is>
          <t>Peru</t>
        </is>
      </c>
      <c r="C419" t="inlineStr">
        <is>
          <t>PERU</t>
        </is>
      </c>
      <c r="D419" t="inlineStr">
        <is>
          <t>USD</t>
        </is>
      </c>
      <c r="E419" t="inlineStr">
        <is>
          <t>PL-S-040</t>
        </is>
      </c>
      <c r="F419" t="inlineStr">
        <is>
          <t>Viajes comerciales</t>
        </is>
      </c>
      <c r="G419" t="inlineStr">
        <is>
          <t>gasto_comercial</t>
        </is>
      </c>
      <c r="H419" t="inlineStr">
        <is>
          <t>Viajes</t>
        </is>
      </c>
      <c r="I419" t="inlineStr">
        <is>
          <t>Comercial</t>
        </is>
      </c>
      <c r="J419" t="n">
        <v>0</v>
      </c>
      <c r="K419" t="n">
        <v>150.86</v>
      </c>
      <c r="L419" t="inlineStr">
        <is>
          <t>Marzo 2026 PERU.xlsx</t>
        </is>
      </c>
      <c r="M419" t="inlineStr">
        <is>
          <t>Aprobado</t>
        </is>
      </c>
      <c r="N419" t="inlineStr">
        <is>
          <t>Puente para redise?ar vistas de Costos &amp; Gastos; no reemplaza P&amp;G oficial. Convertido a USD con la tasa promedio mensual del pais.</t>
        </is>
      </c>
    </row>
    <row r="420">
      <c r="A420" t="inlineStr">
        <is>
          <t>2026-03</t>
        </is>
      </c>
      <c r="B420" t="inlineStr">
        <is>
          <t>Peru</t>
        </is>
      </c>
      <c r="C420" t="inlineStr">
        <is>
          <t>PERU</t>
        </is>
      </c>
      <c r="D420" t="inlineStr">
        <is>
          <t>USD</t>
        </is>
      </c>
      <c r="E420" t="inlineStr">
        <is>
          <t>PL-S-040</t>
        </is>
      </c>
      <c r="F420" t="inlineStr">
        <is>
          <t>Viajes comerciales</t>
        </is>
      </c>
      <c r="G420" t="inlineStr">
        <is>
          <t>gasto_comercial</t>
        </is>
      </c>
      <c r="H420" t="inlineStr">
        <is>
          <t>Viajes</t>
        </is>
      </c>
      <c r="I420" t="inlineStr">
        <is>
          <t>Comercial</t>
        </is>
      </c>
      <c r="J420" t="n">
        <v>0</v>
      </c>
      <c r="K420" t="n">
        <v>1.74</v>
      </c>
      <c r="L420" t="inlineStr">
        <is>
          <t>Marzo 2026 PERU.xlsx</t>
        </is>
      </c>
      <c r="M420" t="inlineStr">
        <is>
          <t>Aprobado</t>
        </is>
      </c>
      <c r="N420" t="inlineStr">
        <is>
          <t>Puente para redise?ar vistas de Costos &amp; Gastos; no reemplaza P&amp;G oficial. Convertido a USD con la tasa promedio mensual del pais.</t>
        </is>
      </c>
    </row>
    <row r="421">
      <c r="A421" t="inlineStr">
        <is>
          <t>2026-03</t>
        </is>
      </c>
      <c r="B421" t="inlineStr">
        <is>
          <t>Peru</t>
        </is>
      </c>
      <c r="C421" t="inlineStr">
        <is>
          <t>PERU</t>
        </is>
      </c>
      <c r="D421" t="inlineStr">
        <is>
          <t>USD</t>
        </is>
      </c>
      <c r="E421" t="inlineStr">
        <is>
          <t>PL-S-040</t>
        </is>
      </c>
      <c r="F421" t="inlineStr">
        <is>
          <t>Viajes comerciales</t>
        </is>
      </c>
      <c r="G421" t="inlineStr">
        <is>
          <t>gasto_comercial</t>
        </is>
      </c>
      <c r="H421" t="inlineStr">
        <is>
          <t>Viajes</t>
        </is>
      </c>
      <c r="I421" t="inlineStr">
        <is>
          <t>Comercial</t>
        </is>
      </c>
      <c r="J421" t="n">
        <v>65.66</v>
      </c>
      <c r="K421" t="n">
        <v>65.66</v>
      </c>
      <c r="L421" t="inlineStr">
        <is>
          <t>Marzo 2026 PERU.xlsx</t>
        </is>
      </c>
      <c r="M421" t="inlineStr">
        <is>
          <t>Aprobado</t>
        </is>
      </c>
      <c r="N421" t="inlineStr">
        <is>
          <t>Puente para redise?ar vistas de Costos &amp; Gastos; no reemplaza P&amp;G oficial. Convertido a USD con la tasa promedio mensual del pais.</t>
        </is>
      </c>
    </row>
    <row r="422">
      <c r="A422" t="inlineStr">
        <is>
          <t>2026-03</t>
        </is>
      </c>
      <c r="B422" t="inlineStr">
        <is>
          <t>Peru</t>
        </is>
      </c>
      <c r="C422" t="inlineStr">
        <is>
          <t>PERU</t>
        </is>
      </c>
      <c r="D422" t="inlineStr">
        <is>
          <t>USD</t>
        </is>
      </c>
      <c r="E422" t="inlineStr">
        <is>
          <t>PL-S-040</t>
        </is>
      </c>
      <c r="F422" t="inlineStr">
        <is>
          <t>Viajes comerciales</t>
        </is>
      </c>
      <c r="G422" t="inlineStr">
        <is>
          <t>gasto_comercial</t>
        </is>
      </c>
      <c r="H422" t="inlineStr">
        <is>
          <t>Viajes</t>
        </is>
      </c>
      <c r="I422" t="inlineStr">
        <is>
          <t>Comercial</t>
        </is>
      </c>
      <c r="J422" t="n">
        <v>30.95</v>
      </c>
      <c r="K422" t="n">
        <v>112.18</v>
      </c>
      <c r="L422" t="inlineStr">
        <is>
          <t>Marzo 2026 PERU.xlsx</t>
        </is>
      </c>
      <c r="M422" t="inlineStr">
        <is>
          <t>Aprobado</t>
        </is>
      </c>
      <c r="N422" t="inlineStr">
        <is>
          <t>Puente para redise?ar vistas de Costos &amp; Gastos; no reemplaza P&amp;G oficial. Convertido a USD con la tasa promedio mensual del pais.</t>
        </is>
      </c>
    </row>
    <row r="423">
      <c r="A423" t="inlineStr">
        <is>
          <t>2026-03</t>
        </is>
      </c>
      <c r="B423" t="inlineStr">
        <is>
          <t>Peru</t>
        </is>
      </c>
      <c r="C423" t="inlineStr">
        <is>
          <t>PERU</t>
        </is>
      </c>
      <c r="D423" t="inlineStr">
        <is>
          <t>USD</t>
        </is>
      </c>
      <c r="E423" t="inlineStr">
        <is>
          <t>PL-S-040</t>
        </is>
      </c>
      <c r="F423" t="inlineStr">
        <is>
          <t>Viajes comerciales</t>
        </is>
      </c>
      <c r="G423" t="inlineStr">
        <is>
          <t>gasto_comercial</t>
        </is>
      </c>
      <c r="H423" t="inlineStr">
        <is>
          <t>Viajes</t>
        </is>
      </c>
      <c r="I423" t="inlineStr">
        <is>
          <t>Comercial</t>
        </is>
      </c>
      <c r="J423" t="n">
        <v>43.72</v>
      </c>
      <c r="K423" t="n">
        <v>43.72</v>
      </c>
      <c r="L423" t="inlineStr">
        <is>
          <t>Marzo 2026 PERU.xlsx</t>
        </is>
      </c>
      <c r="M423" t="inlineStr">
        <is>
          <t>Aprobado</t>
        </is>
      </c>
      <c r="N423" t="inlineStr">
        <is>
          <t>Puente para redise?ar vistas de Costos &amp; Gastos; no reemplaza P&amp;G oficial. Convertido a USD con la tasa promedio mensual del pais.</t>
        </is>
      </c>
    </row>
    <row r="424">
      <c r="A424" t="inlineStr">
        <is>
          <t>2026-03</t>
        </is>
      </c>
      <c r="B424" t="inlineStr">
        <is>
          <t>Peru</t>
        </is>
      </c>
      <c r="C424" t="inlineStr">
        <is>
          <t>PERU</t>
        </is>
      </c>
      <c r="D424" t="inlineStr">
        <is>
          <t>USD</t>
        </is>
      </c>
      <c r="E424" t="inlineStr">
        <is>
          <t>PL-S-040</t>
        </is>
      </c>
      <c r="F424" t="inlineStr">
        <is>
          <t>Viajes comerciales</t>
        </is>
      </c>
      <c r="G424" t="inlineStr">
        <is>
          <t>gasto_comercial</t>
        </is>
      </c>
      <c r="H424" t="inlineStr">
        <is>
          <t>Viajes</t>
        </is>
      </c>
      <c r="I424" t="inlineStr">
        <is>
          <t>Comercial</t>
        </is>
      </c>
      <c r="J424" t="n">
        <v>0</v>
      </c>
      <c r="K424" t="n">
        <v>6.96</v>
      </c>
      <c r="L424" t="inlineStr">
        <is>
          <t>Marzo 2026 PERU.xlsx</t>
        </is>
      </c>
      <c r="M424" t="inlineStr">
        <is>
          <t>Aprobado</t>
        </is>
      </c>
      <c r="N424" t="inlineStr">
        <is>
          <t>Puente para redise?ar vistas de Costos &amp; Gastos; no reemplaza P&amp;G oficial. Convertido a USD con la tasa promedio mensual del pais.</t>
        </is>
      </c>
    </row>
    <row r="425">
      <c r="A425" t="inlineStr">
        <is>
          <t>2026-03</t>
        </is>
      </c>
      <c r="B425" t="inlineStr">
        <is>
          <t>Peru</t>
        </is>
      </c>
      <c r="C425" t="inlineStr">
        <is>
          <t>PERU</t>
        </is>
      </c>
      <c r="D425" t="inlineStr">
        <is>
          <t>USD</t>
        </is>
      </c>
      <c r="E425" t="inlineStr">
        <is>
          <t>PL-S-040</t>
        </is>
      </c>
      <c r="F425" t="inlineStr">
        <is>
          <t>Viajes comerciales</t>
        </is>
      </c>
      <c r="G425" t="inlineStr">
        <is>
          <t>gasto_comercial</t>
        </is>
      </c>
      <c r="H425" t="inlineStr">
        <is>
          <t>Viajes</t>
        </is>
      </c>
      <c r="I425" t="inlineStr">
        <is>
          <t>Comercial</t>
        </is>
      </c>
      <c r="J425" t="n">
        <v>0</v>
      </c>
      <c r="K425" t="n">
        <v>6.96</v>
      </c>
      <c r="L425" t="inlineStr">
        <is>
          <t>Marzo 2026 PERU.xlsx</t>
        </is>
      </c>
      <c r="M425" t="inlineStr">
        <is>
          <t>Aprobado</t>
        </is>
      </c>
      <c r="N425" t="inlineStr">
        <is>
          <t>Puente para redise?ar vistas de Costos &amp; Gastos; no reemplaza P&amp;G oficial. Convertido a USD con la tasa promedio mensual del pais.</t>
        </is>
      </c>
    </row>
    <row r="426">
      <c r="A426" t="inlineStr">
        <is>
          <t>2026-03</t>
        </is>
      </c>
      <c r="B426" t="inlineStr">
        <is>
          <t>Peru</t>
        </is>
      </c>
      <c r="C426" t="inlineStr">
        <is>
          <t>PERU</t>
        </is>
      </c>
      <c r="D426" t="inlineStr">
        <is>
          <t>USD</t>
        </is>
      </c>
      <c r="E426" t="inlineStr">
        <is>
          <t>PL-S-050</t>
        </is>
      </c>
      <c r="F426" t="inlineStr">
        <is>
          <t>Transporte comercial</t>
        </is>
      </c>
      <c r="G426" t="inlineStr">
        <is>
          <t>gasto_comercial</t>
        </is>
      </c>
      <c r="H426" t="inlineStr">
        <is>
          <t>Viajes</t>
        </is>
      </c>
      <c r="I426" t="inlineStr">
        <is>
          <t>Comercial</t>
        </is>
      </c>
      <c r="J426" t="n">
        <v>22.63</v>
      </c>
      <c r="K426" t="n">
        <v>22.63</v>
      </c>
      <c r="L426" t="inlineStr">
        <is>
          <t>Marzo 2026 PERU.xlsx</t>
        </is>
      </c>
      <c r="M426" t="inlineStr">
        <is>
          <t>Aprobado</t>
        </is>
      </c>
      <c r="N426" t="inlineStr">
        <is>
          <t>Puente para redise?ar vistas de Costos &amp; Gastos; no reemplaza P&amp;G oficial. Convertido a USD con la tasa promedio mensual del pais.</t>
        </is>
      </c>
    </row>
    <row r="427">
      <c r="A427" t="inlineStr">
        <is>
          <t>2026-03</t>
        </is>
      </c>
      <c r="B427" t="inlineStr">
        <is>
          <t>Peru</t>
        </is>
      </c>
      <c r="C427" t="inlineStr">
        <is>
          <t>PERU</t>
        </is>
      </c>
      <c r="D427" t="inlineStr">
        <is>
          <t>USD</t>
        </is>
      </c>
      <c r="E427" t="inlineStr">
        <is>
          <t>PL-S-060</t>
        </is>
      </c>
      <c r="F427" t="inlineStr">
        <is>
          <t>Otros gastos comerciales</t>
        </is>
      </c>
      <c r="G427" t="inlineStr">
        <is>
          <t>gasto_comercial</t>
        </is>
      </c>
      <c r="H427" t="inlineStr">
        <is>
          <t>Diversos</t>
        </is>
      </c>
      <c r="I427" t="inlineStr">
        <is>
          <t>Comercial</t>
        </is>
      </c>
      <c r="J427" t="n">
        <v>0</v>
      </c>
      <c r="K427" t="n">
        <v>0.55</v>
      </c>
      <c r="L427" t="inlineStr">
        <is>
          <t>Marzo 2026 PERU.xlsx</t>
        </is>
      </c>
      <c r="M427" t="inlineStr">
        <is>
          <t>Revisar</t>
        </is>
      </c>
      <c r="N427" t="inlineStr">
        <is>
          <t>Puente para redise?ar vistas de Costos &amp; Gastos; no reemplaza P&amp;G oficial. Convertido a USD con la tasa promedio mensual del pais.</t>
        </is>
      </c>
    </row>
    <row r="428">
      <c r="A428" t="inlineStr">
        <is>
          <t>2026-03</t>
        </is>
      </c>
      <c r="B428" t="inlineStr">
        <is>
          <t>Peru</t>
        </is>
      </c>
      <c r="C428" t="inlineStr">
        <is>
          <t>PERU</t>
        </is>
      </c>
      <c r="D428" t="inlineStr">
        <is>
          <t>USD</t>
        </is>
      </c>
      <c r="E428" t="inlineStr">
        <is>
          <t>PL-F-010</t>
        </is>
      </c>
      <c r="F428" t="inlineStr">
        <is>
          <t>Gastos financieros</t>
        </is>
      </c>
      <c r="G428" t="inlineStr">
        <is>
          <t>gasto_area</t>
        </is>
      </c>
      <c r="H428" t="inlineStr">
        <is>
          <t>Financieros</t>
        </is>
      </c>
      <c r="I428" t="inlineStr">
        <is>
          <t>Financieros</t>
        </is>
      </c>
      <c r="J428" t="n">
        <v>3.19</v>
      </c>
      <c r="K428" t="n">
        <v>12.78</v>
      </c>
      <c r="L428" t="inlineStr">
        <is>
          <t>Marzo 2026 PERU.xlsx</t>
        </is>
      </c>
      <c r="M428" t="inlineStr">
        <is>
          <t>Aprobado</t>
        </is>
      </c>
      <c r="N428" t="inlineStr">
        <is>
          <t>Puente para redise?ar vistas de Costos &amp; Gastos; no reemplaza P&amp;G oficial. Convertido a USD con la tasa promedio mensual del pais.</t>
        </is>
      </c>
    </row>
    <row r="429">
      <c r="A429" t="inlineStr">
        <is>
          <t>2026-03</t>
        </is>
      </c>
      <c r="B429" t="inlineStr">
        <is>
          <t>Peru</t>
        </is>
      </c>
      <c r="C429" t="inlineStr">
        <is>
          <t>PERU</t>
        </is>
      </c>
      <c r="D429" t="inlineStr">
        <is>
          <t>USD</t>
        </is>
      </c>
      <c r="E429" t="inlineStr">
        <is>
          <t>PL-F-010</t>
        </is>
      </c>
      <c r="F429" t="inlineStr">
        <is>
          <t>Gastos financieros</t>
        </is>
      </c>
      <c r="G429" t="inlineStr">
        <is>
          <t>gasto_area</t>
        </is>
      </c>
      <c r="H429" t="inlineStr">
        <is>
          <t>Financieros</t>
        </is>
      </c>
      <c r="I429" t="inlineStr">
        <is>
          <t>Financieros</t>
        </is>
      </c>
      <c r="J429" t="n">
        <v>0.1</v>
      </c>
      <c r="K429" t="n">
        <v>1.61</v>
      </c>
      <c r="L429" t="inlineStr">
        <is>
          <t>Marzo 2026 PERU.xlsx</t>
        </is>
      </c>
      <c r="M429" t="inlineStr">
        <is>
          <t>Aprobado</t>
        </is>
      </c>
      <c r="N429" t="inlineStr">
        <is>
          <t>Puente para redise?ar vistas de Costos &amp; Gastos; no reemplaza P&amp;G oficial. Convertido a USD con la tasa promedio mensual del pais.</t>
        </is>
      </c>
    </row>
    <row r="430">
      <c r="A430" t="inlineStr">
        <is>
          <t>2026-03</t>
        </is>
      </c>
      <c r="B430" t="inlineStr">
        <is>
          <t>Peru</t>
        </is>
      </c>
      <c r="C430" t="inlineStr">
        <is>
          <t>PERU</t>
        </is>
      </c>
      <c r="D430" t="inlineStr">
        <is>
          <t>USD</t>
        </is>
      </c>
      <c r="E430" t="inlineStr">
        <is>
          <t>PL-F-010</t>
        </is>
      </c>
      <c r="F430" t="inlineStr">
        <is>
          <t>Gastos financieros</t>
        </is>
      </c>
      <c r="G430" t="inlineStr">
        <is>
          <t>gasto_area</t>
        </is>
      </c>
      <c r="H430" t="inlineStr">
        <is>
          <t>Financieros</t>
        </is>
      </c>
      <c r="I430" t="inlineStr">
        <is>
          <t>Financieros</t>
        </is>
      </c>
      <c r="J430" t="n">
        <v>23.21</v>
      </c>
      <c r="K430" t="n">
        <v>92.83</v>
      </c>
      <c r="L430" t="inlineStr">
        <is>
          <t>Marzo 2026 PERU.xlsx</t>
        </is>
      </c>
      <c r="M430" t="inlineStr">
        <is>
          <t>Aprobado</t>
        </is>
      </c>
      <c r="N430" t="inlineStr">
        <is>
          <t>Puente para redise?ar vistas de Costos &amp; Gastos; no reemplaza P&amp;G oficial. Convertido a USD con la tasa promedio mensual del pais.</t>
        </is>
      </c>
    </row>
    <row r="431">
      <c r="A431" t="inlineStr">
        <is>
          <t>2026-03</t>
        </is>
      </c>
      <c r="B431" t="inlineStr">
        <is>
          <t>Estados Unidos</t>
        </is>
      </c>
      <c r="C431" t="inlineStr">
        <is>
          <t>USA</t>
        </is>
      </c>
      <c r="D431" t="inlineStr">
        <is>
          <t>USD</t>
        </is>
      </c>
      <c r="E431" t="inlineStr">
        <is>
          <t>PL-O-010</t>
        </is>
      </c>
      <c r="F431" t="inlineStr">
        <is>
          <t>Gastos de personal</t>
        </is>
      </c>
      <c r="G431" t="inlineStr">
        <is>
          <t>gasto_admin</t>
        </is>
      </c>
      <c r="H431" t="inlineStr">
        <is>
          <t>Personal</t>
        </is>
      </c>
      <c r="I431" t="inlineStr">
        <is>
          <t>Administracion</t>
        </is>
      </c>
      <c r="J431" t="n">
        <v>2592.17</v>
      </c>
      <c r="K431" t="n">
        <v>7776.51</v>
      </c>
      <c r="L431" t="inlineStr">
        <is>
          <t>Marzo 2026 USA.xlsx</t>
        </is>
      </c>
      <c r="M431" t="inlineStr">
        <is>
          <t>Aprobado</t>
        </is>
      </c>
      <c r="N431" t="inlineStr">
        <is>
          <t>Puente para redise?ar vistas de Costos &amp; Gastos; no reemplaza P&amp;G oficial. Convertido a USD con la tasa promedio mensual del pais.</t>
        </is>
      </c>
    </row>
    <row r="432">
      <c r="A432" t="inlineStr">
        <is>
          <t>2026-03</t>
        </is>
      </c>
      <c r="B432" t="inlineStr">
        <is>
          <t>Estados Unidos</t>
        </is>
      </c>
      <c r="C432" t="inlineStr">
        <is>
          <t>USA</t>
        </is>
      </c>
      <c r="D432" t="inlineStr">
        <is>
          <t>USD</t>
        </is>
      </c>
      <c r="E432" t="inlineStr">
        <is>
          <t>PL-O-090</t>
        </is>
      </c>
      <c r="F432" t="inlineStr">
        <is>
          <t>Viajes y representación</t>
        </is>
      </c>
      <c r="G432" t="inlineStr">
        <is>
          <t>gasto_admin</t>
        </is>
      </c>
      <c r="H432" t="inlineStr">
        <is>
          <t>Viajes</t>
        </is>
      </c>
      <c r="I432" t="inlineStr">
        <is>
          <t>Administracion</t>
        </is>
      </c>
      <c r="J432" t="n">
        <v>16.9</v>
      </c>
      <c r="K432" t="n">
        <v>26.81</v>
      </c>
      <c r="L432" t="inlineStr">
        <is>
          <t>Marzo 2026 USA.xlsx</t>
        </is>
      </c>
      <c r="M432" t="inlineStr">
        <is>
          <t>Aprobado</t>
        </is>
      </c>
      <c r="N432" t="inlineStr">
        <is>
          <t>Puente para redise?ar vistas de Costos &amp; Gastos; no reemplaza P&amp;G oficial. Convertido a USD con la tasa promedio mensual del pais.</t>
        </is>
      </c>
    </row>
    <row r="433">
      <c r="A433" t="inlineStr">
        <is>
          <t>2026-03</t>
        </is>
      </c>
      <c r="B433" t="inlineStr">
        <is>
          <t>Estados Unidos</t>
        </is>
      </c>
      <c r="C433" t="inlineStr">
        <is>
          <t>USA</t>
        </is>
      </c>
      <c r="D433" t="inlineStr">
        <is>
          <t>USD</t>
        </is>
      </c>
      <c r="E433" t="inlineStr">
        <is>
          <t>PL-O-090</t>
        </is>
      </c>
      <c r="F433" t="inlineStr">
        <is>
          <t>Viajes y representación</t>
        </is>
      </c>
      <c r="G433" t="inlineStr">
        <is>
          <t>gasto_admin</t>
        </is>
      </c>
      <c r="H433" t="inlineStr">
        <is>
          <t>Viajes</t>
        </is>
      </c>
      <c r="I433" t="inlineStr">
        <is>
          <t>Administracion</t>
        </is>
      </c>
      <c r="J433" t="n">
        <v>35.04</v>
      </c>
      <c r="K433" t="n">
        <v>35.04</v>
      </c>
      <c r="L433" t="inlineStr">
        <is>
          <t>Marzo 2026 USA.xlsx</t>
        </is>
      </c>
      <c r="M433" t="inlineStr">
        <is>
          <t>Aprobado</t>
        </is>
      </c>
      <c r="N433" t="inlineStr">
        <is>
          <t>Puente para redise?ar vistas de Costos &amp; Gastos; no reemplaza P&amp;G oficial. Convertido a USD con la tasa promedio mensual del pais.</t>
        </is>
      </c>
    </row>
    <row r="434">
      <c r="A434" t="inlineStr">
        <is>
          <t>2026-03</t>
        </is>
      </c>
      <c r="B434" t="inlineStr">
        <is>
          <t>Estados Unidos</t>
        </is>
      </c>
      <c r="C434" t="inlineStr">
        <is>
          <t>USA</t>
        </is>
      </c>
      <c r="D434" t="inlineStr">
        <is>
          <t>USD</t>
        </is>
      </c>
      <c r="E434" t="inlineStr">
        <is>
          <t>PL-O-010</t>
        </is>
      </c>
      <c r="F434" t="inlineStr">
        <is>
          <t>Gastos de personal</t>
        </is>
      </c>
      <c r="G434" t="inlineStr">
        <is>
          <t>gasto_admin</t>
        </is>
      </c>
      <c r="H434" t="inlineStr">
        <is>
          <t>Personal</t>
        </is>
      </c>
      <c r="I434" t="inlineStr">
        <is>
          <t>Administracion</t>
        </is>
      </c>
      <c r="J434" t="n">
        <v>0</v>
      </c>
      <c r="K434" t="n">
        <v>7600</v>
      </c>
      <c r="L434" t="inlineStr">
        <is>
          <t>Marzo 2026 USA.xlsx</t>
        </is>
      </c>
      <c r="M434" t="inlineStr">
        <is>
          <t>Aprobado</t>
        </is>
      </c>
      <c r="N434" t="inlineStr">
        <is>
          <t>Puente para redise?ar vistas de Costos &amp; Gastos; no reemplaza P&amp;G oficial. Convertido a USD con la tasa promedio mensual del pais.</t>
        </is>
      </c>
    </row>
    <row r="435">
      <c r="A435" t="inlineStr">
        <is>
          <t>2026-03</t>
        </is>
      </c>
      <c r="B435" t="inlineStr">
        <is>
          <t>Estados Unidos</t>
        </is>
      </c>
      <c r="C435" t="inlineStr">
        <is>
          <t>USA</t>
        </is>
      </c>
      <c r="D435" t="inlineStr">
        <is>
          <t>USD</t>
        </is>
      </c>
      <c r="E435" t="inlineStr">
        <is>
          <t>PL-O-010</t>
        </is>
      </c>
      <c r="F435" t="inlineStr">
        <is>
          <t>Gastos de personal</t>
        </is>
      </c>
      <c r="G435" t="inlineStr">
        <is>
          <t>gasto_admin</t>
        </is>
      </c>
      <c r="H435" t="inlineStr">
        <is>
          <t>Personal</t>
        </is>
      </c>
      <c r="I435" t="inlineStr">
        <is>
          <t>Administracion</t>
        </is>
      </c>
      <c r="J435" t="n">
        <v>276.06</v>
      </c>
      <c r="K435" t="n">
        <v>276.06</v>
      </c>
      <c r="L435" t="inlineStr">
        <is>
          <t>Marzo 2026 USA.xlsx</t>
        </is>
      </c>
      <c r="M435" t="inlineStr">
        <is>
          <t>Aprobado</t>
        </is>
      </c>
      <c r="N435" t="inlineStr">
        <is>
          <t>Puente para redise?ar vistas de Costos &amp; Gastos; no reemplaza P&amp;G oficial. Convertido a USD con la tasa promedio mensual del pais.</t>
        </is>
      </c>
    </row>
    <row r="436">
      <c r="A436" t="inlineStr">
        <is>
          <t>2026-03</t>
        </is>
      </c>
      <c r="B436" t="inlineStr">
        <is>
          <t>Estados Unidos</t>
        </is>
      </c>
      <c r="C436" t="inlineStr">
        <is>
          <t>USA</t>
        </is>
      </c>
      <c r="D436" t="inlineStr">
        <is>
          <t>USD</t>
        </is>
      </c>
      <c r="E436" t="inlineStr">
        <is>
          <t>PL-O-010</t>
        </is>
      </c>
      <c r="F436" t="inlineStr">
        <is>
          <t>Gastos de personal</t>
        </is>
      </c>
      <c r="G436" t="inlineStr">
        <is>
          <t>gasto_admin</t>
        </is>
      </c>
      <c r="H436" t="inlineStr">
        <is>
          <t>Personal</t>
        </is>
      </c>
      <c r="I436" t="inlineStr">
        <is>
          <t>Administracion</t>
        </is>
      </c>
      <c r="J436" t="n">
        <v>132.38</v>
      </c>
      <c r="K436" t="n">
        <v>132.38</v>
      </c>
      <c r="L436" t="inlineStr">
        <is>
          <t>Marzo 2026 USA.xlsx</t>
        </is>
      </c>
      <c r="M436" t="inlineStr">
        <is>
          <t>Aprobado</t>
        </is>
      </c>
      <c r="N436" t="inlineStr">
        <is>
          <t>Puente para redise?ar vistas de Costos &amp; Gastos; no reemplaza P&amp;G oficial. Convertido a USD con la tasa promedio mensual del pais.</t>
        </is>
      </c>
    </row>
    <row r="437">
      <c r="A437" t="inlineStr">
        <is>
          <t>2026-03</t>
        </is>
      </c>
      <c r="B437" t="inlineStr">
        <is>
          <t>Estados Unidos</t>
        </is>
      </c>
      <c r="C437" t="inlineStr">
        <is>
          <t>USA</t>
        </is>
      </c>
      <c r="D437" t="inlineStr">
        <is>
          <t>USD</t>
        </is>
      </c>
      <c r="E437" t="inlineStr">
        <is>
          <t>PL-O-010</t>
        </is>
      </c>
      <c r="F437" t="inlineStr">
        <is>
          <t>Gastos de personal</t>
        </is>
      </c>
      <c r="G437" t="inlineStr">
        <is>
          <t>gasto_admin</t>
        </is>
      </c>
      <c r="H437" t="inlineStr">
        <is>
          <t>Personal</t>
        </is>
      </c>
      <c r="I437" t="inlineStr">
        <is>
          <t>Administracion</t>
        </is>
      </c>
      <c r="J437" t="n">
        <v>0</v>
      </c>
      <c r="K437" t="n">
        <v>122.93</v>
      </c>
      <c r="L437" t="inlineStr">
        <is>
          <t>Marzo 2026 USA.xlsx</t>
        </is>
      </c>
      <c r="M437" t="inlineStr">
        <is>
          <t>Aprobado</t>
        </is>
      </c>
      <c r="N437" t="inlineStr">
        <is>
          <t>Puente para redise?ar vistas de Costos &amp; Gastos; no reemplaza P&amp;G oficial. Convertido a USD con la tasa promedio mensual del pais.</t>
        </is>
      </c>
    </row>
    <row r="438">
      <c r="A438" t="inlineStr">
        <is>
          <t>2026-03</t>
        </is>
      </c>
      <c r="B438" t="inlineStr">
        <is>
          <t>Estados Unidos</t>
        </is>
      </c>
      <c r="C438" t="inlineStr">
        <is>
          <t>USA</t>
        </is>
      </c>
      <c r="D438" t="inlineStr">
        <is>
          <t>USD</t>
        </is>
      </c>
      <c r="E438" t="inlineStr">
        <is>
          <t>PL-O-010</t>
        </is>
      </c>
      <c r="F438" t="inlineStr">
        <is>
          <t>Gastos de personal</t>
        </is>
      </c>
      <c r="G438" t="inlineStr">
        <is>
          <t>gasto_admin</t>
        </is>
      </c>
      <c r="H438" t="inlineStr">
        <is>
          <t>Personal</t>
        </is>
      </c>
      <c r="I438" t="inlineStr">
        <is>
          <t>Administracion</t>
        </is>
      </c>
      <c r="J438" t="n">
        <v>670.33</v>
      </c>
      <c r="K438" t="n">
        <v>2241.99</v>
      </c>
      <c r="L438" t="inlineStr">
        <is>
          <t>Marzo 2026 USA.xlsx</t>
        </is>
      </c>
      <c r="M438" t="inlineStr">
        <is>
          <t>Aprobado</t>
        </is>
      </c>
      <c r="N438" t="inlineStr">
        <is>
          <t>Puente para redise?ar vistas de Costos &amp; Gastos; no reemplaza P&amp;G oficial. Convertido a USD con la tasa promedio mensual del pais.</t>
        </is>
      </c>
    </row>
    <row r="439">
      <c r="A439" t="inlineStr">
        <is>
          <t>2026-03</t>
        </is>
      </c>
      <c r="B439" t="inlineStr">
        <is>
          <t>Estados Unidos</t>
        </is>
      </c>
      <c r="C439" t="inlineStr">
        <is>
          <t>USA</t>
        </is>
      </c>
      <c r="D439" t="inlineStr">
        <is>
          <t>USD</t>
        </is>
      </c>
      <c r="E439" t="inlineStr">
        <is>
          <t>PL-O-020</t>
        </is>
      </c>
      <c r="F439" t="inlineStr">
        <is>
          <t>Honorarios y servicios profesionales</t>
        </is>
      </c>
      <c r="G439" t="inlineStr">
        <is>
          <t>gasto_admin</t>
        </is>
      </c>
      <c r="H439" t="inlineStr">
        <is>
          <t>Honorarios</t>
        </is>
      </c>
      <c r="I439" t="inlineStr">
        <is>
          <t>Administracion</t>
        </is>
      </c>
      <c r="J439" t="n">
        <v>0</v>
      </c>
      <c r="K439" t="n">
        <v>445</v>
      </c>
      <c r="L439" t="inlineStr">
        <is>
          <t>Marzo 2026 USA.xlsx</t>
        </is>
      </c>
      <c r="M439" t="inlineStr">
        <is>
          <t>Aprobado</t>
        </is>
      </c>
      <c r="N439" t="inlineStr">
        <is>
          <t>Puente para redise?ar vistas de Costos &amp; Gastos; no reemplaza P&amp;G oficial. Convertido a USD con la tasa promedio mensual del pais.</t>
        </is>
      </c>
    </row>
    <row r="440">
      <c r="A440" t="inlineStr">
        <is>
          <t>2026-03</t>
        </is>
      </c>
      <c r="B440" t="inlineStr">
        <is>
          <t>Estados Unidos</t>
        </is>
      </c>
      <c r="C440" t="inlineStr">
        <is>
          <t>USA</t>
        </is>
      </c>
      <c r="D440" t="inlineStr">
        <is>
          <t>USD</t>
        </is>
      </c>
      <c r="E440" t="inlineStr">
        <is>
          <t>PL-O-030</t>
        </is>
      </c>
      <c r="F440" t="inlineStr">
        <is>
          <t>Impuestos y contribuciones</t>
        </is>
      </c>
      <c r="G440" t="inlineStr">
        <is>
          <t>gasto_admin</t>
        </is>
      </c>
      <c r="H440" t="inlineStr">
        <is>
          <t>Diversos</t>
        </is>
      </c>
      <c r="I440" t="inlineStr">
        <is>
          <t>Administracion</t>
        </is>
      </c>
      <c r="J440" t="n">
        <v>2.18</v>
      </c>
      <c r="K440" t="n">
        <v>4024.05</v>
      </c>
      <c r="L440" t="inlineStr">
        <is>
          <t>Marzo 2026 USA.xlsx</t>
        </is>
      </c>
      <c r="M440" t="inlineStr">
        <is>
          <t>Aprobado</t>
        </is>
      </c>
      <c r="N440" t="inlineStr">
        <is>
          <t>Puente para redise?ar vistas de Costos &amp; Gastos; no reemplaza P&amp;G oficial. Convertido a USD con la tasa promedio mensual del pais.</t>
        </is>
      </c>
    </row>
    <row r="441">
      <c r="A441" t="inlineStr">
        <is>
          <t>2026-03</t>
        </is>
      </c>
      <c r="B441" t="inlineStr">
        <is>
          <t>Estados Unidos</t>
        </is>
      </c>
      <c r="C441" t="inlineStr">
        <is>
          <t>USA</t>
        </is>
      </c>
      <c r="D441" t="inlineStr">
        <is>
          <t>USD</t>
        </is>
      </c>
      <c r="E441" t="inlineStr">
        <is>
          <t>PL-O-060</t>
        </is>
      </c>
      <c r="F441" t="inlineStr">
        <is>
          <t>Tecnología y procesamiento de datos</t>
        </is>
      </c>
      <c r="G441" t="inlineStr">
        <is>
          <t>gasto_admin</t>
        </is>
      </c>
      <c r="H441" t="inlineStr">
        <is>
          <t>Servicios</t>
        </is>
      </c>
      <c r="I441" t="inlineStr">
        <is>
          <t>Administracion</t>
        </is>
      </c>
      <c r="J441" t="n">
        <v>0</v>
      </c>
      <c r="K441" t="n">
        <v>225.35</v>
      </c>
      <c r="L441" t="inlineStr">
        <is>
          <t>Marzo 2026 USA.xlsx</t>
        </is>
      </c>
      <c r="M441" t="inlineStr">
        <is>
          <t>Aprobado</t>
        </is>
      </c>
      <c r="N441" t="inlineStr">
        <is>
          <t>Puente para redise?ar vistas de Costos &amp; Gastos; no reemplaza P&amp;G oficial. Convertido a USD con la tasa promedio mensual del pais.</t>
        </is>
      </c>
    </row>
    <row r="442">
      <c r="A442" t="inlineStr">
        <is>
          <t>2026-03</t>
        </is>
      </c>
      <c r="B442" t="inlineStr">
        <is>
          <t>Estados Unidos</t>
        </is>
      </c>
      <c r="C442" t="inlineStr">
        <is>
          <t>USA</t>
        </is>
      </c>
      <c r="D442" t="inlineStr">
        <is>
          <t>USD</t>
        </is>
      </c>
      <c r="E442" t="inlineStr">
        <is>
          <t>PL-O-060</t>
        </is>
      </c>
      <c r="F442" t="inlineStr">
        <is>
          <t>Tecnología y procesamiento de datos</t>
        </is>
      </c>
      <c r="G442" t="inlineStr">
        <is>
          <t>gasto_admin</t>
        </is>
      </c>
      <c r="H442" t="inlineStr">
        <is>
          <t>Servicios</t>
        </is>
      </c>
      <c r="I442" t="inlineStr">
        <is>
          <t>Administracion</t>
        </is>
      </c>
      <c r="J442" t="n">
        <v>0</v>
      </c>
      <c r="K442" t="n">
        <v>191.4</v>
      </c>
      <c r="L442" t="inlineStr">
        <is>
          <t>Marzo 2026 USA.xlsx</t>
        </is>
      </c>
      <c r="M442" t="inlineStr">
        <is>
          <t>Aprobado</t>
        </is>
      </c>
      <c r="N442" t="inlineStr">
        <is>
          <t>Puente para redise?ar vistas de Costos &amp; Gastos; no reemplaza P&amp;G oficial. Convertido a USD con la tasa promedio mensual del pais.</t>
        </is>
      </c>
    </row>
    <row r="443">
      <c r="A443" t="inlineStr">
        <is>
          <t>2026-03</t>
        </is>
      </c>
      <c r="B443" t="inlineStr">
        <is>
          <t>Estados Unidos</t>
        </is>
      </c>
      <c r="C443" t="inlineStr">
        <is>
          <t>USA</t>
        </is>
      </c>
      <c r="D443" t="inlineStr">
        <is>
          <t>USD</t>
        </is>
      </c>
      <c r="E443" t="inlineStr">
        <is>
          <t>PL-O-060</t>
        </is>
      </c>
      <c r="F443" t="inlineStr">
        <is>
          <t>Tecnología y procesamiento de datos</t>
        </is>
      </c>
      <c r="G443" t="inlineStr">
        <is>
          <t>gasto_admin</t>
        </is>
      </c>
      <c r="H443" t="inlineStr">
        <is>
          <t>Servicios</t>
        </is>
      </c>
      <c r="I443" t="inlineStr">
        <is>
          <t>Administracion</t>
        </is>
      </c>
      <c r="J443" t="n">
        <v>20</v>
      </c>
      <c r="K443" t="n">
        <v>60</v>
      </c>
      <c r="L443" t="inlineStr">
        <is>
          <t>Marzo 2026 USA.xlsx</t>
        </is>
      </c>
      <c r="M443" t="inlineStr">
        <is>
          <t>Aprobado</t>
        </is>
      </c>
      <c r="N443" t="inlineStr">
        <is>
          <t>Puente para redise?ar vistas de Costos &amp; Gastos; no reemplaza P&amp;G oficial. Convertido a USD con la tasa promedio mensual del pais.</t>
        </is>
      </c>
    </row>
    <row r="444">
      <c r="A444" t="inlineStr">
        <is>
          <t>2026-03</t>
        </is>
      </c>
      <c r="B444" t="inlineStr">
        <is>
          <t>Estados Unidos</t>
        </is>
      </c>
      <c r="C444" t="inlineStr">
        <is>
          <t>USA</t>
        </is>
      </c>
      <c r="D444" t="inlineStr">
        <is>
          <t>USD</t>
        </is>
      </c>
      <c r="E444" t="inlineStr">
        <is>
          <t>PL-O-080</t>
        </is>
      </c>
      <c r="F444" t="inlineStr">
        <is>
          <t>Correo y mensajería</t>
        </is>
      </c>
      <c r="G444" t="inlineStr">
        <is>
          <t>gasto_admin</t>
        </is>
      </c>
      <c r="H444" t="inlineStr">
        <is>
          <t>Servicios</t>
        </is>
      </c>
      <c r="I444" t="inlineStr">
        <is>
          <t>Administracion</t>
        </is>
      </c>
      <c r="J444" t="n">
        <v>11.39</v>
      </c>
      <c r="K444" t="n">
        <v>34.29</v>
      </c>
      <c r="L444" t="inlineStr">
        <is>
          <t>Marzo 2026 USA.xlsx</t>
        </is>
      </c>
      <c r="M444" t="inlineStr">
        <is>
          <t>Aprobado</t>
        </is>
      </c>
      <c r="N444" t="inlineStr">
        <is>
          <t>Puente para redise?ar vistas de Costos &amp; Gastos; no reemplaza P&amp;G oficial. Convertido a USD con la tasa promedio mensual del pais.</t>
        </is>
      </c>
    </row>
    <row r="445">
      <c r="A445" t="inlineStr">
        <is>
          <t>2026-03</t>
        </is>
      </c>
      <c r="B445" t="inlineStr">
        <is>
          <t>Estados Unidos</t>
        </is>
      </c>
      <c r="C445" t="inlineStr">
        <is>
          <t>USA</t>
        </is>
      </c>
      <c r="D445" t="inlineStr">
        <is>
          <t>USD</t>
        </is>
      </c>
      <c r="E445" t="inlineStr">
        <is>
          <t>PL-O-100</t>
        </is>
      </c>
      <c r="F445" t="inlineStr">
        <is>
          <t>Otros servicios administrativos</t>
        </is>
      </c>
      <c r="G445" t="inlineStr">
        <is>
          <t>gasto_admin</t>
        </is>
      </c>
      <c r="H445" t="inlineStr">
        <is>
          <t>Servicios</t>
        </is>
      </c>
      <c r="I445" t="inlineStr">
        <is>
          <t>Administracion</t>
        </is>
      </c>
      <c r="J445" t="n">
        <v>172.4</v>
      </c>
      <c r="K445" t="n">
        <v>578.27</v>
      </c>
      <c r="L445" t="inlineStr">
        <is>
          <t>Marzo 2026 USA.xlsx</t>
        </is>
      </c>
      <c r="M445" t="inlineStr">
        <is>
          <t>Revisar</t>
        </is>
      </c>
      <c r="N445" t="inlineStr">
        <is>
          <t>Puente para redise?ar vistas de Costos &amp; Gastos; no reemplaza P&amp;G oficial. Convertido a USD con la tasa promedio mensual del pais.</t>
        </is>
      </c>
    </row>
    <row r="446">
      <c r="A446" t="inlineStr">
        <is>
          <t>2026-03</t>
        </is>
      </c>
      <c r="B446" t="inlineStr">
        <is>
          <t>Estados Unidos</t>
        </is>
      </c>
      <c r="C446" t="inlineStr">
        <is>
          <t>USA</t>
        </is>
      </c>
      <c r="D446" t="inlineStr">
        <is>
          <t>USD</t>
        </is>
      </c>
      <c r="E446" t="inlineStr">
        <is>
          <t>PL-O-110</t>
        </is>
      </c>
      <c r="F446" t="inlineStr">
        <is>
          <t>Suministros y oficina</t>
        </is>
      </c>
      <c r="G446" t="inlineStr">
        <is>
          <t>gasto_admin</t>
        </is>
      </c>
      <c r="H446" t="inlineStr">
        <is>
          <t>Diversos</t>
        </is>
      </c>
      <c r="I446" t="inlineStr">
        <is>
          <t>Administracion</t>
        </is>
      </c>
      <c r="J446" t="n">
        <v>35.1</v>
      </c>
      <c r="K446" t="n">
        <v>35.1</v>
      </c>
      <c r="L446" t="inlineStr">
        <is>
          <t>Marzo 2026 USA.xlsx</t>
        </is>
      </c>
      <c r="M446" t="inlineStr">
        <is>
          <t>Aprobado</t>
        </is>
      </c>
      <c r="N446" t="inlineStr">
        <is>
          <t>Puente para redise?ar vistas de Costos &amp; Gastos; no reemplaza P&amp;G oficial. Convertido a USD con la tasa promedio mensual del pais.</t>
        </is>
      </c>
    </row>
    <row r="447">
      <c r="A447" t="inlineStr">
        <is>
          <t>2026-03</t>
        </is>
      </c>
      <c r="B447" t="inlineStr">
        <is>
          <t>Estados Unidos</t>
        </is>
      </c>
      <c r="C447" t="inlineStr">
        <is>
          <t>USA</t>
        </is>
      </c>
      <c r="D447" t="inlineStr">
        <is>
          <t>USD</t>
        </is>
      </c>
      <c r="E447" t="inlineStr">
        <is>
          <t>PL-O-110</t>
        </is>
      </c>
      <c r="F447" t="inlineStr">
        <is>
          <t>Suministros y oficina</t>
        </is>
      </c>
      <c r="G447" t="inlineStr">
        <is>
          <t>gasto_admin</t>
        </is>
      </c>
      <c r="H447" t="inlineStr">
        <is>
          <t>Diversos</t>
        </is>
      </c>
      <c r="I447" t="inlineStr">
        <is>
          <t>Administracion</t>
        </is>
      </c>
      <c r="J447" t="n">
        <v>31.85</v>
      </c>
      <c r="K447" t="n">
        <v>82.58</v>
      </c>
      <c r="L447" t="inlineStr">
        <is>
          <t>Marzo 2026 USA.xlsx</t>
        </is>
      </c>
      <c r="M447" t="inlineStr">
        <is>
          <t>Aprobado</t>
        </is>
      </c>
      <c r="N447" t="inlineStr">
        <is>
          <t>Puente para redise?ar vistas de Costos &amp; Gastos; no reemplaza P&amp;G oficial. Convertido a USD con la tasa promedio mensual del pais.</t>
        </is>
      </c>
    </row>
    <row r="448">
      <c r="A448" t="inlineStr">
        <is>
          <t>2026-03</t>
        </is>
      </c>
      <c r="B448" t="inlineStr">
        <is>
          <t>Estados Unidos</t>
        </is>
      </c>
      <c r="C448" t="inlineStr">
        <is>
          <t>USA</t>
        </is>
      </c>
      <c r="D448" t="inlineStr">
        <is>
          <t>USD</t>
        </is>
      </c>
      <c r="E448" t="inlineStr">
        <is>
          <t>PL-O-120</t>
        </is>
      </c>
      <c r="F448" t="inlineStr">
        <is>
          <t>Alimentación y restaurante</t>
        </is>
      </c>
      <c r="G448" t="inlineStr">
        <is>
          <t>gasto_admin</t>
        </is>
      </c>
      <c r="H448" t="inlineStr">
        <is>
          <t>Diversos</t>
        </is>
      </c>
      <c r="I448" t="inlineStr">
        <is>
          <t>Administracion</t>
        </is>
      </c>
      <c r="J448" t="n">
        <v>125.13</v>
      </c>
      <c r="K448" t="n">
        <v>125.13</v>
      </c>
      <c r="L448" t="inlineStr">
        <is>
          <t>Marzo 2026 USA.xlsx</t>
        </is>
      </c>
      <c r="M448" t="inlineStr">
        <is>
          <t>Revisar</t>
        </is>
      </c>
      <c r="N448" t="inlineStr">
        <is>
          <t>Puente para redise?ar vistas de Costos &amp; Gastos; no reemplaza P&amp;G oficial. Convertido a USD con la tasa promedio mensual del pais.</t>
        </is>
      </c>
    </row>
    <row r="449">
      <c r="A449" t="inlineStr">
        <is>
          <t>2026-03</t>
        </is>
      </c>
      <c r="B449" t="inlineStr">
        <is>
          <t>Estados Unidos</t>
        </is>
      </c>
      <c r="C449" t="inlineStr">
        <is>
          <t>USA</t>
        </is>
      </c>
      <c r="D449" t="inlineStr">
        <is>
          <t>USD</t>
        </is>
      </c>
      <c r="E449" t="inlineStr">
        <is>
          <t>PL-O-120</t>
        </is>
      </c>
      <c r="F449" t="inlineStr">
        <is>
          <t>Alimentación y restaurante</t>
        </is>
      </c>
      <c r="G449" t="inlineStr">
        <is>
          <t>gasto_admin</t>
        </is>
      </c>
      <c r="H449" t="inlineStr">
        <is>
          <t>Diversos</t>
        </is>
      </c>
      <c r="I449" t="inlineStr">
        <is>
          <t>Administracion</t>
        </is>
      </c>
      <c r="J449" t="n">
        <v>63.15</v>
      </c>
      <c r="K449" t="n">
        <v>63.15</v>
      </c>
      <c r="L449" t="inlineStr">
        <is>
          <t>Marzo 2026 USA.xlsx</t>
        </is>
      </c>
      <c r="M449" t="inlineStr">
        <is>
          <t>Revisar</t>
        </is>
      </c>
      <c r="N449" t="inlineStr">
        <is>
          <t>Puente para redise?ar vistas de Costos &amp; Gastos; no reemplaza P&amp;G oficial. Convertido a USD con la tasa promedio mensual del pais.</t>
        </is>
      </c>
    </row>
    <row r="450">
      <c r="A450" t="inlineStr">
        <is>
          <t>2026-03</t>
        </is>
      </c>
      <c r="B450" t="inlineStr">
        <is>
          <t>Estados Unidos</t>
        </is>
      </c>
      <c r="C450" t="inlineStr">
        <is>
          <t>USA</t>
        </is>
      </c>
      <c r="D450" t="inlineStr">
        <is>
          <t>USD</t>
        </is>
      </c>
      <c r="E450" t="inlineStr">
        <is>
          <t>PL-O-120</t>
        </is>
      </c>
      <c r="F450" t="inlineStr">
        <is>
          <t>Alimentación y restaurante</t>
        </is>
      </c>
      <c r="G450" t="inlineStr">
        <is>
          <t>gasto_admin</t>
        </is>
      </c>
      <c r="H450" t="inlineStr">
        <is>
          <t>Diversos</t>
        </is>
      </c>
      <c r="I450" t="inlineStr">
        <is>
          <t>Administracion</t>
        </is>
      </c>
      <c r="J450" t="n">
        <v>0</v>
      </c>
      <c r="K450" t="n">
        <v>177.68</v>
      </c>
      <c r="L450" t="inlineStr">
        <is>
          <t>Marzo 2026 USA.xlsx</t>
        </is>
      </c>
      <c r="M450" t="inlineStr">
        <is>
          <t>Revisar</t>
        </is>
      </c>
      <c r="N450" t="inlineStr">
        <is>
          <t>Puente para redise?ar vistas de Costos &amp; Gastos; no reemplaza P&amp;G oficial. Convertido a USD con la tasa promedio mensual del pais.</t>
        </is>
      </c>
    </row>
    <row r="451">
      <c r="A451" t="inlineStr">
        <is>
          <t>2026-03</t>
        </is>
      </c>
      <c r="B451" t="inlineStr">
        <is>
          <t>Estados Unidos</t>
        </is>
      </c>
      <c r="C451" t="inlineStr">
        <is>
          <t>USA</t>
        </is>
      </c>
      <c r="D451" t="inlineStr">
        <is>
          <t>USD</t>
        </is>
      </c>
      <c r="E451" t="inlineStr">
        <is>
          <t>PL-O-120</t>
        </is>
      </c>
      <c r="F451" t="inlineStr">
        <is>
          <t>Alimentación y restaurante</t>
        </is>
      </c>
      <c r="G451" t="inlineStr">
        <is>
          <t>gasto_admin</t>
        </is>
      </c>
      <c r="H451" t="inlineStr">
        <is>
          <t>Diversos</t>
        </is>
      </c>
      <c r="I451" t="inlineStr">
        <is>
          <t>Administracion</t>
        </is>
      </c>
      <c r="J451" t="n">
        <v>0</v>
      </c>
      <c r="K451" t="n">
        <v>248</v>
      </c>
      <c r="L451" t="inlineStr">
        <is>
          <t>Marzo 2026 USA.xlsx</t>
        </is>
      </c>
      <c r="M451" t="inlineStr">
        <is>
          <t>Revisar</t>
        </is>
      </c>
      <c r="N451" t="inlineStr">
        <is>
          <t>Puente para redise?ar vistas de Costos &amp; Gastos; no reemplaza P&amp;G oficial. Convertido a USD con la tasa promedio mensual del pais.</t>
        </is>
      </c>
    </row>
    <row r="452">
      <c r="A452" t="inlineStr">
        <is>
          <t>2026-03</t>
        </is>
      </c>
      <c r="B452" t="inlineStr">
        <is>
          <t>Estados Unidos</t>
        </is>
      </c>
      <c r="C452" t="inlineStr">
        <is>
          <t>USA</t>
        </is>
      </c>
      <c r="D452" t="inlineStr">
        <is>
          <t>USD</t>
        </is>
      </c>
      <c r="E452" t="inlineStr">
        <is>
          <t>PL-O-120</t>
        </is>
      </c>
      <c r="F452" t="inlineStr">
        <is>
          <t>Alimentación y restaurante</t>
        </is>
      </c>
      <c r="G452" t="inlineStr">
        <is>
          <t>gasto_admin</t>
        </is>
      </c>
      <c r="H452" t="inlineStr">
        <is>
          <t>Diversos</t>
        </is>
      </c>
      <c r="I452" t="inlineStr">
        <is>
          <t>Administracion</t>
        </is>
      </c>
      <c r="J452" t="n">
        <v>0</v>
      </c>
      <c r="K452" t="n">
        <v>30.09</v>
      </c>
      <c r="L452" t="inlineStr">
        <is>
          <t>Marzo 2026 USA.xlsx</t>
        </is>
      </c>
      <c r="M452" t="inlineStr">
        <is>
          <t>Revisar</t>
        </is>
      </c>
      <c r="N452" t="inlineStr">
        <is>
          <t>Puente para redise?ar vistas de Costos &amp; Gastos; no reemplaza P&amp;G oficial. Convertido a USD con la tasa promedio mensual del pais.</t>
        </is>
      </c>
    </row>
    <row r="453">
      <c r="A453" t="inlineStr">
        <is>
          <t>2026-03</t>
        </is>
      </c>
      <c r="B453" t="inlineStr">
        <is>
          <t>Estados Unidos</t>
        </is>
      </c>
      <c r="C453" t="inlineStr">
        <is>
          <t>USA</t>
        </is>
      </c>
      <c r="D453" t="inlineStr">
        <is>
          <t>USD</t>
        </is>
      </c>
      <c r="E453" t="inlineStr">
        <is>
          <t>PL-O-120</t>
        </is>
      </c>
      <c r="F453" t="inlineStr">
        <is>
          <t>Alimentación y restaurante</t>
        </is>
      </c>
      <c r="G453" t="inlineStr">
        <is>
          <t>gasto_admin</t>
        </is>
      </c>
      <c r="H453" t="inlineStr">
        <is>
          <t>Diversos</t>
        </is>
      </c>
      <c r="I453" t="inlineStr">
        <is>
          <t>Administracion</t>
        </is>
      </c>
      <c r="J453" t="n">
        <v>7.03</v>
      </c>
      <c r="K453" t="n">
        <v>7.03</v>
      </c>
      <c r="L453" t="inlineStr">
        <is>
          <t>Marzo 2026 USA.xlsx</t>
        </is>
      </c>
      <c r="M453" t="inlineStr">
        <is>
          <t>Revisar</t>
        </is>
      </c>
      <c r="N453" t="inlineStr">
        <is>
          <t>Puente para redise?ar vistas de Costos &amp; Gastos; no reemplaza P&amp;G oficial. Convertido a USD con la tasa promedio mensual del pais.</t>
        </is>
      </c>
    </row>
    <row r="454">
      <c r="A454" t="inlineStr">
        <is>
          <t>2026-03</t>
        </is>
      </c>
      <c r="B454" t="inlineStr">
        <is>
          <t>Estados Unidos</t>
        </is>
      </c>
      <c r="C454" t="inlineStr">
        <is>
          <t>USA</t>
        </is>
      </c>
      <c r="D454" t="inlineStr">
        <is>
          <t>USD</t>
        </is>
      </c>
      <c r="E454" t="inlineStr">
        <is>
          <t>PL-O-120</t>
        </is>
      </c>
      <c r="F454" t="inlineStr">
        <is>
          <t>Alimentación y restaurante</t>
        </is>
      </c>
      <c r="G454" t="inlineStr">
        <is>
          <t>gasto_admin</t>
        </is>
      </c>
      <c r="H454" t="inlineStr">
        <is>
          <t>Diversos</t>
        </is>
      </c>
      <c r="I454" t="inlineStr">
        <is>
          <t>Administracion</t>
        </is>
      </c>
      <c r="J454" t="n">
        <v>72.54000000000001</v>
      </c>
      <c r="K454" t="n">
        <v>72.54000000000001</v>
      </c>
      <c r="L454" t="inlineStr">
        <is>
          <t>Marzo 2026 USA.xlsx</t>
        </is>
      </c>
      <c r="M454" t="inlineStr">
        <is>
          <t>Revisar</t>
        </is>
      </c>
      <c r="N454" t="inlineStr">
        <is>
          <t>Puente para redise?ar vistas de Costos &amp; Gastos; no reemplaza P&amp;G oficial. Convertido a USD con la tasa promedio mensual del pais.</t>
        </is>
      </c>
    </row>
    <row r="455">
      <c r="A455" t="inlineStr">
        <is>
          <t>2026-03</t>
        </is>
      </c>
      <c r="B455" t="inlineStr">
        <is>
          <t>Estados Unidos</t>
        </is>
      </c>
      <c r="C455" t="inlineStr">
        <is>
          <t>USA</t>
        </is>
      </c>
      <c r="D455" t="inlineStr">
        <is>
          <t>USD</t>
        </is>
      </c>
      <c r="E455" t="inlineStr">
        <is>
          <t>PL-O-020</t>
        </is>
      </c>
      <c r="F455" t="inlineStr">
        <is>
          <t>Honorarios y servicios profesionales</t>
        </is>
      </c>
      <c r="G455" t="inlineStr">
        <is>
          <t>gasto_admin</t>
        </is>
      </c>
      <c r="H455" t="inlineStr">
        <is>
          <t>Honorarios</t>
        </is>
      </c>
      <c r="I455" t="inlineStr">
        <is>
          <t>Administracion</t>
        </is>
      </c>
      <c r="J455" t="n">
        <v>2557.46</v>
      </c>
      <c r="K455" t="n">
        <v>2557.46</v>
      </c>
      <c r="L455" t="inlineStr">
        <is>
          <t>Marzo 2026 USA.xlsx</t>
        </is>
      </c>
      <c r="M455" t="inlineStr">
        <is>
          <t>Aprobado</t>
        </is>
      </c>
      <c r="N455" t="inlineStr">
        <is>
          <t>Puente para redise?ar vistas de Costos &amp; Gastos; no reemplaza P&amp;G oficial. Convertido a USD con la tasa promedio mensual del pais.</t>
        </is>
      </c>
    </row>
    <row r="456">
      <c r="A456" t="inlineStr">
        <is>
          <t>2026-03</t>
        </is>
      </c>
      <c r="B456" t="inlineStr">
        <is>
          <t>Estados Unidos</t>
        </is>
      </c>
      <c r="C456" t="inlineStr">
        <is>
          <t>USA</t>
        </is>
      </c>
      <c r="D456" t="inlineStr">
        <is>
          <t>USD</t>
        </is>
      </c>
      <c r="E456" t="inlineStr">
        <is>
          <t>PL-O-020</t>
        </is>
      </c>
      <c r="F456" t="inlineStr">
        <is>
          <t>Honorarios y servicios profesionales</t>
        </is>
      </c>
      <c r="G456" t="inlineStr">
        <is>
          <t>gasto_admin</t>
        </is>
      </c>
      <c r="H456" t="inlineStr">
        <is>
          <t>Honorarios</t>
        </is>
      </c>
      <c r="I456" t="inlineStr">
        <is>
          <t>Administracion</t>
        </is>
      </c>
      <c r="J456" t="n">
        <v>0</v>
      </c>
      <c r="K456" t="n">
        <v>1500</v>
      </c>
      <c r="L456" t="inlineStr">
        <is>
          <t>Marzo 2026 USA.xlsx</t>
        </is>
      </c>
      <c r="M456" t="inlineStr">
        <is>
          <t>Aprobado</t>
        </is>
      </c>
      <c r="N456" t="inlineStr">
        <is>
          <t>Puente para redise?ar vistas de Costos &amp; Gastos; no reemplaza P&amp;G oficial. Convertido a USD con la tasa promedio mensual del pais.</t>
        </is>
      </c>
    </row>
    <row r="457">
      <c r="A457" t="inlineStr">
        <is>
          <t>2026-03</t>
        </is>
      </c>
      <c r="B457" t="inlineStr">
        <is>
          <t>Estados Unidos</t>
        </is>
      </c>
      <c r="C457" t="inlineStr">
        <is>
          <t>USA</t>
        </is>
      </c>
      <c r="D457" t="inlineStr">
        <is>
          <t>USD</t>
        </is>
      </c>
      <c r="E457" t="inlineStr">
        <is>
          <t>PL-S-020</t>
        </is>
      </c>
      <c r="F457" t="inlineStr">
        <is>
          <t>Mercadeo y publicidad</t>
        </is>
      </c>
      <c r="G457" t="inlineStr">
        <is>
          <t>gasto_comercial</t>
        </is>
      </c>
      <c r="H457" t="inlineStr">
        <is>
          <t>Servicios</t>
        </is>
      </c>
      <c r="I457" t="inlineStr">
        <is>
          <t>Comercial</t>
        </is>
      </c>
      <c r="J457" t="n">
        <v>400</v>
      </c>
      <c r="K457" t="n">
        <v>400</v>
      </c>
      <c r="L457" t="inlineStr">
        <is>
          <t>Marzo 2026 USA.xlsx</t>
        </is>
      </c>
      <c r="M457" t="inlineStr">
        <is>
          <t>Aprobado</t>
        </is>
      </c>
      <c r="N457" t="inlineStr">
        <is>
          <t>Puente para redise?ar vistas de Costos &amp; Gastos; no reemplaza P&amp;G oficial. Convertido a USD con la tasa promedio mensual del pais.</t>
        </is>
      </c>
    </row>
    <row r="458">
      <c r="A458" t="inlineStr">
        <is>
          <t>2026-03</t>
        </is>
      </c>
      <c r="B458" t="inlineStr">
        <is>
          <t>Estados Unidos</t>
        </is>
      </c>
      <c r="C458" t="inlineStr">
        <is>
          <t>USA</t>
        </is>
      </c>
      <c r="D458" t="inlineStr">
        <is>
          <t>USD</t>
        </is>
      </c>
      <c r="E458" t="inlineStr">
        <is>
          <t>PL-S-030</t>
        </is>
      </c>
      <c r="F458" t="inlineStr">
        <is>
          <t>Otros servicios comerciales</t>
        </is>
      </c>
      <c r="G458" t="inlineStr">
        <is>
          <t>gasto_comercial</t>
        </is>
      </c>
      <c r="H458" t="inlineStr">
        <is>
          <t>Servicios</t>
        </is>
      </c>
      <c r="I458" t="inlineStr">
        <is>
          <t>Comercial</t>
        </is>
      </c>
      <c r="J458" t="n">
        <v>0</v>
      </c>
      <c r="K458" t="n">
        <v>648</v>
      </c>
      <c r="L458" t="inlineStr">
        <is>
          <t>Marzo 2026 USA.xlsx</t>
        </is>
      </c>
      <c r="M458" t="inlineStr">
        <is>
          <t>Revisar</t>
        </is>
      </c>
      <c r="N458" t="inlineStr">
        <is>
          <t>Puente para redise?ar vistas de Costos &amp; Gastos; no reemplaza P&amp;G oficial. Convertido a USD con la tasa promedio mensual del pais.</t>
        </is>
      </c>
    </row>
    <row r="459">
      <c r="A459" t="inlineStr">
        <is>
          <t>2026-03</t>
        </is>
      </c>
      <c r="B459" t="inlineStr">
        <is>
          <t>Estados Unidos</t>
        </is>
      </c>
      <c r="C459" t="inlineStr">
        <is>
          <t>USA</t>
        </is>
      </c>
      <c r="D459" t="inlineStr">
        <is>
          <t>USD</t>
        </is>
      </c>
      <c r="E459" t="inlineStr">
        <is>
          <t>PL-F-010</t>
        </is>
      </c>
      <c r="F459" t="inlineStr">
        <is>
          <t>Gastos financieros</t>
        </is>
      </c>
      <c r="G459" t="inlineStr">
        <is>
          <t>gasto_area</t>
        </is>
      </c>
      <c r="H459" t="inlineStr">
        <is>
          <t>Financieros</t>
        </is>
      </c>
      <c r="I459" t="inlineStr">
        <is>
          <t>Financieros</t>
        </is>
      </c>
      <c r="J459" t="n">
        <v>5.22</v>
      </c>
      <c r="K459" t="n">
        <v>10.44</v>
      </c>
      <c r="L459" t="inlineStr">
        <is>
          <t>Marzo 2026 USA.xlsx</t>
        </is>
      </c>
      <c r="M459" t="inlineStr">
        <is>
          <t>Aprobado</t>
        </is>
      </c>
      <c r="N459" t="inlineStr">
        <is>
          <t>Puente para redise?ar vistas de Costos &amp; Gastos; no reemplaza P&amp;G oficial. Convertido a USD con la tasa promedio mensual del pais.</t>
        </is>
      </c>
    </row>
    <row r="460">
      <c r="A460" t="inlineStr">
        <is>
          <t>2026-03</t>
        </is>
      </c>
      <c r="B460" t="inlineStr">
        <is>
          <t>Estados Unidos</t>
        </is>
      </c>
      <c r="C460" t="inlineStr">
        <is>
          <t>USA</t>
        </is>
      </c>
      <c r="D460" t="inlineStr">
        <is>
          <t>USD</t>
        </is>
      </c>
      <c r="E460" t="inlineStr">
        <is>
          <t>PL-F-010</t>
        </is>
      </c>
      <c r="F460" t="inlineStr">
        <is>
          <t>Gastos financieros</t>
        </is>
      </c>
      <c r="G460" t="inlineStr">
        <is>
          <t>gasto_area</t>
        </is>
      </c>
      <c r="H460" t="inlineStr">
        <is>
          <t>Financieros</t>
        </is>
      </c>
      <c r="I460" t="inlineStr">
        <is>
          <t>Financieros</t>
        </is>
      </c>
      <c r="J460" t="n">
        <v>3.11</v>
      </c>
      <c r="K460" t="n">
        <v>3.11</v>
      </c>
      <c r="L460" t="inlineStr">
        <is>
          <t>Marzo 2026 USA.xlsx</t>
        </is>
      </c>
      <c r="M460" t="inlineStr">
        <is>
          <t>Aprobado</t>
        </is>
      </c>
      <c r="N460" t="inlineStr">
        <is>
          <t>Puente para redise?ar vistas de Costos &amp; Gastos; no reemplaza P&amp;G oficial. Convertido a USD con la tasa promedio mensual del pais.</t>
        </is>
      </c>
    </row>
    <row r="461">
      <c r="A461" t="inlineStr">
        <is>
          <t>2026-03</t>
        </is>
      </c>
      <c r="B461" t="inlineStr">
        <is>
          <t>Estados Unidos</t>
        </is>
      </c>
      <c r="C461" t="inlineStr">
        <is>
          <t>USA</t>
        </is>
      </c>
      <c r="D461" t="inlineStr">
        <is>
          <t>USD</t>
        </is>
      </c>
      <c r="E461" t="inlineStr">
        <is>
          <t>PL-F-010</t>
        </is>
      </c>
      <c r="F461" t="inlineStr">
        <is>
          <t>Gastos financieros</t>
        </is>
      </c>
      <c r="G461" t="inlineStr">
        <is>
          <t>gasto_area</t>
        </is>
      </c>
      <c r="H461" t="inlineStr">
        <is>
          <t>Financieros</t>
        </is>
      </c>
      <c r="I461" t="inlineStr">
        <is>
          <t>Financieros</t>
        </is>
      </c>
      <c r="J461" t="n">
        <v>0</v>
      </c>
      <c r="K461" t="n">
        <v>152.85</v>
      </c>
      <c r="L461" t="inlineStr">
        <is>
          <t>Marzo 2026 USA.xlsx</t>
        </is>
      </c>
      <c r="M461" t="inlineStr">
        <is>
          <t>Aprobado</t>
        </is>
      </c>
      <c r="N461" t="inlineStr">
        <is>
          <t>Puente para redise?ar vistas de Costos &amp; Gastos; no reemplaza P&amp;G oficial. Convertido a USD con la tasa promedio mensual del pais.</t>
        </is>
      </c>
    </row>
    <row r="462">
      <c r="A462" t="inlineStr">
        <is>
          <t>2026-03</t>
        </is>
      </c>
      <c r="B462" t="inlineStr">
        <is>
          <t>Estados Unidos</t>
        </is>
      </c>
      <c r="C462" t="inlineStr">
        <is>
          <t>USA</t>
        </is>
      </c>
      <c r="D462" t="inlineStr">
        <is>
          <t>USD</t>
        </is>
      </c>
      <c r="E462" t="inlineStr">
        <is>
          <t>PL-F-010</t>
        </is>
      </c>
      <c r="F462" t="inlineStr">
        <is>
          <t>Gastos financieros</t>
        </is>
      </c>
      <c r="G462" t="inlineStr">
        <is>
          <t>gasto_area</t>
        </is>
      </c>
      <c r="H462" t="inlineStr">
        <is>
          <t>Financieros</t>
        </is>
      </c>
      <c r="I462" t="inlineStr">
        <is>
          <t>Financieros</t>
        </is>
      </c>
      <c r="J462" t="n">
        <v>0</v>
      </c>
      <c r="K462" t="n">
        <v>0.9</v>
      </c>
      <c r="L462" t="inlineStr">
        <is>
          <t>Marzo 2026 USA.xlsx</t>
        </is>
      </c>
      <c r="M462" t="inlineStr">
        <is>
          <t>Aprobado</t>
        </is>
      </c>
      <c r="N462" t="inlineStr">
        <is>
          <t>Puente para redise?ar vistas de Costos &amp; Gastos; no reemplaza P&amp;G oficial. Convertido a USD con la tasa promedio mensual del pais.</t>
        </is>
      </c>
    </row>
    <row r="463">
      <c r="A463" t="inlineStr">
        <is>
          <t>2026-05</t>
        </is>
      </c>
      <c r="B463" t="inlineStr">
        <is>
          <t>Costa Rica</t>
        </is>
      </c>
      <c r="C463" t="inlineStr">
        <is>
          <t>CR</t>
        </is>
      </c>
      <c r="D463" t="inlineStr">
        <is>
          <t>USD</t>
        </is>
      </c>
      <c r="E463" t="inlineStr">
        <is>
          <t>PL-O-010</t>
        </is>
      </c>
      <c r="F463" t="inlineStr">
        <is>
          <t>Gastos de personal</t>
        </is>
      </c>
      <c r="G463" t="inlineStr">
        <is>
          <t>gasto_admin</t>
        </is>
      </c>
      <c r="H463" t="inlineStr">
        <is>
          <t>Personal</t>
        </is>
      </c>
      <c r="I463" t="inlineStr">
        <is>
          <t>Administracion</t>
        </is>
      </c>
      <c r="J463" t="n">
        <v>600</v>
      </c>
      <c r="K463" t="n">
        <v>5400</v>
      </c>
      <c r="L463" t="inlineStr">
        <is>
          <t>Mayo 2026 CR.xlsx</t>
        </is>
      </c>
      <c r="M463" t="inlineStr">
        <is>
          <t>Aprobado</t>
        </is>
      </c>
      <c r="N463" t="inlineStr">
        <is>
          <t>Puente para redise?ar vistas de Costos &amp; Gastos; no reemplaza P&amp;G oficial. Convertido a USD con la tasa promedio mensual del pais.</t>
        </is>
      </c>
    </row>
    <row r="464">
      <c r="A464" t="inlineStr">
        <is>
          <t>2026-05</t>
        </is>
      </c>
      <c r="B464" t="inlineStr">
        <is>
          <t>Costa Rica</t>
        </is>
      </c>
      <c r="C464" t="inlineStr">
        <is>
          <t>CR</t>
        </is>
      </c>
      <c r="D464" t="inlineStr">
        <is>
          <t>USD</t>
        </is>
      </c>
      <c r="E464" t="inlineStr">
        <is>
          <t>PL-O-090</t>
        </is>
      </c>
      <c r="F464" t="inlineStr">
        <is>
          <t>Viajes y representación</t>
        </is>
      </c>
      <c r="G464" t="inlineStr">
        <is>
          <t>gasto_admin</t>
        </is>
      </c>
      <c r="H464" t="inlineStr">
        <is>
          <t>Viajes</t>
        </is>
      </c>
      <c r="I464" t="inlineStr">
        <is>
          <t>Administracion</t>
        </is>
      </c>
      <c r="J464" t="n">
        <v>300</v>
      </c>
      <c r="K464" t="n">
        <v>1500</v>
      </c>
      <c r="L464" t="inlineStr">
        <is>
          <t>Mayo 2026 CR.xlsx</t>
        </is>
      </c>
      <c r="M464" t="inlineStr">
        <is>
          <t>Aprobado</t>
        </is>
      </c>
      <c r="N464" t="inlineStr">
        <is>
          <t>Puente para redise?ar vistas de Costos &amp; Gastos; no reemplaza P&amp;G oficial. Convertido a USD con la tasa promedio mensual del pais.</t>
        </is>
      </c>
    </row>
    <row r="465">
      <c r="A465" t="inlineStr">
        <is>
          <t>2026-05</t>
        </is>
      </c>
      <c r="B465" t="inlineStr">
        <is>
          <t>Costa Rica</t>
        </is>
      </c>
      <c r="C465" t="inlineStr">
        <is>
          <t>CR</t>
        </is>
      </c>
      <c r="D465" t="inlineStr">
        <is>
          <t>USD</t>
        </is>
      </c>
      <c r="E465" t="inlineStr">
        <is>
          <t>PL-O-010</t>
        </is>
      </c>
      <c r="F465" t="inlineStr">
        <is>
          <t>Gastos de personal</t>
        </is>
      </c>
      <c r="G465" t="inlineStr">
        <is>
          <t>gasto_admin</t>
        </is>
      </c>
      <c r="H465" t="inlineStr">
        <is>
          <t>Personal</t>
        </is>
      </c>
      <c r="I465" t="inlineStr">
        <is>
          <t>Administracion</t>
        </is>
      </c>
      <c r="J465" t="n">
        <v>400</v>
      </c>
      <c r="K465" t="n">
        <v>2012.37</v>
      </c>
      <c r="L465" t="inlineStr">
        <is>
          <t>Mayo 2026 CR.xlsx</t>
        </is>
      </c>
      <c r="M465" t="inlineStr">
        <is>
          <t>Aprobado</t>
        </is>
      </c>
      <c r="N465" t="inlineStr">
        <is>
          <t>Puente para redise?ar vistas de Costos &amp; Gastos; no reemplaza P&amp;G oficial. Convertido a USD con la tasa promedio mensual del pais.</t>
        </is>
      </c>
    </row>
    <row r="466">
      <c r="A466" t="inlineStr">
        <is>
          <t>2026-05</t>
        </is>
      </c>
      <c r="B466" t="inlineStr">
        <is>
          <t>Costa Rica</t>
        </is>
      </c>
      <c r="C466" t="inlineStr">
        <is>
          <t>CR</t>
        </is>
      </c>
      <c r="D466" t="inlineStr">
        <is>
          <t>USD</t>
        </is>
      </c>
      <c r="E466" t="inlineStr">
        <is>
          <t>PL-O-020</t>
        </is>
      </c>
      <c r="F466" t="inlineStr">
        <is>
          <t>Honorarios y servicios profesionales</t>
        </is>
      </c>
      <c r="G466" t="inlineStr">
        <is>
          <t>gasto_admin</t>
        </is>
      </c>
      <c r="H466" t="inlineStr">
        <is>
          <t>Honorarios</t>
        </is>
      </c>
      <c r="I466" t="inlineStr">
        <is>
          <t>Administracion</t>
        </is>
      </c>
      <c r="J466" t="n">
        <v>0</v>
      </c>
      <c r="K466" t="n">
        <v>270.35</v>
      </c>
      <c r="L466" t="inlineStr">
        <is>
          <t>Mayo 2026 CR.xlsx</t>
        </is>
      </c>
      <c r="M466" t="inlineStr">
        <is>
          <t>Aprobado</t>
        </is>
      </c>
      <c r="N466" t="inlineStr">
        <is>
          <t>Puente para redise?ar vistas de Costos &amp; Gastos; no reemplaza P&amp;G oficial. Convertido a USD con la tasa promedio mensual del pais.</t>
        </is>
      </c>
    </row>
    <row r="467">
      <c r="A467" t="inlineStr">
        <is>
          <t>2026-05</t>
        </is>
      </c>
      <c r="B467" t="inlineStr">
        <is>
          <t>Costa Rica</t>
        </is>
      </c>
      <c r="C467" t="inlineStr">
        <is>
          <t>CR</t>
        </is>
      </c>
      <c r="D467" t="inlineStr">
        <is>
          <t>USD</t>
        </is>
      </c>
      <c r="E467" t="inlineStr">
        <is>
          <t>PL-O-030</t>
        </is>
      </c>
      <c r="F467" t="inlineStr">
        <is>
          <t>Impuestos y contribuciones</t>
        </is>
      </c>
      <c r="G467" t="inlineStr">
        <is>
          <t>gasto_admin</t>
        </is>
      </c>
      <c r="H467" t="inlineStr">
        <is>
          <t>Diversos</t>
        </is>
      </c>
      <c r="I467" t="inlineStr">
        <is>
          <t>Administracion</t>
        </is>
      </c>
      <c r="J467" t="n">
        <v>0</v>
      </c>
      <c r="K467" t="n">
        <v>252.73</v>
      </c>
      <c r="L467" t="inlineStr">
        <is>
          <t>Mayo 2026 CR.xlsx</t>
        </is>
      </c>
      <c r="M467" t="inlineStr">
        <is>
          <t>Aprobado</t>
        </is>
      </c>
      <c r="N467" t="inlineStr">
        <is>
          <t>Puente para redise?ar vistas de Costos &amp; Gastos; no reemplaza P&amp;G oficial. Convertido a USD con la tasa promedio mensual del pais.</t>
        </is>
      </c>
    </row>
    <row r="468">
      <c r="A468" t="inlineStr">
        <is>
          <t>2026-05</t>
        </is>
      </c>
      <c r="B468" t="inlineStr">
        <is>
          <t>Costa Rica</t>
        </is>
      </c>
      <c r="C468" t="inlineStr">
        <is>
          <t>CR</t>
        </is>
      </c>
      <c r="D468" t="inlineStr">
        <is>
          <t>USD</t>
        </is>
      </c>
      <c r="E468" t="inlineStr">
        <is>
          <t>PL-O-030</t>
        </is>
      </c>
      <c r="F468" t="inlineStr">
        <is>
          <t>Impuestos y contribuciones</t>
        </is>
      </c>
      <c r="G468" t="inlineStr">
        <is>
          <t>gasto_admin</t>
        </is>
      </c>
      <c r="H468" t="inlineStr">
        <is>
          <t>Diversos</t>
        </is>
      </c>
      <c r="I468" t="inlineStr">
        <is>
          <t>Administracion</t>
        </is>
      </c>
      <c r="J468" t="n">
        <v>0</v>
      </c>
      <c r="K468" t="n">
        <v>142.19</v>
      </c>
      <c r="L468" t="inlineStr">
        <is>
          <t>Mayo 2026 CR.xlsx</t>
        </is>
      </c>
      <c r="M468" t="inlineStr">
        <is>
          <t>Aprobado</t>
        </is>
      </c>
      <c r="N468" t="inlineStr">
        <is>
          <t>Puente para redise?ar vistas de Costos &amp; Gastos; no reemplaza P&amp;G oficial. Convertido a USD con la tasa promedio mensual del pais.</t>
        </is>
      </c>
    </row>
    <row r="469">
      <c r="A469" t="inlineStr">
        <is>
          <t>2026-05</t>
        </is>
      </c>
      <c r="B469" t="inlineStr">
        <is>
          <t>Costa Rica</t>
        </is>
      </c>
      <c r="C469" t="inlineStr">
        <is>
          <t>CR</t>
        </is>
      </c>
      <c r="D469" t="inlineStr">
        <is>
          <t>USD</t>
        </is>
      </c>
      <c r="E469" t="inlineStr">
        <is>
          <t>PL-O-030</t>
        </is>
      </c>
      <c r="F469" t="inlineStr">
        <is>
          <t>Impuestos y contribuciones</t>
        </is>
      </c>
      <c r="G469" t="inlineStr">
        <is>
          <t>gasto_admin</t>
        </is>
      </c>
      <c r="H469" t="inlineStr">
        <is>
          <t>Diversos</t>
        </is>
      </c>
      <c r="I469" t="inlineStr">
        <is>
          <t>Administracion</t>
        </is>
      </c>
      <c r="J469" t="n">
        <v>0</v>
      </c>
      <c r="K469" t="n">
        <v>64.79000000000001</v>
      </c>
      <c r="L469" t="inlineStr">
        <is>
          <t>Mayo 2026 CR.xlsx</t>
        </is>
      </c>
      <c r="M469" t="inlineStr">
        <is>
          <t>Aprobado</t>
        </is>
      </c>
      <c r="N469" t="inlineStr">
        <is>
          <t>Puente para redise?ar vistas de Costos &amp; Gastos; no reemplaza P&amp;G oficial. Convertido a USD con la tasa promedio mensual del pais.</t>
        </is>
      </c>
    </row>
    <row r="470">
      <c r="A470" t="inlineStr">
        <is>
          <t>2026-05</t>
        </is>
      </c>
      <c r="B470" t="inlineStr">
        <is>
          <t>Costa Rica</t>
        </is>
      </c>
      <c r="C470" t="inlineStr">
        <is>
          <t>CR</t>
        </is>
      </c>
      <c r="D470" t="inlineStr">
        <is>
          <t>USD</t>
        </is>
      </c>
      <c r="E470" t="inlineStr">
        <is>
          <t>PL-O-050</t>
        </is>
      </c>
      <c r="F470" t="inlineStr">
        <is>
          <t>Seguros</t>
        </is>
      </c>
      <c r="G470" t="inlineStr">
        <is>
          <t>gasto_admin</t>
        </is>
      </c>
      <c r="H470" t="inlineStr">
        <is>
          <t>Seguros</t>
        </is>
      </c>
      <c r="I470" t="inlineStr">
        <is>
          <t>Administracion</t>
        </is>
      </c>
      <c r="J470" t="n">
        <v>0</v>
      </c>
      <c r="K470" t="n">
        <v>9205.719999999999</v>
      </c>
      <c r="L470" t="inlineStr">
        <is>
          <t>Mayo 2026 CR.xlsx</t>
        </is>
      </c>
      <c r="M470" t="inlineStr">
        <is>
          <t>Aprobado</t>
        </is>
      </c>
      <c r="N470" t="inlineStr">
        <is>
          <t>Puente para redise?ar vistas de Costos &amp; Gastos; no reemplaza P&amp;G oficial. Convertido a USD con la tasa promedio mensual del pais.</t>
        </is>
      </c>
    </row>
    <row r="471">
      <c r="A471" t="inlineStr">
        <is>
          <t>2026-05</t>
        </is>
      </c>
      <c r="B471" t="inlineStr">
        <is>
          <t>Costa Rica</t>
        </is>
      </c>
      <c r="C471" t="inlineStr">
        <is>
          <t>CR</t>
        </is>
      </c>
      <c r="D471" t="inlineStr">
        <is>
          <t>USD</t>
        </is>
      </c>
      <c r="E471" t="inlineStr">
        <is>
          <t>PL-O-050</t>
        </is>
      </c>
      <c r="F471" t="inlineStr">
        <is>
          <t>Seguros</t>
        </is>
      </c>
      <c r="G471" t="inlineStr">
        <is>
          <t>gasto_admin</t>
        </is>
      </c>
      <c r="H471" t="inlineStr">
        <is>
          <t>Seguros</t>
        </is>
      </c>
      <c r="I471" t="inlineStr">
        <is>
          <t>Administracion</t>
        </is>
      </c>
      <c r="J471" t="n">
        <v>0</v>
      </c>
      <c r="K471" t="n">
        <v>70.81</v>
      </c>
      <c r="L471" t="inlineStr">
        <is>
          <t>Mayo 2026 CR.xlsx</t>
        </is>
      </c>
      <c r="M471" t="inlineStr">
        <is>
          <t>Aprobado</t>
        </is>
      </c>
      <c r="N471" t="inlineStr">
        <is>
          <t>Puente para redise?ar vistas de Costos &amp; Gastos; no reemplaza P&amp;G oficial. Convertido a USD con la tasa promedio mensual del pais.</t>
        </is>
      </c>
    </row>
    <row r="472">
      <c r="A472" t="inlineStr">
        <is>
          <t>2026-05</t>
        </is>
      </c>
      <c r="B472" t="inlineStr">
        <is>
          <t>Costa Rica</t>
        </is>
      </c>
      <c r="C472" t="inlineStr">
        <is>
          <t>CR</t>
        </is>
      </c>
      <c r="D472" t="inlineStr">
        <is>
          <t>USD</t>
        </is>
      </c>
      <c r="E472" t="inlineStr">
        <is>
          <t>PL-O-060</t>
        </is>
      </c>
      <c r="F472" t="inlineStr">
        <is>
          <t>Tecnología y procesamiento de datos</t>
        </is>
      </c>
      <c r="G472" t="inlineStr">
        <is>
          <t>gasto_admin</t>
        </is>
      </c>
      <c r="H472" t="inlineStr">
        <is>
          <t>Servicios</t>
        </is>
      </c>
      <c r="I472" t="inlineStr">
        <is>
          <t>Administracion</t>
        </is>
      </c>
      <c r="J472" t="n">
        <v>57.8</v>
      </c>
      <c r="K472" t="n">
        <v>115.51</v>
      </c>
      <c r="L472" t="inlineStr">
        <is>
          <t>Mayo 2026 CR.xlsx</t>
        </is>
      </c>
      <c r="M472" t="inlineStr">
        <is>
          <t>Aprobado</t>
        </is>
      </c>
      <c r="N472" t="inlineStr">
        <is>
          <t>Puente para redise?ar vistas de Costos &amp; Gastos; no reemplaza P&amp;G oficial. Convertido a USD con la tasa promedio mensual del pais.</t>
        </is>
      </c>
    </row>
    <row r="473">
      <c r="A473" t="inlineStr">
        <is>
          <t>2026-05</t>
        </is>
      </c>
      <c r="B473" t="inlineStr">
        <is>
          <t>Costa Rica</t>
        </is>
      </c>
      <c r="C473" t="inlineStr">
        <is>
          <t>CR</t>
        </is>
      </c>
      <c r="D473" t="inlineStr">
        <is>
          <t>USD</t>
        </is>
      </c>
      <c r="E473" t="inlineStr">
        <is>
          <t>PL-O-110</t>
        </is>
      </c>
      <c r="F473" t="inlineStr">
        <is>
          <t>Suministros y oficina</t>
        </is>
      </c>
      <c r="G473" t="inlineStr">
        <is>
          <t>gasto_admin</t>
        </is>
      </c>
      <c r="H473" t="inlineStr">
        <is>
          <t>Diversos</t>
        </is>
      </c>
      <c r="I473" t="inlineStr">
        <is>
          <t>Administracion</t>
        </is>
      </c>
      <c r="J473" t="n">
        <v>0</v>
      </c>
      <c r="K473" t="n">
        <v>39.61</v>
      </c>
      <c r="L473" t="inlineStr">
        <is>
          <t>Mayo 2026 CR.xlsx</t>
        </is>
      </c>
      <c r="M473" t="inlineStr">
        <is>
          <t>Aprobado</t>
        </is>
      </c>
      <c r="N473" t="inlineStr">
        <is>
          <t>Puente para redise?ar vistas de Costos &amp; Gastos; no reemplaza P&amp;G oficial. Convertido a USD con la tasa promedio mensual del pais.</t>
        </is>
      </c>
    </row>
    <row r="474">
      <c r="A474" t="inlineStr">
        <is>
          <t>2026-05</t>
        </is>
      </c>
      <c r="B474" t="inlineStr">
        <is>
          <t>Costa Rica</t>
        </is>
      </c>
      <c r="C474" t="inlineStr">
        <is>
          <t>CR</t>
        </is>
      </c>
      <c r="D474" t="inlineStr">
        <is>
          <t>USD</t>
        </is>
      </c>
      <c r="E474" t="inlineStr">
        <is>
          <t>PL-O-110</t>
        </is>
      </c>
      <c r="F474" t="inlineStr">
        <is>
          <t>Suministros y oficina</t>
        </is>
      </c>
      <c r="G474" t="inlineStr">
        <is>
          <t>gasto_admin</t>
        </is>
      </c>
      <c r="H474" t="inlineStr">
        <is>
          <t>Diversos</t>
        </is>
      </c>
      <c r="I474" t="inlineStr">
        <is>
          <t>Administracion</t>
        </is>
      </c>
      <c r="J474" t="n">
        <v>0</v>
      </c>
      <c r="K474" t="n">
        <v>74.31</v>
      </c>
      <c r="L474" t="inlineStr">
        <is>
          <t>Mayo 2026 CR.xlsx</t>
        </is>
      </c>
      <c r="M474" t="inlineStr">
        <is>
          <t>Aprobado</t>
        </is>
      </c>
      <c r="N474" t="inlineStr">
        <is>
          <t>Puente para redise?ar vistas de Costos &amp; Gastos; no reemplaza P&amp;G oficial. Convertido a USD con la tasa promedio mensual del pais.</t>
        </is>
      </c>
    </row>
    <row r="475">
      <c r="A475" t="inlineStr">
        <is>
          <t>2026-05</t>
        </is>
      </c>
      <c r="B475" t="inlineStr">
        <is>
          <t>Costa Rica</t>
        </is>
      </c>
      <c r="C475" t="inlineStr">
        <is>
          <t>CR</t>
        </is>
      </c>
      <c r="D475" t="inlineStr">
        <is>
          <t>USD</t>
        </is>
      </c>
      <c r="E475" t="inlineStr">
        <is>
          <t>PL-O-110</t>
        </is>
      </c>
      <c r="F475" t="inlineStr">
        <is>
          <t>Suministros y oficina</t>
        </is>
      </c>
      <c r="G475" t="inlineStr">
        <is>
          <t>gasto_admin</t>
        </is>
      </c>
      <c r="H475" t="inlineStr">
        <is>
          <t>Diversos</t>
        </is>
      </c>
      <c r="I475" t="inlineStr">
        <is>
          <t>Administracion</t>
        </is>
      </c>
      <c r="J475" t="n">
        <v>0</v>
      </c>
      <c r="K475" t="n">
        <v>15</v>
      </c>
      <c r="L475" t="inlineStr">
        <is>
          <t>Mayo 2026 CR.xlsx</t>
        </is>
      </c>
      <c r="M475" t="inlineStr">
        <is>
          <t>Aprobado</t>
        </is>
      </c>
      <c r="N475" t="inlineStr">
        <is>
          <t>Puente para redise?ar vistas de Costos &amp; Gastos; no reemplaza P&amp;G oficial. Convertido a USD con la tasa promedio mensual del pais.</t>
        </is>
      </c>
    </row>
    <row r="476">
      <c r="A476" t="inlineStr">
        <is>
          <t>2026-05</t>
        </is>
      </c>
      <c r="B476" t="inlineStr">
        <is>
          <t>Costa Rica</t>
        </is>
      </c>
      <c r="C476" t="inlineStr">
        <is>
          <t>CR</t>
        </is>
      </c>
      <c r="D476" t="inlineStr">
        <is>
          <t>USD</t>
        </is>
      </c>
      <c r="E476" t="inlineStr">
        <is>
          <t>PL-O-110</t>
        </is>
      </c>
      <c r="F476" t="inlineStr">
        <is>
          <t>Suministros y oficina</t>
        </is>
      </c>
      <c r="G476" t="inlineStr">
        <is>
          <t>gasto_admin</t>
        </is>
      </c>
      <c r="H476" t="inlineStr">
        <is>
          <t>Diversos</t>
        </is>
      </c>
      <c r="I476" t="inlineStr">
        <is>
          <t>Administracion</t>
        </is>
      </c>
      <c r="J476" t="n">
        <v>0</v>
      </c>
      <c r="K476" t="n">
        <v>7</v>
      </c>
      <c r="L476" t="inlineStr">
        <is>
          <t>Mayo 2026 CR.xlsx</t>
        </is>
      </c>
      <c r="M476" t="inlineStr">
        <is>
          <t>Aprobado</t>
        </is>
      </c>
      <c r="N476" t="inlineStr">
        <is>
          <t>Puente para redise?ar vistas de Costos &amp; Gastos; no reemplaza P&amp;G oficial. Convertido a USD con la tasa promedio mensual del pais.</t>
        </is>
      </c>
    </row>
    <row r="477">
      <c r="A477" t="inlineStr">
        <is>
          <t>2026-05</t>
        </is>
      </c>
      <c r="B477" t="inlineStr">
        <is>
          <t>Costa Rica</t>
        </is>
      </c>
      <c r="C477" t="inlineStr">
        <is>
          <t>CR</t>
        </is>
      </c>
      <c r="D477" t="inlineStr">
        <is>
          <t>USD</t>
        </is>
      </c>
      <c r="E477" t="inlineStr">
        <is>
          <t>PL-F-010</t>
        </is>
      </c>
      <c r="F477" t="inlineStr">
        <is>
          <t>Gastos financieros</t>
        </is>
      </c>
      <c r="G477" t="inlineStr">
        <is>
          <t>gasto_area</t>
        </is>
      </c>
      <c r="H477" t="inlineStr">
        <is>
          <t>Financieros</t>
        </is>
      </c>
      <c r="I477" t="inlineStr">
        <is>
          <t>Financieros</t>
        </is>
      </c>
      <c r="J477" t="n">
        <v>30</v>
      </c>
      <c r="K477" t="n">
        <v>150</v>
      </c>
      <c r="L477" t="inlineStr">
        <is>
          <t>Mayo 2026 CR.xlsx</t>
        </is>
      </c>
      <c r="M477" t="inlineStr">
        <is>
          <t>Aprobado</t>
        </is>
      </c>
      <c r="N477" t="inlineStr">
        <is>
          <t>Puente para redise?ar vistas de Costos &amp; Gastos; no reemplaza P&amp;G oficial. Convertido a USD con la tasa promedio mensual del pais.</t>
        </is>
      </c>
    </row>
    <row r="478">
      <c r="A478" t="inlineStr">
        <is>
          <t>2026-05</t>
        </is>
      </c>
      <c r="B478" t="inlineStr">
        <is>
          <t>Costa Rica</t>
        </is>
      </c>
      <c r="C478" t="inlineStr">
        <is>
          <t>CR</t>
        </is>
      </c>
      <c r="D478" t="inlineStr">
        <is>
          <t>USD</t>
        </is>
      </c>
      <c r="E478" t="inlineStr">
        <is>
          <t>PL-F-010</t>
        </is>
      </c>
      <c r="F478" t="inlineStr">
        <is>
          <t>Gastos financieros</t>
        </is>
      </c>
      <c r="G478" t="inlineStr">
        <is>
          <t>gasto_area</t>
        </is>
      </c>
      <c r="H478" t="inlineStr">
        <is>
          <t>Financieros</t>
        </is>
      </c>
      <c r="I478" t="inlineStr">
        <is>
          <t>Financieros</t>
        </is>
      </c>
      <c r="J478" t="n">
        <v>6</v>
      </c>
      <c r="K478" t="n">
        <v>6</v>
      </c>
      <c r="L478" t="inlineStr">
        <is>
          <t>Mayo 2026 CR.xlsx</t>
        </is>
      </c>
      <c r="M478" t="inlineStr">
        <is>
          <t>Aprobado</t>
        </is>
      </c>
      <c r="N478" t="inlineStr">
        <is>
          <t>Puente para redise?ar vistas de Costos &amp; Gastos; no reemplaza P&amp;G oficial. Convertido a USD con la tasa promedio mensual del pais.</t>
        </is>
      </c>
    </row>
    <row r="479">
      <c r="A479" t="inlineStr">
        <is>
          <t>2026-05</t>
        </is>
      </c>
      <c r="B479" t="inlineStr">
        <is>
          <t>Peru</t>
        </is>
      </c>
      <c r="C479" t="inlineStr">
        <is>
          <t>PERU</t>
        </is>
      </c>
      <c r="D479" t="inlineStr">
        <is>
          <t>USD</t>
        </is>
      </c>
      <c r="E479" t="inlineStr">
        <is>
          <t>PL-O-020</t>
        </is>
      </c>
      <c r="F479" t="inlineStr">
        <is>
          <t>Honorarios y servicios profesionales</t>
        </is>
      </c>
      <c r="G479" t="inlineStr">
        <is>
          <t>gasto_admin</t>
        </is>
      </c>
      <c r="H479" t="inlineStr">
        <is>
          <t>Honorarios</t>
        </is>
      </c>
      <c r="I479" t="inlineStr">
        <is>
          <t>Administracion</t>
        </is>
      </c>
      <c r="J479" t="n">
        <v>154.1</v>
      </c>
      <c r="K479" t="n">
        <v>602.3099999999999</v>
      </c>
      <c r="L479" t="inlineStr">
        <is>
          <t>Mayo 2026 PERU.xlsx</t>
        </is>
      </c>
      <c r="M479" t="inlineStr">
        <is>
          <t>Aprobado</t>
        </is>
      </c>
      <c r="N479" t="inlineStr">
        <is>
          <t>Puente para redise?ar vistas de Costos &amp; Gastos; no reemplaza P&amp;G oficial. Convertido a USD con la tasa promedio mensual del pais.</t>
        </is>
      </c>
    </row>
    <row r="480">
      <c r="A480" t="inlineStr">
        <is>
          <t>2026-05</t>
        </is>
      </c>
      <c r="B480" t="inlineStr">
        <is>
          <t>Peru</t>
        </is>
      </c>
      <c r="C480" t="inlineStr">
        <is>
          <t>PERU</t>
        </is>
      </c>
      <c r="D480" t="inlineStr">
        <is>
          <t>USD</t>
        </is>
      </c>
      <c r="E480" t="inlineStr">
        <is>
          <t>PL-O-020</t>
        </is>
      </c>
      <c r="F480" t="inlineStr">
        <is>
          <t>Honorarios y servicios profesionales</t>
        </is>
      </c>
      <c r="G480" t="inlineStr">
        <is>
          <t>gasto_admin</t>
        </is>
      </c>
      <c r="H480" t="inlineStr">
        <is>
          <t>Honorarios</t>
        </is>
      </c>
      <c r="I480" t="inlineStr">
        <is>
          <t>Administracion</t>
        </is>
      </c>
      <c r="J480" t="n">
        <v>203.78</v>
      </c>
      <c r="K480" t="n">
        <v>727.8</v>
      </c>
      <c r="L480" t="inlineStr">
        <is>
          <t>Mayo 2026 PERU.xlsx</t>
        </is>
      </c>
      <c r="M480" t="inlineStr">
        <is>
          <t>Aprobado</t>
        </is>
      </c>
      <c r="N480" t="inlineStr">
        <is>
          <t>Puente para redise?ar vistas de Costos &amp; Gastos; no reemplaza P&amp;G oficial. Convertido a USD con la tasa promedio mensual del pais.</t>
        </is>
      </c>
    </row>
    <row r="481">
      <c r="A481" t="inlineStr">
        <is>
          <t>2026-05</t>
        </is>
      </c>
      <c r="B481" t="inlineStr">
        <is>
          <t>Peru</t>
        </is>
      </c>
      <c r="C481" t="inlineStr">
        <is>
          <t>PERU</t>
        </is>
      </c>
      <c r="D481" t="inlineStr">
        <is>
          <t>USD</t>
        </is>
      </c>
      <c r="E481" t="inlineStr">
        <is>
          <t>PL-S-010</t>
        </is>
      </c>
      <c r="F481" t="inlineStr">
        <is>
          <t>Honorarios comerciales y técnicos</t>
        </is>
      </c>
      <c r="G481" t="inlineStr">
        <is>
          <t>gasto_comercial</t>
        </is>
      </c>
      <c r="H481" t="inlineStr">
        <is>
          <t>Honorarios</t>
        </is>
      </c>
      <c r="I481" t="inlineStr">
        <is>
          <t>Comercial</t>
        </is>
      </c>
      <c r="J481" t="n">
        <v>2154.38</v>
      </c>
      <c r="K481" t="n">
        <v>2154.38</v>
      </c>
      <c r="L481" t="inlineStr">
        <is>
          <t>Mayo 2026 PERU.xlsx</t>
        </is>
      </c>
      <c r="M481" t="inlineStr">
        <is>
          <t>Aprobado</t>
        </is>
      </c>
      <c r="N481" t="inlineStr">
        <is>
          <t>Puente para redise?ar vistas de Costos &amp; Gastos; no reemplaza P&amp;G oficial. Convertido a USD con la tasa promedio mensual del pais.</t>
        </is>
      </c>
    </row>
    <row r="482">
      <c r="A482" t="inlineStr">
        <is>
          <t>2026-05</t>
        </is>
      </c>
      <c r="B482" t="inlineStr">
        <is>
          <t>Peru</t>
        </is>
      </c>
      <c r="C482" t="inlineStr">
        <is>
          <t>PERU</t>
        </is>
      </c>
      <c r="D482" t="inlineStr">
        <is>
          <t>USD</t>
        </is>
      </c>
      <c r="E482" t="inlineStr">
        <is>
          <t>PL-S-010</t>
        </is>
      </c>
      <c r="F482" t="inlineStr">
        <is>
          <t>Honorarios comerciales y técnicos</t>
        </is>
      </c>
      <c r="G482" t="inlineStr">
        <is>
          <t>gasto_comercial</t>
        </is>
      </c>
      <c r="H482" t="inlineStr">
        <is>
          <t>Honorarios</t>
        </is>
      </c>
      <c r="I482" t="inlineStr">
        <is>
          <t>Comercial</t>
        </is>
      </c>
      <c r="J482" t="n">
        <v>4478.38</v>
      </c>
      <c r="K482" t="n">
        <v>4478.38</v>
      </c>
      <c r="L482" t="inlineStr">
        <is>
          <t>Mayo 2026 PERU.xlsx</t>
        </is>
      </c>
      <c r="M482" t="inlineStr">
        <is>
          <t>Aprobado</t>
        </is>
      </c>
      <c r="N482" t="inlineStr">
        <is>
          <t>Puente para redise?ar vistas de Costos &amp; Gastos; no reemplaza P&amp;G oficial. Convertido a USD con la tasa promedio mensual del pais.</t>
        </is>
      </c>
    </row>
    <row r="483">
      <c r="A483" t="inlineStr">
        <is>
          <t>2026-05</t>
        </is>
      </c>
      <c r="B483" t="inlineStr">
        <is>
          <t>Peru</t>
        </is>
      </c>
      <c r="C483" t="inlineStr">
        <is>
          <t>PERU</t>
        </is>
      </c>
      <c r="D483" t="inlineStr">
        <is>
          <t>USD</t>
        </is>
      </c>
      <c r="E483" t="inlineStr">
        <is>
          <t>PL-S-010</t>
        </is>
      </c>
      <c r="F483" t="inlineStr">
        <is>
          <t>Honorarios comerciales y técnicos</t>
        </is>
      </c>
      <c r="G483" t="inlineStr">
        <is>
          <t>gasto_comercial</t>
        </is>
      </c>
      <c r="H483" t="inlineStr">
        <is>
          <t>Honorarios</t>
        </is>
      </c>
      <c r="I483" t="inlineStr">
        <is>
          <t>Comercial</t>
        </is>
      </c>
      <c r="J483" t="n">
        <v>2154.38</v>
      </c>
      <c r="K483" t="n">
        <v>2154.38</v>
      </c>
      <c r="L483" t="inlineStr">
        <is>
          <t>Mayo 2026 PERU.xlsx</t>
        </is>
      </c>
      <c r="M483" t="inlineStr">
        <is>
          <t>Aprobado</t>
        </is>
      </c>
      <c r="N483" t="inlineStr">
        <is>
          <t>Puente para redise?ar vistas de Costos &amp; Gastos; no reemplaza P&amp;G oficial. Convertido a USD con la tasa promedio mensual del pais.</t>
        </is>
      </c>
    </row>
    <row r="484">
      <c r="A484" t="inlineStr">
        <is>
          <t>2026-05</t>
        </is>
      </c>
      <c r="B484" t="inlineStr">
        <is>
          <t>Peru</t>
        </is>
      </c>
      <c r="C484" t="inlineStr">
        <is>
          <t>PERU</t>
        </is>
      </c>
      <c r="D484" t="inlineStr">
        <is>
          <t>USD</t>
        </is>
      </c>
      <c r="E484" t="inlineStr">
        <is>
          <t>PL-S-010</t>
        </is>
      </c>
      <c r="F484" t="inlineStr">
        <is>
          <t>Honorarios comerciales y técnicos</t>
        </is>
      </c>
      <c r="G484" t="inlineStr">
        <is>
          <t>gasto_comercial</t>
        </is>
      </c>
      <c r="H484" t="inlineStr">
        <is>
          <t>Honorarios</t>
        </is>
      </c>
      <c r="I484" t="inlineStr">
        <is>
          <t>Comercial</t>
        </is>
      </c>
      <c r="J484" t="n">
        <v>0</v>
      </c>
      <c r="K484" t="n">
        <v>619.21</v>
      </c>
      <c r="L484" t="inlineStr">
        <is>
          <t>Mayo 2026 PERU.xlsx</t>
        </is>
      </c>
      <c r="M484" t="inlineStr">
        <is>
          <t>Aprobado</t>
        </is>
      </c>
      <c r="N484" t="inlineStr">
        <is>
          <t>Puente para redise?ar vistas de Costos &amp; Gastos; no reemplaza P&amp;G oficial. Convertido a USD con la tasa promedio mensual del pais.</t>
        </is>
      </c>
    </row>
    <row r="485">
      <c r="A485" t="inlineStr">
        <is>
          <t>2026-05</t>
        </is>
      </c>
      <c r="B485" t="inlineStr">
        <is>
          <t>Peru</t>
        </is>
      </c>
      <c r="C485" t="inlineStr">
        <is>
          <t>PERU</t>
        </is>
      </c>
      <c r="D485" t="inlineStr">
        <is>
          <t>USD</t>
        </is>
      </c>
      <c r="E485" t="inlineStr">
        <is>
          <t>PL-S-020</t>
        </is>
      </c>
      <c r="F485" t="inlineStr">
        <is>
          <t>Mercadeo y publicidad</t>
        </is>
      </c>
      <c r="G485" t="inlineStr">
        <is>
          <t>gasto_comercial</t>
        </is>
      </c>
      <c r="H485" t="inlineStr">
        <is>
          <t>Servicios</t>
        </is>
      </c>
      <c r="I485" t="inlineStr">
        <is>
          <t>Comercial</t>
        </is>
      </c>
      <c r="J485" t="n">
        <v>0</v>
      </c>
      <c r="K485" t="n">
        <v>496.71</v>
      </c>
      <c r="L485" t="inlineStr">
        <is>
          <t>Mayo 2026 PERU.xlsx</t>
        </is>
      </c>
      <c r="M485" t="inlineStr">
        <is>
          <t>Aprobado</t>
        </is>
      </c>
      <c r="N485" t="inlineStr">
        <is>
          <t>Puente para redise?ar vistas de Costos &amp; Gastos; no reemplaza P&amp;G oficial. Convertido a USD con la tasa promedio mensual del pais.</t>
        </is>
      </c>
    </row>
    <row r="486">
      <c r="A486" t="inlineStr">
        <is>
          <t>2026-05</t>
        </is>
      </c>
      <c r="B486" t="inlineStr">
        <is>
          <t>Peru</t>
        </is>
      </c>
      <c r="C486" t="inlineStr">
        <is>
          <t>PERU</t>
        </is>
      </c>
      <c r="D486" t="inlineStr">
        <is>
          <t>USD</t>
        </is>
      </c>
      <c r="E486" t="inlineStr">
        <is>
          <t>PL-S-040</t>
        </is>
      </c>
      <c r="F486" t="inlineStr">
        <is>
          <t>Viajes comerciales</t>
        </is>
      </c>
      <c r="G486" t="inlineStr">
        <is>
          <t>gasto_comercial</t>
        </is>
      </c>
      <c r="H486" t="inlineStr">
        <is>
          <t>Viajes</t>
        </is>
      </c>
      <c r="I486" t="inlineStr">
        <is>
          <t>Comercial</t>
        </is>
      </c>
      <c r="J486" t="n">
        <v>0</v>
      </c>
      <c r="K486" t="n">
        <v>77.8</v>
      </c>
      <c r="L486" t="inlineStr">
        <is>
          <t>Mayo 2026 PERU.xlsx</t>
        </is>
      </c>
      <c r="M486" t="inlineStr">
        <is>
          <t>Aprobado</t>
        </is>
      </c>
      <c r="N486" t="inlineStr">
        <is>
          <t>Puente para redise?ar vistas de Costos &amp; Gastos; no reemplaza P&amp;G oficial. Convertido a USD con la tasa promedio mensual del pais.</t>
        </is>
      </c>
    </row>
    <row r="487">
      <c r="A487" t="inlineStr">
        <is>
          <t>2026-05</t>
        </is>
      </c>
      <c r="B487" t="inlineStr">
        <is>
          <t>Peru</t>
        </is>
      </c>
      <c r="C487" t="inlineStr">
        <is>
          <t>PERU</t>
        </is>
      </c>
      <c r="D487" t="inlineStr">
        <is>
          <t>USD</t>
        </is>
      </c>
      <c r="E487" t="inlineStr">
        <is>
          <t>PL-S-040</t>
        </is>
      </c>
      <c r="F487" t="inlineStr">
        <is>
          <t>Viajes comerciales</t>
        </is>
      </c>
      <c r="G487" t="inlineStr">
        <is>
          <t>gasto_comercial</t>
        </is>
      </c>
      <c r="H487" t="inlineStr">
        <is>
          <t>Viajes</t>
        </is>
      </c>
      <c r="I487" t="inlineStr">
        <is>
          <t>Comercial</t>
        </is>
      </c>
      <c r="J487" t="n">
        <v>0</v>
      </c>
      <c r="K487" t="n">
        <v>23.52</v>
      </c>
      <c r="L487" t="inlineStr">
        <is>
          <t>Mayo 2026 PERU.xlsx</t>
        </is>
      </c>
      <c r="M487" t="inlineStr">
        <is>
          <t>Aprobado</t>
        </is>
      </c>
      <c r="N487" t="inlineStr">
        <is>
          <t>Puente para redise?ar vistas de Costos &amp; Gastos; no reemplaza P&amp;G oficial. Convertido a USD con la tasa promedio mensual del pais.</t>
        </is>
      </c>
    </row>
    <row r="488">
      <c r="A488" t="inlineStr">
        <is>
          <t>2026-05</t>
        </is>
      </c>
      <c r="B488" t="inlineStr">
        <is>
          <t>Peru</t>
        </is>
      </c>
      <c r="C488" t="inlineStr">
        <is>
          <t>PERU</t>
        </is>
      </c>
      <c r="D488" t="inlineStr">
        <is>
          <t>USD</t>
        </is>
      </c>
      <c r="E488" t="inlineStr">
        <is>
          <t>PL-S-040</t>
        </is>
      </c>
      <c r="F488" t="inlineStr">
        <is>
          <t>Viajes comerciales</t>
        </is>
      </c>
      <c r="G488" t="inlineStr">
        <is>
          <t>gasto_comercial</t>
        </is>
      </c>
      <c r="H488" t="inlineStr">
        <is>
          <t>Viajes</t>
        </is>
      </c>
      <c r="I488" t="inlineStr">
        <is>
          <t>Comercial</t>
        </is>
      </c>
      <c r="J488" t="n">
        <v>0</v>
      </c>
      <c r="K488" t="n">
        <v>6.02</v>
      </c>
      <c r="L488" t="inlineStr">
        <is>
          <t>Mayo 2026 PERU.xlsx</t>
        </is>
      </c>
      <c r="M488" t="inlineStr">
        <is>
          <t>Aprobado</t>
        </is>
      </c>
      <c r="N488" t="inlineStr">
        <is>
          <t>Puente para redise?ar vistas de Costos &amp; Gastos; no reemplaza P&amp;G oficial. Convertido a USD con la tasa promedio mensual del pais.</t>
        </is>
      </c>
    </row>
    <row r="489">
      <c r="A489" t="inlineStr">
        <is>
          <t>2026-05</t>
        </is>
      </c>
      <c r="B489" t="inlineStr">
        <is>
          <t>Peru</t>
        </is>
      </c>
      <c r="C489" t="inlineStr">
        <is>
          <t>PERU</t>
        </is>
      </c>
      <c r="D489" t="inlineStr">
        <is>
          <t>USD</t>
        </is>
      </c>
      <c r="E489" t="inlineStr">
        <is>
          <t>PL-S-040</t>
        </is>
      </c>
      <c r="F489" t="inlineStr">
        <is>
          <t>Viajes comerciales</t>
        </is>
      </c>
      <c r="G489" t="inlineStr">
        <is>
          <t>gasto_comercial</t>
        </is>
      </c>
      <c r="H489" t="inlineStr">
        <is>
          <t>Viajes</t>
        </is>
      </c>
      <c r="I489" t="inlineStr">
        <is>
          <t>Comercial</t>
        </is>
      </c>
      <c r="J489" t="n">
        <v>0</v>
      </c>
      <c r="K489" t="n">
        <v>33.19</v>
      </c>
      <c r="L489" t="inlineStr">
        <is>
          <t>Mayo 2026 PERU.xlsx</t>
        </is>
      </c>
      <c r="M489" t="inlineStr">
        <is>
          <t>Aprobado</t>
        </is>
      </c>
      <c r="N489" t="inlineStr">
        <is>
          <t>Puente para redise?ar vistas de Costos &amp; Gastos; no reemplaza P&amp;G oficial. Convertido a USD con la tasa promedio mensual del pais.</t>
        </is>
      </c>
    </row>
    <row r="490">
      <c r="A490" t="inlineStr">
        <is>
          <t>2026-05</t>
        </is>
      </c>
      <c r="B490" t="inlineStr">
        <is>
          <t>Peru</t>
        </is>
      </c>
      <c r="C490" t="inlineStr">
        <is>
          <t>PERU</t>
        </is>
      </c>
      <c r="D490" t="inlineStr">
        <is>
          <t>USD</t>
        </is>
      </c>
      <c r="E490" t="inlineStr">
        <is>
          <t>PL-S-040</t>
        </is>
      </c>
      <c r="F490" t="inlineStr">
        <is>
          <t>Viajes comerciales</t>
        </is>
      </c>
      <c r="G490" t="inlineStr">
        <is>
          <t>gasto_comercial</t>
        </is>
      </c>
      <c r="H490" t="inlineStr">
        <is>
          <t>Viajes</t>
        </is>
      </c>
      <c r="I490" t="inlineStr">
        <is>
          <t>Comercial</t>
        </is>
      </c>
      <c r="J490" t="n">
        <v>0</v>
      </c>
      <c r="K490" t="n">
        <v>151.38</v>
      </c>
      <c r="L490" t="inlineStr">
        <is>
          <t>Mayo 2026 PERU.xlsx</t>
        </is>
      </c>
      <c r="M490" t="inlineStr">
        <is>
          <t>Aprobado</t>
        </is>
      </c>
      <c r="N490" t="inlineStr">
        <is>
          <t>Puente para redise?ar vistas de Costos &amp; Gastos; no reemplaza P&amp;G oficial. Convertido a USD con la tasa promedio mensual del pais.</t>
        </is>
      </c>
    </row>
    <row r="491">
      <c r="A491" t="inlineStr">
        <is>
          <t>2026-05</t>
        </is>
      </c>
      <c r="B491" t="inlineStr">
        <is>
          <t>Peru</t>
        </is>
      </c>
      <c r="C491" t="inlineStr">
        <is>
          <t>PERU</t>
        </is>
      </c>
      <c r="D491" t="inlineStr">
        <is>
          <t>USD</t>
        </is>
      </c>
      <c r="E491" t="inlineStr">
        <is>
          <t>PL-S-040</t>
        </is>
      </c>
      <c r="F491" t="inlineStr">
        <is>
          <t>Viajes comerciales</t>
        </is>
      </c>
      <c r="G491" t="inlineStr">
        <is>
          <t>gasto_comercial</t>
        </is>
      </c>
      <c r="H491" t="inlineStr">
        <is>
          <t>Viajes</t>
        </is>
      </c>
      <c r="I491" t="inlineStr">
        <is>
          <t>Comercial</t>
        </is>
      </c>
      <c r="J491" t="n">
        <v>0</v>
      </c>
      <c r="K491" t="n">
        <v>1.75</v>
      </c>
      <c r="L491" t="inlineStr">
        <is>
          <t>Mayo 2026 PERU.xlsx</t>
        </is>
      </c>
      <c r="M491" t="inlineStr">
        <is>
          <t>Aprobado</t>
        </is>
      </c>
      <c r="N491" t="inlineStr">
        <is>
          <t>Puente para redise?ar vistas de Costos &amp; Gastos; no reemplaza P&amp;G oficial. Convertido a USD con la tasa promedio mensual del pais.</t>
        </is>
      </c>
    </row>
    <row r="492">
      <c r="A492" t="inlineStr">
        <is>
          <t>2026-05</t>
        </is>
      </c>
      <c r="B492" t="inlineStr">
        <is>
          <t>Peru</t>
        </is>
      </c>
      <c r="C492" t="inlineStr">
        <is>
          <t>PERU</t>
        </is>
      </c>
      <c r="D492" t="inlineStr">
        <is>
          <t>USD</t>
        </is>
      </c>
      <c r="E492" t="inlineStr">
        <is>
          <t>PL-S-040</t>
        </is>
      </c>
      <c r="F492" t="inlineStr">
        <is>
          <t>Viajes comerciales</t>
        </is>
      </c>
      <c r="G492" t="inlineStr">
        <is>
          <t>gasto_comercial</t>
        </is>
      </c>
      <c r="H492" t="inlineStr">
        <is>
          <t>Viajes</t>
        </is>
      </c>
      <c r="I492" t="inlineStr">
        <is>
          <t>Comercial</t>
        </is>
      </c>
      <c r="J492" t="n">
        <v>0</v>
      </c>
      <c r="K492" t="n">
        <v>65.89</v>
      </c>
      <c r="L492" t="inlineStr">
        <is>
          <t>Mayo 2026 PERU.xlsx</t>
        </is>
      </c>
      <c r="M492" t="inlineStr">
        <is>
          <t>Aprobado</t>
        </is>
      </c>
      <c r="N492" t="inlineStr">
        <is>
          <t>Puente para redise?ar vistas de Costos &amp; Gastos; no reemplaza P&amp;G oficial. Convertido a USD con la tasa promedio mensual del pais.</t>
        </is>
      </c>
    </row>
    <row r="493">
      <c r="A493" t="inlineStr">
        <is>
          <t>2026-05</t>
        </is>
      </c>
      <c r="B493" t="inlineStr">
        <is>
          <t>Peru</t>
        </is>
      </c>
      <c r="C493" t="inlineStr">
        <is>
          <t>PERU</t>
        </is>
      </c>
      <c r="D493" t="inlineStr">
        <is>
          <t>USD</t>
        </is>
      </c>
      <c r="E493" t="inlineStr">
        <is>
          <t>PL-S-040</t>
        </is>
      </c>
      <c r="F493" t="inlineStr">
        <is>
          <t>Viajes comerciales</t>
        </is>
      </c>
      <c r="G493" t="inlineStr">
        <is>
          <t>gasto_comercial</t>
        </is>
      </c>
      <c r="H493" t="inlineStr">
        <is>
          <t>Viajes</t>
        </is>
      </c>
      <c r="I493" t="inlineStr">
        <is>
          <t>Comercial</t>
        </is>
      </c>
      <c r="J493" t="n">
        <v>0</v>
      </c>
      <c r="K493" t="n">
        <v>112.58</v>
      </c>
      <c r="L493" t="inlineStr">
        <is>
          <t>Mayo 2026 PERU.xlsx</t>
        </is>
      </c>
      <c r="M493" t="inlineStr">
        <is>
          <t>Aprobado</t>
        </is>
      </c>
      <c r="N493" t="inlineStr">
        <is>
          <t>Puente para redise?ar vistas de Costos &amp; Gastos; no reemplaza P&amp;G oficial. Convertido a USD con la tasa promedio mensual del pais.</t>
        </is>
      </c>
    </row>
    <row r="494">
      <c r="A494" t="inlineStr">
        <is>
          <t>2026-05</t>
        </is>
      </c>
      <c r="B494" t="inlineStr">
        <is>
          <t>Peru</t>
        </is>
      </c>
      <c r="C494" t="inlineStr">
        <is>
          <t>PERU</t>
        </is>
      </c>
      <c r="D494" t="inlineStr">
        <is>
          <t>USD</t>
        </is>
      </c>
      <c r="E494" t="inlineStr">
        <is>
          <t>PL-S-040</t>
        </is>
      </c>
      <c r="F494" t="inlineStr">
        <is>
          <t>Viajes comerciales</t>
        </is>
      </c>
      <c r="G494" t="inlineStr">
        <is>
          <t>gasto_comercial</t>
        </is>
      </c>
      <c r="H494" t="inlineStr">
        <is>
          <t>Viajes</t>
        </is>
      </c>
      <c r="I494" t="inlineStr">
        <is>
          <t>Comercial</t>
        </is>
      </c>
      <c r="J494" t="n">
        <v>0</v>
      </c>
      <c r="K494" t="n">
        <v>43.88</v>
      </c>
      <c r="L494" t="inlineStr">
        <is>
          <t>Mayo 2026 PERU.xlsx</t>
        </is>
      </c>
      <c r="M494" t="inlineStr">
        <is>
          <t>Aprobado</t>
        </is>
      </c>
      <c r="N494" t="inlineStr">
        <is>
          <t>Puente para redise?ar vistas de Costos &amp; Gastos; no reemplaza P&amp;G oficial. Convertido a USD con la tasa promedio mensual del pais.</t>
        </is>
      </c>
    </row>
    <row r="495">
      <c r="A495" t="inlineStr">
        <is>
          <t>2026-05</t>
        </is>
      </c>
      <c r="B495" t="inlineStr">
        <is>
          <t>Peru</t>
        </is>
      </c>
      <c r="C495" t="inlineStr">
        <is>
          <t>PERU</t>
        </is>
      </c>
      <c r="D495" t="inlineStr">
        <is>
          <t>USD</t>
        </is>
      </c>
      <c r="E495" t="inlineStr">
        <is>
          <t>PL-S-040</t>
        </is>
      </c>
      <c r="F495" t="inlineStr">
        <is>
          <t>Viajes comerciales</t>
        </is>
      </c>
      <c r="G495" t="inlineStr">
        <is>
          <t>gasto_comercial</t>
        </is>
      </c>
      <c r="H495" t="inlineStr">
        <is>
          <t>Viajes</t>
        </is>
      </c>
      <c r="I495" t="inlineStr">
        <is>
          <t>Comercial</t>
        </is>
      </c>
      <c r="J495" t="n">
        <v>0</v>
      </c>
      <c r="K495" t="n">
        <v>6.99</v>
      </c>
      <c r="L495" t="inlineStr">
        <is>
          <t>Mayo 2026 PERU.xlsx</t>
        </is>
      </c>
      <c r="M495" t="inlineStr">
        <is>
          <t>Aprobado</t>
        </is>
      </c>
      <c r="N495" t="inlineStr">
        <is>
          <t>Puente para redise?ar vistas de Costos &amp; Gastos; no reemplaza P&amp;G oficial. Convertido a USD con la tasa promedio mensual del pais.</t>
        </is>
      </c>
    </row>
    <row r="496">
      <c r="A496" t="inlineStr">
        <is>
          <t>2026-05</t>
        </is>
      </c>
      <c r="B496" t="inlineStr">
        <is>
          <t>Peru</t>
        </is>
      </c>
      <c r="C496" t="inlineStr">
        <is>
          <t>PERU</t>
        </is>
      </c>
      <c r="D496" t="inlineStr">
        <is>
          <t>USD</t>
        </is>
      </c>
      <c r="E496" t="inlineStr">
        <is>
          <t>PL-S-040</t>
        </is>
      </c>
      <c r="F496" t="inlineStr">
        <is>
          <t>Viajes comerciales</t>
        </is>
      </c>
      <c r="G496" t="inlineStr">
        <is>
          <t>gasto_comercial</t>
        </is>
      </c>
      <c r="H496" t="inlineStr">
        <is>
          <t>Viajes</t>
        </is>
      </c>
      <c r="I496" t="inlineStr">
        <is>
          <t>Comercial</t>
        </is>
      </c>
      <c r="J496" t="n">
        <v>0</v>
      </c>
      <c r="K496" t="n">
        <v>6.99</v>
      </c>
      <c r="L496" t="inlineStr">
        <is>
          <t>Mayo 2026 PERU.xlsx</t>
        </is>
      </c>
      <c r="M496" t="inlineStr">
        <is>
          <t>Aprobado</t>
        </is>
      </c>
      <c r="N496" t="inlineStr">
        <is>
          <t>Puente para redise?ar vistas de Costos &amp; Gastos; no reemplaza P&amp;G oficial. Convertido a USD con la tasa promedio mensual del pais.</t>
        </is>
      </c>
    </row>
    <row r="497">
      <c r="A497" t="inlineStr">
        <is>
          <t>2026-05</t>
        </is>
      </c>
      <c r="B497" t="inlineStr">
        <is>
          <t>Peru</t>
        </is>
      </c>
      <c r="C497" t="inlineStr">
        <is>
          <t>PERU</t>
        </is>
      </c>
      <c r="D497" t="inlineStr">
        <is>
          <t>USD</t>
        </is>
      </c>
      <c r="E497" t="inlineStr">
        <is>
          <t>PL-S-040</t>
        </is>
      </c>
      <c r="F497" t="inlineStr">
        <is>
          <t>Viajes comerciales</t>
        </is>
      </c>
      <c r="G497" t="inlineStr">
        <is>
          <t>gasto_comercial</t>
        </is>
      </c>
      <c r="H497" t="inlineStr">
        <is>
          <t>Viajes</t>
        </is>
      </c>
      <c r="I497" t="inlineStr">
        <is>
          <t>Comercial</t>
        </is>
      </c>
      <c r="J497" t="n">
        <v>1498.17</v>
      </c>
      <c r="K497" t="n">
        <v>1498.17</v>
      </c>
      <c r="L497" t="inlineStr">
        <is>
          <t>Mayo 2026 PERU.xlsx</t>
        </is>
      </c>
      <c r="M497" t="inlineStr">
        <is>
          <t>Aprobado</t>
        </is>
      </c>
      <c r="N497" t="inlineStr">
        <is>
          <t>Puente para redise?ar vistas de Costos &amp; Gastos; no reemplaza P&amp;G oficial. Convertido a USD con la tasa promedio mensual del pais.</t>
        </is>
      </c>
    </row>
    <row r="498">
      <c r="A498" t="inlineStr">
        <is>
          <t>2026-05</t>
        </is>
      </c>
      <c r="B498" t="inlineStr">
        <is>
          <t>Peru</t>
        </is>
      </c>
      <c r="C498" t="inlineStr">
        <is>
          <t>PERU</t>
        </is>
      </c>
      <c r="D498" t="inlineStr">
        <is>
          <t>USD</t>
        </is>
      </c>
      <c r="E498" t="inlineStr">
        <is>
          <t>PL-S-050</t>
        </is>
      </c>
      <c r="F498" t="inlineStr">
        <is>
          <t>Transporte comercial</t>
        </is>
      </c>
      <c r="G498" t="inlineStr">
        <is>
          <t>gasto_comercial</t>
        </is>
      </c>
      <c r="H498" t="inlineStr">
        <is>
          <t>Viajes</t>
        </is>
      </c>
      <c r="I498" t="inlineStr">
        <is>
          <t>Comercial</t>
        </is>
      </c>
      <c r="J498" t="n">
        <v>0</v>
      </c>
      <c r="K498" t="n">
        <v>22.71</v>
      </c>
      <c r="L498" t="inlineStr">
        <is>
          <t>Mayo 2026 PERU.xlsx</t>
        </is>
      </c>
      <c r="M498" t="inlineStr">
        <is>
          <t>Aprobado</t>
        </is>
      </c>
      <c r="N498" t="inlineStr">
        <is>
          <t>Puente para redise?ar vistas de Costos &amp; Gastos; no reemplaza P&amp;G oficial. Convertido a USD con la tasa promedio mensual del pais.</t>
        </is>
      </c>
    </row>
    <row r="499">
      <c r="A499" t="inlineStr">
        <is>
          <t>2026-05</t>
        </is>
      </c>
      <c r="B499" t="inlineStr">
        <is>
          <t>Peru</t>
        </is>
      </c>
      <c r="C499" t="inlineStr">
        <is>
          <t>PERU</t>
        </is>
      </c>
      <c r="D499" t="inlineStr">
        <is>
          <t>USD</t>
        </is>
      </c>
      <c r="E499" t="inlineStr">
        <is>
          <t>PL-S-060</t>
        </is>
      </c>
      <c r="F499" t="inlineStr">
        <is>
          <t>Otros gastos comerciales</t>
        </is>
      </c>
      <c r="G499" t="inlineStr">
        <is>
          <t>gasto_comercial</t>
        </is>
      </c>
      <c r="H499" t="inlineStr">
        <is>
          <t>Diversos</t>
        </is>
      </c>
      <c r="I499" t="inlineStr">
        <is>
          <t>Comercial</t>
        </is>
      </c>
      <c r="J499" t="n">
        <v>0</v>
      </c>
      <c r="K499" t="n">
        <v>0.55</v>
      </c>
      <c r="L499" t="inlineStr">
        <is>
          <t>Mayo 2026 PERU.xlsx</t>
        </is>
      </c>
      <c r="M499" t="inlineStr">
        <is>
          <t>Revisar</t>
        </is>
      </c>
      <c r="N499" t="inlineStr">
        <is>
          <t>Puente para redise?ar vistas de Costos &amp; Gastos; no reemplaza P&amp;G oficial. Convertido a USD con la tasa promedio mensual del pais.</t>
        </is>
      </c>
    </row>
    <row r="500">
      <c r="A500" t="inlineStr">
        <is>
          <t>2026-05</t>
        </is>
      </c>
      <c r="B500" t="inlineStr">
        <is>
          <t>Peru</t>
        </is>
      </c>
      <c r="C500" t="inlineStr">
        <is>
          <t>PERU</t>
        </is>
      </c>
      <c r="D500" t="inlineStr">
        <is>
          <t>USD</t>
        </is>
      </c>
      <c r="E500" t="inlineStr">
        <is>
          <t>PL-F-010</t>
        </is>
      </c>
      <c r="F500" t="inlineStr">
        <is>
          <t>Gastos financieros</t>
        </is>
      </c>
      <c r="G500" t="inlineStr">
        <is>
          <t>gasto_area</t>
        </is>
      </c>
      <c r="H500" t="inlineStr">
        <is>
          <t>Financieros</t>
        </is>
      </c>
      <c r="I500" t="inlineStr">
        <is>
          <t>Financieros</t>
        </is>
      </c>
      <c r="J500" t="n">
        <v>53.3</v>
      </c>
      <c r="K500" t="n">
        <v>66.13</v>
      </c>
      <c r="L500" t="inlineStr">
        <is>
          <t>Mayo 2026 PERU.xlsx</t>
        </is>
      </c>
      <c r="M500" t="inlineStr">
        <is>
          <t>Aprobado</t>
        </is>
      </c>
      <c r="N500" t="inlineStr">
        <is>
          <t>Puente para redise?ar vistas de Costos &amp; Gastos; no reemplaza P&amp;G oficial. Convertido a USD con la tasa promedio mensual del pais.</t>
        </is>
      </c>
    </row>
    <row r="501">
      <c r="A501" t="inlineStr">
        <is>
          <t>2026-05</t>
        </is>
      </c>
      <c r="B501" t="inlineStr">
        <is>
          <t>Peru</t>
        </is>
      </c>
      <c r="C501" t="inlineStr">
        <is>
          <t>PERU</t>
        </is>
      </c>
      <c r="D501" t="inlineStr">
        <is>
          <t>USD</t>
        </is>
      </c>
      <c r="E501" t="inlineStr">
        <is>
          <t>PL-F-010</t>
        </is>
      </c>
      <c r="F501" t="inlineStr">
        <is>
          <t>Gastos financieros</t>
        </is>
      </c>
      <c r="G501" t="inlineStr">
        <is>
          <t>gasto_area</t>
        </is>
      </c>
      <c r="H501" t="inlineStr">
        <is>
          <t>Financieros</t>
        </is>
      </c>
      <c r="I501" t="inlineStr">
        <is>
          <t>Financieros</t>
        </is>
      </c>
      <c r="J501" t="n">
        <v>1.25</v>
      </c>
      <c r="K501" t="n">
        <v>1.25</v>
      </c>
      <c r="L501" t="inlineStr">
        <is>
          <t>Mayo 2026 PERU.xlsx</t>
        </is>
      </c>
      <c r="M501" t="inlineStr">
        <is>
          <t>Aprobado</t>
        </is>
      </c>
      <c r="N501" t="inlineStr">
        <is>
          <t>Puente para redise?ar vistas de Costos &amp; Gastos; no reemplaza P&amp;G oficial. Convertido a USD con la tasa promedio mensual del pais.</t>
        </is>
      </c>
    </row>
    <row r="502">
      <c r="A502" t="inlineStr">
        <is>
          <t>2026-05</t>
        </is>
      </c>
      <c r="B502" t="inlineStr">
        <is>
          <t>Peru</t>
        </is>
      </c>
      <c r="C502" t="inlineStr">
        <is>
          <t>PERU</t>
        </is>
      </c>
      <c r="D502" t="inlineStr">
        <is>
          <t>USD</t>
        </is>
      </c>
      <c r="E502" t="inlineStr">
        <is>
          <t>PL-F-010</t>
        </is>
      </c>
      <c r="F502" t="inlineStr">
        <is>
          <t>Gastos financieros</t>
        </is>
      </c>
      <c r="G502" t="inlineStr">
        <is>
          <t>gasto_area</t>
        </is>
      </c>
      <c r="H502" t="inlineStr">
        <is>
          <t>Financieros</t>
        </is>
      </c>
      <c r="I502" t="inlineStr">
        <is>
          <t>Financieros</t>
        </is>
      </c>
      <c r="J502" t="n">
        <v>50.1</v>
      </c>
      <c r="K502" t="n">
        <v>50.1</v>
      </c>
      <c r="L502" t="inlineStr">
        <is>
          <t>Mayo 2026 PERU.xlsx</t>
        </is>
      </c>
      <c r="M502" t="inlineStr">
        <is>
          <t>Aprobado</t>
        </is>
      </c>
      <c r="N502" t="inlineStr">
        <is>
          <t>Puente para redise?ar vistas de Costos &amp; Gastos; no reemplaza P&amp;G oficial. Convertido a USD con la tasa promedio mensual del pais.</t>
        </is>
      </c>
    </row>
    <row r="503">
      <c r="A503" t="inlineStr">
        <is>
          <t>2026-05</t>
        </is>
      </c>
      <c r="B503" t="inlineStr">
        <is>
          <t>Peru</t>
        </is>
      </c>
      <c r="C503" t="inlineStr">
        <is>
          <t>PERU</t>
        </is>
      </c>
      <c r="D503" t="inlineStr">
        <is>
          <t>USD</t>
        </is>
      </c>
      <c r="E503" t="inlineStr">
        <is>
          <t>PL-F-010</t>
        </is>
      </c>
      <c r="F503" t="inlineStr">
        <is>
          <t>Gastos financieros</t>
        </is>
      </c>
      <c r="G503" t="inlineStr">
        <is>
          <t>gasto_area</t>
        </is>
      </c>
      <c r="H503" t="inlineStr">
        <is>
          <t>Financieros</t>
        </is>
      </c>
      <c r="I503" t="inlineStr">
        <is>
          <t>Financieros</t>
        </is>
      </c>
      <c r="J503" t="n">
        <v>0.54</v>
      </c>
      <c r="K503" t="n">
        <v>2.15</v>
      </c>
      <c r="L503" t="inlineStr">
        <is>
          <t>Mayo 2026 PERU.xlsx</t>
        </is>
      </c>
      <c r="M503" t="inlineStr">
        <is>
          <t>Aprobado</t>
        </is>
      </c>
      <c r="N503" t="inlineStr">
        <is>
          <t>Puente para redise?ar vistas de Costos &amp; Gastos; no reemplaza P&amp;G oficial. Convertido a USD con la tasa promedio mensual del pais.</t>
        </is>
      </c>
    </row>
    <row r="504">
      <c r="A504" t="inlineStr">
        <is>
          <t>2026-05</t>
        </is>
      </c>
      <c r="B504" t="inlineStr">
        <is>
          <t>Peru</t>
        </is>
      </c>
      <c r="C504" t="inlineStr">
        <is>
          <t>PERU</t>
        </is>
      </c>
      <c r="D504" t="inlineStr">
        <is>
          <t>USD</t>
        </is>
      </c>
      <c r="E504" t="inlineStr">
        <is>
          <t>PL-F-010</t>
        </is>
      </c>
      <c r="F504" t="inlineStr">
        <is>
          <t>Gastos financieros</t>
        </is>
      </c>
      <c r="G504" t="inlineStr">
        <is>
          <t>gasto_area</t>
        </is>
      </c>
      <c r="H504" t="inlineStr">
        <is>
          <t>Financieros</t>
        </is>
      </c>
      <c r="I504" t="inlineStr">
        <is>
          <t>Financieros</t>
        </is>
      </c>
      <c r="J504" t="n">
        <v>35.48</v>
      </c>
      <c r="K504" t="n">
        <v>128.64</v>
      </c>
      <c r="L504" t="inlineStr">
        <is>
          <t>Mayo 2026 PERU.xlsx</t>
        </is>
      </c>
      <c r="M504" t="inlineStr">
        <is>
          <t>Aprobado</t>
        </is>
      </c>
      <c r="N504" t="inlineStr">
        <is>
          <t>Puente para redise?ar vistas de Costos &amp; Gastos; no reemplaza P&amp;G oficial. Convertido a USD con la tasa promedio mensual del pais.</t>
        </is>
      </c>
    </row>
    <row r="505">
      <c r="A505" t="inlineStr">
        <is>
          <t>2026-05</t>
        </is>
      </c>
      <c r="B505" t="inlineStr">
        <is>
          <t>Peru</t>
        </is>
      </c>
      <c r="C505" t="inlineStr">
        <is>
          <t>PERU</t>
        </is>
      </c>
      <c r="D505" t="inlineStr">
        <is>
          <t>USD</t>
        </is>
      </c>
      <c r="E505" t="inlineStr">
        <is>
          <t>PL-F-010</t>
        </is>
      </c>
      <c r="F505" t="inlineStr">
        <is>
          <t>Gastos financieros</t>
        </is>
      </c>
      <c r="G505" t="inlineStr">
        <is>
          <t>gasto_area</t>
        </is>
      </c>
      <c r="H505" t="inlineStr">
        <is>
          <t>Financieros</t>
        </is>
      </c>
      <c r="I505" t="inlineStr">
        <is>
          <t>Financieros</t>
        </is>
      </c>
      <c r="J505" t="n">
        <v>1.25</v>
      </c>
      <c r="K505" t="n">
        <v>1.25</v>
      </c>
      <c r="L505" t="inlineStr">
        <is>
          <t>Mayo 2026 PERU.xlsx</t>
        </is>
      </c>
      <c r="M505" t="inlineStr">
        <is>
          <t>Aprobado</t>
        </is>
      </c>
      <c r="N505" t="inlineStr">
        <is>
          <t>Puente para redise?ar vistas de Costos &amp; Gastos; no reemplaza P&amp;G oficial. Convertido a USD con la tasa promedio mensual del pais.</t>
        </is>
      </c>
    </row>
    <row r="506">
      <c r="A506" t="inlineStr">
        <is>
          <t>2026-05</t>
        </is>
      </c>
      <c r="B506" t="inlineStr">
        <is>
          <t>Peru</t>
        </is>
      </c>
      <c r="C506" t="inlineStr">
        <is>
          <t>PERU</t>
        </is>
      </c>
      <c r="D506" t="inlineStr">
        <is>
          <t>USD</t>
        </is>
      </c>
      <c r="E506" t="inlineStr">
        <is>
          <t>PL-F-010</t>
        </is>
      </c>
      <c r="F506" t="inlineStr">
        <is>
          <t>Gastos financieros</t>
        </is>
      </c>
      <c r="G506" t="inlineStr">
        <is>
          <t>gasto_area</t>
        </is>
      </c>
      <c r="H506" t="inlineStr">
        <is>
          <t>Financieros</t>
        </is>
      </c>
      <c r="I506" t="inlineStr">
        <is>
          <t>Financieros</t>
        </is>
      </c>
      <c r="J506" t="n">
        <v>-1.25</v>
      </c>
      <c r="K506" t="n">
        <v>-1.25</v>
      </c>
      <c r="L506" t="inlineStr">
        <is>
          <t>Mayo 2026 PERU.xlsx</t>
        </is>
      </c>
      <c r="M506" t="inlineStr">
        <is>
          <t>Aprobado</t>
        </is>
      </c>
      <c r="N506" t="inlineStr">
        <is>
          <t>Puente para redise?ar vistas de Costos &amp; Gastos; no reemplaza P&amp;G oficial. Convertido a USD con la tasa promedio mensual del pais.</t>
        </is>
      </c>
    </row>
    <row r="507">
      <c r="A507" t="inlineStr">
        <is>
          <t>2026-05</t>
        </is>
      </c>
      <c r="B507" t="inlineStr">
        <is>
          <t>Estados Unidos</t>
        </is>
      </c>
      <c r="C507" t="inlineStr">
        <is>
          <t>USA</t>
        </is>
      </c>
      <c r="D507" t="inlineStr">
        <is>
          <t>USD</t>
        </is>
      </c>
      <c r="E507" t="inlineStr">
        <is>
          <t>PL-O-010</t>
        </is>
      </c>
      <c r="F507" t="inlineStr">
        <is>
          <t>Gastos de personal</t>
        </is>
      </c>
      <c r="G507" t="inlineStr">
        <is>
          <t>gasto_admin</t>
        </is>
      </c>
      <c r="H507" t="inlineStr">
        <is>
          <t>Personal</t>
        </is>
      </c>
      <c r="I507" t="inlineStr">
        <is>
          <t>Administracion</t>
        </is>
      </c>
      <c r="J507" t="n">
        <v>2592.17</v>
      </c>
      <c r="K507" t="n">
        <v>12960.85</v>
      </c>
      <c r="L507" t="inlineStr">
        <is>
          <t>Mayo 2026 USA.xlsx</t>
        </is>
      </c>
      <c r="M507" t="inlineStr">
        <is>
          <t>Aprobado</t>
        </is>
      </c>
      <c r="N507" t="inlineStr">
        <is>
          <t>Puente para redise?ar vistas de Costos &amp; Gastos; no reemplaza P&amp;G oficial. Convertido a USD con la tasa promedio mensual del pais.</t>
        </is>
      </c>
    </row>
    <row r="508">
      <c r="A508" t="inlineStr">
        <is>
          <t>2026-05</t>
        </is>
      </c>
      <c r="B508" t="inlineStr">
        <is>
          <t>Estados Unidos</t>
        </is>
      </c>
      <c r="C508" t="inlineStr">
        <is>
          <t>USA</t>
        </is>
      </c>
      <c r="D508" t="inlineStr">
        <is>
          <t>USD</t>
        </is>
      </c>
      <c r="E508" t="inlineStr">
        <is>
          <t>PL-O-090</t>
        </is>
      </c>
      <c r="F508" t="inlineStr">
        <is>
          <t>Viajes y representación</t>
        </is>
      </c>
      <c r="G508" t="inlineStr">
        <is>
          <t>gasto_admin</t>
        </is>
      </c>
      <c r="H508" t="inlineStr">
        <is>
          <t>Viajes</t>
        </is>
      </c>
      <c r="I508" t="inlineStr">
        <is>
          <t>Administracion</t>
        </is>
      </c>
      <c r="J508" t="n">
        <v>78.43000000000001</v>
      </c>
      <c r="K508" t="n">
        <v>78.43000000000001</v>
      </c>
      <c r="L508" t="inlineStr">
        <is>
          <t>Mayo 2026 USA.xlsx</t>
        </is>
      </c>
      <c r="M508" t="inlineStr">
        <is>
          <t>Aprobado</t>
        </is>
      </c>
      <c r="N508" t="inlineStr">
        <is>
          <t>Puente para redise?ar vistas de Costos &amp; Gastos; no reemplaza P&amp;G oficial. Convertido a USD con la tasa promedio mensual del pais.</t>
        </is>
      </c>
    </row>
    <row r="509">
      <c r="A509" t="inlineStr">
        <is>
          <t>2026-05</t>
        </is>
      </c>
      <c r="B509" t="inlineStr">
        <is>
          <t>Estados Unidos</t>
        </is>
      </c>
      <c r="C509" t="inlineStr">
        <is>
          <t>USA</t>
        </is>
      </c>
      <c r="D509" t="inlineStr">
        <is>
          <t>USD</t>
        </is>
      </c>
      <c r="E509" t="inlineStr">
        <is>
          <t>PL-O-090</t>
        </is>
      </c>
      <c r="F509" t="inlineStr">
        <is>
          <t>Viajes y representación</t>
        </is>
      </c>
      <c r="G509" t="inlineStr">
        <is>
          <t>gasto_admin</t>
        </is>
      </c>
      <c r="H509" t="inlineStr">
        <is>
          <t>Viajes</t>
        </is>
      </c>
      <c r="I509" t="inlineStr">
        <is>
          <t>Administracion</t>
        </is>
      </c>
      <c r="J509" t="n">
        <v>0</v>
      </c>
      <c r="K509" t="n">
        <v>64.79000000000001</v>
      </c>
      <c r="L509" t="inlineStr">
        <is>
          <t>Mayo 2026 USA.xlsx</t>
        </is>
      </c>
      <c r="M509" t="inlineStr">
        <is>
          <t>Aprobado</t>
        </is>
      </c>
      <c r="N509" t="inlineStr">
        <is>
          <t>Puente para redise?ar vistas de Costos &amp; Gastos; no reemplaza P&amp;G oficial. Convertido a USD con la tasa promedio mensual del pais.</t>
        </is>
      </c>
    </row>
    <row r="510">
      <c r="A510" t="inlineStr">
        <is>
          <t>2026-05</t>
        </is>
      </c>
      <c r="B510" t="inlineStr">
        <is>
          <t>Estados Unidos</t>
        </is>
      </c>
      <c r="C510" t="inlineStr">
        <is>
          <t>USA</t>
        </is>
      </c>
      <c r="D510" t="inlineStr">
        <is>
          <t>USD</t>
        </is>
      </c>
      <c r="E510" t="inlineStr">
        <is>
          <t>PL-O-090</t>
        </is>
      </c>
      <c r="F510" t="inlineStr">
        <is>
          <t>Viajes y representación</t>
        </is>
      </c>
      <c r="G510" t="inlineStr">
        <is>
          <t>gasto_admin</t>
        </is>
      </c>
      <c r="H510" t="inlineStr">
        <is>
          <t>Viajes</t>
        </is>
      </c>
      <c r="I510" t="inlineStr">
        <is>
          <t>Administracion</t>
        </is>
      </c>
      <c r="J510" t="n">
        <v>0</v>
      </c>
      <c r="K510" t="n">
        <v>35.04</v>
      </c>
      <c r="L510" t="inlineStr">
        <is>
          <t>Mayo 2026 USA.xlsx</t>
        </is>
      </c>
      <c r="M510" t="inlineStr">
        <is>
          <t>Aprobado</t>
        </is>
      </c>
      <c r="N510" t="inlineStr">
        <is>
          <t>Puente para redise?ar vistas de Costos &amp; Gastos; no reemplaza P&amp;G oficial. Convertido a USD con la tasa promedio mensual del pais.</t>
        </is>
      </c>
    </row>
    <row r="511">
      <c r="A511" t="inlineStr">
        <is>
          <t>2026-05</t>
        </is>
      </c>
      <c r="B511" t="inlineStr">
        <is>
          <t>Estados Unidos</t>
        </is>
      </c>
      <c r="C511" t="inlineStr">
        <is>
          <t>USA</t>
        </is>
      </c>
      <c r="D511" t="inlineStr">
        <is>
          <t>USD</t>
        </is>
      </c>
      <c r="E511" t="inlineStr">
        <is>
          <t>PL-O-090</t>
        </is>
      </c>
      <c r="F511" t="inlineStr">
        <is>
          <t>Viajes y representación</t>
        </is>
      </c>
      <c r="G511" t="inlineStr">
        <is>
          <t>gasto_admin</t>
        </is>
      </c>
      <c r="H511" t="inlineStr">
        <is>
          <t>Viajes</t>
        </is>
      </c>
      <c r="I511" t="inlineStr">
        <is>
          <t>Administracion</t>
        </is>
      </c>
      <c r="J511" t="n">
        <v>0</v>
      </c>
      <c r="K511" t="n">
        <v>22.14</v>
      </c>
      <c r="L511" t="inlineStr">
        <is>
          <t>Mayo 2026 USA.xlsx</t>
        </is>
      </c>
      <c r="M511" t="inlineStr">
        <is>
          <t>Aprobado</t>
        </is>
      </c>
      <c r="N511" t="inlineStr">
        <is>
          <t>Puente para redise?ar vistas de Costos &amp; Gastos; no reemplaza P&amp;G oficial. Convertido a USD con la tasa promedio mensual del pais.</t>
        </is>
      </c>
    </row>
    <row r="512">
      <c r="A512" t="inlineStr">
        <is>
          <t>2026-05</t>
        </is>
      </c>
      <c r="B512" t="inlineStr">
        <is>
          <t>Estados Unidos</t>
        </is>
      </c>
      <c r="C512" t="inlineStr">
        <is>
          <t>USA</t>
        </is>
      </c>
      <c r="D512" t="inlineStr">
        <is>
          <t>USD</t>
        </is>
      </c>
      <c r="E512" t="inlineStr">
        <is>
          <t>PL-O-090</t>
        </is>
      </c>
      <c r="F512" t="inlineStr">
        <is>
          <t>Viajes y representación</t>
        </is>
      </c>
      <c r="G512" t="inlineStr">
        <is>
          <t>gasto_admin</t>
        </is>
      </c>
      <c r="H512" t="inlineStr">
        <is>
          <t>Viajes</t>
        </is>
      </c>
      <c r="I512" t="inlineStr">
        <is>
          <t>Administracion</t>
        </is>
      </c>
      <c r="J512" t="n">
        <v>0</v>
      </c>
      <c r="K512" t="n">
        <v>13.54</v>
      </c>
      <c r="L512" t="inlineStr">
        <is>
          <t>Mayo 2026 USA.xlsx</t>
        </is>
      </c>
      <c r="M512" t="inlineStr">
        <is>
          <t>Aprobado</t>
        </is>
      </c>
      <c r="N512" t="inlineStr">
        <is>
          <t>Puente para redise?ar vistas de Costos &amp; Gastos; no reemplaza P&amp;G oficial. Convertido a USD con la tasa promedio mensual del pais.</t>
        </is>
      </c>
    </row>
    <row r="513">
      <c r="A513" t="inlineStr">
        <is>
          <t>2026-05</t>
        </is>
      </c>
      <c r="B513" t="inlineStr">
        <is>
          <t>Estados Unidos</t>
        </is>
      </c>
      <c r="C513" t="inlineStr">
        <is>
          <t>USA</t>
        </is>
      </c>
      <c r="D513" t="inlineStr">
        <is>
          <t>USD</t>
        </is>
      </c>
      <c r="E513" t="inlineStr">
        <is>
          <t>PL-O-010</t>
        </is>
      </c>
      <c r="F513" t="inlineStr">
        <is>
          <t>Gastos de personal</t>
        </is>
      </c>
      <c r="G513" t="inlineStr">
        <is>
          <t>gasto_admin</t>
        </is>
      </c>
      <c r="H513" t="inlineStr">
        <is>
          <t>Personal</t>
        </is>
      </c>
      <c r="I513" t="inlineStr">
        <is>
          <t>Administracion</t>
        </is>
      </c>
      <c r="J513" t="n">
        <v>0</v>
      </c>
      <c r="K513" t="n">
        <v>7600</v>
      </c>
      <c r="L513" t="inlineStr">
        <is>
          <t>Mayo 2026 USA.xlsx</t>
        </is>
      </c>
      <c r="M513" t="inlineStr">
        <is>
          <t>Aprobado</t>
        </is>
      </c>
      <c r="N513" t="inlineStr">
        <is>
          <t>Puente para redise?ar vistas de Costos &amp; Gastos; no reemplaza P&amp;G oficial. Convertido a USD con la tasa promedio mensual del pais.</t>
        </is>
      </c>
    </row>
    <row r="514">
      <c r="A514" t="inlineStr">
        <is>
          <t>2026-05</t>
        </is>
      </c>
      <c r="B514" t="inlineStr">
        <is>
          <t>Estados Unidos</t>
        </is>
      </c>
      <c r="C514" t="inlineStr">
        <is>
          <t>USA</t>
        </is>
      </c>
      <c r="D514" t="inlineStr">
        <is>
          <t>USD</t>
        </is>
      </c>
      <c r="E514" t="inlineStr">
        <is>
          <t>PL-O-010</t>
        </is>
      </c>
      <c r="F514" t="inlineStr">
        <is>
          <t>Gastos de personal</t>
        </is>
      </c>
      <c r="G514" t="inlineStr">
        <is>
          <t>gasto_admin</t>
        </is>
      </c>
      <c r="H514" t="inlineStr">
        <is>
          <t>Personal</t>
        </is>
      </c>
      <c r="I514" t="inlineStr">
        <is>
          <t>Administracion</t>
        </is>
      </c>
      <c r="J514" t="n">
        <v>0</v>
      </c>
      <c r="K514" t="n">
        <v>276.06</v>
      </c>
      <c r="L514" t="inlineStr">
        <is>
          <t>Mayo 2026 USA.xlsx</t>
        </is>
      </c>
      <c r="M514" t="inlineStr">
        <is>
          <t>Aprobado</t>
        </is>
      </c>
      <c r="N514" t="inlineStr">
        <is>
          <t>Puente para redise?ar vistas de Costos &amp; Gastos; no reemplaza P&amp;G oficial. Convertido a USD con la tasa promedio mensual del pais.</t>
        </is>
      </c>
    </row>
    <row r="515">
      <c r="A515" t="inlineStr">
        <is>
          <t>2026-05</t>
        </is>
      </c>
      <c r="B515" t="inlineStr">
        <is>
          <t>Estados Unidos</t>
        </is>
      </c>
      <c r="C515" t="inlineStr">
        <is>
          <t>USA</t>
        </is>
      </c>
      <c r="D515" t="inlineStr">
        <is>
          <t>USD</t>
        </is>
      </c>
      <c r="E515" t="inlineStr">
        <is>
          <t>PL-O-010</t>
        </is>
      </c>
      <c r="F515" t="inlineStr">
        <is>
          <t>Gastos de personal</t>
        </is>
      </c>
      <c r="G515" t="inlineStr">
        <is>
          <t>gasto_admin</t>
        </is>
      </c>
      <c r="H515" t="inlineStr">
        <is>
          <t>Personal</t>
        </is>
      </c>
      <c r="I515" t="inlineStr">
        <is>
          <t>Administracion</t>
        </is>
      </c>
      <c r="J515" t="n">
        <v>0</v>
      </c>
      <c r="K515" t="n">
        <v>13.9</v>
      </c>
      <c r="L515" t="inlineStr">
        <is>
          <t>Mayo 2026 USA.xlsx</t>
        </is>
      </c>
      <c r="M515" t="inlineStr">
        <is>
          <t>Aprobado</t>
        </is>
      </c>
      <c r="N515" t="inlineStr">
        <is>
          <t>Puente para redise?ar vistas de Costos &amp; Gastos; no reemplaza P&amp;G oficial. Convertido a USD con la tasa promedio mensual del pais.</t>
        </is>
      </c>
    </row>
    <row r="516">
      <c r="A516" t="inlineStr">
        <is>
          <t>2026-05</t>
        </is>
      </c>
      <c r="B516" t="inlineStr">
        <is>
          <t>Estados Unidos</t>
        </is>
      </c>
      <c r="C516" t="inlineStr">
        <is>
          <t>USA</t>
        </is>
      </c>
      <c r="D516" t="inlineStr">
        <is>
          <t>USD</t>
        </is>
      </c>
      <c r="E516" t="inlineStr">
        <is>
          <t>PL-O-010</t>
        </is>
      </c>
      <c r="F516" t="inlineStr">
        <is>
          <t>Gastos de personal</t>
        </is>
      </c>
      <c r="G516" t="inlineStr">
        <is>
          <t>gasto_admin</t>
        </is>
      </c>
      <c r="H516" t="inlineStr">
        <is>
          <t>Personal</t>
        </is>
      </c>
      <c r="I516" t="inlineStr">
        <is>
          <t>Administracion</t>
        </is>
      </c>
      <c r="J516" t="n">
        <v>0</v>
      </c>
      <c r="K516" t="n">
        <v>15.3</v>
      </c>
      <c r="L516" t="inlineStr">
        <is>
          <t>Mayo 2026 USA.xlsx</t>
        </is>
      </c>
      <c r="M516" t="inlineStr">
        <is>
          <t>Aprobado</t>
        </is>
      </c>
      <c r="N516" t="inlineStr">
        <is>
          <t>Puente para redise?ar vistas de Costos &amp; Gastos; no reemplaza P&amp;G oficial. Convertido a USD con la tasa promedio mensual del pais.</t>
        </is>
      </c>
    </row>
    <row r="517">
      <c r="A517" t="inlineStr">
        <is>
          <t>2026-05</t>
        </is>
      </c>
      <c r="B517" t="inlineStr">
        <is>
          <t>Estados Unidos</t>
        </is>
      </c>
      <c r="C517" t="inlineStr">
        <is>
          <t>USA</t>
        </is>
      </c>
      <c r="D517" t="inlineStr">
        <is>
          <t>USD</t>
        </is>
      </c>
      <c r="E517" t="inlineStr">
        <is>
          <t>PL-O-010</t>
        </is>
      </c>
      <c r="F517" t="inlineStr">
        <is>
          <t>Gastos de personal</t>
        </is>
      </c>
      <c r="G517" t="inlineStr">
        <is>
          <t>gasto_admin</t>
        </is>
      </c>
      <c r="H517" t="inlineStr">
        <is>
          <t>Personal</t>
        </is>
      </c>
      <c r="I517" t="inlineStr">
        <is>
          <t>Administracion</t>
        </is>
      </c>
      <c r="J517" t="n">
        <v>305.73</v>
      </c>
      <c r="K517" t="n">
        <v>1813.01</v>
      </c>
      <c r="L517" t="inlineStr">
        <is>
          <t>Mayo 2026 USA.xlsx</t>
        </is>
      </c>
      <c r="M517" t="inlineStr">
        <is>
          <t>Aprobado</t>
        </is>
      </c>
      <c r="N517" t="inlineStr">
        <is>
          <t>Puente para redise?ar vistas de Costos &amp; Gastos; no reemplaza P&amp;G oficial. Convertido a USD con la tasa promedio mensual del pais.</t>
        </is>
      </c>
    </row>
    <row r="518">
      <c r="A518" t="inlineStr">
        <is>
          <t>2026-05</t>
        </is>
      </c>
      <c r="B518" t="inlineStr">
        <is>
          <t>Estados Unidos</t>
        </is>
      </c>
      <c r="C518" t="inlineStr">
        <is>
          <t>USA</t>
        </is>
      </c>
      <c r="D518" t="inlineStr">
        <is>
          <t>USD</t>
        </is>
      </c>
      <c r="E518" t="inlineStr">
        <is>
          <t>PL-O-010</t>
        </is>
      </c>
      <c r="F518" t="inlineStr">
        <is>
          <t>Gastos de personal</t>
        </is>
      </c>
      <c r="G518" t="inlineStr">
        <is>
          <t>gasto_admin</t>
        </is>
      </c>
      <c r="H518" t="inlineStr">
        <is>
          <t>Personal</t>
        </is>
      </c>
      <c r="I518" t="inlineStr">
        <is>
          <t>Administracion</t>
        </is>
      </c>
      <c r="J518" t="n">
        <v>139.1</v>
      </c>
      <c r="K518" t="n">
        <v>139.1</v>
      </c>
      <c r="L518" t="inlineStr">
        <is>
          <t>Mayo 2026 USA.xlsx</t>
        </is>
      </c>
      <c r="M518" t="inlineStr">
        <is>
          <t>Aprobado</t>
        </is>
      </c>
      <c r="N518" t="inlineStr">
        <is>
          <t>Puente para redise?ar vistas de Costos &amp; Gastos; no reemplaza P&amp;G oficial. Convertido a USD con la tasa promedio mensual del pais.</t>
        </is>
      </c>
    </row>
    <row r="519">
      <c r="A519" t="inlineStr">
        <is>
          <t>2026-05</t>
        </is>
      </c>
      <c r="B519" t="inlineStr">
        <is>
          <t>Estados Unidos</t>
        </is>
      </c>
      <c r="C519" t="inlineStr">
        <is>
          <t>USA</t>
        </is>
      </c>
      <c r="D519" t="inlineStr">
        <is>
          <t>USD</t>
        </is>
      </c>
      <c r="E519" t="inlineStr">
        <is>
          <t>PL-O-010</t>
        </is>
      </c>
      <c r="F519" t="inlineStr">
        <is>
          <t>Gastos de personal</t>
        </is>
      </c>
      <c r="G519" t="inlineStr">
        <is>
          <t>gasto_admin</t>
        </is>
      </c>
      <c r="H519" t="inlineStr">
        <is>
          <t>Personal</t>
        </is>
      </c>
      <c r="I519" t="inlineStr">
        <is>
          <t>Administracion</t>
        </is>
      </c>
      <c r="J519" t="n">
        <v>-540.92</v>
      </c>
      <c r="K519" t="n">
        <v>-540.92</v>
      </c>
      <c r="L519" t="inlineStr">
        <is>
          <t>Mayo 2026 USA.xlsx</t>
        </is>
      </c>
      <c r="M519" t="inlineStr">
        <is>
          <t>Aprobado</t>
        </is>
      </c>
      <c r="N519" t="inlineStr">
        <is>
          <t>Puente para redise?ar vistas de Costos &amp; Gastos; no reemplaza P&amp;G oficial. Convertido a USD con la tasa promedio mensual del pais.</t>
        </is>
      </c>
    </row>
    <row r="520">
      <c r="A520" t="inlineStr">
        <is>
          <t>2026-05</t>
        </is>
      </c>
      <c r="B520" t="inlineStr">
        <is>
          <t>Estados Unidos</t>
        </is>
      </c>
      <c r="C520" t="inlineStr">
        <is>
          <t>USA</t>
        </is>
      </c>
      <c r="D520" t="inlineStr">
        <is>
          <t>USD</t>
        </is>
      </c>
      <c r="E520" t="inlineStr">
        <is>
          <t>PL-O-010</t>
        </is>
      </c>
      <c r="F520" t="inlineStr">
        <is>
          <t>Gastos de personal</t>
        </is>
      </c>
      <c r="G520" t="inlineStr">
        <is>
          <t>gasto_admin</t>
        </is>
      </c>
      <c r="H520" t="inlineStr">
        <is>
          <t>Personal</t>
        </is>
      </c>
      <c r="I520" t="inlineStr">
        <is>
          <t>Administracion</t>
        </is>
      </c>
      <c r="J520" t="n">
        <v>0</v>
      </c>
      <c r="K520" t="n">
        <v>122.93</v>
      </c>
      <c r="L520" t="inlineStr">
        <is>
          <t>Mayo 2026 USA.xlsx</t>
        </is>
      </c>
      <c r="M520" t="inlineStr">
        <is>
          <t>Aprobado</t>
        </is>
      </c>
      <c r="N520" t="inlineStr">
        <is>
          <t>Puente para redise?ar vistas de Costos &amp; Gastos; no reemplaza P&amp;G oficial. Convertido a USD con la tasa promedio mensual del pais.</t>
        </is>
      </c>
    </row>
    <row r="521">
      <c r="A521" t="inlineStr">
        <is>
          <t>2026-05</t>
        </is>
      </c>
      <c r="B521" t="inlineStr">
        <is>
          <t>Estados Unidos</t>
        </is>
      </c>
      <c r="C521" t="inlineStr">
        <is>
          <t>USA</t>
        </is>
      </c>
      <c r="D521" t="inlineStr">
        <is>
          <t>USD</t>
        </is>
      </c>
      <c r="E521" t="inlineStr">
        <is>
          <t>PL-O-010</t>
        </is>
      </c>
      <c r="F521" t="inlineStr">
        <is>
          <t>Gastos de personal</t>
        </is>
      </c>
      <c r="G521" t="inlineStr">
        <is>
          <t>gasto_admin</t>
        </is>
      </c>
      <c r="H521" t="inlineStr">
        <is>
          <t>Personal</t>
        </is>
      </c>
      <c r="I521" t="inlineStr">
        <is>
          <t>Administracion</t>
        </is>
      </c>
      <c r="J521" t="n">
        <v>56.7</v>
      </c>
      <c r="K521" t="n">
        <v>56.7</v>
      </c>
      <c r="L521" t="inlineStr">
        <is>
          <t>Mayo 2026 USA.xlsx</t>
        </is>
      </c>
      <c r="M521" t="inlineStr">
        <is>
          <t>Aprobado</t>
        </is>
      </c>
      <c r="N521" t="inlineStr">
        <is>
          <t>Puente para redise?ar vistas de Costos &amp; Gastos; no reemplaza P&amp;G oficial. Convertido a USD con la tasa promedio mensual del pais.</t>
        </is>
      </c>
    </row>
    <row r="522">
      <c r="A522" t="inlineStr">
        <is>
          <t>2026-05</t>
        </is>
      </c>
      <c r="B522" t="inlineStr">
        <is>
          <t>Estados Unidos</t>
        </is>
      </c>
      <c r="C522" t="inlineStr">
        <is>
          <t>USA</t>
        </is>
      </c>
      <c r="D522" t="inlineStr">
        <is>
          <t>USD</t>
        </is>
      </c>
      <c r="E522" t="inlineStr">
        <is>
          <t>PL-O-010</t>
        </is>
      </c>
      <c r="F522" t="inlineStr">
        <is>
          <t>Gastos de personal</t>
        </is>
      </c>
      <c r="G522" t="inlineStr">
        <is>
          <t>gasto_admin</t>
        </is>
      </c>
      <c r="H522" t="inlineStr">
        <is>
          <t>Personal</t>
        </is>
      </c>
      <c r="I522" t="inlineStr">
        <is>
          <t>Administracion</t>
        </is>
      </c>
      <c r="J522" t="n">
        <v>637.33</v>
      </c>
      <c r="K522" t="n">
        <v>3516.65</v>
      </c>
      <c r="L522" t="inlineStr">
        <is>
          <t>Mayo 2026 USA.xlsx</t>
        </is>
      </c>
      <c r="M522" t="inlineStr">
        <is>
          <t>Aprobado</t>
        </is>
      </c>
      <c r="N522" t="inlineStr">
        <is>
          <t>Puente para redise?ar vistas de Costos &amp; Gastos; no reemplaza P&amp;G oficial. Convertido a USD con la tasa promedio mensual del pais.</t>
        </is>
      </c>
    </row>
    <row r="523">
      <c r="A523" t="inlineStr">
        <is>
          <t>2026-05</t>
        </is>
      </c>
      <c r="B523" t="inlineStr">
        <is>
          <t>Estados Unidos</t>
        </is>
      </c>
      <c r="C523" t="inlineStr">
        <is>
          <t>USA</t>
        </is>
      </c>
      <c r="D523" t="inlineStr">
        <is>
          <t>USD</t>
        </is>
      </c>
      <c r="E523" t="inlineStr">
        <is>
          <t>PL-O-020</t>
        </is>
      </c>
      <c r="F523" t="inlineStr">
        <is>
          <t>Honorarios y servicios profesionales</t>
        </is>
      </c>
      <c r="G523" t="inlineStr">
        <is>
          <t>gasto_admin</t>
        </is>
      </c>
      <c r="H523" t="inlineStr">
        <is>
          <t>Honorarios</t>
        </is>
      </c>
      <c r="I523" t="inlineStr">
        <is>
          <t>Administracion</t>
        </is>
      </c>
      <c r="J523" t="n">
        <v>0</v>
      </c>
      <c r="K523" t="n">
        <v>445</v>
      </c>
      <c r="L523" t="inlineStr">
        <is>
          <t>Mayo 2026 USA.xlsx</t>
        </is>
      </c>
      <c r="M523" t="inlineStr">
        <is>
          <t>Aprobado</t>
        </is>
      </c>
      <c r="N523" t="inlineStr">
        <is>
          <t>Puente para redise?ar vistas de Costos &amp; Gastos; no reemplaza P&amp;G oficial. Convertido a USD con la tasa promedio mensual del pais.</t>
        </is>
      </c>
    </row>
    <row r="524">
      <c r="A524" t="inlineStr">
        <is>
          <t>2026-05</t>
        </is>
      </c>
      <c r="B524" t="inlineStr">
        <is>
          <t>Estados Unidos</t>
        </is>
      </c>
      <c r="C524" t="inlineStr">
        <is>
          <t>USA</t>
        </is>
      </c>
      <c r="D524" t="inlineStr">
        <is>
          <t>USD</t>
        </is>
      </c>
      <c r="E524" t="inlineStr">
        <is>
          <t>PL-O-030</t>
        </is>
      </c>
      <c r="F524" t="inlineStr">
        <is>
          <t>Impuestos y contribuciones</t>
        </is>
      </c>
      <c r="G524" t="inlineStr">
        <is>
          <t>gasto_admin</t>
        </is>
      </c>
      <c r="H524" t="inlineStr">
        <is>
          <t>Diversos</t>
        </is>
      </c>
      <c r="I524" t="inlineStr">
        <is>
          <t>Administracion</t>
        </is>
      </c>
      <c r="J524" t="n">
        <v>0</v>
      </c>
      <c r="K524" t="n">
        <v>4024.05</v>
      </c>
      <c r="L524" t="inlineStr">
        <is>
          <t>Mayo 2026 USA.xlsx</t>
        </is>
      </c>
      <c r="M524" t="inlineStr">
        <is>
          <t>Aprobado</t>
        </is>
      </c>
      <c r="N524" t="inlineStr">
        <is>
          <t>Puente para redise?ar vistas de Costos &amp; Gastos; no reemplaza P&amp;G oficial. Convertido a USD con la tasa promedio mensual del pais.</t>
        </is>
      </c>
    </row>
    <row r="525">
      <c r="A525" t="inlineStr">
        <is>
          <t>2026-05</t>
        </is>
      </c>
      <c r="B525" t="inlineStr">
        <is>
          <t>Estados Unidos</t>
        </is>
      </c>
      <c r="C525" t="inlineStr">
        <is>
          <t>USA</t>
        </is>
      </c>
      <c r="D525" t="inlineStr">
        <is>
          <t>USD</t>
        </is>
      </c>
      <c r="E525" t="inlineStr">
        <is>
          <t>PL-O-060</t>
        </is>
      </c>
      <c r="F525" t="inlineStr">
        <is>
          <t>Tecnología y procesamiento de datos</t>
        </is>
      </c>
      <c r="G525" t="inlineStr">
        <is>
          <t>gasto_admin</t>
        </is>
      </c>
      <c r="H525" t="inlineStr">
        <is>
          <t>Servicios</t>
        </is>
      </c>
      <c r="I525" t="inlineStr">
        <is>
          <t>Administracion</t>
        </is>
      </c>
      <c r="J525" t="n">
        <v>0</v>
      </c>
      <c r="K525" t="n">
        <v>225.35</v>
      </c>
      <c r="L525" t="inlineStr">
        <is>
          <t>Mayo 2026 USA.xlsx</t>
        </is>
      </c>
      <c r="M525" t="inlineStr">
        <is>
          <t>Aprobado</t>
        </is>
      </c>
      <c r="N525" t="inlineStr">
        <is>
          <t>Puente para redise?ar vistas de Costos &amp; Gastos; no reemplaza P&amp;G oficial. Convertido a USD con la tasa promedio mensual del pais.</t>
        </is>
      </c>
    </row>
    <row r="526">
      <c r="A526" t="inlineStr">
        <is>
          <t>2026-05</t>
        </is>
      </c>
      <c r="B526" t="inlineStr">
        <is>
          <t>Estados Unidos</t>
        </is>
      </c>
      <c r="C526" t="inlineStr">
        <is>
          <t>USA</t>
        </is>
      </c>
      <c r="D526" t="inlineStr">
        <is>
          <t>USD</t>
        </is>
      </c>
      <c r="E526" t="inlineStr">
        <is>
          <t>PL-O-060</t>
        </is>
      </c>
      <c r="F526" t="inlineStr">
        <is>
          <t>Tecnología y procesamiento de datos</t>
        </is>
      </c>
      <c r="G526" t="inlineStr">
        <is>
          <t>gasto_admin</t>
        </is>
      </c>
      <c r="H526" t="inlineStr">
        <is>
          <t>Servicios</t>
        </is>
      </c>
      <c r="I526" t="inlineStr">
        <is>
          <t>Administracion</t>
        </is>
      </c>
      <c r="J526" t="n">
        <v>0</v>
      </c>
      <c r="K526" t="n">
        <v>191.4</v>
      </c>
      <c r="L526" t="inlineStr">
        <is>
          <t>Mayo 2026 USA.xlsx</t>
        </is>
      </c>
      <c r="M526" t="inlineStr">
        <is>
          <t>Aprobado</t>
        </is>
      </c>
      <c r="N526" t="inlineStr">
        <is>
          <t>Puente para redise?ar vistas de Costos &amp; Gastos; no reemplaza P&amp;G oficial. Convertido a USD con la tasa promedio mensual del pais.</t>
        </is>
      </c>
    </row>
    <row r="527">
      <c r="A527" t="inlineStr">
        <is>
          <t>2026-05</t>
        </is>
      </c>
      <c r="B527" t="inlineStr">
        <is>
          <t>Estados Unidos</t>
        </is>
      </c>
      <c r="C527" t="inlineStr">
        <is>
          <t>USA</t>
        </is>
      </c>
      <c r="D527" t="inlineStr">
        <is>
          <t>USD</t>
        </is>
      </c>
      <c r="E527" t="inlineStr">
        <is>
          <t>PL-O-060</t>
        </is>
      </c>
      <c r="F527" t="inlineStr">
        <is>
          <t>Tecnología y procesamiento de datos</t>
        </is>
      </c>
      <c r="G527" t="inlineStr">
        <is>
          <t>gasto_admin</t>
        </is>
      </c>
      <c r="H527" t="inlineStr">
        <is>
          <t>Servicios</t>
        </is>
      </c>
      <c r="I527" t="inlineStr">
        <is>
          <t>Administracion</t>
        </is>
      </c>
      <c r="J527" t="n">
        <v>0</v>
      </c>
      <c r="K527" t="n">
        <v>32.1</v>
      </c>
      <c r="L527" t="inlineStr">
        <is>
          <t>Mayo 2026 USA.xlsx</t>
        </is>
      </c>
      <c r="M527" t="inlineStr">
        <is>
          <t>Aprobado</t>
        </is>
      </c>
      <c r="N527" t="inlineStr">
        <is>
          <t>Puente para redise?ar vistas de Costos &amp; Gastos; no reemplaza P&amp;G oficial. Convertido a USD con la tasa promedio mensual del pais.</t>
        </is>
      </c>
    </row>
    <row r="528">
      <c r="A528" t="inlineStr">
        <is>
          <t>2026-05</t>
        </is>
      </c>
      <c r="B528" t="inlineStr">
        <is>
          <t>Estados Unidos</t>
        </is>
      </c>
      <c r="C528" t="inlineStr">
        <is>
          <t>USA</t>
        </is>
      </c>
      <c r="D528" t="inlineStr">
        <is>
          <t>USD</t>
        </is>
      </c>
      <c r="E528" t="inlineStr">
        <is>
          <t>PL-O-060</t>
        </is>
      </c>
      <c r="F528" t="inlineStr">
        <is>
          <t>Tecnología y procesamiento de datos</t>
        </is>
      </c>
      <c r="G528" t="inlineStr">
        <is>
          <t>gasto_admin</t>
        </is>
      </c>
      <c r="H528" t="inlineStr">
        <is>
          <t>Servicios</t>
        </is>
      </c>
      <c r="I528" t="inlineStr">
        <is>
          <t>Administracion</t>
        </is>
      </c>
      <c r="J528" t="n">
        <v>0</v>
      </c>
      <c r="K528" t="n">
        <v>80</v>
      </c>
      <c r="L528" t="inlineStr">
        <is>
          <t>Mayo 2026 USA.xlsx</t>
        </is>
      </c>
      <c r="M528" t="inlineStr">
        <is>
          <t>Aprobado</t>
        </is>
      </c>
      <c r="N528" t="inlineStr">
        <is>
          <t>Puente para redise?ar vistas de Costos &amp; Gastos; no reemplaza P&amp;G oficial. Convertido a USD con la tasa promedio mensual del pais.</t>
        </is>
      </c>
    </row>
    <row r="529">
      <c r="A529" t="inlineStr">
        <is>
          <t>2026-05</t>
        </is>
      </c>
      <c r="B529" t="inlineStr">
        <is>
          <t>Estados Unidos</t>
        </is>
      </c>
      <c r="C529" t="inlineStr">
        <is>
          <t>USA</t>
        </is>
      </c>
      <c r="D529" t="inlineStr">
        <is>
          <t>USD</t>
        </is>
      </c>
      <c r="E529" t="inlineStr">
        <is>
          <t>PL-O-060</t>
        </is>
      </c>
      <c r="F529" t="inlineStr">
        <is>
          <t>Tecnología y procesamiento de datos</t>
        </is>
      </c>
      <c r="G529" t="inlineStr">
        <is>
          <t>gasto_admin</t>
        </is>
      </c>
      <c r="H529" t="inlineStr">
        <is>
          <t>Servicios</t>
        </is>
      </c>
      <c r="I529" t="inlineStr">
        <is>
          <t>Administracion</t>
        </is>
      </c>
      <c r="J529" t="n">
        <v>7500</v>
      </c>
      <c r="K529" t="n">
        <v>7500</v>
      </c>
      <c r="L529" t="inlineStr">
        <is>
          <t>Mayo 2026 USA.xlsx</t>
        </is>
      </c>
      <c r="M529" t="inlineStr">
        <is>
          <t>Aprobado</t>
        </is>
      </c>
      <c r="N529" t="inlineStr">
        <is>
          <t>Puente para redise?ar vistas de Costos &amp; Gastos; no reemplaza P&amp;G oficial. Convertido a USD con la tasa promedio mensual del pais.</t>
        </is>
      </c>
    </row>
    <row r="530">
      <c r="A530" t="inlineStr">
        <is>
          <t>2026-05</t>
        </is>
      </c>
      <c r="B530" t="inlineStr">
        <is>
          <t>Estados Unidos</t>
        </is>
      </c>
      <c r="C530" t="inlineStr">
        <is>
          <t>USA</t>
        </is>
      </c>
      <c r="D530" t="inlineStr">
        <is>
          <t>USD</t>
        </is>
      </c>
      <c r="E530" t="inlineStr">
        <is>
          <t>PL-O-060</t>
        </is>
      </c>
      <c r="F530" t="inlineStr">
        <is>
          <t>Tecnología y procesamiento de datos</t>
        </is>
      </c>
      <c r="G530" t="inlineStr">
        <is>
          <t>gasto_admin</t>
        </is>
      </c>
      <c r="H530" t="inlineStr">
        <is>
          <t>Servicios</t>
        </is>
      </c>
      <c r="I530" t="inlineStr">
        <is>
          <t>Administracion</t>
        </is>
      </c>
      <c r="J530" t="n">
        <v>69.55</v>
      </c>
      <c r="K530" t="n">
        <v>1027.2</v>
      </c>
      <c r="L530" t="inlineStr">
        <is>
          <t>Mayo 2026 USA.xlsx</t>
        </is>
      </c>
      <c r="M530" t="inlineStr">
        <is>
          <t>Aprobado</t>
        </is>
      </c>
      <c r="N530" t="inlineStr">
        <is>
          <t>Puente para redise?ar vistas de Costos &amp; Gastos; no reemplaza P&amp;G oficial. Convertido a USD con la tasa promedio mensual del pais.</t>
        </is>
      </c>
    </row>
    <row r="531">
      <c r="A531" t="inlineStr">
        <is>
          <t>2026-05</t>
        </is>
      </c>
      <c r="B531" t="inlineStr">
        <is>
          <t>Estados Unidos</t>
        </is>
      </c>
      <c r="C531" t="inlineStr">
        <is>
          <t>USA</t>
        </is>
      </c>
      <c r="D531" t="inlineStr">
        <is>
          <t>USD</t>
        </is>
      </c>
      <c r="E531" t="inlineStr">
        <is>
          <t>PL-O-060</t>
        </is>
      </c>
      <c r="F531" t="inlineStr">
        <is>
          <t>Tecnología y procesamiento de datos</t>
        </is>
      </c>
      <c r="G531" t="inlineStr">
        <is>
          <t>gasto_admin</t>
        </is>
      </c>
      <c r="H531" t="inlineStr">
        <is>
          <t>Servicios</t>
        </is>
      </c>
      <c r="I531" t="inlineStr">
        <is>
          <t>Administracion</t>
        </is>
      </c>
      <c r="J531" t="n">
        <v>191.53</v>
      </c>
      <c r="K531" t="n">
        <v>191.53</v>
      </c>
      <c r="L531" t="inlineStr">
        <is>
          <t>Mayo 2026 USA.xlsx</t>
        </is>
      </c>
      <c r="M531" t="inlineStr">
        <is>
          <t>Aprobado</t>
        </is>
      </c>
      <c r="N531" t="inlineStr">
        <is>
          <t>Puente para redise?ar vistas de Costos &amp; Gastos; no reemplaza P&amp;G oficial. Convertido a USD con la tasa promedio mensual del pais.</t>
        </is>
      </c>
    </row>
    <row r="532">
      <c r="A532" t="inlineStr">
        <is>
          <t>2026-05</t>
        </is>
      </c>
      <c r="B532" t="inlineStr">
        <is>
          <t>Estados Unidos</t>
        </is>
      </c>
      <c r="C532" t="inlineStr">
        <is>
          <t>USA</t>
        </is>
      </c>
      <c r="D532" t="inlineStr">
        <is>
          <t>USD</t>
        </is>
      </c>
      <c r="E532" t="inlineStr">
        <is>
          <t>PL-O-070</t>
        </is>
      </c>
      <c r="F532" t="inlineStr">
        <is>
          <t>Telecomunicaciones</t>
        </is>
      </c>
      <c r="G532" t="inlineStr">
        <is>
          <t>gasto_admin</t>
        </is>
      </c>
      <c r="H532" t="inlineStr">
        <is>
          <t>Servicios</t>
        </is>
      </c>
      <c r="I532" t="inlineStr">
        <is>
          <t>Administracion</t>
        </is>
      </c>
      <c r="J532" t="n">
        <v>153.6</v>
      </c>
      <c r="K532" t="n">
        <v>153.6</v>
      </c>
      <c r="L532" t="inlineStr">
        <is>
          <t>Mayo 2026 USA.xlsx</t>
        </is>
      </c>
      <c r="M532" t="inlineStr">
        <is>
          <t>Aprobado</t>
        </is>
      </c>
      <c r="N532" t="inlineStr">
        <is>
          <t>Puente para redise?ar vistas de Costos &amp; Gastos; no reemplaza P&amp;G oficial. Convertido a USD con la tasa promedio mensual del pais.</t>
        </is>
      </c>
    </row>
    <row r="533">
      <c r="A533" t="inlineStr">
        <is>
          <t>2026-05</t>
        </is>
      </c>
      <c r="B533" t="inlineStr">
        <is>
          <t>Estados Unidos</t>
        </is>
      </c>
      <c r="C533" t="inlineStr">
        <is>
          <t>USA</t>
        </is>
      </c>
      <c r="D533" t="inlineStr">
        <is>
          <t>USD</t>
        </is>
      </c>
      <c r="E533" t="inlineStr">
        <is>
          <t>PL-O-080</t>
        </is>
      </c>
      <c r="F533" t="inlineStr">
        <is>
          <t>Correo y mensajería</t>
        </is>
      </c>
      <c r="G533" t="inlineStr">
        <is>
          <t>gasto_admin</t>
        </is>
      </c>
      <c r="H533" t="inlineStr">
        <is>
          <t>Servicios</t>
        </is>
      </c>
      <c r="I533" t="inlineStr">
        <is>
          <t>Administracion</t>
        </is>
      </c>
      <c r="J533" t="n">
        <v>11.49</v>
      </c>
      <c r="K533" t="n">
        <v>57.32</v>
      </c>
      <c r="L533" t="inlineStr">
        <is>
          <t>Mayo 2026 USA.xlsx</t>
        </is>
      </c>
      <c r="M533" t="inlineStr">
        <is>
          <t>Aprobado</t>
        </is>
      </c>
      <c r="N533" t="inlineStr">
        <is>
          <t>Puente para redise?ar vistas de Costos &amp; Gastos; no reemplaza P&amp;G oficial. Convertido a USD con la tasa promedio mensual del pais.</t>
        </is>
      </c>
    </row>
    <row r="534">
      <c r="A534" t="inlineStr">
        <is>
          <t>2026-05</t>
        </is>
      </c>
      <c r="B534" t="inlineStr">
        <is>
          <t>Estados Unidos</t>
        </is>
      </c>
      <c r="C534" t="inlineStr">
        <is>
          <t>USA</t>
        </is>
      </c>
      <c r="D534" t="inlineStr">
        <is>
          <t>USD</t>
        </is>
      </c>
      <c r="E534" t="inlineStr">
        <is>
          <t>PL-O-100</t>
        </is>
      </c>
      <c r="F534" t="inlineStr">
        <is>
          <t>Otros servicios administrativos</t>
        </is>
      </c>
      <c r="G534" t="inlineStr">
        <is>
          <t>gasto_admin</t>
        </is>
      </c>
      <c r="H534" t="inlineStr">
        <is>
          <t>Servicios</t>
        </is>
      </c>
      <c r="I534" t="inlineStr">
        <is>
          <t>Administracion</t>
        </is>
      </c>
      <c r="J534" t="n">
        <v>14.05</v>
      </c>
      <c r="K534" t="n">
        <v>773.99</v>
      </c>
      <c r="L534" t="inlineStr">
        <is>
          <t>Mayo 2026 USA.xlsx</t>
        </is>
      </c>
      <c r="M534" t="inlineStr">
        <is>
          <t>Revisar</t>
        </is>
      </c>
      <c r="N534" t="inlineStr">
        <is>
          <t>Puente para redise?ar vistas de Costos &amp; Gastos; no reemplaza P&amp;G oficial. Convertido a USD con la tasa promedio mensual del pais.</t>
        </is>
      </c>
    </row>
    <row r="535">
      <c r="A535" t="inlineStr">
        <is>
          <t>2026-05</t>
        </is>
      </c>
      <c r="B535" t="inlineStr">
        <is>
          <t>Estados Unidos</t>
        </is>
      </c>
      <c r="C535" t="inlineStr">
        <is>
          <t>USA</t>
        </is>
      </c>
      <c r="D535" t="inlineStr">
        <is>
          <t>USD</t>
        </is>
      </c>
      <c r="E535" t="inlineStr">
        <is>
          <t>PL-O-110</t>
        </is>
      </c>
      <c r="F535" t="inlineStr">
        <is>
          <t>Suministros y oficina</t>
        </is>
      </c>
      <c r="G535" t="inlineStr">
        <is>
          <t>gasto_admin</t>
        </is>
      </c>
      <c r="H535" t="inlineStr">
        <is>
          <t>Diversos</t>
        </is>
      </c>
      <c r="I535" t="inlineStr">
        <is>
          <t>Administracion</t>
        </is>
      </c>
      <c r="J535" t="n">
        <v>0</v>
      </c>
      <c r="K535" t="n">
        <v>35.1</v>
      </c>
      <c r="L535" t="inlineStr">
        <is>
          <t>Mayo 2026 USA.xlsx</t>
        </is>
      </c>
      <c r="M535" t="inlineStr">
        <is>
          <t>Aprobado</t>
        </is>
      </c>
      <c r="N535" t="inlineStr">
        <is>
          <t>Puente para redise?ar vistas de Costos &amp; Gastos; no reemplaza P&amp;G oficial. Convertido a USD con la tasa promedio mensual del pais.</t>
        </is>
      </c>
    </row>
    <row r="536">
      <c r="A536" t="inlineStr">
        <is>
          <t>2026-05</t>
        </is>
      </c>
      <c r="B536" t="inlineStr">
        <is>
          <t>Estados Unidos</t>
        </is>
      </c>
      <c r="C536" t="inlineStr">
        <is>
          <t>USA</t>
        </is>
      </c>
      <c r="D536" t="inlineStr">
        <is>
          <t>USD</t>
        </is>
      </c>
      <c r="E536" t="inlineStr">
        <is>
          <t>PL-O-110</t>
        </is>
      </c>
      <c r="F536" t="inlineStr">
        <is>
          <t>Suministros y oficina</t>
        </is>
      </c>
      <c r="G536" t="inlineStr">
        <is>
          <t>gasto_admin</t>
        </is>
      </c>
      <c r="H536" t="inlineStr">
        <is>
          <t>Diversos</t>
        </is>
      </c>
      <c r="I536" t="inlineStr">
        <is>
          <t>Administracion</t>
        </is>
      </c>
      <c r="J536" t="n">
        <v>0</v>
      </c>
      <c r="K536" t="n">
        <v>82.58</v>
      </c>
      <c r="L536" t="inlineStr">
        <is>
          <t>Mayo 2026 USA.xlsx</t>
        </is>
      </c>
      <c r="M536" t="inlineStr">
        <is>
          <t>Aprobado</t>
        </is>
      </c>
      <c r="N536" t="inlineStr">
        <is>
          <t>Puente para redise?ar vistas de Costos &amp; Gastos; no reemplaza P&amp;G oficial. Convertido a USD con la tasa promedio mensual del pais.</t>
        </is>
      </c>
    </row>
    <row r="537">
      <c r="A537" t="inlineStr">
        <is>
          <t>2026-05</t>
        </is>
      </c>
      <c r="B537" t="inlineStr">
        <is>
          <t>Estados Unidos</t>
        </is>
      </c>
      <c r="C537" t="inlineStr">
        <is>
          <t>USA</t>
        </is>
      </c>
      <c r="D537" t="inlineStr">
        <is>
          <t>USD</t>
        </is>
      </c>
      <c r="E537" t="inlineStr">
        <is>
          <t>PL-O-120</t>
        </is>
      </c>
      <c r="F537" t="inlineStr">
        <is>
          <t>Alimentación y restaurante</t>
        </is>
      </c>
      <c r="G537" t="inlineStr">
        <is>
          <t>gasto_admin</t>
        </is>
      </c>
      <c r="H537" t="inlineStr">
        <is>
          <t>Diversos</t>
        </is>
      </c>
      <c r="I537" t="inlineStr">
        <is>
          <t>Administracion</t>
        </is>
      </c>
      <c r="J537" t="n">
        <v>0</v>
      </c>
      <c r="K537" t="n">
        <v>254.29</v>
      </c>
      <c r="L537" t="inlineStr">
        <is>
          <t>Mayo 2026 USA.xlsx</t>
        </is>
      </c>
      <c r="M537" t="inlineStr">
        <is>
          <t>Revisar</t>
        </is>
      </c>
      <c r="N537" t="inlineStr">
        <is>
          <t>Puente para redise?ar vistas de Costos &amp; Gastos; no reemplaza P&amp;G oficial. Convertido a USD con la tasa promedio mensual del pais.</t>
        </is>
      </c>
    </row>
    <row r="538">
      <c r="A538" t="inlineStr">
        <is>
          <t>2026-05</t>
        </is>
      </c>
      <c r="B538" t="inlineStr">
        <is>
          <t>Estados Unidos</t>
        </is>
      </c>
      <c r="C538" t="inlineStr">
        <is>
          <t>USA</t>
        </is>
      </c>
      <c r="D538" t="inlineStr">
        <is>
          <t>USD</t>
        </is>
      </c>
      <c r="E538" t="inlineStr">
        <is>
          <t>PL-O-120</t>
        </is>
      </c>
      <c r="F538" t="inlineStr">
        <is>
          <t>Alimentación y restaurante</t>
        </is>
      </c>
      <c r="G538" t="inlineStr">
        <is>
          <t>gasto_admin</t>
        </is>
      </c>
      <c r="H538" t="inlineStr">
        <is>
          <t>Diversos</t>
        </is>
      </c>
      <c r="I538" t="inlineStr">
        <is>
          <t>Administracion</t>
        </is>
      </c>
      <c r="J538" t="n">
        <v>0</v>
      </c>
      <c r="K538" t="n">
        <v>63.15</v>
      </c>
      <c r="L538" t="inlineStr">
        <is>
          <t>Mayo 2026 USA.xlsx</t>
        </is>
      </c>
      <c r="M538" t="inlineStr">
        <is>
          <t>Revisar</t>
        </is>
      </c>
      <c r="N538" t="inlineStr">
        <is>
          <t>Puente para redise?ar vistas de Costos &amp; Gastos; no reemplaza P&amp;G oficial. Convertido a USD con la tasa promedio mensual del pais.</t>
        </is>
      </c>
    </row>
    <row r="539">
      <c r="A539" t="inlineStr">
        <is>
          <t>2026-05</t>
        </is>
      </c>
      <c r="B539" t="inlineStr">
        <is>
          <t>Estados Unidos</t>
        </is>
      </c>
      <c r="C539" t="inlineStr">
        <is>
          <t>USA</t>
        </is>
      </c>
      <c r="D539" t="inlineStr">
        <is>
          <t>USD</t>
        </is>
      </c>
      <c r="E539" t="inlineStr">
        <is>
          <t>PL-O-120</t>
        </is>
      </c>
      <c r="F539" t="inlineStr">
        <is>
          <t>Alimentación y restaurante</t>
        </is>
      </c>
      <c r="G539" t="inlineStr">
        <is>
          <t>gasto_admin</t>
        </is>
      </c>
      <c r="H539" t="inlineStr">
        <is>
          <t>Diversos</t>
        </is>
      </c>
      <c r="I539" t="inlineStr">
        <is>
          <t>Administracion</t>
        </is>
      </c>
      <c r="J539" t="n">
        <v>0</v>
      </c>
      <c r="K539" t="n">
        <v>55.93</v>
      </c>
      <c r="L539" t="inlineStr">
        <is>
          <t>Mayo 2026 USA.xlsx</t>
        </is>
      </c>
      <c r="M539" t="inlineStr">
        <is>
          <t>Revisar</t>
        </is>
      </c>
      <c r="N539" t="inlineStr">
        <is>
          <t>Puente para redise?ar vistas de Costos &amp; Gastos; no reemplaza P&amp;G oficial. Convertido a USD con la tasa promedio mensual del pais.</t>
        </is>
      </c>
    </row>
    <row r="540">
      <c r="A540" t="inlineStr">
        <is>
          <t>2026-05</t>
        </is>
      </c>
      <c r="B540" t="inlineStr">
        <is>
          <t>Estados Unidos</t>
        </is>
      </c>
      <c r="C540" t="inlineStr">
        <is>
          <t>USA</t>
        </is>
      </c>
      <c r="D540" t="inlineStr">
        <is>
          <t>USD</t>
        </is>
      </c>
      <c r="E540" t="inlineStr">
        <is>
          <t>PL-O-120</t>
        </is>
      </c>
      <c r="F540" t="inlineStr">
        <is>
          <t>Alimentación y restaurante</t>
        </is>
      </c>
      <c r="G540" t="inlineStr">
        <is>
          <t>gasto_admin</t>
        </is>
      </c>
      <c r="H540" t="inlineStr">
        <is>
          <t>Diversos</t>
        </is>
      </c>
      <c r="I540" t="inlineStr">
        <is>
          <t>Administracion</t>
        </is>
      </c>
      <c r="J540" t="n">
        <v>0</v>
      </c>
      <c r="K540" t="n">
        <v>145.96</v>
      </c>
      <c r="L540" t="inlineStr">
        <is>
          <t>Mayo 2026 USA.xlsx</t>
        </is>
      </c>
      <c r="M540" t="inlineStr">
        <is>
          <t>Revisar</t>
        </is>
      </c>
      <c r="N540" t="inlineStr">
        <is>
          <t>Puente para redise?ar vistas de Costos &amp; Gastos; no reemplaza P&amp;G oficial. Convertido a USD con la tasa promedio mensual del pais.</t>
        </is>
      </c>
    </row>
    <row r="541">
      <c r="A541" t="inlineStr">
        <is>
          <t>2026-05</t>
        </is>
      </c>
      <c r="B541" t="inlineStr">
        <is>
          <t>Estados Unidos</t>
        </is>
      </c>
      <c r="C541" t="inlineStr">
        <is>
          <t>USA</t>
        </is>
      </c>
      <c r="D541" t="inlineStr">
        <is>
          <t>USD</t>
        </is>
      </c>
      <c r="E541" t="inlineStr">
        <is>
          <t>PL-O-120</t>
        </is>
      </c>
      <c r="F541" t="inlineStr">
        <is>
          <t>Alimentación y restaurante</t>
        </is>
      </c>
      <c r="G541" t="inlineStr">
        <is>
          <t>gasto_admin</t>
        </is>
      </c>
      <c r="H541" t="inlineStr">
        <is>
          <t>Diversos</t>
        </is>
      </c>
      <c r="I541" t="inlineStr">
        <is>
          <t>Administracion</t>
        </is>
      </c>
      <c r="J541" t="n">
        <v>0</v>
      </c>
      <c r="K541" t="n">
        <v>92.97</v>
      </c>
      <c r="L541" t="inlineStr">
        <is>
          <t>Mayo 2026 USA.xlsx</t>
        </is>
      </c>
      <c r="M541" t="inlineStr">
        <is>
          <t>Revisar</t>
        </is>
      </c>
      <c r="N541" t="inlineStr">
        <is>
          <t>Puente para redise?ar vistas de Costos &amp; Gastos; no reemplaza P&amp;G oficial. Convertido a USD con la tasa promedio mensual del pais.</t>
        </is>
      </c>
    </row>
    <row r="542">
      <c r="A542" t="inlineStr">
        <is>
          <t>2026-05</t>
        </is>
      </c>
      <c r="B542" t="inlineStr">
        <is>
          <t>Estados Unidos</t>
        </is>
      </c>
      <c r="C542" t="inlineStr">
        <is>
          <t>USA</t>
        </is>
      </c>
      <c r="D542" t="inlineStr">
        <is>
          <t>USD</t>
        </is>
      </c>
      <c r="E542" t="inlineStr">
        <is>
          <t>PL-O-120</t>
        </is>
      </c>
      <c r="F542" t="inlineStr">
        <is>
          <t>Alimentación y restaurante</t>
        </is>
      </c>
      <c r="G542" t="inlineStr">
        <is>
          <t>gasto_admin</t>
        </is>
      </c>
      <c r="H542" t="inlineStr">
        <is>
          <t>Diversos</t>
        </is>
      </c>
      <c r="I542" t="inlineStr">
        <is>
          <t>Administracion</t>
        </is>
      </c>
      <c r="J542" t="n">
        <v>0</v>
      </c>
      <c r="K542" t="n">
        <v>122.49</v>
      </c>
      <c r="L542" t="inlineStr">
        <is>
          <t>Mayo 2026 USA.xlsx</t>
        </is>
      </c>
      <c r="M542" t="inlineStr">
        <is>
          <t>Revisar</t>
        </is>
      </c>
      <c r="N542" t="inlineStr">
        <is>
          <t>Puente para redise?ar vistas de Costos &amp; Gastos; no reemplaza P&amp;G oficial. Convertido a USD con la tasa promedio mensual del pais.</t>
        </is>
      </c>
    </row>
    <row r="543">
      <c r="A543" t="inlineStr">
        <is>
          <t>2026-05</t>
        </is>
      </c>
      <c r="B543" t="inlineStr">
        <is>
          <t>Estados Unidos</t>
        </is>
      </c>
      <c r="C543" t="inlineStr">
        <is>
          <t>USA</t>
        </is>
      </c>
      <c r="D543" t="inlineStr">
        <is>
          <t>USD</t>
        </is>
      </c>
      <c r="E543" t="inlineStr">
        <is>
          <t>PL-O-120</t>
        </is>
      </c>
      <c r="F543" t="inlineStr">
        <is>
          <t>Alimentación y restaurante</t>
        </is>
      </c>
      <c r="G543" t="inlineStr">
        <is>
          <t>gasto_admin</t>
        </is>
      </c>
      <c r="H543" t="inlineStr">
        <is>
          <t>Diversos</t>
        </is>
      </c>
      <c r="I543" t="inlineStr">
        <is>
          <t>Administracion</t>
        </is>
      </c>
      <c r="J543" t="n">
        <v>0</v>
      </c>
      <c r="K543" t="n">
        <v>184.6</v>
      </c>
      <c r="L543" t="inlineStr">
        <is>
          <t>Mayo 2026 USA.xlsx</t>
        </is>
      </c>
      <c r="M543" t="inlineStr">
        <is>
          <t>Revisar</t>
        </is>
      </c>
      <c r="N543" t="inlineStr">
        <is>
          <t>Puente para redise?ar vistas de Costos &amp; Gastos; no reemplaza P&amp;G oficial. Convertido a USD con la tasa promedio mensual del pais.</t>
        </is>
      </c>
    </row>
    <row r="544">
      <c r="A544" t="inlineStr">
        <is>
          <t>2026-05</t>
        </is>
      </c>
      <c r="B544" t="inlineStr">
        <is>
          <t>Estados Unidos</t>
        </is>
      </c>
      <c r="C544" t="inlineStr">
        <is>
          <t>USA</t>
        </is>
      </c>
      <c r="D544" t="inlineStr">
        <is>
          <t>USD</t>
        </is>
      </c>
      <c r="E544" t="inlineStr">
        <is>
          <t>PL-O-120</t>
        </is>
      </c>
      <c r="F544" t="inlineStr">
        <is>
          <t>Alimentación y restaurante</t>
        </is>
      </c>
      <c r="G544" t="inlineStr">
        <is>
          <t>gasto_admin</t>
        </is>
      </c>
      <c r="H544" t="inlineStr">
        <is>
          <t>Diversos</t>
        </is>
      </c>
      <c r="I544" t="inlineStr">
        <is>
          <t>Administracion</t>
        </is>
      </c>
      <c r="J544" t="n">
        <v>0</v>
      </c>
      <c r="K544" t="n">
        <v>80.39</v>
      </c>
      <c r="L544" t="inlineStr">
        <is>
          <t>Mayo 2026 USA.xlsx</t>
        </is>
      </c>
      <c r="M544" t="inlineStr">
        <is>
          <t>Revisar</t>
        </is>
      </c>
      <c r="N544" t="inlineStr">
        <is>
          <t>Puente para redise?ar vistas de Costos &amp; Gastos; no reemplaza P&amp;G oficial. Convertido a USD con la tasa promedio mensual del pais.</t>
        </is>
      </c>
    </row>
    <row r="545">
      <c r="A545" t="inlineStr">
        <is>
          <t>2026-05</t>
        </is>
      </c>
      <c r="B545" t="inlineStr">
        <is>
          <t>Estados Unidos</t>
        </is>
      </c>
      <c r="C545" t="inlineStr">
        <is>
          <t>USA</t>
        </is>
      </c>
      <c r="D545" t="inlineStr">
        <is>
          <t>USD</t>
        </is>
      </c>
      <c r="E545" t="inlineStr">
        <is>
          <t>PL-O-120</t>
        </is>
      </c>
      <c r="F545" t="inlineStr">
        <is>
          <t>Alimentación y restaurante</t>
        </is>
      </c>
      <c r="G545" t="inlineStr">
        <is>
          <t>gasto_admin</t>
        </is>
      </c>
      <c r="H545" t="inlineStr">
        <is>
          <t>Diversos</t>
        </is>
      </c>
      <c r="I545" t="inlineStr">
        <is>
          <t>Administracion</t>
        </is>
      </c>
      <c r="J545" t="n">
        <v>179.4</v>
      </c>
      <c r="K545" t="n">
        <v>214.32</v>
      </c>
      <c r="L545" t="inlineStr">
        <is>
          <t>Mayo 2026 USA.xlsx</t>
        </is>
      </c>
      <c r="M545" t="inlineStr">
        <is>
          <t>Revisar</t>
        </is>
      </c>
      <c r="N545" t="inlineStr">
        <is>
          <t>Puente para redise?ar vistas de Costos &amp; Gastos; no reemplaza P&amp;G oficial. Convertido a USD con la tasa promedio mensual del pais.</t>
        </is>
      </c>
    </row>
    <row r="546">
      <c r="A546" t="inlineStr">
        <is>
          <t>2026-05</t>
        </is>
      </c>
      <c r="B546" t="inlineStr">
        <is>
          <t>Estados Unidos</t>
        </is>
      </c>
      <c r="C546" t="inlineStr">
        <is>
          <t>USA</t>
        </is>
      </c>
      <c r="D546" t="inlineStr">
        <is>
          <t>USD</t>
        </is>
      </c>
      <c r="E546" t="inlineStr">
        <is>
          <t>PL-O-120</t>
        </is>
      </c>
      <c r="F546" t="inlineStr">
        <is>
          <t>Alimentación y restaurante</t>
        </is>
      </c>
      <c r="G546" t="inlineStr">
        <is>
          <t>gasto_admin</t>
        </is>
      </c>
      <c r="H546" t="inlineStr">
        <is>
          <t>Diversos</t>
        </is>
      </c>
      <c r="I546" t="inlineStr">
        <is>
          <t>Administracion</t>
        </is>
      </c>
      <c r="J546" t="n">
        <v>0</v>
      </c>
      <c r="K546" t="n">
        <v>177.68</v>
      </c>
      <c r="L546" t="inlineStr">
        <is>
          <t>Mayo 2026 USA.xlsx</t>
        </is>
      </c>
      <c r="M546" t="inlineStr">
        <is>
          <t>Revisar</t>
        </is>
      </c>
      <c r="N546" t="inlineStr">
        <is>
          <t>Puente para redise?ar vistas de Costos &amp; Gastos; no reemplaza P&amp;G oficial. Convertido a USD con la tasa promedio mensual del pais.</t>
        </is>
      </c>
    </row>
    <row r="547">
      <c r="A547" t="inlineStr">
        <is>
          <t>2026-05</t>
        </is>
      </c>
      <c r="B547" t="inlineStr">
        <is>
          <t>Estados Unidos</t>
        </is>
      </c>
      <c r="C547" t="inlineStr">
        <is>
          <t>USA</t>
        </is>
      </c>
      <c r="D547" t="inlineStr">
        <is>
          <t>USD</t>
        </is>
      </c>
      <c r="E547" t="inlineStr">
        <is>
          <t>PL-O-120</t>
        </is>
      </c>
      <c r="F547" t="inlineStr">
        <is>
          <t>Alimentación y restaurante</t>
        </is>
      </c>
      <c r="G547" t="inlineStr">
        <is>
          <t>gasto_admin</t>
        </is>
      </c>
      <c r="H547" t="inlineStr">
        <is>
          <t>Diversos</t>
        </is>
      </c>
      <c r="I547" t="inlineStr">
        <is>
          <t>Administracion</t>
        </is>
      </c>
      <c r="J547" t="n">
        <v>0</v>
      </c>
      <c r="K547" t="n">
        <v>248</v>
      </c>
      <c r="L547" t="inlineStr">
        <is>
          <t>Mayo 2026 USA.xlsx</t>
        </is>
      </c>
      <c r="M547" t="inlineStr">
        <is>
          <t>Revisar</t>
        </is>
      </c>
      <c r="N547" t="inlineStr">
        <is>
          <t>Puente para redise?ar vistas de Costos &amp; Gastos; no reemplaza P&amp;G oficial. Convertido a USD con la tasa promedio mensual del pais.</t>
        </is>
      </c>
    </row>
    <row r="548">
      <c r="A548" t="inlineStr">
        <is>
          <t>2026-05</t>
        </is>
      </c>
      <c r="B548" t="inlineStr">
        <is>
          <t>Estados Unidos</t>
        </is>
      </c>
      <c r="C548" t="inlineStr">
        <is>
          <t>USA</t>
        </is>
      </c>
      <c r="D548" t="inlineStr">
        <is>
          <t>USD</t>
        </is>
      </c>
      <c r="E548" t="inlineStr">
        <is>
          <t>PL-O-120</t>
        </is>
      </c>
      <c r="F548" t="inlineStr">
        <is>
          <t>Alimentación y restaurante</t>
        </is>
      </c>
      <c r="G548" t="inlineStr">
        <is>
          <t>gasto_admin</t>
        </is>
      </c>
      <c r="H548" t="inlineStr">
        <is>
          <t>Diversos</t>
        </is>
      </c>
      <c r="I548" t="inlineStr">
        <is>
          <t>Administracion</t>
        </is>
      </c>
      <c r="J548" t="n">
        <v>0</v>
      </c>
      <c r="K548" t="n">
        <v>30.09</v>
      </c>
      <c r="L548" t="inlineStr">
        <is>
          <t>Mayo 2026 USA.xlsx</t>
        </is>
      </c>
      <c r="M548" t="inlineStr">
        <is>
          <t>Revisar</t>
        </is>
      </c>
      <c r="N548" t="inlineStr">
        <is>
          <t>Puente para redise?ar vistas de Costos &amp; Gastos; no reemplaza P&amp;G oficial. Convertido a USD con la tasa promedio mensual del pais.</t>
        </is>
      </c>
    </row>
    <row r="549">
      <c r="A549" t="inlineStr">
        <is>
          <t>2026-05</t>
        </is>
      </c>
      <c r="B549" t="inlineStr">
        <is>
          <t>Estados Unidos</t>
        </is>
      </c>
      <c r="C549" t="inlineStr">
        <is>
          <t>USA</t>
        </is>
      </c>
      <c r="D549" t="inlineStr">
        <is>
          <t>USD</t>
        </is>
      </c>
      <c r="E549" t="inlineStr">
        <is>
          <t>PL-O-120</t>
        </is>
      </c>
      <c r="F549" t="inlineStr">
        <is>
          <t>Alimentación y restaurante</t>
        </is>
      </c>
      <c r="G549" t="inlineStr">
        <is>
          <t>gasto_admin</t>
        </is>
      </c>
      <c r="H549" t="inlineStr">
        <is>
          <t>Diversos</t>
        </is>
      </c>
      <c r="I549" t="inlineStr">
        <is>
          <t>Administracion</t>
        </is>
      </c>
      <c r="J549" t="n">
        <v>0</v>
      </c>
      <c r="K549" t="n">
        <v>182.88</v>
      </c>
      <c r="L549" t="inlineStr">
        <is>
          <t>Mayo 2026 USA.xlsx</t>
        </is>
      </c>
      <c r="M549" t="inlineStr">
        <is>
          <t>Revisar</t>
        </is>
      </c>
      <c r="N549" t="inlineStr">
        <is>
          <t>Puente para redise?ar vistas de Costos &amp; Gastos; no reemplaza P&amp;G oficial. Convertido a USD con la tasa promedio mensual del pais.</t>
        </is>
      </c>
    </row>
    <row r="550">
      <c r="A550" t="inlineStr">
        <is>
          <t>2026-05</t>
        </is>
      </c>
      <c r="B550" t="inlineStr">
        <is>
          <t>Estados Unidos</t>
        </is>
      </c>
      <c r="C550" t="inlineStr">
        <is>
          <t>USA</t>
        </is>
      </c>
      <c r="D550" t="inlineStr">
        <is>
          <t>USD</t>
        </is>
      </c>
      <c r="E550" t="inlineStr">
        <is>
          <t>PL-O-120</t>
        </is>
      </c>
      <c r="F550" t="inlineStr">
        <is>
          <t>Alimentación y restaurante</t>
        </is>
      </c>
      <c r="G550" t="inlineStr">
        <is>
          <t>gasto_admin</t>
        </is>
      </c>
      <c r="H550" t="inlineStr">
        <is>
          <t>Diversos</t>
        </is>
      </c>
      <c r="I550" t="inlineStr">
        <is>
          <t>Administracion</t>
        </is>
      </c>
      <c r="J550" t="n">
        <v>0</v>
      </c>
      <c r="K550" t="n">
        <v>7.03</v>
      </c>
      <c r="L550" t="inlineStr">
        <is>
          <t>Mayo 2026 USA.xlsx</t>
        </is>
      </c>
      <c r="M550" t="inlineStr">
        <is>
          <t>Revisar</t>
        </is>
      </c>
      <c r="N550" t="inlineStr">
        <is>
          <t>Puente para redise?ar vistas de Costos &amp; Gastos; no reemplaza P&amp;G oficial. Convertido a USD con la tasa promedio mensual del pais.</t>
        </is>
      </c>
    </row>
    <row r="551">
      <c r="A551" t="inlineStr">
        <is>
          <t>2026-05</t>
        </is>
      </c>
      <c r="B551" t="inlineStr">
        <is>
          <t>Estados Unidos</t>
        </is>
      </c>
      <c r="C551" t="inlineStr">
        <is>
          <t>USA</t>
        </is>
      </c>
      <c r="D551" t="inlineStr">
        <is>
          <t>USD</t>
        </is>
      </c>
      <c r="E551" t="inlineStr">
        <is>
          <t>PL-O-120</t>
        </is>
      </c>
      <c r="F551" t="inlineStr">
        <is>
          <t>Alimentación y restaurante</t>
        </is>
      </c>
      <c r="G551" t="inlineStr">
        <is>
          <t>gasto_admin</t>
        </is>
      </c>
      <c r="H551" t="inlineStr">
        <is>
          <t>Diversos</t>
        </is>
      </c>
      <c r="I551" t="inlineStr">
        <is>
          <t>Administracion</t>
        </is>
      </c>
      <c r="J551" t="n">
        <v>0</v>
      </c>
      <c r="K551" t="n">
        <v>127.26</v>
      </c>
      <c r="L551" t="inlineStr">
        <is>
          <t>Mayo 2026 USA.xlsx</t>
        </is>
      </c>
      <c r="M551" t="inlineStr">
        <is>
          <t>Revisar</t>
        </is>
      </c>
      <c r="N551" t="inlineStr">
        <is>
          <t>Puente para redise?ar vistas de Costos &amp; Gastos; no reemplaza P&amp;G oficial. Convertido a USD con la tasa promedio mensual del pais.</t>
        </is>
      </c>
    </row>
    <row r="552">
      <c r="A552" t="inlineStr">
        <is>
          <t>2026-05</t>
        </is>
      </c>
      <c r="B552" t="inlineStr">
        <is>
          <t>Estados Unidos</t>
        </is>
      </c>
      <c r="C552" t="inlineStr">
        <is>
          <t>USA</t>
        </is>
      </c>
      <c r="D552" t="inlineStr">
        <is>
          <t>USD</t>
        </is>
      </c>
      <c r="E552" t="inlineStr">
        <is>
          <t>PL-O-120</t>
        </is>
      </c>
      <c r="F552" t="inlineStr">
        <is>
          <t>Alimentación y restaurante</t>
        </is>
      </c>
      <c r="G552" t="inlineStr">
        <is>
          <t>gasto_admin</t>
        </is>
      </c>
      <c r="H552" t="inlineStr">
        <is>
          <t>Diversos</t>
        </is>
      </c>
      <c r="I552" t="inlineStr">
        <is>
          <t>Administracion</t>
        </is>
      </c>
      <c r="J552" t="n">
        <v>0</v>
      </c>
      <c r="K552" t="n">
        <v>27.93</v>
      </c>
      <c r="L552" t="inlineStr">
        <is>
          <t>Mayo 2026 USA.xlsx</t>
        </is>
      </c>
      <c r="M552" t="inlineStr">
        <is>
          <t>Revisar</t>
        </is>
      </c>
      <c r="N552" t="inlineStr">
        <is>
          <t>Puente para redise?ar vistas de Costos &amp; Gastos; no reemplaza P&amp;G oficial. Convertido a USD con la tasa promedio mensual del pais.</t>
        </is>
      </c>
    </row>
    <row r="553">
      <c r="A553" t="inlineStr">
        <is>
          <t>2026-05</t>
        </is>
      </c>
      <c r="B553" t="inlineStr">
        <is>
          <t>Estados Unidos</t>
        </is>
      </c>
      <c r="C553" t="inlineStr">
        <is>
          <t>USA</t>
        </is>
      </c>
      <c r="D553" t="inlineStr">
        <is>
          <t>USD</t>
        </is>
      </c>
      <c r="E553" t="inlineStr">
        <is>
          <t>PL-O-120</t>
        </is>
      </c>
      <c r="F553" t="inlineStr">
        <is>
          <t>Alimentación y restaurante</t>
        </is>
      </c>
      <c r="G553" t="inlineStr">
        <is>
          <t>gasto_admin</t>
        </is>
      </c>
      <c r="H553" t="inlineStr">
        <is>
          <t>Diversos</t>
        </is>
      </c>
      <c r="I553" t="inlineStr">
        <is>
          <t>Administracion</t>
        </is>
      </c>
      <c r="J553" t="n">
        <v>0</v>
      </c>
      <c r="K553" t="n">
        <v>72.54000000000001</v>
      </c>
      <c r="L553" t="inlineStr">
        <is>
          <t>Mayo 2026 USA.xlsx</t>
        </is>
      </c>
      <c r="M553" t="inlineStr">
        <is>
          <t>Revisar</t>
        </is>
      </c>
      <c r="N553" t="inlineStr">
        <is>
          <t>Puente para redise?ar vistas de Costos &amp; Gastos; no reemplaza P&amp;G oficial. Convertido a USD con la tasa promedio mensual del pais.</t>
        </is>
      </c>
    </row>
    <row r="554">
      <c r="A554" t="inlineStr">
        <is>
          <t>2026-05</t>
        </is>
      </c>
      <c r="B554" t="inlineStr">
        <is>
          <t>Estados Unidos</t>
        </is>
      </c>
      <c r="C554" t="inlineStr">
        <is>
          <t>USA</t>
        </is>
      </c>
      <c r="D554" t="inlineStr">
        <is>
          <t>USD</t>
        </is>
      </c>
      <c r="E554" t="inlineStr">
        <is>
          <t>PL-O-120</t>
        </is>
      </c>
      <c r="F554" t="inlineStr">
        <is>
          <t>Alimentación y restaurante</t>
        </is>
      </c>
      <c r="G554" t="inlineStr">
        <is>
          <t>gasto_admin</t>
        </is>
      </c>
      <c r="H554" t="inlineStr">
        <is>
          <t>Diversos</t>
        </is>
      </c>
      <c r="I554" t="inlineStr">
        <is>
          <t>Administracion</t>
        </is>
      </c>
      <c r="J554" t="n">
        <v>236.25</v>
      </c>
      <c r="K554" t="n">
        <v>236.25</v>
      </c>
      <c r="L554" t="inlineStr">
        <is>
          <t>Mayo 2026 USA.xlsx</t>
        </is>
      </c>
      <c r="M554" t="inlineStr">
        <is>
          <t>Revisar</t>
        </is>
      </c>
      <c r="N554" t="inlineStr">
        <is>
          <t>Puente para redise?ar vistas de Costos &amp; Gastos; no reemplaza P&amp;G oficial. Convertido a USD con la tasa promedio mensual del pais.</t>
        </is>
      </c>
    </row>
    <row r="555">
      <c r="A555" t="inlineStr">
        <is>
          <t>2026-05</t>
        </is>
      </c>
      <c r="B555" t="inlineStr">
        <is>
          <t>Estados Unidos</t>
        </is>
      </c>
      <c r="C555" t="inlineStr">
        <is>
          <t>USA</t>
        </is>
      </c>
      <c r="D555" t="inlineStr">
        <is>
          <t>USD</t>
        </is>
      </c>
      <c r="E555" t="inlineStr">
        <is>
          <t>PL-O-120</t>
        </is>
      </c>
      <c r="F555" t="inlineStr">
        <is>
          <t>Alimentación y restaurante</t>
        </is>
      </c>
      <c r="G555" t="inlineStr">
        <is>
          <t>gasto_admin</t>
        </is>
      </c>
      <c r="H555" t="inlineStr">
        <is>
          <t>Diversos</t>
        </is>
      </c>
      <c r="I555" t="inlineStr">
        <is>
          <t>Administracion</t>
        </is>
      </c>
      <c r="J555" t="n">
        <v>259.2</v>
      </c>
      <c r="K555" t="n">
        <v>259.2</v>
      </c>
      <c r="L555" t="inlineStr">
        <is>
          <t>Mayo 2026 USA.xlsx</t>
        </is>
      </c>
      <c r="M555" t="inlineStr">
        <is>
          <t>Revisar</t>
        </is>
      </c>
      <c r="N555" t="inlineStr">
        <is>
          <t>Puente para redise?ar vistas de Costos &amp; Gastos; no reemplaza P&amp;G oficial. Convertido a USD con la tasa promedio mensual del pais.</t>
        </is>
      </c>
    </row>
    <row r="556">
      <c r="A556" t="inlineStr">
        <is>
          <t>2026-05</t>
        </is>
      </c>
      <c r="B556" t="inlineStr">
        <is>
          <t>Estados Unidos</t>
        </is>
      </c>
      <c r="C556" t="inlineStr">
        <is>
          <t>USA</t>
        </is>
      </c>
      <c r="D556" t="inlineStr">
        <is>
          <t>USD</t>
        </is>
      </c>
      <c r="E556" t="inlineStr">
        <is>
          <t>PL-O-130</t>
        </is>
      </c>
      <c r="F556" t="inlineStr">
        <is>
          <t>Transporte local y parqueaderos</t>
        </is>
      </c>
      <c r="G556" t="inlineStr">
        <is>
          <t>gasto_admin</t>
        </is>
      </c>
      <c r="H556" t="inlineStr">
        <is>
          <t>Viajes</t>
        </is>
      </c>
      <c r="I556" t="inlineStr">
        <is>
          <t>Administracion</t>
        </is>
      </c>
      <c r="J556" t="n">
        <v>0</v>
      </c>
      <c r="K556" t="n">
        <v>10</v>
      </c>
      <c r="L556" t="inlineStr">
        <is>
          <t>Mayo 2026 USA.xlsx</t>
        </is>
      </c>
      <c r="M556" t="inlineStr">
        <is>
          <t>Aprobado</t>
        </is>
      </c>
      <c r="N556" t="inlineStr">
        <is>
          <t>Puente para redise?ar vistas de Costos &amp; Gastos; no reemplaza P&amp;G oficial. Convertido a USD con la tasa promedio mensual del pais.</t>
        </is>
      </c>
    </row>
    <row r="557">
      <c r="A557" t="inlineStr">
        <is>
          <t>2026-05</t>
        </is>
      </c>
      <c r="B557" t="inlineStr">
        <is>
          <t>Estados Unidos</t>
        </is>
      </c>
      <c r="C557" t="inlineStr">
        <is>
          <t>USA</t>
        </is>
      </c>
      <c r="D557" t="inlineStr">
        <is>
          <t>USD</t>
        </is>
      </c>
      <c r="E557" t="inlineStr">
        <is>
          <t>PL-O-130</t>
        </is>
      </c>
      <c r="F557" t="inlineStr">
        <is>
          <t>Transporte local y parqueaderos</t>
        </is>
      </c>
      <c r="G557" t="inlineStr">
        <is>
          <t>gasto_admin</t>
        </is>
      </c>
      <c r="H557" t="inlineStr">
        <is>
          <t>Viajes</t>
        </is>
      </c>
      <c r="I557" t="inlineStr">
        <is>
          <t>Administracion</t>
        </is>
      </c>
      <c r="J557" t="n">
        <v>0</v>
      </c>
      <c r="K557" t="n">
        <v>12.75</v>
      </c>
      <c r="L557" t="inlineStr">
        <is>
          <t>Mayo 2026 USA.xlsx</t>
        </is>
      </c>
      <c r="M557" t="inlineStr">
        <is>
          <t>Aprobado</t>
        </is>
      </c>
      <c r="N557" t="inlineStr">
        <is>
          <t>Puente para redise?ar vistas de Costos &amp; Gastos; no reemplaza P&amp;G oficial. Convertido a USD con la tasa promedio mensual del pais.</t>
        </is>
      </c>
    </row>
    <row r="558">
      <c r="A558" t="inlineStr">
        <is>
          <t>2026-05</t>
        </is>
      </c>
      <c r="B558" t="inlineStr">
        <is>
          <t>Estados Unidos</t>
        </is>
      </c>
      <c r="C558" t="inlineStr">
        <is>
          <t>USA</t>
        </is>
      </c>
      <c r="D558" t="inlineStr">
        <is>
          <t>USD</t>
        </is>
      </c>
      <c r="E558" t="inlineStr">
        <is>
          <t>PL-O-020</t>
        </is>
      </c>
      <c r="F558" t="inlineStr">
        <is>
          <t>Honorarios y servicios profesionales</t>
        </is>
      </c>
      <c r="G558" t="inlineStr">
        <is>
          <t>gasto_admin</t>
        </is>
      </c>
      <c r="H558" t="inlineStr">
        <is>
          <t>Honorarios</t>
        </is>
      </c>
      <c r="I558" t="inlineStr">
        <is>
          <t>Administracion</t>
        </is>
      </c>
      <c r="J558" t="n">
        <v>2333.33</v>
      </c>
      <c r="K558" t="n">
        <v>2333.33</v>
      </c>
      <c r="L558" t="inlineStr">
        <is>
          <t>Mayo 2026 USA.xlsx</t>
        </is>
      </c>
      <c r="M558" t="inlineStr">
        <is>
          <t>Aprobado</t>
        </is>
      </c>
      <c r="N558" t="inlineStr">
        <is>
          <t>Puente para redise?ar vistas de Costos &amp; Gastos; no reemplaza P&amp;G oficial. Convertido a USD con la tasa promedio mensual del pais.</t>
        </is>
      </c>
    </row>
    <row r="559">
      <c r="A559" t="inlineStr">
        <is>
          <t>2026-05</t>
        </is>
      </c>
      <c r="B559" t="inlineStr">
        <is>
          <t>Estados Unidos</t>
        </is>
      </c>
      <c r="C559" t="inlineStr">
        <is>
          <t>USA</t>
        </is>
      </c>
      <c r="D559" t="inlineStr">
        <is>
          <t>USD</t>
        </is>
      </c>
      <c r="E559" t="inlineStr">
        <is>
          <t>PL-O-020</t>
        </is>
      </c>
      <c r="F559" t="inlineStr">
        <is>
          <t>Honorarios y servicios profesionales</t>
        </is>
      </c>
      <c r="G559" t="inlineStr">
        <is>
          <t>gasto_admin</t>
        </is>
      </c>
      <c r="H559" t="inlineStr">
        <is>
          <t>Honorarios</t>
        </is>
      </c>
      <c r="I559" t="inlineStr">
        <is>
          <t>Administracion</t>
        </is>
      </c>
      <c r="J559" t="n">
        <v>0</v>
      </c>
      <c r="K559" t="n">
        <v>2557.46</v>
      </c>
      <c r="L559" t="inlineStr">
        <is>
          <t>Mayo 2026 USA.xlsx</t>
        </is>
      </c>
      <c r="M559" t="inlineStr">
        <is>
          <t>Aprobado</t>
        </is>
      </c>
      <c r="N559" t="inlineStr">
        <is>
          <t>Puente para redise?ar vistas de Costos &amp; Gastos; no reemplaza P&amp;G oficial. Convertido a USD con la tasa promedio mensual del pais.</t>
        </is>
      </c>
    </row>
    <row r="560">
      <c r="A560" t="inlineStr">
        <is>
          <t>2026-05</t>
        </is>
      </c>
      <c r="B560" t="inlineStr">
        <is>
          <t>Estados Unidos</t>
        </is>
      </c>
      <c r="C560" t="inlineStr">
        <is>
          <t>USA</t>
        </is>
      </c>
      <c r="D560" t="inlineStr">
        <is>
          <t>USD</t>
        </is>
      </c>
      <c r="E560" t="inlineStr">
        <is>
          <t>PL-O-020</t>
        </is>
      </c>
      <c r="F560" t="inlineStr">
        <is>
          <t>Honorarios y servicios profesionales</t>
        </is>
      </c>
      <c r="G560" t="inlineStr">
        <is>
          <t>gasto_admin</t>
        </is>
      </c>
      <c r="H560" t="inlineStr">
        <is>
          <t>Honorarios</t>
        </is>
      </c>
      <c r="I560" t="inlineStr">
        <is>
          <t>Administracion</t>
        </is>
      </c>
      <c r="J560" t="n">
        <v>1666.67</v>
      </c>
      <c r="K560" t="n">
        <v>3166.67</v>
      </c>
      <c r="L560" t="inlineStr">
        <is>
          <t>Mayo 2026 USA.xlsx</t>
        </is>
      </c>
      <c r="M560" t="inlineStr">
        <is>
          <t>Aprobado</t>
        </is>
      </c>
      <c r="N560" t="inlineStr">
        <is>
          <t>Puente para redise?ar vistas de Costos &amp; Gastos; no reemplaza P&amp;G oficial. Convertido a USD con la tasa promedio mensual del pais.</t>
        </is>
      </c>
    </row>
    <row r="561">
      <c r="A561" t="inlineStr">
        <is>
          <t>2026-05</t>
        </is>
      </c>
      <c r="B561" t="inlineStr">
        <is>
          <t>Estados Unidos</t>
        </is>
      </c>
      <c r="C561" t="inlineStr">
        <is>
          <t>USA</t>
        </is>
      </c>
      <c r="D561" t="inlineStr">
        <is>
          <t>USD</t>
        </is>
      </c>
      <c r="E561" t="inlineStr">
        <is>
          <t>PL-S-020</t>
        </is>
      </c>
      <c r="F561" t="inlineStr">
        <is>
          <t>Mercadeo y publicidad</t>
        </is>
      </c>
      <c r="G561" t="inlineStr">
        <is>
          <t>gasto_comercial</t>
        </is>
      </c>
      <c r="H561" t="inlineStr">
        <is>
          <t>Servicios</t>
        </is>
      </c>
      <c r="I561" t="inlineStr">
        <is>
          <t>Comercial</t>
        </is>
      </c>
      <c r="J561" t="n">
        <v>0</v>
      </c>
      <c r="K561" t="n">
        <v>400</v>
      </c>
      <c r="L561" t="inlineStr">
        <is>
          <t>Mayo 2026 USA.xlsx</t>
        </is>
      </c>
      <c r="M561" t="inlineStr">
        <is>
          <t>Aprobado</t>
        </is>
      </c>
      <c r="N561" t="inlineStr">
        <is>
          <t>Puente para redise?ar vistas de Costos &amp; Gastos; no reemplaza P&amp;G oficial. Convertido a USD con la tasa promedio mensual del pais.</t>
        </is>
      </c>
    </row>
    <row r="562">
      <c r="A562" t="inlineStr">
        <is>
          <t>2026-05</t>
        </is>
      </c>
      <c r="B562" t="inlineStr">
        <is>
          <t>Estados Unidos</t>
        </is>
      </c>
      <c r="C562" t="inlineStr">
        <is>
          <t>USA</t>
        </is>
      </c>
      <c r="D562" t="inlineStr">
        <is>
          <t>USD</t>
        </is>
      </c>
      <c r="E562" t="inlineStr">
        <is>
          <t>PL-S-030</t>
        </is>
      </c>
      <c r="F562" t="inlineStr">
        <is>
          <t>Otros servicios comerciales</t>
        </is>
      </c>
      <c r="G562" t="inlineStr">
        <is>
          <t>gasto_comercial</t>
        </is>
      </c>
      <c r="H562" t="inlineStr">
        <is>
          <t>Servicios</t>
        </is>
      </c>
      <c r="I562" t="inlineStr">
        <is>
          <t>Comercial</t>
        </is>
      </c>
      <c r="J562" t="n">
        <v>3500</v>
      </c>
      <c r="K562" t="n">
        <v>3500</v>
      </c>
      <c r="L562" t="inlineStr">
        <is>
          <t>Mayo 2026 USA.xlsx</t>
        </is>
      </c>
      <c r="M562" t="inlineStr">
        <is>
          <t>Revisar</t>
        </is>
      </c>
      <c r="N562" t="inlineStr">
        <is>
          <t>Puente para redise?ar vistas de Costos &amp; Gastos; no reemplaza P&amp;G oficial. Convertido a USD con la tasa promedio mensual del pais.</t>
        </is>
      </c>
    </row>
    <row r="563">
      <c r="A563" t="inlineStr">
        <is>
          <t>2026-05</t>
        </is>
      </c>
      <c r="B563" t="inlineStr">
        <is>
          <t>Estados Unidos</t>
        </is>
      </c>
      <c r="C563" t="inlineStr">
        <is>
          <t>USA</t>
        </is>
      </c>
      <c r="D563" t="inlineStr">
        <is>
          <t>USD</t>
        </is>
      </c>
      <c r="E563" t="inlineStr">
        <is>
          <t>PL-S-030</t>
        </is>
      </c>
      <c r="F563" t="inlineStr">
        <is>
          <t>Otros servicios comerciales</t>
        </is>
      </c>
      <c r="G563" t="inlineStr">
        <is>
          <t>gasto_comercial</t>
        </is>
      </c>
      <c r="H563" t="inlineStr">
        <is>
          <t>Servicios</t>
        </is>
      </c>
      <c r="I563" t="inlineStr">
        <is>
          <t>Comercial</t>
        </is>
      </c>
      <c r="J563" t="n">
        <v>0</v>
      </c>
      <c r="K563" t="n">
        <v>648</v>
      </c>
      <c r="L563" t="inlineStr">
        <is>
          <t>Mayo 2026 USA.xlsx</t>
        </is>
      </c>
      <c r="M563" t="inlineStr">
        <is>
          <t>Revisar</t>
        </is>
      </c>
      <c r="N563" t="inlineStr">
        <is>
          <t>Puente para redise?ar vistas de Costos &amp; Gastos; no reemplaza P&amp;G oficial. Convertido a USD con la tasa promedio mensual del pais.</t>
        </is>
      </c>
    </row>
    <row r="564">
      <c r="A564" t="inlineStr">
        <is>
          <t>2026-05</t>
        </is>
      </c>
      <c r="B564" t="inlineStr">
        <is>
          <t>Estados Unidos</t>
        </is>
      </c>
      <c r="C564" t="inlineStr">
        <is>
          <t>USA</t>
        </is>
      </c>
      <c r="D564" t="inlineStr">
        <is>
          <t>USD</t>
        </is>
      </c>
      <c r="E564" t="inlineStr">
        <is>
          <t>PL-F-010</t>
        </is>
      </c>
      <c r="F564" t="inlineStr">
        <is>
          <t>Gastos financieros</t>
        </is>
      </c>
      <c r="G564" t="inlineStr">
        <is>
          <t>gasto_area</t>
        </is>
      </c>
      <c r="H564" t="inlineStr">
        <is>
          <t>Financieros</t>
        </is>
      </c>
      <c r="I564" t="inlineStr">
        <is>
          <t>Financieros</t>
        </is>
      </c>
      <c r="J564" t="n">
        <v>0</v>
      </c>
      <c r="K564" t="n">
        <v>0.34</v>
      </c>
      <c r="L564" t="inlineStr">
        <is>
          <t>Mayo 2026 USA.xlsx</t>
        </is>
      </c>
      <c r="M564" t="inlineStr">
        <is>
          <t>Aprobado</t>
        </is>
      </c>
      <c r="N564" t="inlineStr">
        <is>
          <t>Puente para redise?ar vistas de Costos &amp; Gastos; no reemplaza P&amp;G oficial. Convertido a USD con la tasa promedio mensual del pais.</t>
        </is>
      </c>
    </row>
    <row r="565">
      <c r="A565" t="inlineStr">
        <is>
          <t>2026-05</t>
        </is>
      </c>
      <c r="B565" t="inlineStr">
        <is>
          <t>Estados Unidos</t>
        </is>
      </c>
      <c r="C565" t="inlineStr">
        <is>
          <t>USA</t>
        </is>
      </c>
      <c r="D565" t="inlineStr">
        <is>
          <t>USD</t>
        </is>
      </c>
      <c r="E565" t="inlineStr">
        <is>
          <t>PL-F-010</t>
        </is>
      </c>
      <c r="F565" t="inlineStr">
        <is>
          <t>Gastos financieros</t>
        </is>
      </c>
      <c r="G565" t="inlineStr">
        <is>
          <t>gasto_area</t>
        </is>
      </c>
      <c r="H565" t="inlineStr">
        <is>
          <t>Financieros</t>
        </is>
      </c>
      <c r="I565" t="inlineStr">
        <is>
          <t>Financieros</t>
        </is>
      </c>
      <c r="J565" t="n">
        <v>0</v>
      </c>
      <c r="K565" t="n">
        <v>15</v>
      </c>
      <c r="L565" t="inlineStr">
        <is>
          <t>Mayo 2026 USA.xlsx</t>
        </is>
      </c>
      <c r="M565" t="inlineStr">
        <is>
          <t>Aprobado</t>
        </is>
      </c>
      <c r="N565" t="inlineStr">
        <is>
          <t>Puente para redise?ar vistas de Costos &amp; Gastos; no reemplaza P&amp;G oficial. Convertido a USD con la tasa promedio mensual del pais.</t>
        </is>
      </c>
    </row>
    <row r="566">
      <c r="A566" t="inlineStr">
        <is>
          <t>2026-05</t>
        </is>
      </c>
      <c r="B566" t="inlineStr">
        <is>
          <t>Estados Unidos</t>
        </is>
      </c>
      <c r="C566" t="inlineStr">
        <is>
          <t>USA</t>
        </is>
      </c>
      <c r="D566" t="inlineStr">
        <is>
          <t>USD</t>
        </is>
      </c>
      <c r="E566" t="inlineStr">
        <is>
          <t>PL-F-010</t>
        </is>
      </c>
      <c r="F566" t="inlineStr">
        <is>
          <t>Gastos financieros</t>
        </is>
      </c>
      <c r="G566" t="inlineStr">
        <is>
          <t>gasto_area</t>
        </is>
      </c>
      <c r="H566" t="inlineStr">
        <is>
          <t>Financieros</t>
        </is>
      </c>
      <c r="I566" t="inlineStr">
        <is>
          <t>Financieros</t>
        </is>
      </c>
      <c r="J566" t="n">
        <v>8.720000000000001</v>
      </c>
      <c r="K566" t="n">
        <v>27.1</v>
      </c>
      <c r="L566" t="inlineStr">
        <is>
          <t>Mayo 2026 USA.xlsx</t>
        </is>
      </c>
      <c r="M566" t="inlineStr">
        <is>
          <t>Aprobado</t>
        </is>
      </c>
      <c r="N566" t="inlineStr">
        <is>
          <t>Puente para redise?ar vistas de Costos &amp; Gastos; no reemplaza P&amp;G oficial. Convertido a USD con la tasa promedio mensual del pais.</t>
        </is>
      </c>
    </row>
    <row r="567">
      <c r="A567" t="inlineStr">
        <is>
          <t>2026-05</t>
        </is>
      </c>
      <c r="B567" t="inlineStr">
        <is>
          <t>Estados Unidos</t>
        </is>
      </c>
      <c r="C567" t="inlineStr">
        <is>
          <t>USA</t>
        </is>
      </c>
      <c r="D567" t="inlineStr">
        <is>
          <t>USD</t>
        </is>
      </c>
      <c r="E567" t="inlineStr">
        <is>
          <t>PL-F-010</t>
        </is>
      </c>
      <c r="F567" t="inlineStr">
        <is>
          <t>Gastos financieros</t>
        </is>
      </c>
      <c r="G567" t="inlineStr">
        <is>
          <t>gasto_area</t>
        </is>
      </c>
      <c r="H567" t="inlineStr">
        <is>
          <t>Financieros</t>
        </is>
      </c>
      <c r="I567" t="inlineStr">
        <is>
          <t>Financieros</t>
        </is>
      </c>
      <c r="J567" t="n">
        <v>0</v>
      </c>
      <c r="K567" t="n">
        <v>3.11</v>
      </c>
      <c r="L567" t="inlineStr">
        <is>
          <t>Mayo 2026 USA.xlsx</t>
        </is>
      </c>
      <c r="M567" t="inlineStr">
        <is>
          <t>Aprobado</t>
        </is>
      </c>
      <c r="N567" t="inlineStr">
        <is>
          <t>Puente para redise?ar vistas de Costos &amp; Gastos; no reemplaza P&amp;G oficial. Convertido a USD con la tasa promedio mensual del pais.</t>
        </is>
      </c>
    </row>
    <row r="568">
      <c r="A568" t="inlineStr">
        <is>
          <t>2026-05</t>
        </is>
      </c>
      <c r="B568" t="inlineStr">
        <is>
          <t>Estados Unidos</t>
        </is>
      </c>
      <c r="C568" t="inlineStr">
        <is>
          <t>USA</t>
        </is>
      </c>
      <c r="D568" t="inlineStr">
        <is>
          <t>USD</t>
        </is>
      </c>
      <c r="E568" t="inlineStr">
        <is>
          <t>PL-F-010</t>
        </is>
      </c>
      <c r="F568" t="inlineStr">
        <is>
          <t>Gastos financieros</t>
        </is>
      </c>
      <c r="G568" t="inlineStr">
        <is>
          <t>gasto_area</t>
        </is>
      </c>
      <c r="H568" t="inlineStr">
        <is>
          <t>Financieros</t>
        </is>
      </c>
      <c r="I568" t="inlineStr">
        <is>
          <t>Financieros</t>
        </is>
      </c>
      <c r="J568" t="n">
        <v>251.9</v>
      </c>
      <c r="K568" t="n">
        <v>404.75</v>
      </c>
      <c r="L568" t="inlineStr">
        <is>
          <t>Mayo 2026 USA.xlsx</t>
        </is>
      </c>
      <c r="M568" t="inlineStr">
        <is>
          <t>Aprobado</t>
        </is>
      </c>
      <c r="N568" t="inlineStr">
        <is>
          <t>Puente para redise?ar vistas de Costos &amp; Gastos; no reemplaza P&amp;G oficial. Convertido a USD con la tasa promedio mensual del pais.</t>
        </is>
      </c>
    </row>
    <row r="569">
      <c r="A569" t="inlineStr">
        <is>
          <t>2026-05</t>
        </is>
      </c>
      <c r="B569" t="inlineStr">
        <is>
          <t>Estados Unidos</t>
        </is>
      </c>
      <c r="C569" t="inlineStr">
        <is>
          <t>USA</t>
        </is>
      </c>
      <c r="D569" t="inlineStr">
        <is>
          <t>USD</t>
        </is>
      </c>
      <c r="E569" t="inlineStr">
        <is>
          <t>PL-F-010</t>
        </is>
      </c>
      <c r="F569" t="inlineStr">
        <is>
          <t>Gastos financieros</t>
        </is>
      </c>
      <c r="G569" t="inlineStr">
        <is>
          <t>gasto_area</t>
        </is>
      </c>
      <c r="H569" t="inlineStr">
        <is>
          <t>Financieros</t>
        </is>
      </c>
      <c r="I569" t="inlineStr">
        <is>
          <t>Financieros</t>
        </is>
      </c>
      <c r="J569" t="n">
        <v>0</v>
      </c>
      <c r="K569" t="n">
        <v>0.9</v>
      </c>
      <c r="L569" t="inlineStr">
        <is>
          <t>Mayo 2026 USA.xlsx</t>
        </is>
      </c>
      <c r="M569" t="inlineStr">
        <is>
          <t>Aprobado</t>
        </is>
      </c>
      <c r="N569" t="inlineStr">
        <is>
          <t>Puente para redise?ar vistas de Costos &amp; Gastos; no reemplaza P&amp;G oficial. Convertido a USD con la tasa promedio mensual del pais.</t>
        </is>
      </c>
    </row>
    <row r="570">
      <c r="A570" t="inlineStr">
        <is>
          <t>2026-07</t>
        </is>
      </c>
      <c r="B570" t="inlineStr">
        <is>
          <t>Colombia</t>
        </is>
      </c>
      <c r="C570" t="inlineStr">
        <is>
          <t>COCO</t>
        </is>
      </c>
      <c r="D570" t="inlineStr">
        <is>
          <t>USD</t>
        </is>
      </c>
      <c r="E570" t="inlineStr">
        <is>
          <t>PL-F-010</t>
        </is>
      </c>
      <c r="F570" t="inlineStr">
        <is>
          <t>Gastos financieros</t>
        </is>
      </c>
      <c r="G570" t="inlineStr">
        <is>
          <t>gasto_area</t>
        </is>
      </c>
      <c r="H570" t="inlineStr">
        <is>
          <t>Financieros</t>
        </is>
      </c>
      <c r="I570" t="inlineStr">
        <is>
          <t>Financieros</t>
        </is>
      </c>
      <c r="J570" t="n">
        <v>1637.72</v>
      </c>
      <c r="K570" t="n">
        <v>12269.49</v>
      </c>
      <c r="L570" t="inlineStr">
        <is>
          <t>EF Julio COCO 2026.pdf</t>
        </is>
      </c>
      <c r="M570" t="inlineStr">
        <is>
          <t>Aprobado</t>
        </is>
      </c>
      <c r="N570" t="inlineStr">
        <is>
          <t>Puente para redise?ar vistas de Costos &amp; Gastos; no reemplaza P&amp;G oficial. Convertido a USD con la tasa promedio mensual del pais.</t>
        </is>
      </c>
    </row>
    <row r="571">
      <c r="A571" t="inlineStr">
        <is>
          <t>2026-07</t>
        </is>
      </c>
      <c r="B571" t="inlineStr">
        <is>
          <t>Costa Rica</t>
        </is>
      </c>
      <c r="C571" t="inlineStr">
        <is>
          <t>CR</t>
        </is>
      </c>
      <c r="D571" t="inlineStr">
        <is>
          <t>USD</t>
        </is>
      </c>
      <c r="E571" t="inlineStr">
        <is>
          <t>PL-O-010</t>
        </is>
      </c>
      <c r="F571" t="inlineStr">
        <is>
          <t>Gastos de personal</t>
        </is>
      </c>
      <c r="G571" t="inlineStr">
        <is>
          <t>gasto_admin</t>
        </is>
      </c>
      <c r="H571" t="inlineStr">
        <is>
          <t>Personal</t>
        </is>
      </c>
      <c r="I571" t="inlineStr">
        <is>
          <t>Administracion</t>
        </is>
      </c>
      <c r="J571" t="n">
        <v>2230</v>
      </c>
      <c r="K571" t="n">
        <v>9480</v>
      </c>
      <c r="L571" t="inlineStr">
        <is>
          <t>Julio 2026 CR.xlsx</t>
        </is>
      </c>
      <c r="M571" t="inlineStr">
        <is>
          <t>Aprobado</t>
        </is>
      </c>
      <c r="N571" t="inlineStr">
        <is>
          <t>Puente para redise?ar vistas de Costos &amp; Gastos; no reemplaza P&amp;G oficial. Convertido a USD con la tasa promedio mensual del pais.</t>
        </is>
      </c>
    </row>
    <row r="572">
      <c r="A572" t="inlineStr">
        <is>
          <t>2026-07</t>
        </is>
      </c>
      <c r="B572" t="inlineStr">
        <is>
          <t>Costa Rica</t>
        </is>
      </c>
      <c r="C572" t="inlineStr">
        <is>
          <t>CR</t>
        </is>
      </c>
      <c r="D572" t="inlineStr">
        <is>
          <t>USD</t>
        </is>
      </c>
      <c r="E572" t="inlineStr">
        <is>
          <t>PL-O-090</t>
        </is>
      </c>
      <c r="F572" t="inlineStr">
        <is>
          <t>Viajes y representación</t>
        </is>
      </c>
      <c r="G572" t="inlineStr">
        <is>
          <t>gasto_admin</t>
        </is>
      </c>
      <c r="H572" t="inlineStr">
        <is>
          <t>Viajes</t>
        </is>
      </c>
      <c r="I572" t="inlineStr">
        <is>
          <t>Administracion</t>
        </is>
      </c>
      <c r="J572" t="n">
        <v>300</v>
      </c>
      <c r="K572" t="n">
        <v>2100</v>
      </c>
      <c r="L572" t="inlineStr">
        <is>
          <t>Julio 2026 CR.xlsx</t>
        </is>
      </c>
      <c r="M572" t="inlineStr">
        <is>
          <t>Aprobado</t>
        </is>
      </c>
      <c r="N572" t="inlineStr">
        <is>
          <t>Puente para redise?ar vistas de Costos &amp; Gastos; no reemplaza P&amp;G oficial. Convertido a USD con la tasa promedio mensual del pais.</t>
        </is>
      </c>
    </row>
    <row r="573">
      <c r="A573" t="inlineStr">
        <is>
          <t>2026-07</t>
        </is>
      </c>
      <c r="B573" t="inlineStr">
        <is>
          <t>Costa Rica</t>
        </is>
      </c>
      <c r="C573" t="inlineStr">
        <is>
          <t>CR</t>
        </is>
      </c>
      <c r="D573" t="inlineStr">
        <is>
          <t>USD</t>
        </is>
      </c>
      <c r="E573" t="inlineStr">
        <is>
          <t>PL-O-010</t>
        </is>
      </c>
      <c r="F573" t="inlineStr">
        <is>
          <t>Gastos de personal</t>
        </is>
      </c>
      <c r="G573" t="inlineStr">
        <is>
          <t>gasto_admin</t>
        </is>
      </c>
      <c r="H573" t="inlineStr">
        <is>
          <t>Personal</t>
        </is>
      </c>
      <c r="I573" t="inlineStr">
        <is>
          <t>Administracion</t>
        </is>
      </c>
      <c r="J573" t="n">
        <v>400</v>
      </c>
      <c r="K573" t="n">
        <v>2812.37</v>
      </c>
      <c r="L573" t="inlineStr">
        <is>
          <t>Julio 2026 CR.xlsx</t>
        </is>
      </c>
      <c r="M573" t="inlineStr">
        <is>
          <t>Aprobado</t>
        </is>
      </c>
      <c r="N573" t="inlineStr">
        <is>
          <t>Puente para redise?ar vistas de Costos &amp; Gastos; no reemplaza P&amp;G oficial. Convertido a USD con la tasa promedio mensual del pais.</t>
        </is>
      </c>
    </row>
    <row r="574">
      <c r="A574" t="inlineStr">
        <is>
          <t>2026-07</t>
        </is>
      </c>
      <c r="B574" t="inlineStr">
        <is>
          <t>Costa Rica</t>
        </is>
      </c>
      <c r="C574" t="inlineStr">
        <is>
          <t>CR</t>
        </is>
      </c>
      <c r="D574" t="inlineStr">
        <is>
          <t>USD</t>
        </is>
      </c>
      <c r="E574" t="inlineStr">
        <is>
          <t>PL-O-020</t>
        </is>
      </c>
      <c r="F574" t="inlineStr">
        <is>
          <t>Honorarios y servicios profesionales</t>
        </is>
      </c>
      <c r="G574" t="inlineStr">
        <is>
          <t>gasto_admin</t>
        </is>
      </c>
      <c r="H574" t="inlineStr">
        <is>
          <t>Honorarios</t>
        </is>
      </c>
      <c r="I574" t="inlineStr">
        <is>
          <t>Administracion</t>
        </is>
      </c>
      <c r="J574" t="n">
        <v>0</v>
      </c>
      <c r="K574" t="n">
        <v>270.35</v>
      </c>
      <c r="L574" t="inlineStr">
        <is>
          <t>Julio 2026 CR.xlsx</t>
        </is>
      </c>
      <c r="M574" t="inlineStr">
        <is>
          <t>Aprobado</t>
        </is>
      </c>
      <c r="N574" t="inlineStr">
        <is>
          <t>Puente para redise?ar vistas de Costos &amp; Gastos; no reemplaza P&amp;G oficial. Convertido a USD con la tasa promedio mensual del pais.</t>
        </is>
      </c>
    </row>
    <row r="575">
      <c r="A575" t="inlineStr">
        <is>
          <t>2026-07</t>
        </is>
      </c>
      <c r="B575" t="inlineStr">
        <is>
          <t>Costa Rica</t>
        </is>
      </c>
      <c r="C575" t="inlineStr">
        <is>
          <t>CR</t>
        </is>
      </c>
      <c r="D575" t="inlineStr">
        <is>
          <t>USD</t>
        </is>
      </c>
      <c r="E575" t="inlineStr">
        <is>
          <t>PL-O-030</t>
        </is>
      </c>
      <c r="F575" t="inlineStr">
        <is>
          <t>Impuestos y contribuciones</t>
        </is>
      </c>
      <c r="G575" t="inlineStr">
        <is>
          <t>gasto_admin</t>
        </is>
      </c>
      <c r="H575" t="inlineStr">
        <is>
          <t>Diversos</t>
        </is>
      </c>
      <c r="I575" t="inlineStr">
        <is>
          <t>Administracion</t>
        </is>
      </c>
      <c r="J575" t="n">
        <v>0</v>
      </c>
      <c r="K575" t="n">
        <v>252.73</v>
      </c>
      <c r="L575" t="inlineStr">
        <is>
          <t>Julio 2026 CR.xlsx</t>
        </is>
      </c>
      <c r="M575" t="inlineStr">
        <is>
          <t>Aprobado</t>
        </is>
      </c>
      <c r="N575" t="inlineStr">
        <is>
          <t>Puente para redise?ar vistas de Costos &amp; Gastos; no reemplaza P&amp;G oficial. Convertido a USD con la tasa promedio mensual del pais.</t>
        </is>
      </c>
    </row>
    <row r="576">
      <c r="A576" t="inlineStr">
        <is>
          <t>2026-07</t>
        </is>
      </c>
      <c r="B576" t="inlineStr">
        <is>
          <t>Costa Rica</t>
        </is>
      </c>
      <c r="C576" t="inlineStr">
        <is>
          <t>CR</t>
        </is>
      </c>
      <c r="D576" t="inlineStr">
        <is>
          <t>USD</t>
        </is>
      </c>
      <c r="E576" t="inlineStr">
        <is>
          <t>PL-O-030</t>
        </is>
      </c>
      <c r="F576" t="inlineStr">
        <is>
          <t>Impuestos y contribuciones</t>
        </is>
      </c>
      <c r="G576" t="inlineStr">
        <is>
          <t>gasto_admin</t>
        </is>
      </c>
      <c r="H576" t="inlineStr">
        <is>
          <t>Diversos</t>
        </is>
      </c>
      <c r="I576" t="inlineStr">
        <is>
          <t>Administracion</t>
        </is>
      </c>
      <c r="J576" t="n">
        <v>116.94</v>
      </c>
      <c r="K576" t="n">
        <v>259.13</v>
      </c>
      <c r="L576" t="inlineStr">
        <is>
          <t>Julio 2026 CR.xlsx</t>
        </is>
      </c>
      <c r="M576" t="inlineStr">
        <is>
          <t>Aprobado</t>
        </is>
      </c>
      <c r="N576" t="inlineStr">
        <is>
          <t>Puente para redise?ar vistas de Costos &amp; Gastos; no reemplaza P&amp;G oficial. Convertido a USD con la tasa promedio mensual del pais.</t>
        </is>
      </c>
    </row>
    <row r="577">
      <c r="A577" t="inlineStr">
        <is>
          <t>2026-07</t>
        </is>
      </c>
      <c r="B577" t="inlineStr">
        <is>
          <t>Costa Rica</t>
        </is>
      </c>
      <c r="C577" t="inlineStr">
        <is>
          <t>CR</t>
        </is>
      </c>
      <c r="D577" t="inlineStr">
        <is>
          <t>USD</t>
        </is>
      </c>
      <c r="E577" t="inlineStr">
        <is>
          <t>PL-O-030</t>
        </is>
      </c>
      <c r="F577" t="inlineStr">
        <is>
          <t>Impuestos y contribuciones</t>
        </is>
      </c>
      <c r="G577" t="inlineStr">
        <is>
          <t>gasto_admin</t>
        </is>
      </c>
      <c r="H577" t="inlineStr">
        <is>
          <t>Diversos</t>
        </is>
      </c>
      <c r="I577" t="inlineStr">
        <is>
          <t>Administracion</t>
        </is>
      </c>
      <c r="J577" t="n">
        <v>0</v>
      </c>
      <c r="K577" t="n">
        <v>64.79000000000001</v>
      </c>
      <c r="L577" t="inlineStr">
        <is>
          <t>Julio 2026 CR.xlsx</t>
        </is>
      </c>
      <c r="M577" t="inlineStr">
        <is>
          <t>Aprobado</t>
        </is>
      </c>
      <c r="N577" t="inlineStr">
        <is>
          <t>Puente para redise?ar vistas de Costos &amp; Gastos; no reemplaza P&amp;G oficial. Convertido a USD con la tasa promedio mensual del pais.</t>
        </is>
      </c>
    </row>
    <row r="578">
      <c r="A578" t="inlineStr">
        <is>
          <t>2026-07</t>
        </is>
      </c>
      <c r="B578" t="inlineStr">
        <is>
          <t>Costa Rica</t>
        </is>
      </c>
      <c r="C578" t="inlineStr">
        <is>
          <t>CR</t>
        </is>
      </c>
      <c r="D578" t="inlineStr">
        <is>
          <t>USD</t>
        </is>
      </c>
      <c r="E578" t="inlineStr">
        <is>
          <t>PL-O-050</t>
        </is>
      </c>
      <c r="F578" t="inlineStr">
        <is>
          <t>Seguros</t>
        </is>
      </c>
      <c r="G578" t="inlineStr">
        <is>
          <t>gasto_admin</t>
        </is>
      </c>
      <c r="H578" t="inlineStr">
        <is>
          <t>Seguros</t>
        </is>
      </c>
      <c r="I578" t="inlineStr">
        <is>
          <t>Administracion</t>
        </is>
      </c>
      <c r="J578" t="n">
        <v>0</v>
      </c>
      <c r="K578" t="n">
        <v>9205.719999999999</v>
      </c>
      <c r="L578" t="inlineStr">
        <is>
          <t>Julio 2026 CR.xlsx</t>
        </is>
      </c>
      <c r="M578" t="inlineStr">
        <is>
          <t>Aprobado</t>
        </is>
      </c>
      <c r="N578" t="inlineStr">
        <is>
          <t>Puente para redise?ar vistas de Costos &amp; Gastos; no reemplaza P&amp;G oficial. Convertido a USD con la tasa promedio mensual del pais.</t>
        </is>
      </c>
    </row>
    <row r="579">
      <c r="A579" t="inlineStr">
        <is>
          <t>2026-07</t>
        </is>
      </c>
      <c r="B579" t="inlineStr">
        <is>
          <t>Costa Rica</t>
        </is>
      </c>
      <c r="C579" t="inlineStr">
        <is>
          <t>CR</t>
        </is>
      </c>
      <c r="D579" t="inlineStr">
        <is>
          <t>USD</t>
        </is>
      </c>
      <c r="E579" t="inlineStr">
        <is>
          <t>PL-O-050</t>
        </is>
      </c>
      <c r="F579" t="inlineStr">
        <is>
          <t>Seguros</t>
        </is>
      </c>
      <c r="G579" t="inlineStr">
        <is>
          <t>gasto_admin</t>
        </is>
      </c>
      <c r="H579" t="inlineStr">
        <is>
          <t>Seguros</t>
        </is>
      </c>
      <c r="I579" t="inlineStr">
        <is>
          <t>Administracion</t>
        </is>
      </c>
      <c r="J579" t="n">
        <v>0</v>
      </c>
      <c r="K579" t="n">
        <v>70.81</v>
      </c>
      <c r="L579" t="inlineStr">
        <is>
          <t>Julio 2026 CR.xlsx</t>
        </is>
      </c>
      <c r="M579" t="inlineStr">
        <is>
          <t>Aprobado</t>
        </is>
      </c>
      <c r="N579" t="inlineStr">
        <is>
          <t>Puente para redise?ar vistas de Costos &amp; Gastos; no reemplaza P&amp;G oficial. Convertido a USD con la tasa promedio mensual del pais.</t>
        </is>
      </c>
    </row>
    <row r="580">
      <c r="A580" t="inlineStr">
        <is>
          <t>2026-07</t>
        </is>
      </c>
      <c r="B580" t="inlineStr">
        <is>
          <t>Costa Rica</t>
        </is>
      </c>
      <c r="C580" t="inlineStr">
        <is>
          <t>CR</t>
        </is>
      </c>
      <c r="D580" t="inlineStr">
        <is>
          <t>USD</t>
        </is>
      </c>
      <c r="E580" t="inlineStr">
        <is>
          <t>PL-O-060</t>
        </is>
      </c>
      <c r="F580" t="inlineStr">
        <is>
          <t>Tecnología y procesamiento de datos</t>
        </is>
      </c>
      <c r="G580" t="inlineStr">
        <is>
          <t>gasto_admin</t>
        </is>
      </c>
      <c r="H580" t="inlineStr">
        <is>
          <t>Servicios</t>
        </is>
      </c>
      <c r="I580" t="inlineStr">
        <is>
          <t>Administracion</t>
        </is>
      </c>
      <c r="J580" t="n">
        <v>0</v>
      </c>
      <c r="K580" t="n">
        <v>115.51</v>
      </c>
      <c r="L580" t="inlineStr">
        <is>
          <t>Julio 2026 CR.xlsx</t>
        </is>
      </c>
      <c r="M580" t="inlineStr">
        <is>
          <t>Aprobado</t>
        </is>
      </c>
      <c r="N580" t="inlineStr">
        <is>
          <t>Puente para redise?ar vistas de Costos &amp; Gastos; no reemplaza P&amp;G oficial. Convertido a USD con la tasa promedio mensual del pais.</t>
        </is>
      </c>
    </row>
    <row r="581">
      <c r="A581" t="inlineStr">
        <is>
          <t>2026-07</t>
        </is>
      </c>
      <c r="B581" t="inlineStr">
        <is>
          <t>Costa Rica</t>
        </is>
      </c>
      <c r="C581" t="inlineStr">
        <is>
          <t>CR</t>
        </is>
      </c>
      <c r="D581" t="inlineStr">
        <is>
          <t>USD</t>
        </is>
      </c>
      <c r="E581" t="inlineStr">
        <is>
          <t>PL-O-060</t>
        </is>
      </c>
      <c r="F581" t="inlineStr">
        <is>
          <t>Tecnología y procesamiento de datos</t>
        </is>
      </c>
      <c r="G581" t="inlineStr">
        <is>
          <t>gasto_admin</t>
        </is>
      </c>
      <c r="H581" t="inlineStr">
        <is>
          <t>Servicios</t>
        </is>
      </c>
      <c r="I581" t="inlineStr">
        <is>
          <t>Administracion</t>
        </is>
      </c>
      <c r="J581" t="n">
        <v>0</v>
      </c>
      <c r="K581" t="n">
        <v>34.3</v>
      </c>
      <c r="L581" t="inlineStr">
        <is>
          <t>Julio 2026 CR.xlsx</t>
        </is>
      </c>
      <c r="M581" t="inlineStr">
        <is>
          <t>Aprobado</t>
        </is>
      </c>
      <c r="N581" t="inlineStr">
        <is>
          <t>Puente para redise?ar vistas de Costos &amp; Gastos; no reemplaza P&amp;G oficial. Convertido a USD con la tasa promedio mensual del pais.</t>
        </is>
      </c>
    </row>
    <row r="582">
      <c r="A582" t="inlineStr">
        <is>
          <t>2026-07</t>
        </is>
      </c>
      <c r="B582" t="inlineStr">
        <is>
          <t>Costa Rica</t>
        </is>
      </c>
      <c r="C582" t="inlineStr">
        <is>
          <t>CR</t>
        </is>
      </c>
      <c r="D582" t="inlineStr">
        <is>
          <t>USD</t>
        </is>
      </c>
      <c r="E582" t="inlineStr">
        <is>
          <t>PL-O-110</t>
        </is>
      </c>
      <c r="F582" t="inlineStr">
        <is>
          <t>Suministros y oficina</t>
        </is>
      </c>
      <c r="G582" t="inlineStr">
        <is>
          <t>gasto_admin</t>
        </is>
      </c>
      <c r="H582" t="inlineStr">
        <is>
          <t>Diversos</t>
        </is>
      </c>
      <c r="I582" t="inlineStr">
        <is>
          <t>Administracion</t>
        </is>
      </c>
      <c r="J582" t="n">
        <v>0</v>
      </c>
      <c r="K582" t="n">
        <v>37.69</v>
      </c>
      <c r="L582" t="inlineStr">
        <is>
          <t>Julio 2026 CR.xlsx</t>
        </is>
      </c>
      <c r="M582" t="inlineStr">
        <is>
          <t>Aprobado</t>
        </is>
      </c>
      <c r="N582" t="inlineStr">
        <is>
          <t>Puente para redise?ar vistas de Costos &amp; Gastos; no reemplaza P&amp;G oficial. Convertido a USD con la tasa promedio mensual del pais.</t>
        </is>
      </c>
    </row>
    <row r="583">
      <c r="A583" t="inlineStr">
        <is>
          <t>2026-07</t>
        </is>
      </c>
      <c r="B583" t="inlineStr">
        <is>
          <t>Costa Rica</t>
        </is>
      </c>
      <c r="C583" t="inlineStr">
        <is>
          <t>CR</t>
        </is>
      </c>
      <c r="D583" t="inlineStr">
        <is>
          <t>USD</t>
        </is>
      </c>
      <c r="E583" t="inlineStr">
        <is>
          <t>PL-O-110</t>
        </is>
      </c>
      <c r="F583" t="inlineStr">
        <is>
          <t>Suministros y oficina</t>
        </is>
      </c>
      <c r="G583" t="inlineStr">
        <is>
          <t>gasto_admin</t>
        </is>
      </c>
      <c r="H583" t="inlineStr">
        <is>
          <t>Diversos</t>
        </is>
      </c>
      <c r="I583" t="inlineStr">
        <is>
          <t>Administracion</t>
        </is>
      </c>
      <c r="J583" t="n">
        <v>0</v>
      </c>
      <c r="K583" t="n">
        <v>39.61</v>
      </c>
      <c r="L583" t="inlineStr">
        <is>
          <t>Julio 2026 CR.xlsx</t>
        </is>
      </c>
      <c r="M583" t="inlineStr">
        <is>
          <t>Aprobado</t>
        </is>
      </c>
      <c r="N583" t="inlineStr">
        <is>
          <t>Puente para redise?ar vistas de Costos &amp; Gastos; no reemplaza P&amp;G oficial. Convertido a USD con la tasa promedio mensual del pais.</t>
        </is>
      </c>
    </row>
    <row r="584">
      <c r="A584" t="inlineStr">
        <is>
          <t>2026-07</t>
        </is>
      </c>
      <c r="B584" t="inlineStr">
        <is>
          <t>Costa Rica</t>
        </is>
      </c>
      <c r="C584" t="inlineStr">
        <is>
          <t>CR</t>
        </is>
      </c>
      <c r="D584" t="inlineStr">
        <is>
          <t>USD</t>
        </is>
      </c>
      <c r="E584" t="inlineStr">
        <is>
          <t>PL-O-110</t>
        </is>
      </c>
      <c r="F584" t="inlineStr">
        <is>
          <t>Suministros y oficina</t>
        </is>
      </c>
      <c r="G584" t="inlineStr">
        <is>
          <t>gasto_admin</t>
        </is>
      </c>
      <c r="H584" t="inlineStr">
        <is>
          <t>Diversos</t>
        </is>
      </c>
      <c r="I584" t="inlineStr">
        <is>
          <t>Administracion</t>
        </is>
      </c>
      <c r="J584" t="n">
        <v>0</v>
      </c>
      <c r="K584" t="n">
        <v>74.31</v>
      </c>
      <c r="L584" t="inlineStr">
        <is>
          <t>Julio 2026 CR.xlsx</t>
        </is>
      </c>
      <c r="M584" t="inlineStr">
        <is>
          <t>Aprobado</t>
        </is>
      </c>
      <c r="N584" t="inlineStr">
        <is>
          <t>Puente para redise?ar vistas de Costos &amp; Gastos; no reemplaza P&amp;G oficial. Convertido a USD con la tasa promedio mensual del pais.</t>
        </is>
      </c>
    </row>
    <row r="585">
      <c r="A585" t="inlineStr">
        <is>
          <t>2026-07</t>
        </is>
      </c>
      <c r="B585" t="inlineStr">
        <is>
          <t>Costa Rica</t>
        </is>
      </c>
      <c r="C585" t="inlineStr">
        <is>
          <t>CR</t>
        </is>
      </c>
      <c r="D585" t="inlineStr">
        <is>
          <t>USD</t>
        </is>
      </c>
      <c r="E585" t="inlineStr">
        <is>
          <t>PL-O-110</t>
        </is>
      </c>
      <c r="F585" t="inlineStr">
        <is>
          <t>Suministros y oficina</t>
        </is>
      </c>
      <c r="G585" t="inlineStr">
        <is>
          <t>gasto_admin</t>
        </is>
      </c>
      <c r="H585" t="inlineStr">
        <is>
          <t>Diversos</t>
        </is>
      </c>
      <c r="I585" t="inlineStr">
        <is>
          <t>Administracion</t>
        </is>
      </c>
      <c r="J585" t="n">
        <v>0</v>
      </c>
      <c r="K585" t="n">
        <v>15</v>
      </c>
      <c r="L585" t="inlineStr">
        <is>
          <t>Julio 2026 CR.xlsx</t>
        </is>
      </c>
      <c r="M585" t="inlineStr">
        <is>
          <t>Aprobado</t>
        </is>
      </c>
      <c r="N585" t="inlineStr">
        <is>
          <t>Puente para redise?ar vistas de Costos &amp; Gastos; no reemplaza P&amp;G oficial. Convertido a USD con la tasa promedio mensual del pais.</t>
        </is>
      </c>
    </row>
    <row r="586">
      <c r="A586" t="inlineStr">
        <is>
          <t>2026-07</t>
        </is>
      </c>
      <c r="B586" t="inlineStr">
        <is>
          <t>Costa Rica</t>
        </is>
      </c>
      <c r="C586" t="inlineStr">
        <is>
          <t>CR</t>
        </is>
      </c>
      <c r="D586" t="inlineStr">
        <is>
          <t>USD</t>
        </is>
      </c>
      <c r="E586" t="inlineStr">
        <is>
          <t>PL-O-110</t>
        </is>
      </c>
      <c r="F586" t="inlineStr">
        <is>
          <t>Suministros y oficina</t>
        </is>
      </c>
      <c r="G586" t="inlineStr">
        <is>
          <t>gasto_admin</t>
        </is>
      </c>
      <c r="H586" t="inlineStr">
        <is>
          <t>Diversos</t>
        </is>
      </c>
      <c r="I586" t="inlineStr">
        <is>
          <t>Administracion</t>
        </is>
      </c>
      <c r="J586" t="n">
        <v>0</v>
      </c>
      <c r="K586" t="n">
        <v>7</v>
      </c>
      <c r="L586" t="inlineStr">
        <is>
          <t>Julio 2026 CR.xlsx</t>
        </is>
      </c>
      <c r="M586" t="inlineStr">
        <is>
          <t>Aprobado</t>
        </is>
      </c>
      <c r="N586" t="inlineStr">
        <is>
          <t>Puente para redise?ar vistas de Costos &amp; Gastos; no reemplaza P&amp;G oficial. Convertido a USD con la tasa promedio mensual del pais.</t>
        </is>
      </c>
    </row>
    <row r="587">
      <c r="A587" t="inlineStr">
        <is>
          <t>2026-07</t>
        </is>
      </c>
      <c r="B587" t="inlineStr">
        <is>
          <t>Costa Rica</t>
        </is>
      </c>
      <c r="C587" t="inlineStr">
        <is>
          <t>CR</t>
        </is>
      </c>
      <c r="D587" t="inlineStr">
        <is>
          <t>USD</t>
        </is>
      </c>
      <c r="E587" t="inlineStr">
        <is>
          <t>PL-F-010</t>
        </is>
      </c>
      <c r="F587" t="inlineStr">
        <is>
          <t>Gastos financieros</t>
        </is>
      </c>
      <c r="G587" t="inlineStr">
        <is>
          <t>gasto_area</t>
        </is>
      </c>
      <c r="H587" t="inlineStr">
        <is>
          <t>Financieros</t>
        </is>
      </c>
      <c r="I587" t="inlineStr">
        <is>
          <t>Financieros</t>
        </is>
      </c>
      <c r="J587" t="n">
        <v>30</v>
      </c>
      <c r="K587" t="n">
        <v>230</v>
      </c>
      <c r="L587" t="inlineStr">
        <is>
          <t>Julio 2026 CR.xlsx</t>
        </is>
      </c>
      <c r="M587" t="inlineStr">
        <is>
          <t>Aprobado</t>
        </is>
      </c>
      <c r="N587" t="inlineStr">
        <is>
          <t>Puente para redise?ar vistas de Costos &amp; Gastos; no reemplaza P&amp;G oficial. Convertido a USD con la tasa promedio mensual del pais.</t>
        </is>
      </c>
    </row>
    <row r="588">
      <c r="A588" t="inlineStr">
        <is>
          <t>2026-07</t>
        </is>
      </c>
      <c r="B588" t="inlineStr">
        <is>
          <t>Costa Rica</t>
        </is>
      </c>
      <c r="C588" t="inlineStr">
        <is>
          <t>CR</t>
        </is>
      </c>
      <c r="D588" t="inlineStr">
        <is>
          <t>USD</t>
        </is>
      </c>
      <c r="E588" t="inlineStr">
        <is>
          <t>PL-F-010</t>
        </is>
      </c>
      <c r="F588" t="inlineStr">
        <is>
          <t>Gastos financieros</t>
        </is>
      </c>
      <c r="G588" t="inlineStr">
        <is>
          <t>gasto_area</t>
        </is>
      </c>
      <c r="H588" t="inlineStr">
        <is>
          <t>Financieros</t>
        </is>
      </c>
      <c r="I588" t="inlineStr">
        <is>
          <t>Financieros</t>
        </is>
      </c>
      <c r="J588" t="n">
        <v>0</v>
      </c>
      <c r="K588" t="n">
        <v>6</v>
      </c>
      <c r="L588" t="inlineStr">
        <is>
          <t>Julio 2026 CR.xlsx</t>
        </is>
      </c>
      <c r="M588" t="inlineStr">
        <is>
          <t>Aprobado</t>
        </is>
      </c>
      <c r="N588" t="inlineStr">
        <is>
          <t>Puente para redise?ar vistas de Costos &amp; Gastos; no reemplaza P&amp;G oficial. Convertido a USD con la tasa promedio mensual del pais.</t>
        </is>
      </c>
    </row>
    <row r="589">
      <c r="A589" t="inlineStr">
        <is>
          <t>2026-01</t>
        </is>
      </c>
      <c r="B589" t="inlineStr">
        <is>
          <t>Colombia</t>
        </is>
      </c>
      <c r="C589" t="inlineStr">
        <is>
          <t>COCO</t>
        </is>
      </c>
      <c r="D589" t="inlineStr">
        <is>
          <t>USD</t>
        </is>
      </c>
      <c r="E589" t="inlineStr">
        <is>
          <t>PL-F-010</t>
        </is>
      </c>
      <c r="F589" t="inlineStr">
        <is>
          <t>Gastos financieros</t>
        </is>
      </c>
      <c r="G589" t="inlineStr">
        <is>
          <t>gasto_area</t>
        </is>
      </c>
      <c r="H589" t="inlineStr">
        <is>
          <t>Financieros</t>
        </is>
      </c>
      <c r="I589" t="inlineStr">
        <is>
          <t>Financieros</t>
        </is>
      </c>
      <c r="J589" t="n">
        <v>1915.08</v>
      </c>
      <c r="K589" t="n">
        <v>1915.08</v>
      </c>
      <c r="L589" t="inlineStr">
        <is>
          <t>P&amp;G mensual oficial de Colombia (BD_Indicadores, segmento vacío)</t>
        </is>
      </c>
      <c r="M589" t="inlineStr">
        <is>
          <t>Aprobado</t>
        </is>
      </c>
      <c r="N589" t="inlineStr">
        <is>
          <t>Puente para redise?ar vistas de Costos &amp; Gastos; no reemplaza P&amp;G oficial. Convertido a USD con la tasa promedio mensual del pais.</t>
        </is>
      </c>
    </row>
    <row r="590">
      <c r="A590" t="inlineStr">
        <is>
          <t>2026-02</t>
        </is>
      </c>
      <c r="B590" t="inlineStr">
        <is>
          <t>Colombia</t>
        </is>
      </c>
      <c r="C590" t="inlineStr">
        <is>
          <t>COCO</t>
        </is>
      </c>
      <c r="D590" t="inlineStr">
        <is>
          <t>USD</t>
        </is>
      </c>
      <c r="E590" t="inlineStr">
        <is>
          <t>PL-F-010</t>
        </is>
      </c>
      <c r="F590" t="inlineStr">
        <is>
          <t>Gastos financieros</t>
        </is>
      </c>
      <c r="G590" t="inlineStr">
        <is>
          <t>gasto_area</t>
        </is>
      </c>
      <c r="H590" t="inlineStr">
        <is>
          <t>Financieros</t>
        </is>
      </c>
      <c r="I590" t="inlineStr">
        <is>
          <t>Financieros</t>
        </is>
      </c>
      <c r="J590" t="n">
        <v>1516.5</v>
      </c>
      <c r="K590" t="n">
        <v>3445.83</v>
      </c>
      <c r="L590" t="inlineStr">
        <is>
          <t>P&amp;G mensual oficial de Colombia (BD_Indicadores, segmento vacío)</t>
        </is>
      </c>
      <c r="M590" t="inlineStr">
        <is>
          <t>Aprobado</t>
        </is>
      </c>
      <c r="N590" t="inlineStr">
        <is>
          <t>Puente para redise?ar vistas de Costos &amp; Gastos; no reemplaza P&amp;G oficial. Convertido a USD con la tasa promedio mensual del pais.</t>
        </is>
      </c>
    </row>
    <row r="591">
      <c r="A591" t="inlineStr">
        <is>
          <t>2026-03</t>
        </is>
      </c>
      <c r="B591" t="inlineStr">
        <is>
          <t>Colombia</t>
        </is>
      </c>
      <c r="C591" t="inlineStr">
        <is>
          <t>COCO</t>
        </is>
      </c>
      <c r="D591" t="inlineStr">
        <is>
          <t>USD</t>
        </is>
      </c>
      <c r="E591" t="inlineStr">
        <is>
          <t>PL-F-010</t>
        </is>
      </c>
      <c r="F591" t="inlineStr">
        <is>
          <t>Gastos financieros</t>
        </is>
      </c>
      <c r="G591" t="inlineStr">
        <is>
          <t>gasto_area</t>
        </is>
      </c>
      <c r="H591" t="inlineStr">
        <is>
          <t>Financieros</t>
        </is>
      </c>
      <c r="I591" t="inlineStr">
        <is>
          <t>Financieros</t>
        </is>
      </c>
      <c r="J591" t="n">
        <v>1478.81</v>
      </c>
      <c r="K591" t="n">
        <v>4885.78</v>
      </c>
      <c r="L591" t="inlineStr">
        <is>
          <t>P&amp;G mensual oficial de Colombia (BD_Indicadores, segmento vacío)</t>
        </is>
      </c>
      <c r="M591" t="inlineStr">
        <is>
          <t>Aprobado</t>
        </is>
      </c>
      <c r="N591" t="inlineStr">
        <is>
          <t>Puente para redise?ar vistas de Costos &amp; Gastos; no reemplaza P&amp;G oficial. Convertido a USD con la tasa promedio mensual del pais.</t>
        </is>
      </c>
    </row>
    <row r="592">
      <c r="A592" t="inlineStr">
        <is>
          <t>2026-04</t>
        </is>
      </c>
      <c r="B592" t="inlineStr">
        <is>
          <t>Colombia</t>
        </is>
      </c>
      <c r="C592" t="inlineStr">
        <is>
          <t>COCO</t>
        </is>
      </c>
      <c r="D592" t="inlineStr">
        <is>
          <t>USD</t>
        </is>
      </c>
      <c r="E592" t="inlineStr">
        <is>
          <t>PL-F-010</t>
        </is>
      </c>
      <c r="F592" t="inlineStr">
        <is>
          <t>Gastos financieros</t>
        </is>
      </c>
      <c r="G592" t="inlineStr">
        <is>
          <t>gasto_area</t>
        </is>
      </c>
      <c r="H592" t="inlineStr">
        <is>
          <t>Financieros</t>
        </is>
      </c>
      <c r="I592" t="inlineStr">
        <is>
          <t>Financieros</t>
        </is>
      </c>
      <c r="J592" t="n">
        <v>1392.83</v>
      </c>
      <c r="K592" t="n">
        <v>6413.73</v>
      </c>
      <c r="L592" t="inlineStr">
        <is>
          <t>P&amp;G mensual oficial de Colombia (BD_Indicadores, segmento vacío)</t>
        </is>
      </c>
      <c r="M592" t="inlineStr">
        <is>
          <t>Aprobado</t>
        </is>
      </c>
      <c r="N592" t="inlineStr">
        <is>
          <t>Puente para redise?ar vistas de Costos &amp; Gastos; no reemplaza P&amp;G oficial. Convertido a USD con la tasa promedio mensual del pais.</t>
        </is>
      </c>
    </row>
    <row r="593">
      <c r="A593" t="inlineStr">
        <is>
          <t>2026-05</t>
        </is>
      </c>
      <c r="B593" t="inlineStr">
        <is>
          <t>Colombia</t>
        </is>
      </c>
      <c r="C593" t="inlineStr">
        <is>
          <t>COCO</t>
        </is>
      </c>
      <c r="D593" t="inlineStr">
        <is>
          <t>USD</t>
        </is>
      </c>
      <c r="E593" t="inlineStr">
        <is>
          <t>PL-F-010</t>
        </is>
      </c>
      <c r="F593" t="inlineStr">
        <is>
          <t>Gastos financieros</t>
        </is>
      </c>
      <c r="G593" t="inlineStr">
        <is>
          <t>gasto_area</t>
        </is>
      </c>
      <c r="H593" t="inlineStr">
        <is>
          <t>Financieros</t>
        </is>
      </c>
      <c r="I593" t="inlineStr">
        <is>
          <t>Financieros</t>
        </is>
      </c>
      <c r="J593" t="n">
        <v>1615.73</v>
      </c>
      <c r="K593" t="n">
        <v>7862.81</v>
      </c>
      <c r="L593" t="inlineStr">
        <is>
          <t>P&amp;G mensual oficial de Colombia (BD_Indicadores, segmento vacío)</t>
        </is>
      </c>
      <c r="M593" t="inlineStr">
        <is>
          <t>Aprobado</t>
        </is>
      </c>
      <c r="N593" t="inlineStr">
        <is>
          <t>Puente para redise?ar vistas de Costos &amp; Gastos; no reemplaza P&amp;G oficial. Convertido a USD con la tasa promedio mensual del pais.</t>
        </is>
      </c>
    </row>
    <row r="594">
      <c r="A594" t="inlineStr">
        <is>
          <t>2026-06</t>
        </is>
      </c>
      <c r="B594" t="inlineStr">
        <is>
          <t>Colombia</t>
        </is>
      </c>
      <c r="C594" t="inlineStr">
        <is>
          <t>COCO</t>
        </is>
      </c>
      <c r="D594" t="inlineStr">
        <is>
          <t>USD</t>
        </is>
      </c>
      <c r="E594" t="inlineStr">
        <is>
          <t>PL-F-010</t>
        </is>
      </c>
      <c r="F594" t="inlineStr">
        <is>
          <t>Gastos financieros</t>
        </is>
      </c>
      <c r="G594" t="inlineStr">
        <is>
          <t>gasto_area</t>
        </is>
      </c>
      <c r="H594" t="inlineStr">
        <is>
          <t>Financieros</t>
        </is>
      </c>
      <c r="I594" t="inlineStr">
        <is>
          <t>Financieros</t>
        </is>
      </c>
      <c r="J594" t="n">
        <v>1585.87</v>
      </c>
      <c r="K594" t="n">
        <v>9927.139999999999</v>
      </c>
      <c r="L594" t="inlineStr">
        <is>
          <t>P&amp;G mensual oficial de Colombia (BD_Indicadores, segmento vacío)</t>
        </is>
      </c>
      <c r="M594" t="inlineStr">
        <is>
          <t>Aprobado</t>
        </is>
      </c>
      <c r="N594" t="inlineStr">
        <is>
          <t>Puente para redise?ar vistas de Costos &amp; Gastos; no reemplaza P&amp;G oficial. Convertido a USD con la tasa promedio mensual del pais.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6"/>
  <sheetViews>
    <sheetView tabSelected="1" workbookViewId="0">
      <selection activeCell="E20" sqref="E20"/>
    </sheetView>
  </sheetViews>
  <sheetFormatPr baseColWidth="8" defaultRowHeight="14.4"/>
  <cols>
    <col width="10" customWidth="1" style="52" min="1" max="1"/>
    <col width="16" customWidth="1" style="52" min="2" max="2"/>
    <col width="10" customWidth="1" style="52" min="3" max="4"/>
    <col width="21" customWidth="1" style="52" min="5" max="5"/>
    <col width="19" customWidth="1" style="52" min="6" max="6"/>
    <col width="16" customWidth="1" style="52" min="7" max="7"/>
    <col width="11" customWidth="1" style="52" min="8" max="8"/>
    <col width="12" customWidth="1" style="52" min="9" max="9"/>
    <col width="14" customWidth="1" style="52" min="10" max="10"/>
    <col width="38" customWidth="1" style="52" min="11" max="11"/>
  </cols>
  <sheetData>
    <row r="1">
      <c r="A1" s="50" t="inlineStr">
        <is>
          <t>periodo</t>
        </is>
      </c>
      <c r="B1" s="50" t="inlineStr">
        <is>
          <t>pais</t>
        </is>
      </c>
      <c r="C1" s="50" t="inlineStr">
        <is>
          <t>entidad</t>
        </is>
      </c>
      <c r="D1" s="50" t="inlineStr">
        <is>
          <t>moneda</t>
        </is>
      </c>
      <c r="E1" s="50" t="inlineStr">
        <is>
          <t>indicador_dashboard</t>
        </is>
      </c>
      <c r="F1" s="50" t="inlineStr">
        <is>
          <t>detalle_dashboard</t>
        </is>
      </c>
      <c r="G1" s="50" t="inlineStr">
        <is>
          <t>area_dashboard</t>
        </is>
      </c>
      <c r="H1" s="50" t="inlineStr">
        <is>
          <t>valor_mes</t>
        </is>
      </c>
      <c r="I1" s="50" t="inlineStr">
        <is>
          <t>valor_ytd</t>
        </is>
      </c>
      <c r="J1" s="50" t="inlineStr">
        <is>
          <t>filas_fuente</t>
        </is>
      </c>
      <c r="K1" s="50" t="inlineStr">
        <is>
          <t>nota</t>
        </is>
      </c>
    </row>
    <row r="2">
      <c r="A2" t="inlineStr">
        <is>
          <t>2026-01</t>
        </is>
      </c>
      <c r="B2" t="inlineStr">
        <is>
          <t>Colombia</t>
        </is>
      </c>
      <c r="C2" t="inlineStr">
        <is>
          <t>COCO</t>
        </is>
      </c>
      <c r="D2" t="inlineStr">
        <is>
          <t>USD</t>
        </is>
      </c>
      <c r="E2" t="inlineStr">
        <is>
          <t>gasto_area</t>
        </is>
      </c>
      <c r="F2" t="inlineStr">
        <is>
          <t>Financieros</t>
        </is>
      </c>
      <c r="G2" t="inlineStr">
        <is>
          <t>Financieros</t>
        </is>
      </c>
      <c r="H2" t="n">
        <v>1915.08</v>
      </c>
      <c r="I2" t="n">
        <v>1915.08</v>
      </c>
      <c r="J2" t="n">
        <v>1</v>
      </c>
      <c r="K2" t="inlineStr">
        <is>
          <t>Agregado desde BD_GASTOS_DASHBOARD_BRIDGE (USD)</t>
        </is>
      </c>
    </row>
    <row r="3">
      <c r="A3" t="inlineStr">
        <is>
          <t>2026-01</t>
        </is>
      </c>
      <c r="B3" t="inlineStr">
        <is>
          <t>Costa Rica</t>
        </is>
      </c>
      <c r="C3" t="inlineStr">
        <is>
          <t>CR</t>
        </is>
      </c>
      <c r="D3" t="inlineStr">
        <is>
          <t>USD</t>
        </is>
      </c>
      <c r="E3" t="inlineStr">
        <is>
          <t>gasto_admin</t>
        </is>
      </c>
      <c r="F3" t="inlineStr">
        <is>
          <t>Diversos</t>
        </is>
      </c>
      <c r="G3" t="inlineStr">
        <is>
          <t>Administracion</t>
        </is>
      </c>
      <c r="H3" t="n">
        <v>262.73</v>
      </c>
      <c r="I3" t="n">
        <v>262.73</v>
      </c>
      <c r="J3" t="n">
        <v>3</v>
      </c>
      <c r="K3" t="inlineStr">
        <is>
          <t>Agregado desde BD_GASTOS_DASHBOARD_BRIDGE (USD)</t>
        </is>
      </c>
    </row>
    <row r="4">
      <c r="A4" t="inlineStr">
        <is>
          <t>2026-01</t>
        </is>
      </c>
      <c r="B4" t="inlineStr">
        <is>
          <t>Costa Rica</t>
        </is>
      </c>
      <c r="C4" t="inlineStr">
        <is>
          <t>CR</t>
        </is>
      </c>
      <c r="D4" t="inlineStr">
        <is>
          <t>USD</t>
        </is>
      </c>
      <c r="E4" t="inlineStr">
        <is>
          <t>gasto_admin</t>
        </is>
      </c>
      <c r="F4" t="inlineStr">
        <is>
          <t>Personal</t>
        </is>
      </c>
      <c r="G4" t="inlineStr">
        <is>
          <t>Administracion</t>
        </is>
      </c>
      <c r="H4" t="n">
        <v>1600</v>
      </c>
      <c r="I4" t="n">
        <v>1600</v>
      </c>
      <c r="J4" t="n">
        <v>2</v>
      </c>
      <c r="K4" t="inlineStr">
        <is>
          <t>Agregado desde BD_GASTOS_DASHBOARD_BRIDGE (USD)</t>
        </is>
      </c>
    </row>
    <row r="5">
      <c r="A5" t="inlineStr">
        <is>
          <t>2026-01</t>
        </is>
      </c>
      <c r="B5" t="inlineStr">
        <is>
          <t>Costa Rica</t>
        </is>
      </c>
      <c r="C5" t="inlineStr">
        <is>
          <t>CR</t>
        </is>
      </c>
      <c r="D5" t="inlineStr">
        <is>
          <t>USD</t>
        </is>
      </c>
      <c r="E5" t="inlineStr">
        <is>
          <t>gasto_admin</t>
        </is>
      </c>
      <c r="F5" t="inlineStr">
        <is>
          <t>Viajes</t>
        </is>
      </c>
      <c r="G5" t="inlineStr">
        <is>
          <t>Administracion</t>
        </is>
      </c>
      <c r="H5" t="n">
        <v>300</v>
      </c>
      <c r="I5" t="n">
        <v>300</v>
      </c>
      <c r="J5" t="n">
        <v>1</v>
      </c>
      <c r="K5" t="inlineStr">
        <is>
          <t>Agregado desde BD_GASTOS_DASHBOARD_BRIDGE (USD)</t>
        </is>
      </c>
    </row>
    <row r="6">
      <c r="A6" t="inlineStr">
        <is>
          <t>2026-01</t>
        </is>
      </c>
      <c r="B6" t="inlineStr">
        <is>
          <t>Costa Rica</t>
        </is>
      </c>
      <c r="C6" t="inlineStr">
        <is>
          <t>CR</t>
        </is>
      </c>
      <c r="D6" t="inlineStr">
        <is>
          <t>USD</t>
        </is>
      </c>
      <c r="E6" t="inlineStr">
        <is>
          <t>gasto_area</t>
        </is>
      </c>
      <c r="F6" t="inlineStr">
        <is>
          <t>Financieros</t>
        </is>
      </c>
      <c r="G6" t="inlineStr">
        <is>
          <t>Financieros</t>
        </is>
      </c>
      <c r="H6" t="n">
        <v>20</v>
      </c>
      <c r="I6" t="n">
        <v>20</v>
      </c>
      <c r="J6" t="n">
        <v>1</v>
      </c>
      <c r="K6" t="inlineStr">
        <is>
          <t>Agregado desde BD_GASTOS_DASHBOARD_BRIDGE (USD)</t>
        </is>
      </c>
    </row>
    <row r="7">
      <c r="A7" t="inlineStr">
        <is>
          <t>2026-01</t>
        </is>
      </c>
      <c r="B7" t="inlineStr">
        <is>
          <t>Estados Unidos</t>
        </is>
      </c>
      <c r="C7" t="inlineStr">
        <is>
          <t>USA</t>
        </is>
      </c>
      <c r="D7" t="inlineStr">
        <is>
          <t>USD</t>
        </is>
      </c>
      <c r="E7" t="inlineStr">
        <is>
          <t>gasto_admin</t>
        </is>
      </c>
      <c r="F7" t="inlineStr">
        <is>
          <t>Diversos</t>
        </is>
      </c>
      <c r="G7" t="inlineStr">
        <is>
          <t>Administracion</t>
        </is>
      </c>
      <c r="H7" t="n">
        <v>506.5</v>
      </c>
      <c r="I7" t="n">
        <v>506.5</v>
      </c>
      <c r="J7" t="n">
        <v>4</v>
      </c>
      <c r="K7" t="inlineStr">
        <is>
          <t>Agregado desde BD_GASTOS_DASHBOARD_BRIDGE (USD)</t>
        </is>
      </c>
    </row>
    <row r="8">
      <c r="A8" t="inlineStr">
        <is>
          <t>2026-01</t>
        </is>
      </c>
      <c r="B8" t="inlineStr">
        <is>
          <t>Estados Unidos</t>
        </is>
      </c>
      <c r="C8" t="inlineStr">
        <is>
          <t>USA</t>
        </is>
      </c>
      <c r="D8" t="inlineStr">
        <is>
          <t>USD</t>
        </is>
      </c>
      <c r="E8" t="inlineStr">
        <is>
          <t>gasto_admin</t>
        </is>
      </c>
      <c r="F8" t="inlineStr">
        <is>
          <t>Honorarios</t>
        </is>
      </c>
      <c r="G8" t="inlineStr">
        <is>
          <t>Administracion</t>
        </is>
      </c>
      <c r="H8" t="n">
        <v>1500</v>
      </c>
      <c r="I8" t="n">
        <v>1500</v>
      </c>
      <c r="J8" t="n">
        <v>1</v>
      </c>
      <c r="K8" t="inlineStr">
        <is>
          <t>Agregado desde BD_GASTOS_DASHBOARD_BRIDGE (USD)</t>
        </is>
      </c>
    </row>
    <row r="9">
      <c r="A9" t="inlineStr">
        <is>
          <t>2026-01</t>
        </is>
      </c>
      <c r="B9" t="inlineStr">
        <is>
          <t>Estados Unidos</t>
        </is>
      </c>
      <c r="C9" t="inlineStr">
        <is>
          <t>USA</t>
        </is>
      </c>
      <c r="D9" t="inlineStr">
        <is>
          <t>USD</t>
        </is>
      </c>
      <c r="E9" t="inlineStr">
        <is>
          <t>gasto_admin</t>
        </is>
      </c>
      <c r="F9" t="inlineStr">
        <is>
          <t>Personal</t>
        </is>
      </c>
      <c r="G9" t="inlineStr">
        <is>
          <t>Administracion</t>
        </is>
      </c>
      <c r="H9" t="n">
        <v>3550.43</v>
      </c>
      <c r="I9" t="n">
        <v>3550.43</v>
      </c>
      <c r="J9" t="n">
        <v>3</v>
      </c>
      <c r="K9" t="inlineStr">
        <is>
          <t>Agregado desde BD_GASTOS_DASHBOARD_BRIDGE (USD)</t>
        </is>
      </c>
    </row>
    <row r="10">
      <c r="A10" t="inlineStr">
        <is>
          <t>2026-01</t>
        </is>
      </c>
      <c r="B10" t="inlineStr">
        <is>
          <t>Estados Unidos</t>
        </is>
      </c>
      <c r="C10" t="inlineStr">
        <is>
          <t>USA</t>
        </is>
      </c>
      <c r="D10" t="inlineStr">
        <is>
          <t>USD</t>
        </is>
      </c>
      <c r="E10" t="inlineStr">
        <is>
          <t>gasto_admin</t>
        </is>
      </c>
      <c r="F10" t="inlineStr">
        <is>
          <t>Servicios</t>
        </is>
      </c>
      <c r="G10" t="inlineStr">
        <is>
          <t>Administracion</t>
        </is>
      </c>
      <c r="H10" t="n">
        <v>281.34</v>
      </c>
      <c r="I10" t="n">
        <v>281.34</v>
      </c>
      <c r="J10" t="n">
        <v>4</v>
      </c>
      <c r="K10" t="inlineStr">
        <is>
          <t>Agregado desde BD_GASTOS_DASHBOARD_BRIDGE (USD)</t>
        </is>
      </c>
    </row>
    <row r="11">
      <c r="A11" t="inlineStr">
        <is>
          <t>2026-01</t>
        </is>
      </c>
      <c r="B11" t="inlineStr">
        <is>
          <t>Estados Unidos</t>
        </is>
      </c>
      <c r="C11" t="inlineStr">
        <is>
          <t>USA</t>
        </is>
      </c>
      <c r="D11" t="inlineStr">
        <is>
          <t>USD</t>
        </is>
      </c>
      <c r="E11" t="inlineStr">
        <is>
          <t>gasto_area</t>
        </is>
      </c>
      <c r="F11" t="inlineStr">
        <is>
          <t>Financieros</t>
        </is>
      </c>
      <c r="G11" t="inlineStr">
        <is>
          <t>Financieros</t>
        </is>
      </c>
      <c r="H11" t="n">
        <v>75.90000000000001</v>
      </c>
      <c r="I11" t="n">
        <v>75.90000000000001</v>
      </c>
      <c r="J11" t="n">
        <v>2</v>
      </c>
      <c r="K11" t="inlineStr">
        <is>
          <t>Agregado desde BD_GASTOS_DASHBOARD_BRIDGE (USD)</t>
        </is>
      </c>
    </row>
    <row r="12">
      <c r="A12" t="inlineStr">
        <is>
          <t>2026-01</t>
        </is>
      </c>
      <c r="B12" t="inlineStr">
        <is>
          <t>Estados Unidos</t>
        </is>
      </c>
      <c r="C12" t="inlineStr">
        <is>
          <t>USA</t>
        </is>
      </c>
      <c r="D12" t="inlineStr">
        <is>
          <t>USD</t>
        </is>
      </c>
      <c r="E12" t="inlineStr">
        <is>
          <t>gasto_comercial</t>
        </is>
      </c>
      <c r="F12" t="inlineStr">
        <is>
          <t>Servicios</t>
        </is>
      </c>
      <c r="G12" t="inlineStr">
        <is>
          <t>Comercial</t>
        </is>
      </c>
      <c r="H12" t="n">
        <v>648</v>
      </c>
      <c r="I12" t="n">
        <v>648</v>
      </c>
      <c r="J12" t="n">
        <v>1</v>
      </c>
      <c r="K12" t="inlineStr">
        <is>
          <t>Agregado desde BD_GASTOS_DASHBOARD_BRIDGE (USD)</t>
        </is>
      </c>
    </row>
    <row r="13">
      <c r="A13" t="inlineStr">
        <is>
          <t>2026-01</t>
        </is>
      </c>
      <c r="B13" t="inlineStr">
        <is>
          <t>Peru</t>
        </is>
      </c>
      <c r="C13" t="inlineStr">
        <is>
          <t>PERU</t>
        </is>
      </c>
      <c r="D13" t="inlineStr">
        <is>
          <t>USD</t>
        </is>
      </c>
      <c r="E13" t="inlineStr">
        <is>
          <t>gasto_area</t>
        </is>
      </c>
      <c r="F13" t="inlineStr">
        <is>
          <t>Financieros</t>
        </is>
      </c>
      <c r="G13" t="inlineStr">
        <is>
          <t>Financieros</t>
        </is>
      </c>
      <c r="H13" t="n">
        <v>27.61</v>
      </c>
      <c r="I13" t="n">
        <v>27.61</v>
      </c>
      <c r="J13" t="n">
        <v>3</v>
      </c>
      <c r="K13" t="inlineStr">
        <is>
          <t>Agregado desde BD_GASTOS_DASHBOARD_BRIDGE (USD)</t>
        </is>
      </c>
    </row>
    <row r="14">
      <c r="A14" t="inlineStr">
        <is>
          <t>2026-01</t>
        </is>
      </c>
      <c r="B14" t="inlineStr">
        <is>
          <t>Peru</t>
        </is>
      </c>
      <c r="C14" t="inlineStr">
        <is>
          <t>PERU</t>
        </is>
      </c>
      <c r="D14" t="inlineStr">
        <is>
          <t>USD</t>
        </is>
      </c>
      <c r="E14" t="inlineStr">
        <is>
          <t>gasto_comercial</t>
        </is>
      </c>
      <c r="F14" t="inlineStr">
        <is>
          <t>Honorarios</t>
        </is>
      </c>
      <c r="G14" t="inlineStr">
        <is>
          <t>Comercial</t>
        </is>
      </c>
      <c r="H14" t="n">
        <v>633.6</v>
      </c>
      <c r="I14" t="n">
        <v>633.6</v>
      </c>
      <c r="J14" t="n">
        <v>1</v>
      </c>
      <c r="K14" t="inlineStr">
        <is>
          <t>Agregado desde BD_GASTOS_DASHBOARD_BRIDGE (USD)</t>
        </is>
      </c>
    </row>
    <row r="15">
      <c r="A15" t="inlineStr">
        <is>
          <t>2026-02</t>
        </is>
      </c>
      <c r="B15" t="inlineStr">
        <is>
          <t>Colombia</t>
        </is>
      </c>
      <c r="C15" t="inlineStr">
        <is>
          <t>COCO</t>
        </is>
      </c>
      <c r="D15" t="inlineStr">
        <is>
          <t>USD</t>
        </is>
      </c>
      <c r="E15" t="inlineStr">
        <is>
          <t>gasto_area</t>
        </is>
      </c>
      <c r="F15" t="inlineStr">
        <is>
          <t>Financieros</t>
        </is>
      </c>
      <c r="G15" t="inlineStr">
        <is>
          <t>Financieros</t>
        </is>
      </c>
      <c r="H15" t="n">
        <v>1516.5</v>
      </c>
      <c r="I15" t="n">
        <v>3445.83</v>
      </c>
      <c r="J15" t="n">
        <v>1</v>
      </c>
      <c r="K15" t="inlineStr">
        <is>
          <t>Agregado desde BD_GASTOS_DASHBOARD_BRIDGE (USD)</t>
        </is>
      </c>
    </row>
    <row r="16">
      <c r="A16" t="inlineStr">
        <is>
          <t>2026-02</t>
        </is>
      </c>
      <c r="B16" t="inlineStr">
        <is>
          <t>Costa Rica</t>
        </is>
      </c>
      <c r="C16" t="inlineStr">
        <is>
          <t>CR</t>
        </is>
      </c>
      <c r="D16" t="inlineStr">
        <is>
          <t>USD</t>
        </is>
      </c>
      <c r="E16" t="inlineStr">
        <is>
          <t>gasto_admin</t>
        </is>
      </c>
      <c r="F16" t="inlineStr">
        <is>
          <t>Diversos</t>
        </is>
      </c>
      <c r="G16" t="inlineStr">
        <is>
          <t>Administracion</t>
        </is>
      </c>
      <c r="H16" t="n">
        <v>217.26</v>
      </c>
      <c r="I16" t="n">
        <v>479.99</v>
      </c>
      <c r="J16" t="n">
        <v>7</v>
      </c>
      <c r="K16" t="inlineStr">
        <is>
          <t>Agregado desde BD_GASTOS_DASHBOARD_BRIDGE (USD)</t>
        </is>
      </c>
    </row>
    <row r="17">
      <c r="A17" t="inlineStr">
        <is>
          <t>2026-02</t>
        </is>
      </c>
      <c r="B17" t="inlineStr">
        <is>
          <t>Costa Rica</t>
        </is>
      </c>
      <c r="C17" t="inlineStr">
        <is>
          <t>CR</t>
        </is>
      </c>
      <c r="D17" t="inlineStr">
        <is>
          <t>USD</t>
        </is>
      </c>
      <c r="E17" t="inlineStr">
        <is>
          <t>gasto_admin</t>
        </is>
      </c>
      <c r="F17" t="inlineStr">
        <is>
          <t>Honorarios</t>
        </is>
      </c>
      <c r="G17" t="inlineStr">
        <is>
          <t>Administracion</t>
        </is>
      </c>
      <c r="H17" t="n">
        <v>47.76</v>
      </c>
      <c r="I17" t="n">
        <v>270.35</v>
      </c>
      <c r="J17" t="n">
        <v>1</v>
      </c>
      <c r="K17" t="inlineStr">
        <is>
          <t>Agregado desde BD_GASTOS_DASHBOARD_BRIDGE (USD)</t>
        </is>
      </c>
    </row>
    <row r="18">
      <c r="A18" t="inlineStr">
        <is>
          <t>2026-02</t>
        </is>
      </c>
      <c r="B18" t="inlineStr">
        <is>
          <t>Costa Rica</t>
        </is>
      </c>
      <c r="C18" t="inlineStr">
        <is>
          <t>CR</t>
        </is>
      </c>
      <c r="D18" t="inlineStr">
        <is>
          <t>USD</t>
        </is>
      </c>
      <c r="E18" t="inlineStr">
        <is>
          <t>gasto_admin</t>
        </is>
      </c>
      <c r="F18" t="inlineStr">
        <is>
          <t>Personal</t>
        </is>
      </c>
      <c r="G18" t="inlineStr">
        <is>
          <t>Administracion</t>
        </is>
      </c>
      <c r="H18" t="n">
        <v>1600</v>
      </c>
      <c r="I18" t="n">
        <v>4812.37</v>
      </c>
      <c r="J18" t="n">
        <v>2</v>
      </c>
      <c r="K18" t="inlineStr">
        <is>
          <t>Agregado desde BD_GASTOS_DASHBOARD_BRIDGE (USD)</t>
        </is>
      </c>
    </row>
    <row r="19">
      <c r="A19" t="inlineStr">
        <is>
          <t>2026-02</t>
        </is>
      </c>
      <c r="B19" t="inlineStr">
        <is>
          <t>Costa Rica</t>
        </is>
      </c>
      <c r="C19" t="inlineStr">
        <is>
          <t>CR</t>
        </is>
      </c>
      <c r="D19" t="inlineStr">
        <is>
          <t>USD</t>
        </is>
      </c>
      <c r="E19" t="inlineStr">
        <is>
          <t>gasto_admin</t>
        </is>
      </c>
      <c r="F19" t="inlineStr">
        <is>
          <t>Seguros</t>
        </is>
      </c>
      <c r="G19" t="inlineStr">
        <is>
          <t>Administracion</t>
        </is>
      </c>
      <c r="H19" t="n">
        <v>70.81</v>
      </c>
      <c r="I19" t="n">
        <v>70.81</v>
      </c>
      <c r="J19" t="n">
        <v>1</v>
      </c>
      <c r="K19" t="inlineStr">
        <is>
          <t>Agregado desde BD_GASTOS_DASHBOARD_BRIDGE (USD)</t>
        </is>
      </c>
    </row>
    <row r="20">
      <c r="A20" t="inlineStr">
        <is>
          <t>2026-02</t>
        </is>
      </c>
      <c r="B20" t="inlineStr">
        <is>
          <t>Costa Rica</t>
        </is>
      </c>
      <c r="C20" t="inlineStr">
        <is>
          <t>CR</t>
        </is>
      </c>
      <c r="D20" t="inlineStr">
        <is>
          <t>USD</t>
        </is>
      </c>
      <c r="E20" t="inlineStr">
        <is>
          <t>gasto_admin</t>
        </is>
      </c>
      <c r="F20" t="inlineStr">
        <is>
          <t>Viajes</t>
        </is>
      </c>
      <c r="G20" t="inlineStr">
        <is>
          <t>Administracion</t>
        </is>
      </c>
      <c r="H20" t="n">
        <v>300</v>
      </c>
      <c r="I20" t="n">
        <v>900</v>
      </c>
      <c r="J20" t="n">
        <v>1</v>
      </c>
      <c r="K20" t="inlineStr">
        <is>
          <t>Agregado desde BD_GASTOS_DASHBOARD_BRIDGE (USD)</t>
        </is>
      </c>
    </row>
    <row r="21">
      <c r="A21" t="inlineStr">
        <is>
          <t>2026-02</t>
        </is>
      </c>
      <c r="B21" t="inlineStr">
        <is>
          <t>Costa Rica</t>
        </is>
      </c>
      <c r="C21" t="inlineStr">
        <is>
          <t>CR</t>
        </is>
      </c>
      <c r="D21" t="inlineStr">
        <is>
          <t>USD</t>
        </is>
      </c>
      <c r="E21" t="inlineStr">
        <is>
          <t>gasto_area</t>
        </is>
      </c>
      <c r="F21" t="inlineStr">
        <is>
          <t>Financieros</t>
        </is>
      </c>
      <c r="G21" t="inlineStr">
        <is>
          <t>Financieros</t>
        </is>
      </c>
      <c r="H21" t="n">
        <v>30</v>
      </c>
      <c r="I21" t="n">
        <v>80</v>
      </c>
      <c r="J21" t="n">
        <v>1</v>
      </c>
      <c r="K21" t="inlineStr">
        <is>
          <t>Agregado desde BD_GASTOS_DASHBOARD_BRIDGE (USD)</t>
        </is>
      </c>
    </row>
    <row r="22">
      <c r="A22" t="inlineStr">
        <is>
          <t>2026-02</t>
        </is>
      </c>
      <c r="B22" t="inlineStr">
        <is>
          <t>Estados Unidos</t>
        </is>
      </c>
      <c r="C22" t="inlineStr">
        <is>
          <t>USA</t>
        </is>
      </c>
      <c r="D22" t="inlineStr">
        <is>
          <t>USD</t>
        </is>
      </c>
      <c r="E22" t="inlineStr">
        <is>
          <t>gasto_admin</t>
        </is>
      </c>
      <c r="F22" t="inlineStr">
        <is>
          <t>Diversos</t>
        </is>
      </c>
      <c r="G22" t="inlineStr">
        <is>
          <t>Administracion</t>
        </is>
      </c>
      <c r="H22" t="n">
        <v>4021.87</v>
      </c>
      <c r="I22" t="n">
        <v>4528.37</v>
      </c>
      <c r="J22" t="n">
        <v>5</v>
      </c>
      <c r="K22" t="inlineStr">
        <is>
          <t>Agregado desde BD_GASTOS_DASHBOARD_BRIDGE (USD)</t>
        </is>
      </c>
    </row>
    <row r="23">
      <c r="A23" t="inlineStr">
        <is>
          <t>2026-02</t>
        </is>
      </c>
      <c r="B23" t="inlineStr">
        <is>
          <t>Estados Unidos</t>
        </is>
      </c>
      <c r="C23" t="inlineStr">
        <is>
          <t>USA</t>
        </is>
      </c>
      <c r="D23" t="inlineStr">
        <is>
          <t>USD</t>
        </is>
      </c>
      <c r="E23" t="inlineStr">
        <is>
          <t>gasto_admin</t>
        </is>
      </c>
      <c r="F23" t="inlineStr">
        <is>
          <t>Honorarios</t>
        </is>
      </c>
      <c r="G23" t="inlineStr">
        <is>
          <t>Administracion</t>
        </is>
      </c>
      <c r="H23" t="n">
        <v>445</v>
      </c>
      <c r="I23" t="n">
        <v>1945</v>
      </c>
      <c r="J23" t="n">
        <v>2</v>
      </c>
      <c r="K23" t="inlineStr">
        <is>
          <t>Agregado desde BD_GASTOS_DASHBOARD_BRIDGE (USD)</t>
        </is>
      </c>
    </row>
    <row r="24">
      <c r="A24" t="inlineStr">
        <is>
          <t>2026-02</t>
        </is>
      </c>
      <c r="B24" t="inlineStr">
        <is>
          <t>Estados Unidos</t>
        </is>
      </c>
      <c r="C24" t="inlineStr">
        <is>
          <t>USA</t>
        </is>
      </c>
      <c r="D24" t="inlineStr">
        <is>
          <t>USD</t>
        </is>
      </c>
      <c r="E24" t="inlineStr">
        <is>
          <t>gasto_admin</t>
        </is>
      </c>
      <c r="F24" t="inlineStr">
        <is>
          <t>Personal</t>
        </is>
      </c>
      <c r="G24" t="inlineStr">
        <is>
          <t>Administracion</t>
        </is>
      </c>
      <c r="H24" t="n">
        <v>10928.5</v>
      </c>
      <c r="I24" t="n">
        <v>14478.93</v>
      </c>
      <c r="J24" t="n">
        <v>4</v>
      </c>
      <c r="K24" t="inlineStr">
        <is>
          <t>Agregado desde BD_GASTOS_DASHBOARD_BRIDGE (USD)</t>
        </is>
      </c>
    </row>
    <row r="25">
      <c r="A25" t="inlineStr">
        <is>
          <t>2026-02</t>
        </is>
      </c>
      <c r="B25" t="inlineStr">
        <is>
          <t>Estados Unidos</t>
        </is>
      </c>
      <c r="C25" t="inlineStr">
        <is>
          <t>USA</t>
        </is>
      </c>
      <c r="D25" t="inlineStr">
        <is>
          <t>USD</t>
        </is>
      </c>
      <c r="E25" t="inlineStr">
        <is>
          <t>gasto_admin</t>
        </is>
      </c>
      <c r="F25" t="inlineStr">
        <is>
          <t>Servicios</t>
        </is>
      </c>
      <c r="G25" t="inlineStr">
        <is>
          <t>Administracion</t>
        </is>
      </c>
      <c r="H25" t="n">
        <v>604.1799999999999</v>
      </c>
      <c r="I25" t="n">
        <v>885.52</v>
      </c>
      <c r="J25" t="n">
        <v>5</v>
      </c>
      <c r="K25" t="inlineStr">
        <is>
          <t>Agregado desde BD_GASTOS_DASHBOARD_BRIDGE (USD)</t>
        </is>
      </c>
    </row>
    <row r="26">
      <c r="A26" t="inlineStr">
        <is>
          <t>2026-02</t>
        </is>
      </c>
      <c r="B26" t="inlineStr">
        <is>
          <t>Estados Unidos</t>
        </is>
      </c>
      <c r="C26" t="inlineStr">
        <is>
          <t>USA</t>
        </is>
      </c>
      <c r="D26" t="inlineStr">
        <is>
          <t>USD</t>
        </is>
      </c>
      <c r="E26" t="inlineStr">
        <is>
          <t>gasto_admin</t>
        </is>
      </c>
      <c r="F26" t="inlineStr">
        <is>
          <t>Viajes</t>
        </is>
      </c>
      <c r="G26" t="inlineStr">
        <is>
          <t>Administracion</t>
        </is>
      </c>
      <c r="H26" t="n">
        <v>9.91</v>
      </c>
      <c r="I26" t="n">
        <v>9.91</v>
      </c>
      <c r="J26" t="n">
        <v>1</v>
      </c>
      <c r="K26" t="inlineStr">
        <is>
          <t>Agregado desde BD_GASTOS_DASHBOARD_BRIDGE (USD)</t>
        </is>
      </c>
    </row>
    <row r="27">
      <c r="A27" t="inlineStr">
        <is>
          <t>2026-02</t>
        </is>
      </c>
      <c r="B27" t="inlineStr">
        <is>
          <t>Estados Unidos</t>
        </is>
      </c>
      <c r="C27" t="inlineStr">
        <is>
          <t>USA</t>
        </is>
      </c>
      <c r="D27" t="inlineStr">
        <is>
          <t>USD</t>
        </is>
      </c>
      <c r="E27" t="inlineStr">
        <is>
          <t>gasto_area</t>
        </is>
      </c>
      <c r="F27" t="inlineStr">
        <is>
          <t>Financieros</t>
        </is>
      </c>
      <c r="G27" t="inlineStr">
        <is>
          <t>Financieros</t>
        </is>
      </c>
      <c r="H27" t="n">
        <v>83.06999999999999</v>
      </c>
      <c r="I27" t="n">
        <v>158.97</v>
      </c>
      <c r="J27" t="n">
        <v>3</v>
      </c>
      <c r="K27" t="inlineStr">
        <is>
          <t>Agregado desde BD_GASTOS_DASHBOARD_BRIDGE (USD)</t>
        </is>
      </c>
    </row>
    <row r="28">
      <c r="A28" t="inlineStr">
        <is>
          <t>2026-02</t>
        </is>
      </c>
      <c r="B28" t="inlineStr">
        <is>
          <t>Estados Unidos</t>
        </is>
      </c>
      <c r="C28" t="inlineStr">
        <is>
          <t>USA</t>
        </is>
      </c>
      <c r="D28" t="inlineStr">
        <is>
          <t>USD</t>
        </is>
      </c>
      <c r="E28" t="inlineStr">
        <is>
          <t>gasto_comercial</t>
        </is>
      </c>
      <c r="F28" t="inlineStr">
        <is>
          <t>Servicios</t>
        </is>
      </c>
      <c r="G28" t="inlineStr">
        <is>
          <t>Comercial</t>
        </is>
      </c>
      <c r="H28" t="n">
        <v>0</v>
      </c>
      <c r="I28" t="n">
        <v>648</v>
      </c>
      <c r="J28" t="n">
        <v>1</v>
      </c>
      <c r="K28" t="inlineStr">
        <is>
          <t>Agregado desde BD_GASTOS_DASHBOARD_BRIDGE (USD)</t>
        </is>
      </c>
    </row>
    <row r="29">
      <c r="A29" t="inlineStr">
        <is>
          <t>2026-02</t>
        </is>
      </c>
      <c r="B29" t="inlineStr">
        <is>
          <t>Peru</t>
        </is>
      </c>
      <c r="C29" t="inlineStr">
        <is>
          <t>PERU</t>
        </is>
      </c>
      <c r="D29" t="inlineStr">
        <is>
          <t>USD</t>
        </is>
      </c>
      <c r="E29" t="inlineStr">
        <is>
          <t>gasto_admin</t>
        </is>
      </c>
      <c r="F29" t="inlineStr">
        <is>
          <t>Honorarios</t>
        </is>
      </c>
      <c r="G29" t="inlineStr">
        <is>
          <t>Administracion</t>
        </is>
      </c>
      <c r="H29" t="n">
        <v>254.8</v>
      </c>
      <c r="I29" t="n">
        <v>254.8</v>
      </c>
      <c r="J29" t="n">
        <v>2</v>
      </c>
      <c r="K29" t="inlineStr">
        <is>
          <t>Agregado desde BD_GASTOS_DASHBOARD_BRIDGE (USD)</t>
        </is>
      </c>
    </row>
    <row r="30">
      <c r="A30" t="inlineStr">
        <is>
          <t>2026-02</t>
        </is>
      </c>
      <c r="B30" t="inlineStr">
        <is>
          <t>Peru</t>
        </is>
      </c>
      <c r="C30" t="inlineStr">
        <is>
          <t>PERU</t>
        </is>
      </c>
      <c r="D30" t="inlineStr">
        <is>
          <t>USD</t>
        </is>
      </c>
      <c r="E30" t="inlineStr">
        <is>
          <t>gasto_area</t>
        </is>
      </c>
      <c r="F30" t="inlineStr">
        <is>
          <t>Financieros</t>
        </is>
      </c>
      <c r="G30" t="inlineStr">
        <is>
          <t>Financieros</t>
        </is>
      </c>
      <c r="H30" t="n">
        <v>28.12</v>
      </c>
      <c r="I30" t="n">
        <v>55.73</v>
      </c>
      <c r="J30" t="n">
        <v>3</v>
      </c>
      <c r="K30" t="inlineStr">
        <is>
          <t>Agregado desde BD_GASTOS_DASHBOARD_BRIDGE (USD)</t>
        </is>
      </c>
    </row>
    <row r="31">
      <c r="A31" t="inlineStr">
        <is>
          <t>2026-02</t>
        </is>
      </c>
      <c r="B31" t="inlineStr">
        <is>
          <t>Peru</t>
        </is>
      </c>
      <c r="C31" t="inlineStr">
        <is>
          <t>PERU</t>
        </is>
      </c>
      <c r="D31" t="inlineStr">
        <is>
          <t>USD</t>
        </is>
      </c>
      <c r="E31" t="inlineStr">
        <is>
          <t>gasto_comercial</t>
        </is>
      </c>
      <c r="F31" t="inlineStr">
        <is>
          <t>Honorarios</t>
        </is>
      </c>
      <c r="G31" t="inlineStr">
        <is>
          <t>Comercial</t>
        </is>
      </c>
      <c r="H31" t="n">
        <v>0</v>
      </c>
      <c r="I31" t="n">
        <v>633.6</v>
      </c>
      <c r="J31" t="n">
        <v>1</v>
      </c>
      <c r="K31" t="inlineStr">
        <is>
          <t>Agregado desde BD_GASTOS_DASHBOARD_BRIDGE (USD)</t>
        </is>
      </c>
    </row>
    <row r="32">
      <c r="A32" t="inlineStr">
        <is>
          <t>2026-03</t>
        </is>
      </c>
      <c r="B32" t="inlineStr">
        <is>
          <t>Colombia</t>
        </is>
      </c>
      <c r="C32" t="inlineStr">
        <is>
          <t>COCO</t>
        </is>
      </c>
      <c r="D32" t="inlineStr">
        <is>
          <t>USD</t>
        </is>
      </c>
      <c r="E32" t="inlineStr">
        <is>
          <t>gasto_area</t>
        </is>
      </c>
      <c r="F32" t="inlineStr">
        <is>
          <t>Financieros</t>
        </is>
      </c>
      <c r="G32" t="inlineStr">
        <is>
          <t>Financieros</t>
        </is>
      </c>
      <c r="H32" t="n">
        <v>1478.81</v>
      </c>
      <c r="I32" t="n">
        <v>4885.78</v>
      </c>
      <c r="J32" t="n">
        <v>1</v>
      </c>
      <c r="K32" t="inlineStr">
        <is>
          <t>Agregado desde BD_GASTOS_DASHBOARD_BRIDGE (USD)</t>
        </is>
      </c>
    </row>
    <row r="33">
      <c r="A33" t="inlineStr">
        <is>
          <t>2026-03</t>
        </is>
      </c>
      <c r="B33" t="inlineStr">
        <is>
          <t>Costa Rica</t>
        </is>
      </c>
      <c r="C33" t="inlineStr">
        <is>
          <t>CR</t>
        </is>
      </c>
      <c r="D33" t="inlineStr">
        <is>
          <t>USD</t>
        </is>
      </c>
      <c r="E33" t="inlineStr">
        <is>
          <t>gasto_admin</t>
        </is>
      </c>
      <c r="F33" t="inlineStr">
        <is>
          <t>Diversos</t>
        </is>
      </c>
      <c r="G33" t="inlineStr">
        <is>
          <t>Administracion</t>
        </is>
      </c>
      <c r="H33" t="n">
        <v>217.26</v>
      </c>
      <c r="I33" t="n">
        <v>479.99</v>
      </c>
      <c r="J33" t="n">
        <v>7</v>
      </c>
      <c r="K33" t="inlineStr">
        <is>
          <t>Agregado desde BD_GASTOS_DASHBOARD_BRIDGE (USD)</t>
        </is>
      </c>
    </row>
    <row r="34">
      <c r="A34" t="inlineStr">
        <is>
          <t>2026-03</t>
        </is>
      </c>
      <c r="B34" t="inlineStr">
        <is>
          <t>Costa Rica</t>
        </is>
      </c>
      <c r="C34" t="inlineStr">
        <is>
          <t>CR</t>
        </is>
      </c>
      <c r="D34" t="inlineStr">
        <is>
          <t>USD</t>
        </is>
      </c>
      <c r="E34" t="inlineStr">
        <is>
          <t>gasto_admin</t>
        </is>
      </c>
      <c r="F34" t="inlineStr">
        <is>
          <t>Honorarios</t>
        </is>
      </c>
      <c r="G34" t="inlineStr">
        <is>
          <t>Administracion</t>
        </is>
      </c>
      <c r="H34" t="n">
        <v>47.76</v>
      </c>
      <c r="I34" t="n">
        <v>270.35</v>
      </c>
      <c r="J34" t="n">
        <v>1</v>
      </c>
      <c r="K34" t="inlineStr">
        <is>
          <t>Agregado desde BD_GASTOS_DASHBOARD_BRIDGE (USD)</t>
        </is>
      </c>
    </row>
    <row r="35">
      <c r="A35" t="inlineStr">
        <is>
          <t>2026-03</t>
        </is>
      </c>
      <c r="B35" t="inlineStr">
        <is>
          <t>Costa Rica</t>
        </is>
      </c>
      <c r="C35" t="inlineStr">
        <is>
          <t>CR</t>
        </is>
      </c>
      <c r="D35" t="inlineStr">
        <is>
          <t>USD</t>
        </is>
      </c>
      <c r="E35" t="inlineStr">
        <is>
          <t>gasto_admin</t>
        </is>
      </c>
      <c r="F35" t="inlineStr">
        <is>
          <t>Personal</t>
        </is>
      </c>
      <c r="G35" t="inlineStr">
        <is>
          <t>Administracion</t>
        </is>
      </c>
      <c r="H35" t="n">
        <v>1600</v>
      </c>
      <c r="I35" t="n">
        <v>4812.37</v>
      </c>
      <c r="J35" t="n">
        <v>2</v>
      </c>
      <c r="K35" t="inlineStr">
        <is>
          <t>Agregado desde BD_GASTOS_DASHBOARD_BRIDGE (USD)</t>
        </is>
      </c>
    </row>
    <row r="36">
      <c r="A36" t="inlineStr">
        <is>
          <t>2026-03</t>
        </is>
      </c>
      <c r="B36" t="inlineStr">
        <is>
          <t>Costa Rica</t>
        </is>
      </c>
      <c r="C36" t="inlineStr">
        <is>
          <t>CR</t>
        </is>
      </c>
      <c r="D36" t="inlineStr">
        <is>
          <t>USD</t>
        </is>
      </c>
      <c r="E36" t="inlineStr">
        <is>
          <t>gasto_admin</t>
        </is>
      </c>
      <c r="F36" t="inlineStr">
        <is>
          <t>Seguros</t>
        </is>
      </c>
      <c r="G36" t="inlineStr">
        <is>
          <t>Administracion</t>
        </is>
      </c>
      <c r="H36" t="n">
        <v>70.81</v>
      </c>
      <c r="I36" t="n">
        <v>70.81</v>
      </c>
      <c r="J36" t="n">
        <v>1</v>
      </c>
      <c r="K36" t="inlineStr">
        <is>
          <t>Agregado desde BD_GASTOS_DASHBOARD_BRIDGE (USD)</t>
        </is>
      </c>
    </row>
    <row r="37">
      <c r="A37" t="inlineStr">
        <is>
          <t>2026-03</t>
        </is>
      </c>
      <c r="B37" t="inlineStr">
        <is>
          <t>Costa Rica</t>
        </is>
      </c>
      <c r="C37" t="inlineStr">
        <is>
          <t>CR</t>
        </is>
      </c>
      <c r="D37" t="inlineStr">
        <is>
          <t>USD</t>
        </is>
      </c>
      <c r="E37" t="inlineStr">
        <is>
          <t>gasto_admin</t>
        </is>
      </c>
      <c r="F37" t="inlineStr">
        <is>
          <t>Viajes</t>
        </is>
      </c>
      <c r="G37" t="inlineStr">
        <is>
          <t>Administracion</t>
        </is>
      </c>
      <c r="H37" t="n">
        <v>300</v>
      </c>
      <c r="I37" t="n">
        <v>900</v>
      </c>
      <c r="J37" t="n">
        <v>1</v>
      </c>
      <c r="K37" t="inlineStr">
        <is>
          <t>Agregado desde BD_GASTOS_DASHBOARD_BRIDGE (USD)</t>
        </is>
      </c>
    </row>
    <row r="38">
      <c r="A38" t="inlineStr">
        <is>
          <t>2026-03</t>
        </is>
      </c>
      <c r="B38" t="inlineStr">
        <is>
          <t>Costa Rica</t>
        </is>
      </c>
      <c r="C38" t="inlineStr">
        <is>
          <t>CR</t>
        </is>
      </c>
      <c r="D38" t="inlineStr">
        <is>
          <t>USD</t>
        </is>
      </c>
      <c r="E38" t="inlineStr">
        <is>
          <t>gasto_area</t>
        </is>
      </c>
      <c r="F38" t="inlineStr">
        <is>
          <t>Financieros</t>
        </is>
      </c>
      <c r="G38" t="inlineStr">
        <is>
          <t>Financieros</t>
        </is>
      </c>
      <c r="H38" t="n">
        <v>30</v>
      </c>
      <c r="I38" t="n">
        <v>80</v>
      </c>
      <c r="J38" t="n">
        <v>1</v>
      </c>
      <c r="K38" t="inlineStr">
        <is>
          <t>Agregado desde BD_GASTOS_DASHBOARD_BRIDGE (USD)</t>
        </is>
      </c>
    </row>
    <row r="39">
      <c r="A39" t="inlineStr">
        <is>
          <t>2026-03</t>
        </is>
      </c>
      <c r="B39" t="inlineStr">
        <is>
          <t>Estados Unidos</t>
        </is>
      </c>
      <c r="C39" t="inlineStr">
        <is>
          <t>USA</t>
        </is>
      </c>
      <c r="D39" t="inlineStr">
        <is>
          <t>USD</t>
        </is>
      </c>
      <c r="E39" t="inlineStr">
        <is>
          <t>gasto_admin</t>
        </is>
      </c>
      <c r="F39" t="inlineStr">
        <is>
          <t>Diversos</t>
        </is>
      </c>
      <c r="G39" t="inlineStr">
        <is>
          <t>Administracion</t>
        </is>
      </c>
      <c r="H39" t="n">
        <v>336.98</v>
      </c>
      <c r="I39" t="n">
        <v>4865.35</v>
      </c>
      <c r="J39" t="n">
        <v>10</v>
      </c>
      <c r="K39" t="inlineStr">
        <is>
          <t>Agregado desde BD_GASTOS_DASHBOARD_BRIDGE (USD)</t>
        </is>
      </c>
    </row>
    <row r="40">
      <c r="A40" t="inlineStr">
        <is>
          <t>2026-03</t>
        </is>
      </c>
      <c r="B40" t="inlineStr">
        <is>
          <t>Estados Unidos</t>
        </is>
      </c>
      <c r="C40" t="inlineStr">
        <is>
          <t>USA</t>
        </is>
      </c>
      <c r="D40" t="inlineStr">
        <is>
          <t>USD</t>
        </is>
      </c>
      <c r="E40" t="inlineStr">
        <is>
          <t>gasto_admin</t>
        </is>
      </c>
      <c r="F40" t="inlineStr">
        <is>
          <t>Honorarios</t>
        </is>
      </c>
      <c r="G40" t="inlineStr">
        <is>
          <t>Administracion</t>
        </is>
      </c>
      <c r="H40" t="n">
        <v>2557.46</v>
      </c>
      <c r="I40" t="n">
        <v>4502.46</v>
      </c>
      <c r="J40" t="n">
        <v>3</v>
      </c>
      <c r="K40" t="inlineStr">
        <is>
          <t>Agregado desde BD_GASTOS_DASHBOARD_BRIDGE (USD)</t>
        </is>
      </c>
    </row>
    <row r="41">
      <c r="A41" t="inlineStr">
        <is>
          <t>2026-03</t>
        </is>
      </c>
      <c r="B41" t="inlineStr">
        <is>
          <t>Estados Unidos</t>
        </is>
      </c>
      <c r="C41" t="inlineStr">
        <is>
          <t>USA</t>
        </is>
      </c>
      <c r="D41" t="inlineStr">
        <is>
          <t>USD</t>
        </is>
      </c>
      <c r="E41" t="inlineStr">
        <is>
          <t>gasto_admin</t>
        </is>
      </c>
      <c r="F41" t="inlineStr">
        <is>
          <t>Personal</t>
        </is>
      </c>
      <c r="G41" t="inlineStr">
        <is>
          <t>Administracion</t>
        </is>
      </c>
      <c r="H41" t="n">
        <v>3670.94</v>
      </c>
      <c r="I41" t="n">
        <v>18149.87</v>
      </c>
      <c r="J41" t="n">
        <v>6</v>
      </c>
      <c r="K41" t="inlineStr">
        <is>
          <t>Agregado desde BD_GASTOS_DASHBOARD_BRIDGE (USD)</t>
        </is>
      </c>
    </row>
    <row r="42">
      <c r="A42" t="inlineStr">
        <is>
          <t>2026-03</t>
        </is>
      </c>
      <c r="B42" t="inlineStr">
        <is>
          <t>Estados Unidos</t>
        </is>
      </c>
      <c r="C42" t="inlineStr">
        <is>
          <t>USA</t>
        </is>
      </c>
      <c r="D42" t="inlineStr">
        <is>
          <t>USD</t>
        </is>
      </c>
      <c r="E42" t="inlineStr">
        <is>
          <t>gasto_admin</t>
        </is>
      </c>
      <c r="F42" t="inlineStr">
        <is>
          <t>Servicios</t>
        </is>
      </c>
      <c r="G42" t="inlineStr">
        <is>
          <t>Administracion</t>
        </is>
      </c>
      <c r="H42" t="n">
        <v>203.79</v>
      </c>
      <c r="I42" t="n">
        <v>1089.31</v>
      </c>
      <c r="J42" t="n">
        <v>5</v>
      </c>
      <c r="K42" t="inlineStr">
        <is>
          <t>Agregado desde BD_GASTOS_DASHBOARD_BRIDGE (USD)</t>
        </is>
      </c>
    </row>
    <row r="43">
      <c r="A43" t="inlineStr">
        <is>
          <t>2026-03</t>
        </is>
      </c>
      <c r="B43" t="inlineStr">
        <is>
          <t>Estados Unidos</t>
        </is>
      </c>
      <c r="C43" t="inlineStr">
        <is>
          <t>USA</t>
        </is>
      </c>
      <c r="D43" t="inlineStr">
        <is>
          <t>USD</t>
        </is>
      </c>
      <c r="E43" t="inlineStr">
        <is>
          <t>gasto_admin</t>
        </is>
      </c>
      <c r="F43" t="inlineStr">
        <is>
          <t>Viajes</t>
        </is>
      </c>
      <c r="G43" t="inlineStr">
        <is>
          <t>Administracion</t>
        </is>
      </c>
      <c r="H43" t="n">
        <v>51.94</v>
      </c>
      <c r="I43" t="n">
        <v>61.85</v>
      </c>
      <c r="J43" t="n">
        <v>2</v>
      </c>
      <c r="K43" t="inlineStr">
        <is>
          <t>Agregado desde BD_GASTOS_DASHBOARD_BRIDGE (USD)</t>
        </is>
      </c>
    </row>
    <row r="44">
      <c r="A44" t="inlineStr">
        <is>
          <t>2026-03</t>
        </is>
      </c>
      <c r="B44" t="inlineStr">
        <is>
          <t>Estados Unidos</t>
        </is>
      </c>
      <c r="C44" t="inlineStr">
        <is>
          <t>USA</t>
        </is>
      </c>
      <c r="D44" t="inlineStr">
        <is>
          <t>USD</t>
        </is>
      </c>
      <c r="E44" t="inlineStr">
        <is>
          <t>gasto_area</t>
        </is>
      </c>
      <c r="F44" t="inlineStr">
        <is>
          <t>Financieros</t>
        </is>
      </c>
      <c r="G44" t="inlineStr">
        <is>
          <t>Financieros</t>
        </is>
      </c>
      <c r="H44" t="n">
        <v>8.33</v>
      </c>
      <c r="I44" t="n">
        <v>167.3</v>
      </c>
      <c r="J44" t="n">
        <v>4</v>
      </c>
      <c r="K44" t="inlineStr">
        <is>
          <t>Agregado desde BD_GASTOS_DASHBOARD_BRIDGE (USD)</t>
        </is>
      </c>
    </row>
    <row r="45">
      <c r="A45" t="inlineStr">
        <is>
          <t>2026-03</t>
        </is>
      </c>
      <c r="B45" t="inlineStr">
        <is>
          <t>Estados Unidos</t>
        </is>
      </c>
      <c r="C45" t="inlineStr">
        <is>
          <t>USA</t>
        </is>
      </c>
      <c r="D45" t="inlineStr">
        <is>
          <t>USD</t>
        </is>
      </c>
      <c r="E45" t="inlineStr">
        <is>
          <t>gasto_comercial</t>
        </is>
      </c>
      <c r="F45" t="inlineStr">
        <is>
          <t>Servicios</t>
        </is>
      </c>
      <c r="G45" t="inlineStr">
        <is>
          <t>Comercial</t>
        </is>
      </c>
      <c r="H45" t="n">
        <v>400</v>
      </c>
      <c r="I45" t="n">
        <v>1048</v>
      </c>
      <c r="J45" t="n">
        <v>2</v>
      </c>
      <c r="K45" t="inlineStr">
        <is>
          <t>Agregado desde BD_GASTOS_DASHBOARD_BRIDGE (USD)</t>
        </is>
      </c>
    </row>
    <row r="46">
      <c r="A46" t="inlineStr">
        <is>
          <t>2026-03</t>
        </is>
      </c>
      <c r="B46" t="inlineStr">
        <is>
          <t>Peru</t>
        </is>
      </c>
      <c r="C46" t="inlineStr">
        <is>
          <t>PERU</t>
        </is>
      </c>
      <c r="D46" t="inlineStr">
        <is>
          <t>USD</t>
        </is>
      </c>
      <c r="E46" t="inlineStr">
        <is>
          <t>gasto_admin</t>
        </is>
      </c>
      <c r="F46" t="inlineStr">
        <is>
          <t>Honorarios</t>
        </is>
      </c>
      <c r="G46" t="inlineStr">
        <is>
          <t>Administracion</t>
        </is>
      </c>
      <c r="H46" t="n">
        <v>471.21</v>
      </c>
      <c r="I46" t="n">
        <v>968.84</v>
      </c>
      <c r="J46" t="n">
        <v>2</v>
      </c>
      <c r="K46" t="inlineStr">
        <is>
          <t>Agregado desde BD_GASTOS_DASHBOARD_BRIDGE (USD)</t>
        </is>
      </c>
    </row>
    <row r="47">
      <c r="A47" t="inlineStr">
        <is>
          <t>2026-03</t>
        </is>
      </c>
      <c r="B47" t="inlineStr">
        <is>
          <t>Peru</t>
        </is>
      </c>
      <c r="C47" t="inlineStr">
        <is>
          <t>PERU</t>
        </is>
      </c>
      <c r="D47" t="inlineStr">
        <is>
          <t>USD</t>
        </is>
      </c>
      <c r="E47" t="inlineStr">
        <is>
          <t>gasto_area</t>
        </is>
      </c>
      <c r="F47" t="inlineStr">
        <is>
          <t>Financieros</t>
        </is>
      </c>
      <c r="G47" t="inlineStr">
        <is>
          <t>Financieros</t>
        </is>
      </c>
      <c r="H47" t="n">
        <v>26.5</v>
      </c>
      <c r="I47" t="n">
        <v>107.22</v>
      </c>
      <c r="J47" t="n">
        <v>3</v>
      </c>
      <c r="K47" t="inlineStr">
        <is>
          <t>Agregado desde BD_GASTOS_DASHBOARD_BRIDGE (USD)</t>
        </is>
      </c>
    </row>
    <row r="48">
      <c r="A48" t="inlineStr">
        <is>
          <t>2026-03</t>
        </is>
      </c>
      <c r="B48" t="inlineStr">
        <is>
          <t>Peru</t>
        </is>
      </c>
      <c r="C48" t="inlineStr">
        <is>
          <t>PERU</t>
        </is>
      </c>
      <c r="D48" t="inlineStr">
        <is>
          <t>USD</t>
        </is>
      </c>
      <c r="E48" t="inlineStr">
        <is>
          <t>gasto_comercial</t>
        </is>
      </c>
      <c r="F48" t="inlineStr">
        <is>
          <t>Diversos</t>
        </is>
      </c>
      <c r="G48" t="inlineStr">
        <is>
          <t>Comercial</t>
        </is>
      </c>
      <c r="H48" t="n">
        <v>0</v>
      </c>
      <c r="I48" t="n">
        <v>0.55</v>
      </c>
      <c r="J48" t="n">
        <v>1</v>
      </c>
      <c r="K48" t="inlineStr">
        <is>
          <t>Agregado desde BD_GASTOS_DASHBOARD_BRIDGE (USD)</t>
        </is>
      </c>
    </row>
    <row r="49">
      <c r="A49" t="inlineStr">
        <is>
          <t>2026-03</t>
        </is>
      </c>
      <c r="B49" t="inlineStr">
        <is>
          <t>Peru</t>
        </is>
      </c>
      <c r="C49" t="inlineStr">
        <is>
          <t>PERU</t>
        </is>
      </c>
      <c r="D49" t="inlineStr">
        <is>
          <t>USD</t>
        </is>
      </c>
      <c r="E49" t="inlineStr">
        <is>
          <t>gasto_comercial</t>
        </is>
      </c>
      <c r="F49" t="inlineStr">
        <is>
          <t>Honorarios</t>
        </is>
      </c>
      <c r="G49" t="inlineStr">
        <is>
          <t>Comercial</t>
        </is>
      </c>
      <c r="H49" t="n">
        <v>0</v>
      </c>
      <c r="I49" t="n">
        <v>617.0599999999999</v>
      </c>
      <c r="J49" t="n">
        <v>1</v>
      </c>
      <c r="K49" t="inlineStr">
        <is>
          <t>Agregado desde BD_GASTOS_DASHBOARD_BRIDGE (USD)</t>
        </is>
      </c>
    </row>
    <row r="50">
      <c r="A50" t="inlineStr">
        <is>
          <t>2026-03</t>
        </is>
      </c>
      <c r="B50" t="inlineStr">
        <is>
          <t>Peru</t>
        </is>
      </c>
      <c r="C50" t="inlineStr">
        <is>
          <t>PERU</t>
        </is>
      </c>
      <c r="D50" t="inlineStr">
        <is>
          <t>USD</t>
        </is>
      </c>
      <c r="E50" t="inlineStr">
        <is>
          <t>gasto_comercial</t>
        </is>
      </c>
      <c r="F50" t="inlineStr">
        <is>
          <t>Servicios</t>
        </is>
      </c>
      <c r="G50" t="inlineStr">
        <is>
          <t>Comercial</t>
        </is>
      </c>
      <c r="H50" t="n">
        <v>0</v>
      </c>
      <c r="I50" t="n">
        <v>494.98</v>
      </c>
      <c r="J50" t="n">
        <v>1</v>
      </c>
      <c r="K50" t="inlineStr">
        <is>
          <t>Agregado desde BD_GASTOS_DASHBOARD_BRIDGE (USD)</t>
        </is>
      </c>
    </row>
    <row r="51">
      <c r="A51" t="inlineStr">
        <is>
          <t>2026-03</t>
        </is>
      </c>
      <c r="B51" t="inlineStr">
        <is>
          <t>Peru</t>
        </is>
      </c>
      <c r="C51" t="inlineStr">
        <is>
          <t>PERU</t>
        </is>
      </c>
      <c r="D51" t="inlineStr">
        <is>
          <t>USD</t>
        </is>
      </c>
      <c r="E51" t="inlineStr">
        <is>
          <t>gasto_comercial</t>
        </is>
      </c>
      <c r="F51" t="inlineStr">
        <is>
          <t>Viajes</t>
        </is>
      </c>
      <c r="G51" t="inlineStr">
        <is>
          <t>Comercial</t>
        </is>
      </c>
      <c r="H51" t="n">
        <v>246.49</v>
      </c>
      <c r="I51" t="n">
        <v>550.75</v>
      </c>
      <c r="J51" t="n">
        <v>12</v>
      </c>
      <c r="K51" t="inlineStr">
        <is>
          <t>Agregado desde BD_GASTOS_DASHBOARD_BRIDGE (USD)</t>
        </is>
      </c>
    </row>
    <row r="52">
      <c r="A52" t="inlineStr">
        <is>
          <t>2026-04</t>
        </is>
      </c>
      <c r="B52" t="inlineStr">
        <is>
          <t>Colombia</t>
        </is>
      </c>
      <c r="C52" t="inlineStr">
        <is>
          <t>COCO</t>
        </is>
      </c>
      <c r="D52" t="inlineStr">
        <is>
          <t>USD</t>
        </is>
      </c>
      <c r="E52" t="inlineStr">
        <is>
          <t>gasto_area</t>
        </is>
      </c>
      <c r="F52" t="inlineStr">
        <is>
          <t>Financieros</t>
        </is>
      </c>
      <c r="G52" t="inlineStr">
        <is>
          <t>Financieros</t>
        </is>
      </c>
      <c r="H52" t="n">
        <v>1392.83</v>
      </c>
      <c r="I52" t="n">
        <v>6413.73</v>
      </c>
      <c r="J52" t="n">
        <v>1</v>
      </c>
      <c r="K52" t="inlineStr">
        <is>
          <t>Agregado desde BD_GASTOS_DASHBOARD_BRIDGE (USD)</t>
        </is>
      </c>
    </row>
    <row r="53">
      <c r="A53" t="inlineStr">
        <is>
          <t>2026-04</t>
        </is>
      </c>
      <c r="B53" t="inlineStr">
        <is>
          <t>Costa Rica</t>
        </is>
      </c>
      <c r="C53" t="inlineStr">
        <is>
          <t>CR</t>
        </is>
      </c>
      <c r="D53" t="inlineStr">
        <is>
          <t>USD</t>
        </is>
      </c>
      <c r="E53" t="inlineStr">
        <is>
          <t>gasto_admin</t>
        </is>
      </c>
      <c r="F53" t="inlineStr">
        <is>
          <t>Diversos</t>
        </is>
      </c>
      <c r="G53" t="inlineStr">
        <is>
          <t>Administracion</t>
        </is>
      </c>
      <c r="H53" t="n">
        <v>115.64</v>
      </c>
      <c r="I53" t="n">
        <v>595.63</v>
      </c>
      <c r="J53" t="n">
        <v>7</v>
      </c>
      <c r="K53" t="inlineStr">
        <is>
          <t>Agregado desde BD_GASTOS_DASHBOARD_BRIDGE (USD)</t>
        </is>
      </c>
    </row>
    <row r="54">
      <c r="A54" t="inlineStr">
        <is>
          <t>2026-04</t>
        </is>
      </c>
      <c r="B54" t="inlineStr">
        <is>
          <t>Costa Rica</t>
        </is>
      </c>
      <c r="C54" t="inlineStr">
        <is>
          <t>CR</t>
        </is>
      </c>
      <c r="D54" t="inlineStr">
        <is>
          <t>USD</t>
        </is>
      </c>
      <c r="E54" t="inlineStr">
        <is>
          <t>gasto_admin</t>
        </is>
      </c>
      <c r="F54" t="inlineStr">
        <is>
          <t>Honorarios</t>
        </is>
      </c>
      <c r="G54" t="inlineStr">
        <is>
          <t>Administracion</t>
        </is>
      </c>
      <c r="H54" t="n">
        <v>0</v>
      </c>
      <c r="I54" t="n">
        <v>270.35</v>
      </c>
      <c r="J54" t="n">
        <v>1</v>
      </c>
      <c r="K54" t="inlineStr">
        <is>
          <t>Agregado desde BD_GASTOS_DASHBOARD_BRIDGE (USD)</t>
        </is>
      </c>
    </row>
    <row r="55">
      <c r="A55" t="inlineStr">
        <is>
          <t>2026-04</t>
        </is>
      </c>
      <c r="B55" t="inlineStr">
        <is>
          <t>Costa Rica</t>
        </is>
      </c>
      <c r="C55" t="inlineStr">
        <is>
          <t>CR</t>
        </is>
      </c>
      <c r="D55" t="inlineStr">
        <is>
          <t>USD</t>
        </is>
      </c>
      <c r="E55" t="inlineStr">
        <is>
          <t>gasto_admin</t>
        </is>
      </c>
      <c r="F55" t="inlineStr">
        <is>
          <t>Personal</t>
        </is>
      </c>
      <c r="G55" t="inlineStr">
        <is>
          <t>Administracion</t>
        </is>
      </c>
      <c r="H55" t="n">
        <v>1600</v>
      </c>
      <c r="I55" t="n">
        <v>6412.37</v>
      </c>
      <c r="J55" t="n">
        <v>2</v>
      </c>
      <c r="K55" t="inlineStr">
        <is>
          <t>Agregado desde BD_GASTOS_DASHBOARD_BRIDGE (USD)</t>
        </is>
      </c>
    </row>
    <row r="56">
      <c r="A56" t="inlineStr">
        <is>
          <t>2026-04</t>
        </is>
      </c>
      <c r="B56" t="inlineStr">
        <is>
          <t>Costa Rica</t>
        </is>
      </c>
      <c r="C56" t="inlineStr">
        <is>
          <t>CR</t>
        </is>
      </c>
      <c r="D56" t="inlineStr">
        <is>
          <t>USD</t>
        </is>
      </c>
      <c r="E56" t="inlineStr">
        <is>
          <t>gasto_admin</t>
        </is>
      </c>
      <c r="F56" t="inlineStr">
        <is>
          <t>Seguros</t>
        </is>
      </c>
      <c r="G56" t="inlineStr">
        <is>
          <t>Administracion</t>
        </is>
      </c>
      <c r="H56" t="n">
        <v>9205.719999999999</v>
      </c>
      <c r="I56" t="n">
        <v>9276.530000000001</v>
      </c>
      <c r="J56" t="n">
        <v>2</v>
      </c>
      <c r="K56" t="inlineStr">
        <is>
          <t>Agregado desde BD_GASTOS_DASHBOARD_BRIDGE (USD)</t>
        </is>
      </c>
    </row>
    <row r="57">
      <c r="A57" t="inlineStr">
        <is>
          <t>2026-04</t>
        </is>
      </c>
      <c r="B57" t="inlineStr">
        <is>
          <t>Costa Rica</t>
        </is>
      </c>
      <c r="C57" t="inlineStr">
        <is>
          <t>CR</t>
        </is>
      </c>
      <c r="D57" t="inlineStr">
        <is>
          <t>USD</t>
        </is>
      </c>
      <c r="E57" t="inlineStr">
        <is>
          <t>gasto_admin</t>
        </is>
      </c>
      <c r="F57" t="inlineStr">
        <is>
          <t>Servicios</t>
        </is>
      </c>
      <c r="G57" t="inlineStr">
        <is>
          <t>Administracion</t>
        </is>
      </c>
      <c r="H57" t="n">
        <v>57.71</v>
      </c>
      <c r="I57" t="n">
        <v>57.71</v>
      </c>
      <c r="J57" t="n">
        <v>1</v>
      </c>
      <c r="K57" t="inlineStr">
        <is>
          <t>Agregado desde BD_GASTOS_DASHBOARD_BRIDGE (USD)</t>
        </is>
      </c>
    </row>
    <row r="58">
      <c r="A58" t="inlineStr">
        <is>
          <t>2026-04</t>
        </is>
      </c>
      <c r="B58" t="inlineStr">
        <is>
          <t>Costa Rica</t>
        </is>
      </c>
      <c r="C58" t="inlineStr">
        <is>
          <t>CR</t>
        </is>
      </c>
      <c r="D58" t="inlineStr">
        <is>
          <t>USD</t>
        </is>
      </c>
      <c r="E58" t="inlineStr">
        <is>
          <t>gasto_admin</t>
        </is>
      </c>
      <c r="F58" t="inlineStr">
        <is>
          <t>Viajes</t>
        </is>
      </c>
      <c r="G58" t="inlineStr">
        <is>
          <t>Administracion</t>
        </is>
      </c>
      <c r="H58" t="n">
        <v>300</v>
      </c>
      <c r="I58" t="n">
        <v>1200</v>
      </c>
      <c r="J58" t="n">
        <v>1</v>
      </c>
      <c r="K58" t="inlineStr">
        <is>
          <t>Agregado desde BD_GASTOS_DASHBOARD_BRIDGE (USD)</t>
        </is>
      </c>
    </row>
    <row r="59">
      <c r="A59" t="inlineStr">
        <is>
          <t>2026-04</t>
        </is>
      </c>
      <c r="B59" t="inlineStr">
        <is>
          <t>Costa Rica</t>
        </is>
      </c>
      <c r="C59" t="inlineStr">
        <is>
          <t>CR</t>
        </is>
      </c>
      <c r="D59" t="inlineStr">
        <is>
          <t>USD</t>
        </is>
      </c>
      <c r="E59" t="inlineStr">
        <is>
          <t>gasto_area</t>
        </is>
      </c>
      <c r="F59" t="inlineStr">
        <is>
          <t>Financieros</t>
        </is>
      </c>
      <c r="G59" t="inlineStr">
        <is>
          <t>Financieros</t>
        </is>
      </c>
      <c r="H59" t="n">
        <v>40</v>
      </c>
      <c r="I59" t="n">
        <v>120</v>
      </c>
      <c r="J59" t="n">
        <v>1</v>
      </c>
      <c r="K59" t="inlineStr">
        <is>
          <t>Agregado desde BD_GASTOS_DASHBOARD_BRIDGE (USD)</t>
        </is>
      </c>
    </row>
    <row r="60">
      <c r="A60" t="inlineStr">
        <is>
          <t>2026-04</t>
        </is>
      </c>
      <c r="B60" t="inlineStr">
        <is>
          <t>Estados Unidos</t>
        </is>
      </c>
      <c r="C60" t="inlineStr">
        <is>
          <t>USA</t>
        </is>
      </c>
      <c r="D60" t="inlineStr">
        <is>
          <t>USD</t>
        </is>
      </c>
      <c r="E60" t="inlineStr">
        <is>
          <t>gasto_admin</t>
        </is>
      </c>
      <c r="F60" t="inlineStr">
        <is>
          <t>Diversos</t>
        </is>
      </c>
      <c r="G60" t="inlineStr">
        <is>
          <t>Administracion</t>
        </is>
      </c>
      <c r="H60" t="n">
        <v>1184.49</v>
      </c>
      <c r="I60" t="n">
        <v>6049.84</v>
      </c>
      <c r="J60" t="n">
        <v>20</v>
      </c>
      <c r="K60" t="inlineStr">
        <is>
          <t>Agregado desde BD_GASTOS_DASHBOARD_BRIDGE (USD)</t>
        </is>
      </c>
    </row>
    <row r="61">
      <c r="A61" t="inlineStr">
        <is>
          <t>2026-04</t>
        </is>
      </c>
      <c r="B61" t="inlineStr">
        <is>
          <t>Estados Unidos</t>
        </is>
      </c>
      <c r="C61" t="inlineStr">
        <is>
          <t>USA</t>
        </is>
      </c>
      <c r="D61" t="inlineStr">
        <is>
          <t>USD</t>
        </is>
      </c>
      <c r="E61" t="inlineStr">
        <is>
          <t>gasto_admin</t>
        </is>
      </c>
      <c r="F61" t="inlineStr">
        <is>
          <t>Honorarios</t>
        </is>
      </c>
      <c r="G61" t="inlineStr">
        <is>
          <t>Administracion</t>
        </is>
      </c>
      <c r="H61" t="n">
        <v>0</v>
      </c>
      <c r="I61" t="n">
        <v>4502.46</v>
      </c>
      <c r="J61" t="n">
        <v>3</v>
      </c>
      <c r="K61" t="inlineStr">
        <is>
          <t>Agregado desde BD_GASTOS_DASHBOARD_BRIDGE (USD)</t>
        </is>
      </c>
    </row>
    <row r="62">
      <c r="A62" t="inlineStr">
        <is>
          <t>2026-04</t>
        </is>
      </c>
      <c r="B62" t="inlineStr">
        <is>
          <t>Estados Unidos</t>
        </is>
      </c>
      <c r="C62" t="inlineStr">
        <is>
          <t>USA</t>
        </is>
      </c>
      <c r="D62" t="inlineStr">
        <is>
          <t>USD</t>
        </is>
      </c>
      <c r="E62" t="inlineStr">
        <is>
          <t>gasto_admin</t>
        </is>
      </c>
      <c r="F62" t="inlineStr">
        <is>
          <t>Personal</t>
        </is>
      </c>
      <c r="G62" t="inlineStr">
        <is>
          <t>Administracion</t>
        </is>
      </c>
      <c r="H62" t="n">
        <v>4633.6</v>
      </c>
      <c r="I62" t="n">
        <v>22783.47</v>
      </c>
      <c r="J62" t="n">
        <v>8</v>
      </c>
      <c r="K62" t="inlineStr">
        <is>
          <t>Agregado desde BD_GASTOS_DASHBOARD_BRIDGE (USD)</t>
        </is>
      </c>
    </row>
    <row r="63">
      <c r="A63" t="inlineStr">
        <is>
          <t>2026-04</t>
        </is>
      </c>
      <c r="B63" t="inlineStr">
        <is>
          <t>Estados Unidos</t>
        </is>
      </c>
      <c r="C63" t="inlineStr">
        <is>
          <t>USA</t>
        </is>
      </c>
      <c r="D63" t="inlineStr">
        <is>
          <t>USD</t>
        </is>
      </c>
      <c r="E63" t="inlineStr">
        <is>
          <t>gasto_admin</t>
        </is>
      </c>
      <c r="F63" t="inlineStr">
        <is>
          <t>Servicios</t>
        </is>
      </c>
      <c r="G63" t="inlineStr">
        <is>
          <t>Administracion</t>
        </is>
      </c>
      <c r="H63" t="n">
        <v>1202.96</v>
      </c>
      <c r="I63" t="n">
        <v>2292.27</v>
      </c>
      <c r="J63" t="n">
        <v>7</v>
      </c>
      <c r="K63" t="inlineStr">
        <is>
          <t>Agregado desde BD_GASTOS_DASHBOARD_BRIDGE (USD)</t>
        </is>
      </c>
    </row>
    <row r="64">
      <c r="A64" t="inlineStr">
        <is>
          <t>2026-04</t>
        </is>
      </c>
      <c r="B64" t="inlineStr">
        <is>
          <t>Estados Unidos</t>
        </is>
      </c>
      <c r="C64" t="inlineStr">
        <is>
          <t>USA</t>
        </is>
      </c>
      <c r="D64" t="inlineStr">
        <is>
          <t>USD</t>
        </is>
      </c>
      <c r="E64" t="inlineStr">
        <is>
          <t>gasto_admin</t>
        </is>
      </c>
      <c r="F64" t="inlineStr">
        <is>
          <t>Viajes</t>
        </is>
      </c>
      <c r="G64" t="inlineStr">
        <is>
          <t>Administracion</t>
        </is>
      </c>
      <c r="H64" t="n">
        <v>96.41</v>
      </c>
      <c r="I64" t="n">
        <v>158.26</v>
      </c>
      <c r="J64" t="n">
        <v>6</v>
      </c>
      <c r="K64" t="inlineStr">
        <is>
          <t>Agregado desde BD_GASTOS_DASHBOARD_BRIDGE (USD)</t>
        </is>
      </c>
    </row>
    <row r="65">
      <c r="A65" t="inlineStr">
        <is>
          <t>2026-04</t>
        </is>
      </c>
      <c r="B65" t="inlineStr">
        <is>
          <t>Estados Unidos</t>
        </is>
      </c>
      <c r="C65" t="inlineStr">
        <is>
          <t>USA</t>
        </is>
      </c>
      <c r="D65" t="inlineStr">
        <is>
          <t>USD</t>
        </is>
      </c>
      <c r="E65" t="inlineStr">
        <is>
          <t>gasto_area</t>
        </is>
      </c>
      <c r="F65" t="inlineStr">
        <is>
          <t>Financieros</t>
        </is>
      </c>
      <c r="G65" t="inlineStr">
        <is>
          <t>Financieros</t>
        </is>
      </c>
      <c r="H65" t="n">
        <v>23.28</v>
      </c>
      <c r="I65" t="n">
        <v>190.58</v>
      </c>
      <c r="J65" t="n">
        <v>6</v>
      </c>
      <c r="K65" t="inlineStr">
        <is>
          <t>Agregado desde BD_GASTOS_DASHBOARD_BRIDGE (USD)</t>
        </is>
      </c>
    </row>
    <row r="66">
      <c r="A66" t="inlineStr">
        <is>
          <t>2026-04</t>
        </is>
      </c>
      <c r="B66" t="inlineStr">
        <is>
          <t>Estados Unidos</t>
        </is>
      </c>
      <c r="C66" t="inlineStr">
        <is>
          <t>USA</t>
        </is>
      </c>
      <c r="D66" t="inlineStr">
        <is>
          <t>USD</t>
        </is>
      </c>
      <c r="E66" t="inlineStr">
        <is>
          <t>gasto_comercial</t>
        </is>
      </c>
      <c r="F66" t="inlineStr">
        <is>
          <t>Servicios</t>
        </is>
      </c>
      <c r="G66" t="inlineStr">
        <is>
          <t>Comercial</t>
        </is>
      </c>
      <c r="H66" t="n">
        <v>0</v>
      </c>
      <c r="I66" t="n">
        <v>1048</v>
      </c>
      <c r="J66" t="n">
        <v>2</v>
      </c>
      <c r="K66" t="inlineStr">
        <is>
          <t>Agregado desde BD_GASTOS_DASHBOARD_BRIDGE (USD)</t>
        </is>
      </c>
    </row>
    <row r="67">
      <c r="A67" t="inlineStr">
        <is>
          <t>2026-04</t>
        </is>
      </c>
      <c r="B67" t="inlineStr">
        <is>
          <t>Peru</t>
        </is>
      </c>
      <c r="C67" t="inlineStr">
        <is>
          <t>PERU</t>
        </is>
      </c>
      <c r="D67" t="inlineStr">
        <is>
          <t>USD</t>
        </is>
      </c>
      <c r="E67" t="inlineStr">
        <is>
          <t>gasto_admin</t>
        </is>
      </c>
      <c r="F67" t="inlineStr">
        <is>
          <t>Honorarios</t>
        </is>
      </c>
      <c r="G67" t="inlineStr">
        <is>
          <t>Administracion</t>
        </is>
      </c>
      <c r="H67" t="n">
        <v>471.76</v>
      </c>
      <c r="I67" t="n">
        <v>969.97</v>
      </c>
      <c r="J67" t="n">
        <v>2</v>
      </c>
      <c r="K67" t="inlineStr">
        <is>
          <t>Agregado desde BD_GASTOS_DASHBOARD_BRIDGE (USD)</t>
        </is>
      </c>
    </row>
    <row r="68">
      <c r="A68" t="inlineStr">
        <is>
          <t>2026-04</t>
        </is>
      </c>
      <c r="B68" t="inlineStr">
        <is>
          <t>Peru</t>
        </is>
      </c>
      <c r="C68" t="inlineStr">
        <is>
          <t>PERU</t>
        </is>
      </c>
      <c r="D68" t="inlineStr">
        <is>
          <t>USD</t>
        </is>
      </c>
      <c r="E68" t="inlineStr">
        <is>
          <t>gasto_area</t>
        </is>
      </c>
      <c r="F68" t="inlineStr">
        <is>
          <t>Financieros</t>
        </is>
      </c>
      <c r="G68" t="inlineStr">
        <is>
          <t>Financieros</t>
        </is>
      </c>
      <c r="H68" t="n">
        <v>26.53</v>
      </c>
      <c r="I68" t="n">
        <v>107.35</v>
      </c>
      <c r="J68" t="n">
        <v>3</v>
      </c>
      <c r="K68" t="inlineStr">
        <is>
          <t>Agregado desde BD_GASTOS_DASHBOARD_BRIDGE (USD)</t>
        </is>
      </c>
    </row>
    <row r="69">
      <c r="A69" t="inlineStr">
        <is>
          <t>2026-04</t>
        </is>
      </c>
      <c r="B69" t="inlineStr">
        <is>
          <t>Peru</t>
        </is>
      </c>
      <c r="C69" t="inlineStr">
        <is>
          <t>PERU</t>
        </is>
      </c>
      <c r="D69" t="inlineStr">
        <is>
          <t>USD</t>
        </is>
      </c>
      <c r="E69" t="inlineStr">
        <is>
          <t>gasto_comercial</t>
        </is>
      </c>
      <c r="F69" t="inlineStr">
        <is>
          <t>Diversos</t>
        </is>
      </c>
      <c r="G69" t="inlineStr">
        <is>
          <t>Comercial</t>
        </is>
      </c>
      <c r="H69" t="n">
        <v>0</v>
      </c>
      <c r="I69" t="n">
        <v>0.55</v>
      </c>
      <c r="J69" t="n">
        <v>1</v>
      </c>
      <c r="K69" t="inlineStr">
        <is>
          <t>Agregado desde BD_GASTOS_DASHBOARD_BRIDGE (USD)</t>
        </is>
      </c>
    </row>
    <row r="70">
      <c r="A70" t="inlineStr">
        <is>
          <t>2026-04</t>
        </is>
      </c>
      <c r="B70" t="inlineStr">
        <is>
          <t>Peru</t>
        </is>
      </c>
      <c r="C70" t="inlineStr">
        <is>
          <t>PERU</t>
        </is>
      </c>
      <c r="D70" t="inlineStr">
        <is>
          <t>USD</t>
        </is>
      </c>
      <c r="E70" t="inlineStr">
        <is>
          <t>gasto_comercial</t>
        </is>
      </c>
      <c r="F70" t="inlineStr">
        <is>
          <t>Honorarios</t>
        </is>
      </c>
      <c r="G70" t="inlineStr">
        <is>
          <t>Comercial</t>
        </is>
      </c>
      <c r="H70" t="n">
        <v>0</v>
      </c>
      <c r="I70" t="n">
        <v>617.78</v>
      </c>
      <c r="J70" t="n">
        <v>1</v>
      </c>
      <c r="K70" t="inlineStr">
        <is>
          <t>Agregado desde BD_GASTOS_DASHBOARD_BRIDGE (USD)</t>
        </is>
      </c>
    </row>
    <row r="71">
      <c r="A71" t="inlineStr">
        <is>
          <t>2026-04</t>
        </is>
      </c>
      <c r="B71" t="inlineStr">
        <is>
          <t>Peru</t>
        </is>
      </c>
      <c r="C71" t="inlineStr">
        <is>
          <t>PERU</t>
        </is>
      </c>
      <c r="D71" t="inlineStr">
        <is>
          <t>USD</t>
        </is>
      </c>
      <c r="E71" t="inlineStr">
        <is>
          <t>gasto_comercial</t>
        </is>
      </c>
      <c r="F71" t="inlineStr">
        <is>
          <t>Servicios</t>
        </is>
      </c>
      <c r="G71" t="inlineStr">
        <is>
          <t>Comercial</t>
        </is>
      </c>
      <c r="H71" t="n">
        <v>0</v>
      </c>
      <c r="I71" t="n">
        <v>495.55</v>
      </c>
      <c r="J71" t="n">
        <v>1</v>
      </c>
      <c r="K71" t="inlineStr">
        <is>
          <t>Agregado desde BD_GASTOS_DASHBOARD_BRIDGE (USD)</t>
        </is>
      </c>
    </row>
    <row r="72">
      <c r="A72" t="inlineStr">
        <is>
          <t>2026-04</t>
        </is>
      </c>
      <c r="B72" t="inlineStr">
        <is>
          <t>Peru</t>
        </is>
      </c>
      <c r="C72" t="inlineStr">
        <is>
          <t>PERU</t>
        </is>
      </c>
      <c r="D72" t="inlineStr">
        <is>
          <t>USD</t>
        </is>
      </c>
      <c r="E72" t="inlineStr">
        <is>
          <t>gasto_comercial</t>
        </is>
      </c>
      <c r="F72" t="inlineStr">
        <is>
          <t>Viajes</t>
        </is>
      </c>
      <c r="G72" t="inlineStr">
        <is>
          <t>Comercial</t>
        </is>
      </c>
      <c r="H72" t="n">
        <v>246.79</v>
      </c>
      <c r="I72" t="n">
        <v>551.4</v>
      </c>
      <c r="J72" t="n">
        <v>12</v>
      </c>
      <c r="K72" t="inlineStr">
        <is>
          <t>Agregado desde BD_GASTOS_DASHBOARD_BRIDGE (USD)</t>
        </is>
      </c>
    </row>
    <row r="73">
      <c r="A73" t="inlineStr">
        <is>
          <t>2026-05</t>
        </is>
      </c>
      <c r="B73" t="inlineStr">
        <is>
          <t>Colombia</t>
        </is>
      </c>
      <c r="C73" t="inlineStr">
        <is>
          <t>COCO</t>
        </is>
      </c>
      <c r="D73" t="inlineStr">
        <is>
          <t>USD</t>
        </is>
      </c>
      <c r="E73" t="inlineStr">
        <is>
          <t>gasto_area</t>
        </is>
      </c>
      <c r="F73" t="inlineStr">
        <is>
          <t>Financieros</t>
        </is>
      </c>
      <c r="G73" t="inlineStr">
        <is>
          <t>Financieros</t>
        </is>
      </c>
      <c r="H73" t="n">
        <v>1615.73</v>
      </c>
      <c r="I73" t="n">
        <v>7862.81</v>
      </c>
      <c r="J73" t="n">
        <v>1</v>
      </c>
      <c r="K73" t="inlineStr">
        <is>
          <t>Agregado desde BD_GASTOS_DASHBOARD_BRIDGE (USD)</t>
        </is>
      </c>
    </row>
    <row r="74">
      <c r="A74" t="inlineStr">
        <is>
          <t>2026-05</t>
        </is>
      </c>
      <c r="B74" t="inlineStr">
        <is>
          <t>Costa Rica</t>
        </is>
      </c>
      <c r="C74" t="inlineStr">
        <is>
          <t>CR</t>
        </is>
      </c>
      <c r="D74" t="inlineStr">
        <is>
          <t>USD</t>
        </is>
      </c>
      <c r="E74" t="inlineStr">
        <is>
          <t>gasto_admin</t>
        </is>
      </c>
      <c r="F74" t="inlineStr">
        <is>
          <t>Diversos</t>
        </is>
      </c>
      <c r="G74" t="inlineStr">
        <is>
          <t>Administracion</t>
        </is>
      </c>
      <c r="H74" t="n">
        <v>0</v>
      </c>
      <c r="I74" t="n">
        <v>595.63</v>
      </c>
      <c r="J74" t="n">
        <v>7</v>
      </c>
      <c r="K74" t="inlineStr">
        <is>
          <t>Agregado desde BD_GASTOS_DASHBOARD_BRIDGE (USD)</t>
        </is>
      </c>
    </row>
    <row r="75">
      <c r="A75" t="inlineStr">
        <is>
          <t>2026-05</t>
        </is>
      </c>
      <c r="B75" t="inlineStr">
        <is>
          <t>Costa Rica</t>
        </is>
      </c>
      <c r="C75" t="inlineStr">
        <is>
          <t>CR</t>
        </is>
      </c>
      <c r="D75" t="inlineStr">
        <is>
          <t>USD</t>
        </is>
      </c>
      <c r="E75" t="inlineStr">
        <is>
          <t>gasto_admin</t>
        </is>
      </c>
      <c r="F75" t="inlineStr">
        <is>
          <t>Honorarios</t>
        </is>
      </c>
      <c r="G75" t="inlineStr">
        <is>
          <t>Administracion</t>
        </is>
      </c>
      <c r="H75" t="n">
        <v>0</v>
      </c>
      <c r="I75" t="n">
        <v>270.35</v>
      </c>
      <c r="J75" t="n">
        <v>1</v>
      </c>
      <c r="K75" t="inlineStr">
        <is>
          <t>Agregado desde BD_GASTOS_DASHBOARD_BRIDGE (USD)</t>
        </is>
      </c>
    </row>
    <row r="76">
      <c r="A76" t="inlineStr">
        <is>
          <t>2026-05</t>
        </is>
      </c>
      <c r="B76" t="inlineStr">
        <is>
          <t>Costa Rica</t>
        </is>
      </c>
      <c r="C76" t="inlineStr">
        <is>
          <t>CR</t>
        </is>
      </c>
      <c r="D76" t="inlineStr">
        <is>
          <t>USD</t>
        </is>
      </c>
      <c r="E76" t="inlineStr">
        <is>
          <t>gasto_admin</t>
        </is>
      </c>
      <c r="F76" t="inlineStr">
        <is>
          <t>Personal</t>
        </is>
      </c>
      <c r="G76" t="inlineStr">
        <is>
          <t>Administracion</t>
        </is>
      </c>
      <c r="H76" t="n">
        <v>1000</v>
      </c>
      <c r="I76" t="n">
        <v>7412.37</v>
      </c>
      <c r="J76" t="n">
        <v>2</v>
      </c>
      <c r="K76" t="inlineStr">
        <is>
          <t>Agregado desde BD_GASTOS_DASHBOARD_BRIDGE (USD)</t>
        </is>
      </c>
    </row>
    <row r="77">
      <c r="A77" t="inlineStr">
        <is>
          <t>2026-05</t>
        </is>
      </c>
      <c r="B77" t="inlineStr">
        <is>
          <t>Costa Rica</t>
        </is>
      </c>
      <c r="C77" t="inlineStr">
        <is>
          <t>CR</t>
        </is>
      </c>
      <c r="D77" t="inlineStr">
        <is>
          <t>USD</t>
        </is>
      </c>
      <c r="E77" t="inlineStr">
        <is>
          <t>gasto_admin</t>
        </is>
      </c>
      <c r="F77" t="inlineStr">
        <is>
          <t>Seguros</t>
        </is>
      </c>
      <c r="G77" t="inlineStr">
        <is>
          <t>Administracion</t>
        </is>
      </c>
      <c r="H77" t="n">
        <v>0</v>
      </c>
      <c r="I77" t="n">
        <v>9276.530000000001</v>
      </c>
      <c r="J77" t="n">
        <v>2</v>
      </c>
      <c r="K77" t="inlineStr">
        <is>
          <t>Agregado desde BD_GASTOS_DASHBOARD_BRIDGE (USD)</t>
        </is>
      </c>
    </row>
    <row r="78">
      <c r="A78" t="inlineStr">
        <is>
          <t>2026-05</t>
        </is>
      </c>
      <c r="B78" t="inlineStr">
        <is>
          <t>Costa Rica</t>
        </is>
      </c>
      <c r="C78" t="inlineStr">
        <is>
          <t>CR</t>
        </is>
      </c>
      <c r="D78" t="inlineStr">
        <is>
          <t>USD</t>
        </is>
      </c>
      <c r="E78" t="inlineStr">
        <is>
          <t>gasto_admin</t>
        </is>
      </c>
      <c r="F78" t="inlineStr">
        <is>
          <t>Servicios</t>
        </is>
      </c>
      <c r="G78" t="inlineStr">
        <is>
          <t>Administracion</t>
        </is>
      </c>
      <c r="H78" t="n">
        <v>57.8</v>
      </c>
      <c r="I78" t="n">
        <v>115.51</v>
      </c>
      <c r="J78" t="n">
        <v>1</v>
      </c>
      <c r="K78" t="inlineStr">
        <is>
          <t>Agregado desde BD_GASTOS_DASHBOARD_BRIDGE (USD)</t>
        </is>
      </c>
    </row>
    <row r="79">
      <c r="A79" t="inlineStr">
        <is>
          <t>2026-05</t>
        </is>
      </c>
      <c r="B79" t="inlineStr">
        <is>
          <t>Costa Rica</t>
        </is>
      </c>
      <c r="C79" t="inlineStr">
        <is>
          <t>CR</t>
        </is>
      </c>
      <c r="D79" t="inlineStr">
        <is>
          <t>USD</t>
        </is>
      </c>
      <c r="E79" t="inlineStr">
        <is>
          <t>gasto_admin</t>
        </is>
      </c>
      <c r="F79" t="inlineStr">
        <is>
          <t>Viajes</t>
        </is>
      </c>
      <c r="G79" t="inlineStr">
        <is>
          <t>Administracion</t>
        </is>
      </c>
      <c r="H79" t="n">
        <v>300</v>
      </c>
      <c r="I79" t="n">
        <v>1500</v>
      </c>
      <c r="J79" t="n">
        <v>1</v>
      </c>
      <c r="K79" t="inlineStr">
        <is>
          <t>Agregado desde BD_GASTOS_DASHBOARD_BRIDGE (USD)</t>
        </is>
      </c>
    </row>
    <row r="80">
      <c r="A80" t="inlineStr">
        <is>
          <t>2026-05</t>
        </is>
      </c>
      <c r="B80" t="inlineStr">
        <is>
          <t>Costa Rica</t>
        </is>
      </c>
      <c r="C80" t="inlineStr">
        <is>
          <t>CR</t>
        </is>
      </c>
      <c r="D80" t="inlineStr">
        <is>
          <t>USD</t>
        </is>
      </c>
      <c r="E80" t="inlineStr">
        <is>
          <t>gasto_area</t>
        </is>
      </c>
      <c r="F80" t="inlineStr">
        <is>
          <t>Financieros</t>
        </is>
      </c>
      <c r="G80" t="inlineStr">
        <is>
          <t>Financieros</t>
        </is>
      </c>
      <c r="H80" t="n">
        <v>36</v>
      </c>
      <c r="I80" t="n">
        <v>156</v>
      </c>
      <c r="J80" t="n">
        <v>2</v>
      </c>
      <c r="K80" t="inlineStr">
        <is>
          <t>Agregado desde BD_GASTOS_DASHBOARD_BRIDGE (USD)</t>
        </is>
      </c>
    </row>
    <row r="81">
      <c r="A81" t="inlineStr">
        <is>
          <t>2026-05</t>
        </is>
      </c>
      <c r="B81" t="inlineStr">
        <is>
          <t>Estados Unidos</t>
        </is>
      </c>
      <c r="C81" t="inlineStr">
        <is>
          <t>USA</t>
        </is>
      </c>
      <c r="D81" t="inlineStr">
        <is>
          <t>USD</t>
        </is>
      </c>
      <c r="E81" t="inlineStr">
        <is>
          <t>gasto_admin</t>
        </is>
      </c>
      <c r="F81" t="inlineStr">
        <is>
          <t>Diversos</t>
        </is>
      </c>
      <c r="G81" t="inlineStr">
        <is>
          <t>Administracion</t>
        </is>
      </c>
      <c r="H81" t="n">
        <v>674.85</v>
      </c>
      <c r="I81" t="n">
        <v>6724.69</v>
      </c>
      <c r="J81" t="n">
        <v>22</v>
      </c>
      <c r="K81" t="inlineStr">
        <is>
          <t>Agregado desde BD_GASTOS_DASHBOARD_BRIDGE (USD)</t>
        </is>
      </c>
    </row>
    <row r="82">
      <c r="A82" t="inlineStr">
        <is>
          <t>2026-05</t>
        </is>
      </c>
      <c r="B82" t="inlineStr">
        <is>
          <t>Estados Unidos</t>
        </is>
      </c>
      <c r="C82" t="inlineStr">
        <is>
          <t>USA</t>
        </is>
      </c>
      <c r="D82" t="inlineStr">
        <is>
          <t>USD</t>
        </is>
      </c>
      <c r="E82" t="inlineStr">
        <is>
          <t>gasto_admin</t>
        </is>
      </c>
      <c r="F82" t="inlineStr">
        <is>
          <t>Honorarios</t>
        </is>
      </c>
      <c r="G82" t="inlineStr">
        <is>
          <t>Administracion</t>
        </is>
      </c>
      <c r="H82" t="n">
        <v>4000</v>
      </c>
      <c r="I82" t="n">
        <v>8502.459999999999</v>
      </c>
      <c r="J82" t="n">
        <v>4</v>
      </c>
      <c r="K82" t="inlineStr">
        <is>
          <t>Agregado desde BD_GASTOS_DASHBOARD_BRIDGE (USD)</t>
        </is>
      </c>
    </row>
    <row r="83">
      <c r="A83" t="inlineStr">
        <is>
          <t>2026-05</t>
        </is>
      </c>
      <c r="B83" t="inlineStr">
        <is>
          <t>Estados Unidos</t>
        </is>
      </c>
      <c r="C83" t="inlineStr">
        <is>
          <t>USA</t>
        </is>
      </c>
      <c r="D83" t="inlineStr">
        <is>
          <t>USD</t>
        </is>
      </c>
      <c r="E83" t="inlineStr">
        <is>
          <t>gasto_admin</t>
        </is>
      </c>
      <c r="F83" t="inlineStr">
        <is>
          <t>Personal</t>
        </is>
      </c>
      <c r="G83" t="inlineStr">
        <is>
          <t>Administracion</t>
        </is>
      </c>
      <c r="H83" t="n">
        <v>3190.11</v>
      </c>
      <c r="I83" t="n">
        <v>25973.58</v>
      </c>
      <c r="J83" t="n">
        <v>11</v>
      </c>
      <c r="K83" t="inlineStr">
        <is>
          <t>Agregado desde BD_GASTOS_DASHBOARD_BRIDGE (USD)</t>
        </is>
      </c>
    </row>
    <row r="84">
      <c r="A84" t="inlineStr">
        <is>
          <t>2026-05</t>
        </is>
      </c>
      <c r="B84" t="inlineStr">
        <is>
          <t>Estados Unidos</t>
        </is>
      </c>
      <c r="C84" t="inlineStr">
        <is>
          <t>USA</t>
        </is>
      </c>
      <c r="D84" t="inlineStr">
        <is>
          <t>USD</t>
        </is>
      </c>
      <c r="E84" t="inlineStr">
        <is>
          <t>gasto_admin</t>
        </is>
      </c>
      <c r="F84" t="inlineStr">
        <is>
          <t>Servicios</t>
        </is>
      </c>
      <c r="G84" t="inlineStr">
        <is>
          <t>Administracion</t>
        </is>
      </c>
      <c r="H84" t="n">
        <v>7940.22</v>
      </c>
      <c r="I84" t="n">
        <v>10232.49</v>
      </c>
      <c r="J84" t="n">
        <v>10</v>
      </c>
      <c r="K84" t="inlineStr">
        <is>
          <t>Agregado desde BD_GASTOS_DASHBOARD_BRIDGE (USD)</t>
        </is>
      </c>
    </row>
    <row r="85">
      <c r="A85" t="inlineStr">
        <is>
          <t>2026-05</t>
        </is>
      </c>
      <c r="B85" t="inlineStr">
        <is>
          <t>Estados Unidos</t>
        </is>
      </c>
      <c r="C85" t="inlineStr">
        <is>
          <t>USA</t>
        </is>
      </c>
      <c r="D85" t="inlineStr">
        <is>
          <t>USD</t>
        </is>
      </c>
      <c r="E85" t="inlineStr">
        <is>
          <t>gasto_admin</t>
        </is>
      </c>
      <c r="F85" t="inlineStr">
        <is>
          <t>Viajes</t>
        </is>
      </c>
      <c r="G85" t="inlineStr">
        <is>
          <t>Administracion</t>
        </is>
      </c>
      <c r="H85" t="n">
        <v>78.43000000000001</v>
      </c>
      <c r="I85" t="n">
        <v>236.69</v>
      </c>
      <c r="J85" t="n">
        <v>7</v>
      </c>
      <c r="K85" t="inlineStr">
        <is>
          <t>Agregado desde BD_GASTOS_DASHBOARD_BRIDGE (USD)</t>
        </is>
      </c>
    </row>
    <row r="86">
      <c r="A86" t="inlineStr">
        <is>
          <t>2026-05</t>
        </is>
      </c>
      <c r="B86" t="inlineStr">
        <is>
          <t>Estados Unidos</t>
        </is>
      </c>
      <c r="C86" t="inlineStr">
        <is>
          <t>USA</t>
        </is>
      </c>
      <c r="D86" t="inlineStr">
        <is>
          <t>USD</t>
        </is>
      </c>
      <c r="E86" t="inlineStr">
        <is>
          <t>gasto_area</t>
        </is>
      </c>
      <c r="F86" t="inlineStr">
        <is>
          <t>Financieros</t>
        </is>
      </c>
      <c r="G86" t="inlineStr">
        <is>
          <t>Financieros</t>
        </is>
      </c>
      <c r="H86" t="n">
        <v>260.62</v>
      </c>
      <c r="I86" t="n">
        <v>451.2</v>
      </c>
      <c r="J86" t="n">
        <v>6</v>
      </c>
      <c r="K86" t="inlineStr">
        <is>
          <t>Agregado desde BD_GASTOS_DASHBOARD_BRIDGE (USD)</t>
        </is>
      </c>
    </row>
    <row r="87">
      <c r="A87" t="inlineStr">
        <is>
          <t>2026-05</t>
        </is>
      </c>
      <c r="B87" t="inlineStr">
        <is>
          <t>Estados Unidos</t>
        </is>
      </c>
      <c r="C87" t="inlineStr">
        <is>
          <t>USA</t>
        </is>
      </c>
      <c r="D87" t="inlineStr">
        <is>
          <t>USD</t>
        </is>
      </c>
      <c r="E87" t="inlineStr">
        <is>
          <t>gasto_comercial</t>
        </is>
      </c>
      <c r="F87" t="inlineStr">
        <is>
          <t>Servicios</t>
        </is>
      </c>
      <c r="G87" t="inlineStr">
        <is>
          <t>Comercial</t>
        </is>
      </c>
      <c r="H87" t="n">
        <v>3500</v>
      </c>
      <c r="I87" t="n">
        <v>4548</v>
      </c>
      <c r="J87" t="n">
        <v>3</v>
      </c>
      <c r="K87" t="inlineStr">
        <is>
          <t>Agregado desde BD_GASTOS_DASHBOARD_BRIDGE (USD)</t>
        </is>
      </c>
    </row>
    <row r="88">
      <c r="A88" t="inlineStr">
        <is>
          <t>2026-05</t>
        </is>
      </c>
      <c r="B88" t="inlineStr">
        <is>
          <t>Peru</t>
        </is>
      </c>
      <c r="C88" t="inlineStr">
        <is>
          <t>PERU</t>
        </is>
      </c>
      <c r="D88" t="inlineStr">
        <is>
          <t>USD</t>
        </is>
      </c>
      <c r="E88" t="inlineStr">
        <is>
          <t>gasto_admin</t>
        </is>
      </c>
      <c r="F88" t="inlineStr">
        <is>
          <t>Honorarios</t>
        </is>
      </c>
      <c r="G88" t="inlineStr">
        <is>
          <t>Administracion</t>
        </is>
      </c>
      <c r="H88" t="n">
        <v>357.88</v>
      </c>
      <c r="I88" t="n">
        <v>1330.11</v>
      </c>
      <c r="J88" t="n">
        <v>2</v>
      </c>
      <c r="K88" t="inlineStr">
        <is>
          <t>Agregado desde BD_GASTOS_DASHBOARD_BRIDGE (USD)</t>
        </is>
      </c>
    </row>
    <row r="89">
      <c r="A89" t="inlineStr">
        <is>
          <t>2026-05</t>
        </is>
      </c>
      <c r="B89" t="inlineStr">
        <is>
          <t>Peru</t>
        </is>
      </c>
      <c r="C89" t="inlineStr">
        <is>
          <t>PERU</t>
        </is>
      </c>
      <c r="D89" t="inlineStr">
        <is>
          <t>USD</t>
        </is>
      </c>
      <c r="E89" t="inlineStr">
        <is>
          <t>gasto_area</t>
        </is>
      </c>
      <c r="F89" t="inlineStr">
        <is>
          <t>Financieros</t>
        </is>
      </c>
      <c r="G89" t="inlineStr">
        <is>
          <t>Financieros</t>
        </is>
      </c>
      <c r="H89" t="n">
        <v>140.67</v>
      </c>
      <c r="I89" t="n">
        <v>248.27</v>
      </c>
      <c r="J89" t="n">
        <v>7</v>
      </c>
      <c r="K89" t="inlineStr">
        <is>
          <t>Agregado desde BD_GASTOS_DASHBOARD_BRIDGE (USD)</t>
        </is>
      </c>
    </row>
    <row r="90">
      <c r="A90" t="inlineStr">
        <is>
          <t>2026-05</t>
        </is>
      </c>
      <c r="B90" t="inlineStr">
        <is>
          <t>Peru</t>
        </is>
      </c>
      <c r="C90" t="inlineStr">
        <is>
          <t>PERU</t>
        </is>
      </c>
      <c r="D90" t="inlineStr">
        <is>
          <t>USD</t>
        </is>
      </c>
      <c r="E90" t="inlineStr">
        <is>
          <t>gasto_comercial</t>
        </is>
      </c>
      <c r="F90" t="inlineStr">
        <is>
          <t>Diversos</t>
        </is>
      </c>
      <c r="G90" t="inlineStr">
        <is>
          <t>Comercial</t>
        </is>
      </c>
      <c r="H90" t="n">
        <v>0</v>
      </c>
      <c r="I90" t="n">
        <v>0.55</v>
      </c>
      <c r="J90" t="n">
        <v>1</v>
      </c>
      <c r="K90" t="inlineStr">
        <is>
          <t>Agregado desde BD_GASTOS_DASHBOARD_BRIDGE (USD)</t>
        </is>
      </c>
    </row>
    <row r="91">
      <c r="A91" t="inlineStr">
        <is>
          <t>2026-05</t>
        </is>
      </c>
      <c r="B91" t="inlineStr">
        <is>
          <t>Peru</t>
        </is>
      </c>
      <c r="C91" t="inlineStr">
        <is>
          <t>PERU</t>
        </is>
      </c>
      <c r="D91" t="inlineStr">
        <is>
          <t>USD</t>
        </is>
      </c>
      <c r="E91" t="inlineStr">
        <is>
          <t>gasto_comercial</t>
        </is>
      </c>
      <c r="F91" t="inlineStr">
        <is>
          <t>Honorarios</t>
        </is>
      </c>
      <c r="G91" t="inlineStr">
        <is>
          <t>Comercial</t>
        </is>
      </c>
      <c r="H91" t="n">
        <v>8787.139999999999</v>
      </c>
      <c r="I91" t="n">
        <v>9406.35</v>
      </c>
      <c r="J91" t="n">
        <v>4</v>
      </c>
      <c r="K91" t="inlineStr">
        <is>
          <t>Agregado desde BD_GASTOS_DASHBOARD_BRIDGE (USD)</t>
        </is>
      </c>
    </row>
    <row r="92">
      <c r="A92" t="inlineStr">
        <is>
          <t>2026-05</t>
        </is>
      </c>
      <c r="B92" t="inlineStr">
        <is>
          <t>Peru</t>
        </is>
      </c>
      <c r="C92" t="inlineStr">
        <is>
          <t>PERU</t>
        </is>
      </c>
      <c r="D92" t="inlineStr">
        <is>
          <t>USD</t>
        </is>
      </c>
      <c r="E92" t="inlineStr">
        <is>
          <t>gasto_comercial</t>
        </is>
      </c>
      <c r="F92" t="inlineStr">
        <is>
          <t>Servicios</t>
        </is>
      </c>
      <c r="G92" t="inlineStr">
        <is>
          <t>Comercial</t>
        </is>
      </c>
      <c r="H92" t="n">
        <v>0</v>
      </c>
      <c r="I92" t="n">
        <v>496.71</v>
      </c>
      <c r="J92" t="n">
        <v>1</v>
      </c>
      <c r="K92" t="inlineStr">
        <is>
          <t>Agregado desde BD_GASTOS_DASHBOARD_BRIDGE (USD)</t>
        </is>
      </c>
    </row>
    <row r="93">
      <c r="A93" t="inlineStr">
        <is>
          <t>2026-05</t>
        </is>
      </c>
      <c r="B93" t="inlineStr">
        <is>
          <t>Peru</t>
        </is>
      </c>
      <c r="C93" t="inlineStr">
        <is>
          <t>PERU</t>
        </is>
      </c>
      <c r="D93" t="inlineStr">
        <is>
          <t>USD</t>
        </is>
      </c>
      <c r="E93" t="inlineStr">
        <is>
          <t>gasto_comercial</t>
        </is>
      </c>
      <c r="F93" t="inlineStr">
        <is>
          <t>Viajes</t>
        </is>
      </c>
      <c r="G93" t="inlineStr">
        <is>
          <t>Comercial</t>
        </is>
      </c>
      <c r="H93" t="n">
        <v>1498.17</v>
      </c>
      <c r="I93" t="n">
        <v>2050.87</v>
      </c>
      <c r="J93" t="n">
        <v>13</v>
      </c>
      <c r="K93" t="inlineStr">
        <is>
          <t>Agregado desde BD_GASTOS_DASHBOARD_BRIDGE (USD)</t>
        </is>
      </c>
    </row>
    <row r="94">
      <c r="A94" t="inlineStr">
        <is>
          <t>2026-06</t>
        </is>
      </c>
      <c r="B94" t="inlineStr">
        <is>
          <t>Colombia</t>
        </is>
      </c>
      <c r="C94" t="inlineStr">
        <is>
          <t>COCO</t>
        </is>
      </c>
      <c r="D94" t="inlineStr">
        <is>
          <t>USD</t>
        </is>
      </c>
      <c r="E94" t="inlineStr">
        <is>
          <t>gasto_area</t>
        </is>
      </c>
      <c r="F94" t="inlineStr">
        <is>
          <t>Financieros</t>
        </is>
      </c>
      <c r="G94" t="inlineStr">
        <is>
          <t>Financieros</t>
        </is>
      </c>
      <c r="H94" t="n">
        <v>1585.87</v>
      </c>
      <c r="I94" t="n">
        <v>9927.139999999999</v>
      </c>
      <c r="J94" t="n">
        <v>1</v>
      </c>
      <c r="K94" t="inlineStr">
        <is>
          <t>Agregado desde BD_GASTOS_DASHBOARD_BRIDGE (USD)</t>
        </is>
      </c>
    </row>
    <row r="95">
      <c r="A95" t="inlineStr">
        <is>
          <t>2026-06</t>
        </is>
      </c>
      <c r="B95" t="inlineStr">
        <is>
          <t>Costa Rica</t>
        </is>
      </c>
      <c r="C95" t="inlineStr">
        <is>
          <t>CR</t>
        </is>
      </c>
      <c r="D95" t="inlineStr">
        <is>
          <t>USD</t>
        </is>
      </c>
      <c r="E95" t="inlineStr">
        <is>
          <t>gasto_admin</t>
        </is>
      </c>
      <c r="F95" t="inlineStr">
        <is>
          <t>Diversos</t>
        </is>
      </c>
      <c r="G95" t="inlineStr">
        <is>
          <t>Administracion</t>
        </is>
      </c>
      <c r="H95" t="n">
        <v>37.69</v>
      </c>
      <c r="I95" t="n">
        <v>633.3200000000001</v>
      </c>
      <c r="J95" t="n">
        <v>8</v>
      </c>
      <c r="K95" t="inlineStr">
        <is>
          <t>Agregado desde BD_GASTOS_DASHBOARD_BRIDGE (USD)</t>
        </is>
      </c>
    </row>
    <row r="96">
      <c r="A96" t="inlineStr">
        <is>
          <t>2026-06</t>
        </is>
      </c>
      <c r="B96" t="inlineStr">
        <is>
          <t>Costa Rica</t>
        </is>
      </c>
      <c r="C96" t="inlineStr">
        <is>
          <t>CR</t>
        </is>
      </c>
      <c r="D96" t="inlineStr">
        <is>
          <t>USD</t>
        </is>
      </c>
      <c r="E96" t="inlineStr">
        <is>
          <t>gasto_admin</t>
        </is>
      </c>
      <c r="F96" t="inlineStr">
        <is>
          <t>Honorarios</t>
        </is>
      </c>
      <c r="G96" t="inlineStr">
        <is>
          <t>Administracion</t>
        </is>
      </c>
      <c r="H96" t="n">
        <v>0</v>
      </c>
      <c r="I96" t="n">
        <v>270.35</v>
      </c>
      <c r="J96" t="n">
        <v>1</v>
      </c>
      <c r="K96" t="inlineStr">
        <is>
          <t>Agregado desde BD_GASTOS_DASHBOARD_BRIDGE (USD)</t>
        </is>
      </c>
    </row>
    <row r="97">
      <c r="A97" t="inlineStr">
        <is>
          <t>2026-06</t>
        </is>
      </c>
      <c r="B97" t="inlineStr">
        <is>
          <t>Costa Rica</t>
        </is>
      </c>
      <c r="C97" t="inlineStr">
        <is>
          <t>CR</t>
        </is>
      </c>
      <c r="D97" t="inlineStr">
        <is>
          <t>USD</t>
        </is>
      </c>
      <c r="E97" t="inlineStr">
        <is>
          <t>gasto_admin</t>
        </is>
      </c>
      <c r="F97" t="inlineStr">
        <is>
          <t>Personal</t>
        </is>
      </c>
      <c r="G97" t="inlineStr">
        <is>
          <t>Administracion</t>
        </is>
      </c>
      <c r="H97" t="n">
        <v>2250</v>
      </c>
      <c r="I97" t="n">
        <v>9662.370000000001</v>
      </c>
      <c r="J97" t="n">
        <v>2</v>
      </c>
      <c r="K97" t="inlineStr">
        <is>
          <t>Agregado desde BD_GASTOS_DASHBOARD_BRIDGE (USD)</t>
        </is>
      </c>
    </row>
    <row r="98">
      <c r="A98" t="inlineStr">
        <is>
          <t>2026-06</t>
        </is>
      </c>
      <c r="B98" t="inlineStr">
        <is>
          <t>Costa Rica</t>
        </is>
      </c>
      <c r="C98" t="inlineStr">
        <is>
          <t>CR</t>
        </is>
      </c>
      <c r="D98" t="inlineStr">
        <is>
          <t>USD</t>
        </is>
      </c>
      <c r="E98" t="inlineStr">
        <is>
          <t>gasto_admin</t>
        </is>
      </c>
      <c r="F98" t="inlineStr">
        <is>
          <t>Seguros</t>
        </is>
      </c>
      <c r="G98" t="inlineStr">
        <is>
          <t>Administracion</t>
        </is>
      </c>
      <c r="H98" t="n">
        <v>0</v>
      </c>
      <c r="I98" t="n">
        <v>9276.530000000001</v>
      </c>
      <c r="J98" t="n">
        <v>2</v>
      </c>
      <c r="K98" t="inlineStr">
        <is>
          <t>Agregado desde BD_GASTOS_DASHBOARD_BRIDGE (USD)</t>
        </is>
      </c>
    </row>
    <row r="99">
      <c r="A99" t="inlineStr">
        <is>
          <t>2026-06</t>
        </is>
      </c>
      <c r="B99" t="inlineStr">
        <is>
          <t>Costa Rica</t>
        </is>
      </c>
      <c r="C99" t="inlineStr">
        <is>
          <t>CR</t>
        </is>
      </c>
      <c r="D99" t="inlineStr">
        <is>
          <t>USD</t>
        </is>
      </c>
      <c r="E99" t="inlineStr">
        <is>
          <t>gasto_admin</t>
        </is>
      </c>
      <c r="F99" t="inlineStr">
        <is>
          <t>Servicios</t>
        </is>
      </c>
      <c r="G99" t="inlineStr">
        <is>
          <t>Administracion</t>
        </is>
      </c>
      <c r="H99" t="n">
        <v>34.3</v>
      </c>
      <c r="I99" t="n">
        <v>149.81</v>
      </c>
      <c r="J99" t="n">
        <v>2</v>
      </c>
      <c r="K99" t="inlineStr">
        <is>
          <t>Agregado desde BD_GASTOS_DASHBOARD_BRIDGE (USD)</t>
        </is>
      </c>
    </row>
    <row r="100">
      <c r="A100" t="inlineStr">
        <is>
          <t>2026-06</t>
        </is>
      </c>
      <c r="B100" t="inlineStr">
        <is>
          <t>Costa Rica</t>
        </is>
      </c>
      <c r="C100" t="inlineStr">
        <is>
          <t>CR</t>
        </is>
      </c>
      <c r="D100" t="inlineStr">
        <is>
          <t>USD</t>
        </is>
      </c>
      <c r="E100" t="inlineStr">
        <is>
          <t>gasto_admin</t>
        </is>
      </c>
      <c r="F100" t="inlineStr">
        <is>
          <t>Viajes</t>
        </is>
      </c>
      <c r="G100" t="inlineStr">
        <is>
          <t>Administracion</t>
        </is>
      </c>
      <c r="H100" t="n">
        <v>300</v>
      </c>
      <c r="I100" t="n">
        <v>1800</v>
      </c>
      <c r="J100" t="n">
        <v>1</v>
      </c>
      <c r="K100" t="inlineStr">
        <is>
          <t>Agregado desde BD_GASTOS_DASHBOARD_BRIDGE (USD)</t>
        </is>
      </c>
    </row>
    <row r="101">
      <c r="A101" t="inlineStr">
        <is>
          <t>2026-06</t>
        </is>
      </c>
      <c r="B101" t="inlineStr">
        <is>
          <t>Costa Rica</t>
        </is>
      </c>
      <c r="C101" t="inlineStr">
        <is>
          <t>CR</t>
        </is>
      </c>
      <c r="D101" t="inlineStr">
        <is>
          <t>USD</t>
        </is>
      </c>
      <c r="E101" t="inlineStr">
        <is>
          <t>gasto_area</t>
        </is>
      </c>
      <c r="F101" t="inlineStr">
        <is>
          <t>Financieros</t>
        </is>
      </c>
      <c r="G101" t="inlineStr">
        <is>
          <t>Financieros</t>
        </is>
      </c>
      <c r="H101" t="n">
        <v>50</v>
      </c>
      <c r="I101" t="n">
        <v>206</v>
      </c>
      <c r="J101" t="n">
        <v>2</v>
      </c>
      <c r="K101" t="inlineStr">
        <is>
          <t>Agregado desde BD_GASTOS_DASHBOARD_BRIDGE (USD)</t>
        </is>
      </c>
    </row>
    <row r="102">
      <c r="A102" t="inlineStr">
        <is>
          <t>2026-06</t>
        </is>
      </c>
      <c r="B102" t="inlineStr">
        <is>
          <t>Estados Unidos</t>
        </is>
      </c>
      <c r="C102" t="inlineStr">
        <is>
          <t>USA</t>
        </is>
      </c>
      <c r="D102" t="inlineStr">
        <is>
          <t>USD</t>
        </is>
      </c>
      <c r="E102" t="inlineStr">
        <is>
          <t>gasto_admin</t>
        </is>
      </c>
      <c r="F102" t="inlineStr">
        <is>
          <t>Diversos</t>
        </is>
      </c>
      <c r="G102" t="inlineStr">
        <is>
          <t>Administracion</t>
        </is>
      </c>
      <c r="H102" t="n">
        <v>1113.37</v>
      </c>
      <c r="I102" t="n">
        <v>7838.06</v>
      </c>
      <c r="J102" t="n">
        <v>23</v>
      </c>
      <c r="K102" t="inlineStr">
        <is>
          <t>Agregado desde BD_GASTOS_DASHBOARD_BRIDGE (USD)</t>
        </is>
      </c>
    </row>
    <row r="103">
      <c r="A103" t="inlineStr">
        <is>
          <t>2026-06</t>
        </is>
      </c>
      <c r="B103" t="inlineStr">
        <is>
          <t>Estados Unidos</t>
        </is>
      </c>
      <c r="C103" t="inlineStr">
        <is>
          <t>USA</t>
        </is>
      </c>
      <c r="D103" t="inlineStr">
        <is>
          <t>USD</t>
        </is>
      </c>
      <c r="E103" t="inlineStr">
        <is>
          <t>gasto_admin</t>
        </is>
      </c>
      <c r="F103" t="inlineStr">
        <is>
          <t>Honorarios</t>
        </is>
      </c>
      <c r="G103" t="inlineStr">
        <is>
          <t>Administracion</t>
        </is>
      </c>
      <c r="H103" t="n">
        <v>4650</v>
      </c>
      <c r="I103" t="n">
        <v>13152.46</v>
      </c>
      <c r="J103" t="n">
        <v>6</v>
      </c>
      <c r="K103" t="inlineStr">
        <is>
          <t>Agregado desde BD_GASTOS_DASHBOARD_BRIDGE (USD)</t>
        </is>
      </c>
    </row>
    <row r="104">
      <c r="A104" t="inlineStr">
        <is>
          <t>2026-06</t>
        </is>
      </c>
      <c r="B104" t="inlineStr">
        <is>
          <t>Estados Unidos</t>
        </is>
      </c>
      <c r="C104" t="inlineStr">
        <is>
          <t>USA</t>
        </is>
      </c>
      <c r="D104" t="inlineStr">
        <is>
          <t>USD</t>
        </is>
      </c>
      <c r="E104" t="inlineStr">
        <is>
          <t>gasto_admin</t>
        </is>
      </c>
      <c r="F104" t="inlineStr">
        <is>
          <t>Personal</t>
        </is>
      </c>
      <c r="G104" t="inlineStr">
        <is>
          <t>Administracion</t>
        </is>
      </c>
      <c r="H104" t="n">
        <v>12984.91</v>
      </c>
      <c r="I104" t="n">
        <v>38958.49</v>
      </c>
      <c r="J104" t="n">
        <v>13</v>
      </c>
      <c r="K104" t="inlineStr">
        <is>
          <t>Agregado desde BD_GASTOS_DASHBOARD_BRIDGE (USD)</t>
        </is>
      </c>
    </row>
    <row r="105">
      <c r="A105" t="inlineStr">
        <is>
          <t>2026-06</t>
        </is>
      </c>
      <c r="B105" t="inlineStr">
        <is>
          <t>Estados Unidos</t>
        </is>
      </c>
      <c r="C105" t="inlineStr">
        <is>
          <t>USA</t>
        </is>
      </c>
      <c r="D105" t="inlineStr">
        <is>
          <t>USD</t>
        </is>
      </c>
      <c r="E105" t="inlineStr">
        <is>
          <t>gasto_admin</t>
        </is>
      </c>
      <c r="F105" t="inlineStr">
        <is>
          <t>Servicios</t>
        </is>
      </c>
      <c r="G105" t="inlineStr">
        <is>
          <t>Administracion</t>
        </is>
      </c>
      <c r="H105" t="n">
        <v>180.88</v>
      </c>
      <c r="I105" t="n">
        <v>10413.37</v>
      </c>
      <c r="J105" t="n">
        <v>10</v>
      </c>
      <c r="K105" t="inlineStr">
        <is>
          <t>Agregado desde BD_GASTOS_DASHBOARD_BRIDGE (USD)</t>
        </is>
      </c>
    </row>
    <row r="106">
      <c r="A106" t="inlineStr">
        <is>
          <t>2026-06</t>
        </is>
      </c>
      <c r="B106" t="inlineStr">
        <is>
          <t>Estados Unidos</t>
        </is>
      </c>
      <c r="C106" t="inlineStr">
        <is>
          <t>USA</t>
        </is>
      </c>
      <c r="D106" t="inlineStr">
        <is>
          <t>USD</t>
        </is>
      </c>
      <c r="E106" t="inlineStr">
        <is>
          <t>gasto_admin</t>
        </is>
      </c>
      <c r="F106" t="inlineStr">
        <is>
          <t>Viajes</t>
        </is>
      </c>
      <c r="G106" t="inlineStr">
        <is>
          <t>Administracion</t>
        </is>
      </c>
      <c r="H106" t="n">
        <v>73.20999999999999</v>
      </c>
      <c r="I106" t="n">
        <v>309.9</v>
      </c>
      <c r="J106" t="n">
        <v>8</v>
      </c>
      <c r="K106" t="inlineStr">
        <is>
          <t>Agregado desde BD_GASTOS_DASHBOARD_BRIDGE (USD)</t>
        </is>
      </c>
    </row>
    <row r="107">
      <c r="A107" t="inlineStr">
        <is>
          <t>2026-06</t>
        </is>
      </c>
      <c r="B107" t="inlineStr">
        <is>
          <t>Estados Unidos</t>
        </is>
      </c>
      <c r="C107" t="inlineStr">
        <is>
          <t>USA</t>
        </is>
      </c>
      <c r="D107" t="inlineStr">
        <is>
          <t>USD</t>
        </is>
      </c>
      <c r="E107" t="inlineStr">
        <is>
          <t>gasto_area</t>
        </is>
      </c>
      <c r="F107" t="inlineStr">
        <is>
          <t>Financieros</t>
        </is>
      </c>
      <c r="G107" t="inlineStr">
        <is>
          <t>Financieros</t>
        </is>
      </c>
      <c r="H107" t="n">
        <v>327.06</v>
      </c>
      <c r="I107" t="n">
        <v>778.26</v>
      </c>
      <c r="J107" t="n">
        <v>6</v>
      </c>
      <c r="K107" t="inlineStr">
        <is>
          <t>Agregado desde BD_GASTOS_DASHBOARD_BRIDGE (USD)</t>
        </is>
      </c>
    </row>
    <row r="108">
      <c r="A108" t="inlineStr">
        <is>
          <t>2026-06</t>
        </is>
      </c>
      <c r="B108" t="inlineStr">
        <is>
          <t>Estados Unidos</t>
        </is>
      </c>
      <c r="C108" t="inlineStr">
        <is>
          <t>USA</t>
        </is>
      </c>
      <c r="D108" t="inlineStr">
        <is>
          <t>USD</t>
        </is>
      </c>
      <c r="E108" t="inlineStr">
        <is>
          <t>gasto_comercial</t>
        </is>
      </c>
      <c r="F108" t="inlineStr">
        <is>
          <t>Servicios</t>
        </is>
      </c>
      <c r="G108" t="inlineStr">
        <is>
          <t>Comercial</t>
        </is>
      </c>
      <c r="H108" t="n">
        <v>0</v>
      </c>
      <c r="I108" t="n">
        <v>4548</v>
      </c>
      <c r="J108" t="n">
        <v>3</v>
      </c>
      <c r="K108" t="inlineStr">
        <is>
          <t>Agregado desde BD_GASTOS_DASHBOARD_BRIDGE (USD)</t>
        </is>
      </c>
    </row>
    <row r="109">
      <c r="A109" t="inlineStr">
        <is>
          <t>2026-06</t>
        </is>
      </c>
      <c r="B109" t="inlineStr">
        <is>
          <t>Peru</t>
        </is>
      </c>
      <c r="C109" t="inlineStr">
        <is>
          <t>PERU</t>
        </is>
      </c>
      <c r="D109" t="inlineStr">
        <is>
          <t>USD</t>
        </is>
      </c>
      <c r="E109" t="inlineStr">
        <is>
          <t>gasto_admin</t>
        </is>
      </c>
      <c r="F109" t="inlineStr">
        <is>
          <t>Honorarios</t>
        </is>
      </c>
      <c r="G109" t="inlineStr">
        <is>
          <t>Administracion</t>
        </is>
      </c>
      <c r="H109" t="n">
        <v>257.86</v>
      </c>
      <c r="I109" t="n">
        <v>1599.69</v>
      </c>
      <c r="J109" t="n">
        <v>2</v>
      </c>
      <c r="K109" t="inlineStr">
        <is>
          <t>Agregado desde BD_GASTOS_DASHBOARD_BRIDGE (USD)</t>
        </is>
      </c>
    </row>
    <row r="110">
      <c r="A110" t="inlineStr">
        <is>
          <t>2026-06</t>
        </is>
      </c>
      <c r="B110" t="inlineStr">
        <is>
          <t>Peru</t>
        </is>
      </c>
      <c r="C110" t="inlineStr">
        <is>
          <t>PERU</t>
        </is>
      </c>
      <c r="D110" t="inlineStr">
        <is>
          <t>USD</t>
        </is>
      </c>
      <c r="E110" t="inlineStr">
        <is>
          <t>gasto_area</t>
        </is>
      </c>
      <c r="F110" t="inlineStr">
        <is>
          <t>Financieros</t>
        </is>
      </c>
      <c r="G110" t="inlineStr">
        <is>
          <t>Financieros</t>
        </is>
      </c>
      <c r="H110" t="n">
        <v>92.26000000000001</v>
      </c>
      <c r="I110" t="n">
        <v>342.72</v>
      </c>
      <c r="J110" t="n">
        <v>7</v>
      </c>
      <c r="K110" t="inlineStr">
        <is>
          <t>Agregado desde BD_GASTOS_DASHBOARD_BRIDGE (USD)</t>
        </is>
      </c>
    </row>
    <row r="111">
      <c r="A111" t="inlineStr">
        <is>
          <t>2026-06</t>
        </is>
      </c>
      <c r="B111" t="inlineStr">
        <is>
          <t>Peru</t>
        </is>
      </c>
      <c r="C111" t="inlineStr">
        <is>
          <t>PERU</t>
        </is>
      </c>
      <c r="D111" t="inlineStr">
        <is>
          <t>USD</t>
        </is>
      </c>
      <c r="E111" t="inlineStr">
        <is>
          <t>gasto_comercial</t>
        </is>
      </c>
      <c r="F111" t="inlineStr">
        <is>
          <t>Diversos</t>
        </is>
      </c>
      <c r="G111" t="inlineStr">
        <is>
          <t>Comercial</t>
        </is>
      </c>
      <c r="H111" t="n">
        <v>1196.63</v>
      </c>
      <c r="I111" t="n">
        <v>1197.19</v>
      </c>
      <c r="J111" t="n">
        <v>4</v>
      </c>
      <c r="K111" t="inlineStr">
        <is>
          <t>Agregado desde BD_GASTOS_DASHBOARD_BRIDGE (USD)</t>
        </is>
      </c>
    </row>
    <row r="112">
      <c r="A112" t="inlineStr">
        <is>
          <t>2026-06</t>
        </is>
      </c>
      <c r="B112" t="inlineStr">
        <is>
          <t>Peru</t>
        </is>
      </c>
      <c r="C112" t="inlineStr">
        <is>
          <t>PERU</t>
        </is>
      </c>
      <c r="D112" t="inlineStr">
        <is>
          <t>USD</t>
        </is>
      </c>
      <c r="E112" t="inlineStr">
        <is>
          <t>gasto_comercial</t>
        </is>
      </c>
      <c r="F112" t="inlineStr">
        <is>
          <t>Honorarios</t>
        </is>
      </c>
      <c r="G112" t="inlineStr">
        <is>
          <t>Comercial</t>
        </is>
      </c>
      <c r="H112" t="n">
        <v>0</v>
      </c>
      <c r="I112" t="n">
        <v>9489.219999999999</v>
      </c>
      <c r="J112" t="n">
        <v>4</v>
      </c>
      <c r="K112" t="inlineStr">
        <is>
          <t>Agregado desde BD_GASTOS_DASHBOARD_BRIDGE (USD)</t>
        </is>
      </c>
    </row>
    <row r="113">
      <c r="A113" t="inlineStr">
        <is>
          <t>2026-06</t>
        </is>
      </c>
      <c r="B113" t="inlineStr">
        <is>
          <t>Peru</t>
        </is>
      </c>
      <c r="C113" t="inlineStr">
        <is>
          <t>PERU</t>
        </is>
      </c>
      <c r="D113" t="inlineStr">
        <is>
          <t>USD</t>
        </is>
      </c>
      <c r="E113" t="inlineStr">
        <is>
          <t>gasto_comercial</t>
        </is>
      </c>
      <c r="F113" t="inlineStr">
        <is>
          <t>Servicios</t>
        </is>
      </c>
      <c r="G113" t="inlineStr">
        <is>
          <t>Comercial</t>
        </is>
      </c>
      <c r="H113" t="n">
        <v>0</v>
      </c>
      <c r="I113" t="n">
        <v>501.08</v>
      </c>
      <c r="J113" t="n">
        <v>1</v>
      </c>
      <c r="K113" t="inlineStr">
        <is>
          <t>Agregado desde BD_GASTOS_DASHBOARD_BRIDGE (USD)</t>
        </is>
      </c>
    </row>
    <row r="114">
      <c r="A114" t="inlineStr">
        <is>
          <t>2026-06</t>
        </is>
      </c>
      <c r="B114" t="inlineStr">
        <is>
          <t>Peru</t>
        </is>
      </c>
      <c r="C114" t="inlineStr">
        <is>
          <t>PERU</t>
        </is>
      </c>
      <c r="D114" t="inlineStr">
        <is>
          <t>USD</t>
        </is>
      </c>
      <c r="E114" t="inlineStr">
        <is>
          <t>gasto_comercial</t>
        </is>
      </c>
      <c r="F114" t="inlineStr">
        <is>
          <t>Viajes</t>
        </is>
      </c>
      <c r="G114" t="inlineStr">
        <is>
          <t>Comercial</t>
        </is>
      </c>
      <c r="H114" t="n">
        <v>2098.02</v>
      </c>
      <c r="I114" t="n">
        <v>4166.94</v>
      </c>
      <c r="J114" t="n">
        <v>24</v>
      </c>
      <c r="K114" t="inlineStr">
        <is>
          <t>Agregado desde BD_GASTOS_DASHBOARD_BRIDGE (USD)</t>
        </is>
      </c>
    </row>
    <row r="115">
      <c r="A115" t="inlineStr">
        <is>
          <t>2026-07</t>
        </is>
      </c>
      <c r="B115" t="inlineStr">
        <is>
          <t>Colombia</t>
        </is>
      </c>
      <c r="C115" t="inlineStr">
        <is>
          <t>COCO</t>
        </is>
      </c>
      <c r="D115" t="inlineStr">
        <is>
          <t>USD</t>
        </is>
      </c>
      <c r="E115" t="inlineStr">
        <is>
          <t>gasto_area</t>
        </is>
      </c>
      <c r="F115" t="inlineStr">
        <is>
          <t>Financieros</t>
        </is>
      </c>
      <c r="G115" t="inlineStr">
        <is>
          <t>Financieros</t>
        </is>
      </c>
      <c r="H115" t="n">
        <v>1637.72</v>
      </c>
      <c r="I115" t="n">
        <v>12269.49</v>
      </c>
      <c r="J115" t="n">
        <v>1</v>
      </c>
      <c r="K115" t="inlineStr">
        <is>
          <t>Agregado desde BD_GASTOS_DASHBOARD_BRIDGE (USD)</t>
        </is>
      </c>
    </row>
    <row r="116">
      <c r="A116" t="inlineStr">
        <is>
          <t>2026-07</t>
        </is>
      </c>
      <c r="B116" t="inlineStr">
        <is>
          <t>Costa Rica</t>
        </is>
      </c>
      <c r="C116" t="inlineStr">
        <is>
          <t>CR</t>
        </is>
      </c>
      <c r="D116" t="inlineStr">
        <is>
          <t>USD</t>
        </is>
      </c>
      <c r="E116" t="inlineStr">
        <is>
          <t>gasto_admin</t>
        </is>
      </c>
      <c r="F116" t="inlineStr">
        <is>
          <t>Diversos</t>
        </is>
      </c>
      <c r="G116" t="inlineStr">
        <is>
          <t>Administracion</t>
        </is>
      </c>
      <c r="H116" t="n">
        <v>116.94</v>
      </c>
      <c r="I116" t="n">
        <v>750.26</v>
      </c>
      <c r="J116" t="n">
        <v>8</v>
      </c>
      <c r="K116" t="inlineStr">
        <is>
          <t>Agregado desde BD_GASTOS_DASHBOARD_BRIDGE (USD)</t>
        </is>
      </c>
    </row>
    <row r="117">
      <c r="A117" t="inlineStr">
        <is>
          <t>2026-07</t>
        </is>
      </c>
      <c r="B117" t="inlineStr">
        <is>
          <t>Costa Rica</t>
        </is>
      </c>
      <c r="C117" t="inlineStr">
        <is>
          <t>CR</t>
        </is>
      </c>
      <c r="D117" t="inlineStr">
        <is>
          <t>USD</t>
        </is>
      </c>
      <c r="E117" t="inlineStr">
        <is>
          <t>gasto_admin</t>
        </is>
      </c>
      <c r="F117" t="inlineStr">
        <is>
          <t>Honorarios</t>
        </is>
      </c>
      <c r="G117" t="inlineStr">
        <is>
          <t>Administracion</t>
        </is>
      </c>
      <c r="H117" t="n">
        <v>0</v>
      </c>
      <c r="I117" t="n">
        <v>270.35</v>
      </c>
      <c r="J117" t="n">
        <v>1</v>
      </c>
      <c r="K117" t="inlineStr">
        <is>
          <t>Agregado desde BD_GASTOS_DASHBOARD_BRIDGE (USD)</t>
        </is>
      </c>
    </row>
    <row r="118">
      <c r="A118" t="inlineStr">
        <is>
          <t>2026-07</t>
        </is>
      </c>
      <c r="B118" t="inlineStr">
        <is>
          <t>Costa Rica</t>
        </is>
      </c>
      <c r="C118" t="inlineStr">
        <is>
          <t>CR</t>
        </is>
      </c>
      <c r="D118" t="inlineStr">
        <is>
          <t>USD</t>
        </is>
      </c>
      <c r="E118" t="inlineStr">
        <is>
          <t>gasto_admin</t>
        </is>
      </c>
      <c r="F118" t="inlineStr">
        <is>
          <t>Personal</t>
        </is>
      </c>
      <c r="G118" t="inlineStr">
        <is>
          <t>Administracion</t>
        </is>
      </c>
      <c r="H118" t="n">
        <v>2630</v>
      </c>
      <c r="I118" t="n">
        <v>12292.37</v>
      </c>
      <c r="J118" t="n">
        <v>2</v>
      </c>
      <c r="K118" t="inlineStr">
        <is>
          <t>Agregado desde BD_GASTOS_DASHBOARD_BRIDGE (USD)</t>
        </is>
      </c>
    </row>
    <row r="119">
      <c r="A119" t="inlineStr">
        <is>
          <t>2026-07</t>
        </is>
      </c>
      <c r="B119" t="inlineStr">
        <is>
          <t>Costa Rica</t>
        </is>
      </c>
      <c r="C119" t="inlineStr">
        <is>
          <t>CR</t>
        </is>
      </c>
      <c r="D119" t="inlineStr">
        <is>
          <t>USD</t>
        </is>
      </c>
      <c r="E119" t="inlineStr">
        <is>
          <t>gasto_admin</t>
        </is>
      </c>
      <c r="F119" t="inlineStr">
        <is>
          <t>Seguros</t>
        </is>
      </c>
      <c r="G119" t="inlineStr">
        <is>
          <t>Administracion</t>
        </is>
      </c>
      <c r="H119" t="n">
        <v>0</v>
      </c>
      <c r="I119" t="n">
        <v>9276.530000000001</v>
      </c>
      <c r="J119" t="n">
        <v>2</v>
      </c>
      <c r="K119" t="inlineStr">
        <is>
          <t>Agregado desde BD_GASTOS_DASHBOARD_BRIDGE (USD)</t>
        </is>
      </c>
    </row>
    <row r="120">
      <c r="A120" t="inlineStr">
        <is>
          <t>2026-07</t>
        </is>
      </c>
      <c r="B120" t="inlineStr">
        <is>
          <t>Costa Rica</t>
        </is>
      </c>
      <c r="C120" t="inlineStr">
        <is>
          <t>CR</t>
        </is>
      </c>
      <c r="D120" t="inlineStr">
        <is>
          <t>USD</t>
        </is>
      </c>
      <c r="E120" t="inlineStr">
        <is>
          <t>gasto_admin</t>
        </is>
      </c>
      <c r="F120" t="inlineStr">
        <is>
          <t>Servicios</t>
        </is>
      </c>
      <c r="G120" t="inlineStr">
        <is>
          <t>Administracion</t>
        </is>
      </c>
      <c r="H120" t="n">
        <v>0</v>
      </c>
      <c r="I120" t="n">
        <v>149.81</v>
      </c>
      <c r="J120" t="n">
        <v>2</v>
      </c>
      <c r="K120" t="inlineStr">
        <is>
          <t>Agregado desde BD_GASTOS_DASHBOARD_BRIDGE (USD)</t>
        </is>
      </c>
    </row>
    <row r="121">
      <c r="A121" t="inlineStr">
        <is>
          <t>2026-07</t>
        </is>
      </c>
      <c r="B121" t="inlineStr">
        <is>
          <t>Costa Rica</t>
        </is>
      </c>
      <c r="C121" t="inlineStr">
        <is>
          <t>CR</t>
        </is>
      </c>
      <c r="D121" t="inlineStr">
        <is>
          <t>USD</t>
        </is>
      </c>
      <c r="E121" t="inlineStr">
        <is>
          <t>gasto_admin</t>
        </is>
      </c>
      <c r="F121" t="inlineStr">
        <is>
          <t>Viajes</t>
        </is>
      </c>
      <c r="G121" t="inlineStr">
        <is>
          <t>Administracion</t>
        </is>
      </c>
      <c r="H121" t="n">
        <v>300</v>
      </c>
      <c r="I121" t="n">
        <v>2100</v>
      </c>
      <c r="J121" t="n">
        <v>1</v>
      </c>
      <c r="K121" t="inlineStr">
        <is>
          <t>Agregado desde BD_GASTOS_DASHBOARD_BRIDGE (USD)</t>
        </is>
      </c>
    </row>
    <row r="122">
      <c r="A122" t="inlineStr">
        <is>
          <t>2026-07</t>
        </is>
      </c>
      <c r="B122" t="inlineStr">
        <is>
          <t>Costa Rica</t>
        </is>
      </c>
      <c r="C122" t="inlineStr">
        <is>
          <t>CR</t>
        </is>
      </c>
      <c r="D122" t="inlineStr">
        <is>
          <t>USD</t>
        </is>
      </c>
      <c r="E122" t="inlineStr">
        <is>
          <t>gasto_area</t>
        </is>
      </c>
      <c r="F122" t="inlineStr">
        <is>
          <t>Financieros</t>
        </is>
      </c>
      <c r="G122" t="inlineStr">
        <is>
          <t>Financieros</t>
        </is>
      </c>
      <c r="H122" t="n">
        <v>30</v>
      </c>
      <c r="I122" t="n">
        <v>236</v>
      </c>
      <c r="J122" t="n">
        <v>2</v>
      </c>
      <c r="K122" t="inlineStr">
        <is>
          <t>Agregado desde BD_GASTOS_DASHBOARD_BRIDGE (USD)</t>
        </is>
      </c>
    </row>
    <row r="123">
      <c r="A123" t="inlineStr">
        <is>
          <t>2026-07</t>
        </is>
      </c>
      <c r="B123" t="inlineStr">
        <is>
          <t>Estados Unidos</t>
        </is>
      </c>
      <c r="C123" t="inlineStr">
        <is>
          <t>USA</t>
        </is>
      </c>
      <c r="D123" t="inlineStr">
        <is>
          <t>USD</t>
        </is>
      </c>
      <c r="E123" t="inlineStr">
        <is>
          <t>gasto_admin</t>
        </is>
      </c>
      <c r="F123" t="inlineStr">
        <is>
          <t>Arrendamiento</t>
        </is>
      </c>
      <c r="G123" t="inlineStr">
        <is>
          <t>Administracion</t>
        </is>
      </c>
      <c r="H123" t="n">
        <v>85.06</v>
      </c>
      <c r="I123" t="n">
        <v>85.06</v>
      </c>
      <c r="J123" t="n">
        <v>1</v>
      </c>
      <c r="K123" t="inlineStr">
        <is>
          <t>Agregado desde BD_GASTOS_DASHBOARD_BRIDGE (USD)</t>
        </is>
      </c>
    </row>
    <row r="124">
      <c r="A124" t="inlineStr">
        <is>
          <t>2026-07</t>
        </is>
      </c>
      <c r="B124" t="inlineStr">
        <is>
          <t>Estados Unidos</t>
        </is>
      </c>
      <c r="C124" t="inlineStr">
        <is>
          <t>USA</t>
        </is>
      </c>
      <c r="D124" t="inlineStr">
        <is>
          <t>USD</t>
        </is>
      </c>
      <c r="E124" t="inlineStr">
        <is>
          <t>gasto_admin</t>
        </is>
      </c>
      <c r="F124" t="inlineStr">
        <is>
          <t>Diversos</t>
        </is>
      </c>
      <c r="G124" t="inlineStr">
        <is>
          <t>Administracion</t>
        </is>
      </c>
      <c r="H124" t="n">
        <v>177.66</v>
      </c>
      <c r="I124" t="n">
        <v>8015.72</v>
      </c>
      <c r="J124" t="n">
        <v>25</v>
      </c>
      <c r="K124" t="inlineStr">
        <is>
          <t>Agregado desde BD_GASTOS_DASHBOARD_BRIDGE (USD)</t>
        </is>
      </c>
    </row>
    <row r="125">
      <c r="A125" t="inlineStr">
        <is>
          <t>2026-07</t>
        </is>
      </c>
      <c r="B125" t="inlineStr">
        <is>
          <t>Estados Unidos</t>
        </is>
      </c>
      <c r="C125" t="inlineStr">
        <is>
          <t>USA</t>
        </is>
      </c>
      <c r="D125" t="inlineStr">
        <is>
          <t>USD</t>
        </is>
      </c>
      <c r="E125" t="inlineStr">
        <is>
          <t>gasto_admin</t>
        </is>
      </c>
      <c r="F125" t="inlineStr">
        <is>
          <t>Honorarios</t>
        </is>
      </c>
      <c r="G125" t="inlineStr">
        <is>
          <t>Administracion</t>
        </is>
      </c>
      <c r="H125" t="n">
        <v>8100</v>
      </c>
      <c r="I125" t="n">
        <v>21252.46</v>
      </c>
      <c r="J125" t="n">
        <v>6</v>
      </c>
      <c r="K125" t="inlineStr">
        <is>
          <t>Agregado desde BD_GASTOS_DASHBOARD_BRIDGE (USD)</t>
        </is>
      </c>
    </row>
    <row r="126">
      <c r="A126" t="inlineStr">
        <is>
          <t>2026-07</t>
        </is>
      </c>
      <c r="B126" t="inlineStr">
        <is>
          <t>Estados Unidos</t>
        </is>
      </c>
      <c r="C126" t="inlineStr">
        <is>
          <t>USA</t>
        </is>
      </c>
      <c r="D126" t="inlineStr">
        <is>
          <t>USD</t>
        </is>
      </c>
      <c r="E126" t="inlineStr">
        <is>
          <t>gasto_admin</t>
        </is>
      </c>
      <c r="F126" t="inlineStr">
        <is>
          <t>Personal</t>
        </is>
      </c>
      <c r="G126" t="inlineStr">
        <is>
          <t>Administracion</t>
        </is>
      </c>
      <c r="H126" t="n">
        <v>3229.5</v>
      </c>
      <c r="I126" t="n">
        <v>42187.99</v>
      </c>
      <c r="J126" t="n">
        <v>13</v>
      </c>
      <c r="K126" t="inlineStr">
        <is>
          <t>Agregado desde BD_GASTOS_DASHBOARD_BRIDGE (USD)</t>
        </is>
      </c>
    </row>
    <row r="127">
      <c r="A127" t="inlineStr">
        <is>
          <t>2026-07</t>
        </is>
      </c>
      <c r="B127" t="inlineStr">
        <is>
          <t>Estados Unidos</t>
        </is>
      </c>
      <c r="C127" t="inlineStr">
        <is>
          <t>USA</t>
        </is>
      </c>
      <c r="D127" t="inlineStr">
        <is>
          <t>USD</t>
        </is>
      </c>
      <c r="E127" t="inlineStr">
        <is>
          <t>gasto_admin</t>
        </is>
      </c>
      <c r="F127" t="inlineStr">
        <is>
          <t>Servicios</t>
        </is>
      </c>
      <c r="G127" t="inlineStr">
        <is>
          <t>Administracion</t>
        </is>
      </c>
      <c r="H127" t="n">
        <v>409.53</v>
      </c>
      <c r="I127" t="n">
        <v>10822.9</v>
      </c>
      <c r="J127" t="n">
        <v>10</v>
      </c>
      <c r="K127" t="inlineStr">
        <is>
          <t>Agregado desde BD_GASTOS_DASHBOARD_BRIDGE (USD)</t>
        </is>
      </c>
    </row>
    <row r="128">
      <c r="A128" t="inlineStr">
        <is>
          <t>2026-07</t>
        </is>
      </c>
      <c r="B128" t="inlineStr">
        <is>
          <t>Estados Unidos</t>
        </is>
      </c>
      <c r="C128" t="inlineStr">
        <is>
          <t>USA</t>
        </is>
      </c>
      <c r="D128" t="inlineStr">
        <is>
          <t>USD</t>
        </is>
      </c>
      <c r="E128" t="inlineStr">
        <is>
          <t>gasto_admin</t>
        </is>
      </c>
      <c r="F128" t="inlineStr">
        <is>
          <t>Viajes</t>
        </is>
      </c>
      <c r="G128" t="inlineStr">
        <is>
          <t>Administracion</t>
        </is>
      </c>
      <c r="H128" t="n">
        <v>0</v>
      </c>
      <c r="I128" t="n">
        <v>309.9</v>
      </c>
      <c r="J128" t="n">
        <v>8</v>
      </c>
      <c r="K128" t="inlineStr">
        <is>
          <t>Agregado desde BD_GASTOS_DASHBOARD_BRIDGE (USD)</t>
        </is>
      </c>
    </row>
    <row r="129">
      <c r="A129" t="inlineStr">
        <is>
          <t>2026-07</t>
        </is>
      </c>
      <c r="B129" t="inlineStr">
        <is>
          <t>Estados Unidos</t>
        </is>
      </c>
      <c r="C129" t="inlineStr">
        <is>
          <t>USA</t>
        </is>
      </c>
      <c r="D129" t="inlineStr">
        <is>
          <t>USD</t>
        </is>
      </c>
      <c r="E129" t="inlineStr">
        <is>
          <t>gasto_area</t>
        </is>
      </c>
      <c r="F129" t="inlineStr">
        <is>
          <t>Financieros</t>
        </is>
      </c>
      <c r="G129" t="inlineStr">
        <is>
          <t>Financieros</t>
        </is>
      </c>
      <c r="H129" t="n">
        <v>134.28</v>
      </c>
      <c r="I129" t="n">
        <v>912.54</v>
      </c>
      <c r="J129" t="n">
        <v>6</v>
      </c>
      <c r="K129" t="inlineStr">
        <is>
          <t>Agregado desde BD_GASTOS_DASHBOARD_BRIDGE (USD)</t>
        </is>
      </c>
    </row>
    <row r="130">
      <c r="A130" t="inlineStr">
        <is>
          <t>2026-07</t>
        </is>
      </c>
      <c r="B130" t="inlineStr">
        <is>
          <t>Estados Unidos</t>
        </is>
      </c>
      <c r="C130" t="inlineStr">
        <is>
          <t>USA</t>
        </is>
      </c>
      <c r="D130" t="inlineStr">
        <is>
          <t>USD</t>
        </is>
      </c>
      <c r="E130" t="inlineStr">
        <is>
          <t>gasto_comercial</t>
        </is>
      </c>
      <c r="F130" t="inlineStr">
        <is>
          <t>Servicios</t>
        </is>
      </c>
      <c r="G130" t="inlineStr">
        <is>
          <t>Comercial</t>
        </is>
      </c>
      <c r="H130" t="n">
        <v>0</v>
      </c>
      <c r="I130" t="n">
        <v>4548</v>
      </c>
      <c r="J130" t="n">
        <v>3</v>
      </c>
      <c r="K130" t="inlineStr">
        <is>
          <t>Agregado desde BD_GASTOS_DASHBOARD_BRIDGE (USD)</t>
        </is>
      </c>
    </row>
    <row r="131">
      <c r="A131" t="inlineStr">
        <is>
          <t>2026-07</t>
        </is>
      </c>
      <c r="B131" t="inlineStr">
        <is>
          <t>Peru</t>
        </is>
      </c>
      <c r="C131" t="inlineStr">
        <is>
          <t>PERU</t>
        </is>
      </c>
      <c r="D131" t="inlineStr">
        <is>
          <t>USD</t>
        </is>
      </c>
      <c r="E131" t="inlineStr">
        <is>
          <t>gasto_admin</t>
        </is>
      </c>
      <c r="F131" t="inlineStr">
        <is>
          <t>Honorarios</t>
        </is>
      </c>
      <c r="G131" t="inlineStr">
        <is>
          <t>Administracion</t>
        </is>
      </c>
      <c r="H131" t="n">
        <v>258.23</v>
      </c>
      <c r="I131" t="n">
        <v>1602.05</v>
      </c>
      <c r="J131" t="n">
        <v>2</v>
      </c>
      <c r="K131" t="inlineStr">
        <is>
          <t>Agregado desde BD_GASTOS_DASHBOARD_BRIDGE (USD)</t>
        </is>
      </c>
    </row>
    <row r="132">
      <c r="A132" t="inlineStr">
        <is>
          <t>2026-07</t>
        </is>
      </c>
      <c r="B132" t="inlineStr">
        <is>
          <t>Peru</t>
        </is>
      </c>
      <c r="C132" t="inlineStr">
        <is>
          <t>PERU</t>
        </is>
      </c>
      <c r="D132" t="inlineStr">
        <is>
          <t>USD</t>
        </is>
      </c>
      <c r="E132" t="inlineStr">
        <is>
          <t>gasto_area</t>
        </is>
      </c>
      <c r="F132" t="inlineStr">
        <is>
          <t>Financieros</t>
        </is>
      </c>
      <c r="G132" t="inlineStr">
        <is>
          <t>Financieros</t>
        </is>
      </c>
      <c r="H132" t="n">
        <v>92.40000000000001</v>
      </c>
      <c r="I132" t="n">
        <v>343.22</v>
      </c>
      <c r="J132" t="n">
        <v>7</v>
      </c>
      <c r="K132" t="inlineStr">
        <is>
          <t>Agregado desde BD_GASTOS_DASHBOARD_BRIDGE (USD)</t>
        </is>
      </c>
    </row>
    <row r="133">
      <c r="A133" t="inlineStr">
        <is>
          <t>2026-07</t>
        </is>
      </c>
      <c r="B133" t="inlineStr">
        <is>
          <t>Peru</t>
        </is>
      </c>
      <c r="C133" t="inlineStr">
        <is>
          <t>PERU</t>
        </is>
      </c>
      <c r="D133" t="inlineStr">
        <is>
          <t>USD</t>
        </is>
      </c>
      <c r="E133" t="inlineStr">
        <is>
          <t>gasto_comercial</t>
        </is>
      </c>
      <c r="F133" t="inlineStr">
        <is>
          <t>Diversos</t>
        </is>
      </c>
      <c r="G133" t="inlineStr">
        <is>
          <t>Comercial</t>
        </is>
      </c>
      <c r="H133" t="n">
        <v>1198.39</v>
      </c>
      <c r="I133" t="n">
        <v>1198.95</v>
      </c>
      <c r="J133" t="n">
        <v>4</v>
      </c>
      <c r="K133" t="inlineStr">
        <is>
          <t>Agregado desde BD_GASTOS_DASHBOARD_BRIDGE (USD)</t>
        </is>
      </c>
    </row>
    <row r="134">
      <c r="A134" t="inlineStr">
        <is>
          <t>2026-07</t>
        </is>
      </c>
      <c r="B134" t="inlineStr">
        <is>
          <t>Peru</t>
        </is>
      </c>
      <c r="C134" t="inlineStr">
        <is>
          <t>PERU</t>
        </is>
      </c>
      <c r="D134" t="inlineStr">
        <is>
          <t>USD</t>
        </is>
      </c>
      <c r="E134" t="inlineStr">
        <is>
          <t>gasto_comercial</t>
        </is>
      </c>
      <c r="F134" t="inlineStr">
        <is>
          <t>Honorarios</t>
        </is>
      </c>
      <c r="G134" t="inlineStr">
        <is>
          <t>Comercial</t>
        </is>
      </c>
      <c r="H134" t="n">
        <v>0</v>
      </c>
      <c r="I134" t="n">
        <v>9503.190000000001</v>
      </c>
      <c r="J134" t="n">
        <v>4</v>
      </c>
      <c r="K134" t="inlineStr">
        <is>
          <t>Agregado desde BD_GASTOS_DASHBOARD_BRIDGE (USD)</t>
        </is>
      </c>
    </row>
    <row r="135">
      <c r="A135" t="inlineStr">
        <is>
          <t>2026-07</t>
        </is>
      </c>
      <c r="B135" t="inlineStr">
        <is>
          <t>Peru</t>
        </is>
      </c>
      <c r="C135" t="inlineStr">
        <is>
          <t>PERU</t>
        </is>
      </c>
      <c r="D135" t="inlineStr">
        <is>
          <t>USD</t>
        </is>
      </c>
      <c r="E135" t="inlineStr">
        <is>
          <t>gasto_comercial</t>
        </is>
      </c>
      <c r="F135" t="inlineStr">
        <is>
          <t>Servicios</t>
        </is>
      </c>
      <c r="G135" t="inlineStr">
        <is>
          <t>Comercial</t>
        </is>
      </c>
      <c r="H135" t="n">
        <v>0</v>
      </c>
      <c r="I135" t="n">
        <v>501.82</v>
      </c>
      <c r="J135" t="n">
        <v>1</v>
      </c>
      <c r="K135" t="inlineStr">
        <is>
          <t>Agregado desde BD_GASTOS_DASHBOARD_BRIDGE (USD)</t>
        </is>
      </c>
    </row>
    <row r="136">
      <c r="A136" t="inlineStr">
        <is>
          <t>2026-07</t>
        </is>
      </c>
      <c r="B136" t="inlineStr">
        <is>
          <t>Peru</t>
        </is>
      </c>
      <c r="C136" t="inlineStr">
        <is>
          <t>PERU</t>
        </is>
      </c>
      <c r="D136" t="inlineStr">
        <is>
          <t>USD</t>
        </is>
      </c>
      <c r="E136" t="inlineStr">
        <is>
          <t>gasto_comercial</t>
        </is>
      </c>
      <c r="F136" t="inlineStr">
        <is>
          <t>Viajes</t>
        </is>
      </c>
      <c r="G136" t="inlineStr">
        <is>
          <t>Comercial</t>
        </is>
      </c>
      <c r="H136" t="n">
        <v>2101.12</v>
      </c>
      <c r="I136" t="n">
        <v>4173.09</v>
      </c>
      <c r="J136" t="n">
        <v>24</v>
      </c>
      <c r="K136" t="inlineStr">
        <is>
          <t>Agregado desde BD_GASTOS_DASHBOARD_BRIDGE (USD)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2026-08-13T15:27:50Z</dcterms:created>
  <dcterms:modified xmlns:dcterms="http://purl.org/dc/terms/" xmlns:xsi="http://www.w3.org/2001/XMLSchema-instance" xsi:type="dcterms:W3CDTF">2026-08-31T22:03:30Z</dcterms:modified>
  <cp:lastModifiedBy>ANDRES ARANGO SANTAMARIA</cp:lastModifiedBy>
</cp:coreProperties>
</file>