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name="Diccionario" sheetId="1" state="visible" r:id="rId1"/>
    <sheet name="BD_Indicadores" sheetId="2" state="visible" r:id="rId2"/>
    <sheet name="TRM" sheetId="3" state="visible" r:id="rId3"/>
    <sheet name="TRM_Peru" sheetId="4" state="visible" r:id="rId4"/>
    <sheet name="Calc_LTV_Fin" sheetId="5" state="visible" r:id="rId5"/>
    <sheet name="Analisis_Churn" sheetId="6" state="visible" r:id="rId6"/>
    <sheet name="Analisis_Reconciliacion" sheetId="7" state="visible" r:id="rId7"/>
    <sheet name="CATALOGOS" sheetId="8" state="visible" r:id="rId8"/>
    <sheet name="LOG" sheetId="9" state="visible" r:id="rId9"/>
    <sheet name="Pipeline_Comercial" sheetId="10" state="visible" r:id="rId10"/>
    <sheet name="MAP_DASHBOARD_GASTOS" sheetId="11" state="visible" r:id="rId11"/>
    <sheet name="BD_GASTOS_HOMOLOGADOS" sheetId="12" state="visible" r:id="rId12"/>
    <sheet name="BD_GASTOS_DASHBOARD_BRIDGE" sheetId="13" state="visible" r:id="rId13"/>
    <sheet name="BD_GASTOS_RESUMEN_MENSUAL" sheetId="14" state="visible" r:id="rId14"/>
    <sheet name="Analisis_MRR_Resumen_MRR" sheetId="15" state="visible" r:id="rId15"/>
    <sheet name="Analisis_MRR_Detalle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30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  <font>
      <name val="Arial"/>
      <b val="1"/>
      <color rgb="FF1F4E78"/>
      <sz val="14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b val="1"/>
      <sz val="11"/>
    </font>
    <font>
      <name val="Arial"/>
      <sz val="11"/>
    </font>
    <font>
      <name val="Arial"/>
      <b val="1"/>
      <i val="1"/>
      <color rgb="FF9C5700"/>
      <sz val="11"/>
    </font>
    <font>
      <name val="Arial"/>
      <i val="1"/>
      <color rgb="FF9C5700"/>
      <sz val="11"/>
    </font>
    <font>
      <name val="Arial"/>
      <i val="1"/>
      <color rgb="FF666666"/>
      <sz val="11"/>
    </font>
    <font>
      <name val="Arial"/>
      <b val="1"/>
      <color rgb="FF1F4E78"/>
      <sz val="12"/>
    </font>
    <font>
      <name val="Arial"/>
      <b val="1"/>
      <color rgb="FF1F4E78"/>
      <sz val="11"/>
    </font>
    <font>
      <name val="Arial"/>
      <b val="1"/>
      <sz val="12"/>
    </font>
  </fonts>
  <fills count="12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0" fontId="21" fillId="11" borderId="0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wrapText="1"/>
    </xf>
    <xf numFmtId="0" fontId="28" fillId="0" borderId="0" pivotButton="0" quotePrefix="0" xfId="0"/>
    <xf numFmtId="0" fontId="2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7" fillId="0" borderId="0" pivotButton="0" quotePrefix="0" xfId="0"/>
    <xf numFmtId="0" fontId="29" fillId="0" borderId="0" pivotButton="0" quotePrefix="0" xfId="0"/>
    <xf numFmtId="0" fontId="21" fillId="11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 (serie de Finanzas)</t>
        </is>
      </c>
      <c r="E22" s="1" t="inlineStr">
        <is>
          <t>KPI</t>
        </is>
      </c>
      <c r="F22" s="1" t="inlineStr">
        <is>
          <t>SIN CONFIRMAR. La ficha decia "mrr_final x 12" y no corresponde: el valor guardado equivale a 4,79 veces el MRR en mayo-26 y 5,90 en junio-26, no 12. Es otra serie, no el ARR del MRR --para eso esta arr_mrr--. Pendiente de definir con Finanzas. Ultimo dato: 2026-06.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 (entregado por cartera)</t>
        </is>
      </c>
      <c r="E72" s="1" t="inlineStr">
        <is>
          <t>KPI</t>
        </is>
      </c>
      <c r="F72" s="1" t="inlineStr">
        <is>
          <t>Lo entrega cartera con su propia definicion; el tablero NO lo calcula. NO es cartera_vencida / cartera_total: esa razon da 41,6% en julio-26 y el valor entregado es 77,3%. El donut "Composicion de cartera" de la misma pestana muestra el 41,6%. Las dos cifras miden cosas distintas y falta la formula de la primera.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 (ARR de cartera)</t>
        </is>
      </c>
      <c r="E74" s="1" t="inlineStr">
        <is>
          <t>KPI</t>
        </is>
      </c>
      <c r="F74" s="1" t="inlineStr">
        <is>
          <t>Entregado por cartera. NO reproduce cartera_total / arr (36,7%) ni cartera_total / arr_mrr (17,9%): el 20,9% implica un ARR de 2.248.086 USD que no existe en esta base. Usa un ARR propio de cartera, pendiente de conciliar.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Castigo de cartera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(promedio MRR x 12)</t>
        </is>
      </c>
      <c r="E110" t="inlineStr">
        <is>
          <t>KPI</t>
        </is>
      </c>
      <c r="F110" t="inlineStr">
        <is>
          <t>MRR recurrente promedio del año en curso x 12. Definición vigente desde el 27-ago-2026; antes era el MRR del último mes x 12.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82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J97" t="inlineStr">
        <is>
          <t>%</t>
        </is>
      </c>
      <c r="K97" t="inlineStr">
        <is>
          <t>RETIRADO el 27-ago-2026: definicion distinta a la vigente. El valor anterior queda en BD_TRAZABILIDAD_COCO, hoja MRR_Cartera_Reemplazado.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J100" t="inlineStr">
        <is>
          <t>%</t>
        </is>
      </c>
      <c r="K100" t="inlineStr">
        <is>
          <t>RETIRADO el 27-ago-2026: definicion distinta a la vigente. El valor anterior queda en BD_TRAZABILIDAD_COCO, hoja MRR_Cartera_Reemplazado.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592860893.2</v>
      </c>
      <c r="J1148" t="inlineStr">
        <is>
          <t>COP</t>
        </is>
      </c>
      <c r="K114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695884029.36</v>
      </c>
      <c r="J1149" t="inlineStr">
        <is>
          <t>COP</t>
        </is>
      </c>
      <c r="K1149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734076969.85</v>
      </c>
      <c r="J1150" t="inlineStr">
        <is>
          <t>COP</t>
        </is>
      </c>
      <c r="K1150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754046327.5</v>
      </c>
      <c r="J1151" t="inlineStr">
        <is>
          <t>COP</t>
        </is>
      </c>
      <c r="K115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774122622.75</v>
      </c>
      <c r="J1152" t="inlineStr">
        <is>
          <t>COP</t>
        </is>
      </c>
      <c r="K115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J1305" t="inlineStr">
        <is>
          <t>%</t>
        </is>
      </c>
      <c r="K1305" t="inlineStr">
        <is>
          <t>RETIRADO el 27-ago-2026: definicion distinta a la vigente. El valor anterior queda en BD_TRAZABILIDAD_COCO, hoja MRR_Cartera_Reemplazado.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J1308" t="inlineStr">
        <is>
          <t>%</t>
        </is>
      </c>
      <c r="K1308" t="inlineStr">
        <is>
          <t>RETIRADO el 27-ago-2026: definicion distinta a la vigente. El valor anterior queda en BD_TRAZABILIDAD_COCO, hoja MRR_Cartera_Reemplazado.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316310847.01</v>
      </c>
      <c r="J1771" t="inlineStr">
        <is>
          <t>COP</t>
        </is>
      </c>
      <c r="K177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9249060</v>
      </c>
      <c r="J1772" t="inlineStr">
        <is>
          <t>COP</t>
        </is>
      </c>
      <c r="K177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14828121.53</v>
      </c>
      <c r="J1774" t="inlineStr">
        <is>
          <t>COP</t>
        </is>
      </c>
      <c r="K1774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-43146257.94</v>
      </c>
      <c r="J1775" t="inlineStr">
        <is>
          <t>COP</t>
        </is>
      </c>
      <c r="K1775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759860184.11</v>
      </c>
      <c r="J1777" t="inlineStr">
        <is>
          <t>COP</t>
        </is>
      </c>
      <c r="K1777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703109437.7</v>
      </c>
      <c r="J1778" t="inlineStr">
        <is>
          <t>COP</t>
        </is>
      </c>
      <c r="K177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J1779" t="inlineStr">
        <is>
          <t>COP</t>
        </is>
      </c>
      <c r="K1779" t="inlineStr">
        <is>
          <t>RETIRADO el 27-ago-2026: definicion distinta a la vigente. El valor anterior queda en BD_TRAZABILIDAD_COCO, hoja MRR_Cartera_Reemplazado.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8595360796.23</v>
      </c>
      <c r="J1780" t="inlineStr">
        <is>
          <t>COP</t>
        </is>
      </c>
      <c r="K1780" t="inlineStr">
        <is>
          <t>ARR = MRR promedio ene-jul 2026 x 12. Antes se calculaba como ultimo mes x 12; el cambio de definicion se decidio el 27-ago-2026.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1535916157.5</v>
      </c>
      <c r="J1781" t="inlineStr">
        <is>
          <t>COP</t>
        </is>
      </c>
      <c r="K1781" t="inlineStr">
        <is>
          <t>Cartera al 31-jul-2026, recibida en USD y convertida con la TRM de julio (3.268,95). Reemplaza la conversion anterior, que uso 3.505,2683 --la TRM de junio-- y dejaba la cifra 7,2%% inflada.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639060111.3</v>
      </c>
      <c r="J1782" t="inlineStr">
        <is>
          <t>COP</t>
        </is>
      </c>
      <c r="K1782" t="inlineStr">
        <is>
          <t>Cartera al 31-jul-2026, recibida en USD y convertida con la TRM de julio (3.268,95). Reemplaza la conversion anterior, que uso 3.505,2683 --la TRM de junio-- y dejaba la cifra 7,2%% inflada.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896852777.25</v>
      </c>
      <c r="J1783" t="inlineStr">
        <is>
          <t>COP</t>
        </is>
      </c>
      <c r="K1783" t="inlineStr">
        <is>
          <t>Cartera al 31-jul-2026, recibida en USD y convertida con la TRM de julio (3.268,95). Reemplaza la conversion anterior, que uso 3.505,2683 --la TRM de junio-- y dejaba la cifra 7,2%% inflada.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al 31-jul-2026. Fuente: Analisis_MRR_Junio_Julio.xlsx.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53421180.9</v>
      </c>
      <c r="J1785" t="inlineStr">
        <is>
          <t>COP</t>
        </is>
      </c>
      <c r="K1785" t="inlineStr">
        <is>
          <t>Cartera al 31-jul-2026, recibida en USD y convertida con la TRM de julio (3.268,95). Reemplaza la conversion anterior, que uso 3.505,2683 --la TRM de junio-- y dejaba la cifra 7,2%% inflada.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al 31-jul-2026.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al 31-jul-2026.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J1848" t="inlineStr">
        <is>
          <t>COP</t>
        </is>
      </c>
      <c r="K1848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J1849" t="inlineStr">
        <is>
          <t>COP</t>
        </is>
      </c>
      <c r="K1849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J1850" t="inlineStr">
        <is>
          <t>COP</t>
        </is>
      </c>
      <c r="K1850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J1851" t="inlineStr">
        <is>
          <t>COP</t>
        </is>
      </c>
      <c r="K1851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J1852" t="inlineStr">
        <is>
          <t>COP</t>
        </is>
      </c>
      <c r="K1852" t="inlineStr">
        <is>
          <t>RETIRADO el 27-ago-2026: definicion distinta a la vigente. El valor anterior queda en BD_TRAZABILIDAD_COCO, hoja MRR_Cartera_Reemplazado.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pyg_ingresos_operacionales</t>
        </is>
      </c>
      <c r="G1853" t="inlineStr">
        <is>
          <t>Consolidación USD</t>
        </is>
      </c>
      <c r="I1853" t="n">
        <v>165338.29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pyg_costo_ventas</t>
        </is>
      </c>
      <c r="G1854" t="inlineStr">
        <is>
          <t>Consolidación USD</t>
        </is>
      </c>
      <c r="I1854" t="n">
        <v>64416.9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pyg_gasto_administracion</t>
        </is>
      </c>
      <c r="G1855" t="inlineStr">
        <is>
          <t>Consolidación USD</t>
        </is>
      </c>
      <c r="I1855" t="n">
        <v>26660.12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pyg_gasto_ventas</t>
        </is>
      </c>
      <c r="G1856" t="inlineStr">
        <is>
          <t>Consolidación USD</t>
        </is>
      </c>
      <c r="I1856" t="n">
        <v>35538.82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pyg_gasto_proyectos</t>
        </is>
      </c>
      <c r="G1857" t="inlineStr">
        <is>
          <t>Consolidación USD</t>
        </is>
      </c>
      <c r="I1857" t="n">
        <v>19824.43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pyg_ingresos_no_operacionales</t>
        </is>
      </c>
      <c r="G1858" t="inlineStr">
        <is>
          <t>Consolidación USD</t>
        </is>
      </c>
      <c r="I1858" t="n">
        <v>161.41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2026-01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pyg_gastos_financieros</t>
        </is>
      </c>
      <c r="G1859" t="inlineStr">
        <is>
          <t>Consolidación USD</t>
        </is>
      </c>
      <c r="I1859" t="n">
        <v>1915.08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2026-01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pyg_utilidad_neta</t>
        </is>
      </c>
      <c r="G1860" t="inlineStr">
        <is>
          <t>Consolidación USD</t>
        </is>
      </c>
      <c r="I1860" t="n">
        <v>17144.34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pyg_ingresos_operacionales</t>
        </is>
      </c>
      <c r="G1861" t="inlineStr">
        <is>
          <t>Consolidación USD</t>
        </is>
      </c>
      <c r="I1861" t="n">
        <v>202473.08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pyg_costo_ventas</t>
        </is>
      </c>
      <c r="G1862" t="inlineStr">
        <is>
          <t>Consolidación USD</t>
        </is>
      </c>
      <c r="I1862" t="n">
        <v>93401.09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pyg_gasto_administracion</t>
        </is>
      </c>
      <c r="G1863" t="inlineStr">
        <is>
          <t>Consolidación USD</t>
        </is>
      </c>
      <c r="I1863" t="n">
        <v>28738.8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pyg_gasto_ventas</t>
        </is>
      </c>
      <c r="G1864" t="inlineStr">
        <is>
          <t>Consolidación USD</t>
        </is>
      </c>
      <c r="I1864" t="n">
        <v>47238.63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pyg_gasto_proyectos</t>
        </is>
      </c>
      <c r="G1865" t="inlineStr">
        <is>
          <t>Consolidación USD</t>
        </is>
      </c>
      <c r="I1865" t="n">
        <v>20543.26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pyg_ingresos_no_operacionales</t>
        </is>
      </c>
      <c r="G1866" t="inlineStr">
        <is>
          <t>Consolidación USD</t>
        </is>
      </c>
      <c r="I1866" t="n">
        <v>3669.83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2026-02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pyg_gastos_financieros</t>
        </is>
      </c>
      <c r="G1867" t="inlineStr">
        <is>
          <t>Consolidación USD</t>
        </is>
      </c>
      <c r="I1867" t="n">
        <v>1516.5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2026-02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pyg_utilidad_neta</t>
        </is>
      </c>
      <c r="G1868" t="inlineStr">
        <is>
          <t>Consolidación USD</t>
        </is>
      </c>
      <c r="I1868" t="n">
        <v>14704.63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pyg_ingresos_operacionales</t>
        </is>
      </c>
      <c r="G1869" t="inlineStr">
        <is>
          <t>Consolidación USD</t>
        </is>
      </c>
      <c r="I1869" t="n">
        <v>211709.07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pyg_costo_ventas</t>
        </is>
      </c>
      <c r="G1870" t="inlineStr">
        <is>
          <t>Consolidación USD</t>
        </is>
      </c>
      <c r="I1870" t="n">
        <v>122564.05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pyg_gasto_administracion</t>
        </is>
      </c>
      <c r="G1871" t="inlineStr">
        <is>
          <t>Consolidación USD</t>
        </is>
      </c>
      <c r="I1871" t="n">
        <v>38146.49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pyg_gasto_ventas</t>
        </is>
      </c>
      <c r="G1872" t="inlineStr">
        <is>
          <t>Consolidación USD</t>
        </is>
      </c>
      <c r="I1872" t="n">
        <v>37555.76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pyg_gasto_proyectos</t>
        </is>
      </c>
      <c r="G1873" t="inlineStr">
        <is>
          <t>Consolidación USD</t>
        </is>
      </c>
      <c r="I1873" t="n">
        <v>19425.95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pyg_ingresos_no_operacionales</t>
        </is>
      </c>
      <c r="G1874" t="inlineStr">
        <is>
          <t>Consolidación USD</t>
        </is>
      </c>
      <c r="I1874" t="n">
        <v>-2743.11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2026-03</t>
        </is>
      </c>
      <c r="B1875" t="inlineStr">
        <is>
          <t>Colombia</t>
        </is>
      </c>
      <c r="C1875" t="inlineStr">
        <is>
          <t>Coco Colombia</t>
        </is>
      </c>
      <c r="D1875" t="inlineStr">
        <is>
          <t>USD</t>
        </is>
      </c>
      <c r="E1875" t="inlineStr">
        <is>
          <t>Real</t>
        </is>
      </c>
      <c r="F1875" t="inlineStr">
        <is>
          <t>pyg_gastos_financieros</t>
        </is>
      </c>
      <c r="G1875" t="inlineStr">
        <is>
          <t>Consolidación USD</t>
        </is>
      </c>
      <c r="I1875" t="n">
        <v>1478.81</v>
      </c>
      <c r="J1875" t="inlineStr">
        <is>
          <t>USD</t>
        </is>
      </c>
      <c r="K187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5" t="inlineStr">
        <is>
          <t>Internacional</t>
        </is>
      </c>
      <c r="M1875" t="inlineStr">
        <is>
          <t>Finanzas</t>
        </is>
      </c>
      <c r="N1875" t="inlineStr">
        <is>
          <t>Mensual</t>
        </is>
      </c>
    </row>
    <row r="1876">
      <c r="A1876" t="inlineStr">
        <is>
          <t>2026-03</t>
        </is>
      </c>
      <c r="B1876" t="inlineStr">
        <is>
          <t>Colombia</t>
        </is>
      </c>
      <c r="C1876" t="inlineStr">
        <is>
          <t>Coco Colombia</t>
        </is>
      </c>
      <c r="D1876" t="inlineStr">
        <is>
          <t>USD</t>
        </is>
      </c>
      <c r="E1876" t="inlineStr">
        <is>
          <t>Real</t>
        </is>
      </c>
      <c r="F1876" t="inlineStr">
        <is>
          <t>pyg_utilidad_neta</t>
        </is>
      </c>
      <c r="G1876" t="inlineStr">
        <is>
          <t>Consolidación USD</t>
        </is>
      </c>
      <c r="I1876" t="n">
        <v>-10205.08</v>
      </c>
      <c r="J1876" t="inlineStr">
        <is>
          <t>USD</t>
        </is>
      </c>
      <c r="K187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6" t="inlineStr">
        <is>
          <t>Internacional</t>
        </is>
      </c>
      <c r="M1876" t="inlineStr">
        <is>
          <t>Finanzas</t>
        </is>
      </c>
      <c r="N1876" t="inlineStr">
        <is>
          <t>Mensual</t>
        </is>
      </c>
    </row>
    <row r="1877">
      <c r="A1877" t="inlineStr">
        <is>
          <t>2026-07</t>
        </is>
      </c>
      <c r="B1877" t="inlineStr">
        <is>
          <t>Colombia</t>
        </is>
      </c>
      <c r="D1877" t="inlineStr">
        <is>
          <t>COP</t>
        </is>
      </c>
      <c r="E1877" t="inlineStr">
        <is>
          <t>Real</t>
        </is>
      </c>
      <c r="F1877" t="inlineStr">
        <is>
          <t>ingresos_no_recurrentes</t>
        </is>
      </c>
      <c r="I1877" t="n">
        <v>494843760</v>
      </c>
      <c r="J1877" t="inlineStr">
        <is>
          <t>COP</t>
        </is>
      </c>
      <c r="K1877" t="inlineStr">
        <is>
          <t>One-off Caja Costa Rica (CCSS), julio 2026. Fuera del MRR recurrente y del ARR.</t>
        </is>
      </c>
    </row>
    <row r="1878">
      <c r="A1878" t="inlineStr">
        <is>
          <t>2026-07</t>
        </is>
      </c>
      <c r="B1878" t="inlineStr">
        <is>
          <t>Colombia</t>
        </is>
      </c>
      <c r="D1878" t="inlineStr">
        <is>
          <t>COP</t>
        </is>
      </c>
      <c r="E1878" t="inlineStr">
        <is>
          <t>Real</t>
        </is>
      </c>
      <c r="F1878" t="inlineStr">
        <is>
          <t>cartera_arr_pct</t>
        </is>
      </c>
      <c r="I1878" t="n">
        <v>20.9</v>
      </c>
      <c r="J1878" t="inlineStr">
        <is>
          <t>%</t>
        </is>
      </c>
      <c r="K1878" t="inlineStr">
        <is>
          <t>Entregado por cartera. Con el ARR nuevo (8.595.360.796) la razon daria 17,9%: el 20,9% viene del ARR que usaba cartera, no del de esta base.</t>
        </is>
      </c>
    </row>
    <row r="1879">
      <c r="A1879" t="inlineStr">
        <is>
          <t>2026-07</t>
        </is>
      </c>
      <c r="B1879" t="inlineStr">
        <is>
          <t>Colombia</t>
        </is>
      </c>
      <c r="D1879" t="inlineStr">
        <is>
          <t>COP</t>
        </is>
      </c>
      <c r="E1879" t="inlineStr">
        <is>
          <t>Real</t>
        </is>
      </c>
      <c r="F1879" t="inlineStr">
        <is>
          <t>indice_morosidad</t>
        </is>
      </c>
      <c r="I1879" t="n">
        <v>77.3</v>
      </c>
      <c r="J1879" t="inlineStr">
        <is>
          <t>%</t>
        </is>
      </c>
      <c r="K1879" t="inlineStr">
        <is>
          <t>Entregado por cartera con su propia definicion; el tablero NO lo calcula. No coincide con vencida/total (41,6%) ni con la serie anterior (10,5 en mayo, 27,81 en junio), que quedo archivada.</t>
        </is>
      </c>
    </row>
    <row r="1880">
      <c r="A1880" t="inlineStr">
        <is>
          <t>2026-07</t>
        </is>
      </c>
      <c r="B1880" t="inlineStr">
        <is>
          <t>Colombia</t>
        </is>
      </c>
      <c r="D1880" t="inlineStr">
        <is>
          <t>COP</t>
        </is>
      </c>
      <c r="E1880" t="inlineStr">
        <is>
          <t>Real</t>
        </is>
      </c>
      <c r="F1880" t="inlineStr">
        <is>
          <t>concentracion_cartera</t>
        </is>
      </c>
      <c r="I1880" t="n">
        <v>45.3</v>
      </c>
      <c r="J1880" t="inlineStr">
        <is>
          <t>%</t>
        </is>
      </c>
      <c r="K1880" t="inlineStr">
        <is>
          <t>Entregado por cartera con su propia definicion; el tablero NO lo calcula. No coincide con vencida/total (41,6%) ni con la serie anterior (17,1 en mayo y junio), que quedo archivada.</t>
        </is>
      </c>
    </row>
    <row r="1881">
      <c r="A1881" t="inlineStr">
        <is>
          <t>2026-07</t>
        </is>
      </c>
      <c r="B1881" t="inlineStr">
        <is>
          <t>EE.UU.</t>
        </is>
      </c>
      <c r="C1881" t="inlineStr">
        <is>
          <t>Coco LLC</t>
        </is>
      </c>
      <c r="D1881" t="inlineStr">
        <is>
          <t>USD</t>
        </is>
      </c>
      <c r="E1881" t="inlineStr">
        <is>
          <t>Real</t>
        </is>
      </c>
      <c r="F1881" t="inlineStr">
        <is>
          <t>liquidez_total</t>
        </is>
      </c>
      <c r="H1881" t="inlineStr">
        <is>
          <t>Total bancos</t>
        </is>
      </c>
      <c r="I1881" t="n">
        <v>276523</v>
      </c>
      <c r="J1881" t="inlineStr">
        <is>
          <t>USD</t>
        </is>
      </c>
      <c r="K1881" t="inlineStr">
        <is>
          <t>Saldo bancario reportado por el usuario (sesion 31-ago-2026); corresponde al cierre de julio 2026.</t>
        </is>
      </c>
      <c r="L1881" t="inlineStr">
        <is>
          <t>Bancos</t>
        </is>
      </c>
      <c r="M1881" t="inlineStr">
        <is>
          <t>Tesorería</t>
        </is>
      </c>
      <c r="N1881" t="inlineStr">
        <is>
          <t>Mensual</t>
        </is>
      </c>
    </row>
    <row r="1882">
      <c r="A1882" t="inlineStr">
        <is>
          <t>2026-07</t>
        </is>
      </c>
      <c r="B1882" t="inlineStr">
        <is>
          <t>Colombia</t>
        </is>
      </c>
      <c r="C1882" t="inlineStr">
        <is>
          <t>Coco Colombia</t>
        </is>
      </c>
      <c r="D1882" t="inlineStr">
        <is>
          <t>COP</t>
        </is>
      </c>
      <c r="E1882" t="inlineStr">
        <is>
          <t>Real</t>
        </is>
      </c>
      <c r="F1882" t="inlineStr">
        <is>
          <t>liquidez_total</t>
        </is>
      </c>
      <c r="H1882" t="inlineStr">
        <is>
          <t>Total bancos</t>
        </is>
      </c>
      <c r="I1882" t="n">
        <v>251790666</v>
      </c>
      <c r="J1882" t="inlineStr">
        <is>
          <t>COP</t>
        </is>
      </c>
      <c r="K1882" t="inlineStr">
        <is>
          <t>Saldo bancario reportado por el usuario (sesion 31-ago-2026); corresponde al cierre de julio 2026.</t>
        </is>
      </c>
      <c r="L1882" t="inlineStr">
        <is>
          <t>Bancos</t>
        </is>
      </c>
      <c r="M1882" t="inlineStr">
        <is>
          <t>Tesorería</t>
        </is>
      </c>
      <c r="N1882" t="inlineStr">
        <is>
          <t>Mensual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 Convertido a USD con la tasa promedio mensual del pais.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 Convertido a USD con la tasa promedio mensual del pais.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 Convertido a USD con la tasa promedio mensual del pais.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 Convertido a USD con la tasa promedio mensual del pais.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 Convertido a USD con la tasa promedio mensual del pais.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 Convertido a USD con la tasa promedio mensual del pais.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 Convertido a USD con la tasa promedio mensual del pais.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 Convertido a USD con la tasa promedio mensual del pais.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 Convertido a USD con la tasa promedio mensual del pais.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 Convertido a USD con la tasa promedio mensual del pais.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 Convertido a USD con la tasa promedio mensual del pais.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 Convertido a USD con la tasa promedio mensual del pais.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 Convertido a USD con la tasa promedio mensual del pais.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 Convertido a USD con la tasa promedio mensual del pais.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 Convertido a USD con la tasa promedio mensual del pais.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USD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152.27</v>
      </c>
      <c r="K17" t="n">
        <v>447.17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 Convertido a USD con la tasa promedio mensual del pais.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USD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319.49</v>
      </c>
      <c r="K18" t="n">
        <v>522.8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 Convertido a USD con la tasa promedio mensual del pais.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USD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617.78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 Convertido a USD con la tasa promedio mensual del pais.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USD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495.55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 Convertido a USD con la tasa promedio mensual del pais.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USD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77.62</v>
      </c>
      <c r="K21" t="n">
        <v>77.62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 Convertido a USD con la tasa promedio mensual del pais.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USD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23.47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 Convertido a USD con la tasa promedio mensual del pais.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USD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6.01</v>
      </c>
      <c r="K23" t="n">
        <v>6.01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 Convertido a USD con la tasa promedio mensual del pais.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USD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33.11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 Convertido a USD con la tasa promedio mensual del pais.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USD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151.03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 Convertido a USD con la tasa promedio mensual del pais.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USD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1.74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 Convertido a USD con la tasa promedio mensual del pais.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USD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65.73999999999999</v>
      </c>
      <c r="K27" t="n">
        <v>65.73999999999999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 Convertido a USD con la tasa promedio mensual del pais.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USD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30.99</v>
      </c>
      <c r="K28" t="n">
        <v>112.31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 Convertido a USD con la tasa promedio mensual del pais.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43.78</v>
      </c>
      <c r="K29" t="n">
        <v>43.78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 Convertido a USD con la tasa promedio mensual del pais.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6.97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 Convertido a USD con la tasa promedio mensual del pais.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6.97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 Convertido a USD con la tasa promedio mensual del pais.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USD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22.65</v>
      </c>
      <c r="K32" t="n">
        <v>22.65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 Convertido a USD con la tasa promedio mensual del pais.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USD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0.55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 Convertido a USD con la tasa promedio mensual del pais.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USD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3.19</v>
      </c>
      <c r="K34" t="n">
        <v>12.8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 Convertido a USD con la tasa promedio mensual del pais.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USD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0.1</v>
      </c>
      <c r="K35" t="n">
        <v>1.61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 Convertido a USD con la tasa promedio mensual del pais.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USD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23.24</v>
      </c>
      <c r="K36" t="n">
        <v>92.94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 Convertido a USD con la tasa promedio mensual del pais.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 Convertido a USD con la tasa promedio mensual del pais.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 Convertido a USD con la tasa promedio mensual del pais.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 Convertido a USD con la tasa promedio mensual del pais.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 Convertido a USD con la tasa promedio mensual del pais.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 Convertido a USD con la tasa promedio mensual del pais.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 Convertido a USD con la tasa promedio mensual del pais.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 Convertido a USD con la tasa promedio mensual del pais.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 Convertido a USD con la tasa promedio mensual del pais.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 Convertido a USD con la tasa promedio mensual del pais.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 Convertido a USD con la tasa promedio mensual del pais.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 Convertido a USD con la tasa promedio mensual del pais.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 Convertido a USD con la tasa promedio mensual del pais.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 Convertido a USD con la tasa promedio mensual del pais.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 Convertido a USD con la tasa promedio mensual del pais.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 Convertido a USD con la tasa promedio mensual del pais.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 Convertido a USD con la tasa promedio mensual del pais.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 Convertido a USD con la tasa promedio mensual del pais.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 Convertido a USD con la tasa promedio mensual del pais.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 Convertido a USD con la tasa promedio mensual del pais.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 Convertido a USD con la tasa promedio mensual del pais.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 Convertido a USD con la tasa promedio mensual del pais.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 Convertido a USD con la tasa promedio mensual del pais.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 Convertido a USD con la tasa promedio mensual del pais.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 Convertido a USD con la tasa promedio mensual del pais.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 Convertido a USD con la tasa promedio mensual del pais.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 Convertido a USD con la tasa promedio mensual del pais.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 Convertido a USD con la tasa promedio mensual del pais.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 Convertido a USD con la tasa promedio mensual del pais.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 Convertido a USD con la tasa promedio mensual del pais.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 Convertido a USD con la tasa promedio mensual del pais.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 Convertido a USD con la tasa promedio mensual del pais.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 Convertido a USD con la tasa promedio mensual del pais.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 Convertido a USD con la tasa promedio mensual del pais.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 Convertido a USD con la tasa promedio mensual del pais.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 Convertido a USD con la tasa promedio mensual del pais.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 Convertido a USD con la tasa promedio mensual del pais.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 Convertido a USD con la tasa promedio mensual del pais.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 Convertido a USD con la tasa promedio mensual del pais.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 Convertido a USD con la tasa promedio mensual del pais.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 Convertido a USD con la tasa promedio mensual del pais.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 Convertido a USD con la tasa promedio mensual del pais.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 Convertido a USD con la tasa promedio mensual del pais.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 Convertido a USD con la tasa promedio mensual del pais.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 Convertido a USD con la tasa promedio mensual del pais.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 Convertido a USD con la tasa promedio mensual del pais.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 Convertido a USD con la tasa promedio mensual del pais.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 Convertido a USD con la tasa promedio mensual del pais.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 Convertido a USD con la tasa promedio mensual del pais.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 Convertido a USD con la tasa promedio mensual del pais.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 Convertido a USD con la tasa promedio mensual del pais.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 Convertido a USD con la tasa promedio mensual del pais.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 Convertido a USD con la tasa promedio mensual del pais.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 Convertido a USD con la tasa promedio mensual del pais.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 Convertido a USD con la tasa promedio mensual del pais.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 Convertido a USD con la tasa promedio mensual del pais.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 Convertido a USD con la tasa promedio mensual del pais.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 Convertido a USD con la tasa promedio mensual del pais.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 Convertido a USD con la tasa promedio mensual del pais.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 Convertido a USD con la tasa promedio mensual del pais.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USD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633.6</v>
      </c>
      <c r="K96" t="n">
        <v>633.6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 Convertido a USD con la tasa promedio mensual del pais.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3.29</v>
      </c>
      <c r="K97" t="n">
        <v>3.29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 Convertido a USD con la tasa promedio mensual del pais.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0.49</v>
      </c>
      <c r="K98" t="n">
        <v>0.49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 Convertido a USD con la tasa promedio mensual del pais.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23.83</v>
      </c>
      <c r="K99" t="n">
        <v>23.83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 Convertido a USD con la tasa promedio mensual del pais.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 Convertido a USD con la tasa promedio mensual del pais.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 Convertido a USD con la tasa promedio mensual del pais.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 Convertido a USD con la tasa promedio mensual del pais.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 Convertido a USD con la tasa promedio mensual del pais.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 Convertido a USD con la tasa promedio mensual del pais.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 Convertido a USD con la tasa promedio mensual del pais.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 Convertido a USD con la tasa promedio mensual del pais.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 Convertido a USD con la tasa promedio mensual del pais.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 Convertido a USD con la tasa promedio mensual del pais.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 Convertido a USD con la tasa promedio mensual del pais.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 Convertido a USD con la tasa promedio mensual del pais.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 Convertido a USD con la tasa promedio mensual del pais.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 Convertido a USD con la tasa promedio mensual del pais.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 Convertido a USD con la tasa promedio mensual del pais.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 Convertido a USD con la tasa promedio mensual del pais.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 Convertido a USD con la tasa promedio mensual del pais.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 Convertido a USD con la tasa promedio mensual del pais.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 Convertido a USD con la tasa promedio mensual del pais.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 Convertido a USD con la tasa promedio mensual del pais.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 Convertido a USD con la tasa promedio mensual del pais.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 Convertido a USD con la tasa promedio mensual del pais.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 Convertido a USD con la tasa promedio mensual del pais.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 Convertido a USD con la tasa promedio mensual del pais.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 Convertido a USD con la tasa promedio mensual del pais.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 Convertido a USD con la tasa promedio mensual del pais.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 Convertido a USD con la tasa promedio mensual del pais.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 Convertido a USD con la tasa promedio mensual del pais.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 Convertido a USD con la tasa promedio mensual del pais.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USD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150.54</v>
      </c>
      <c r="K128" t="n">
        <v>150.54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 Convertido a USD con la tasa promedio mensual del pais.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USD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104.26</v>
      </c>
      <c r="K129" t="n">
        <v>104.26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 Convertido a USD con la tasa promedio mensual del pais.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USD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633.6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 Convertido a USD con la tasa promedio mensual del pais.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3.28</v>
      </c>
      <c r="K131" t="n">
        <v>6.57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 Convertido a USD con la tasa promedio mensual del pais.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1.01</v>
      </c>
      <c r="K132" t="n">
        <v>1.5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 Convertido a USD con la tasa promedio mensual del pais.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23.83</v>
      </c>
      <c r="K133" t="n">
        <v>47.66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 Convertido a USD con la tasa promedio mensual del pais.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 Convertido a USD con la tasa promedio mensual del pais.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 Convertido a USD con la tasa promedio mensual del pais.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 Convertido a USD con la tasa promedio mensual del pais.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 Convertido a USD con la tasa promedio mensual del pais.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 Convertido a USD con la tasa promedio mensual del pais.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 Convertido a USD con la tasa promedio mensual del pais.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 Convertido a USD con la tasa promedio mensual del pais.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 Convertido a USD con la tasa promedio mensual del pais.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 Convertido a USD con la tasa promedio mensual del pais.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 Convertido a USD con la tasa promedio mensual del pais.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 Convertido a USD con la tasa promedio mensual del pais.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 Convertido a USD con la tasa promedio mensual del pais.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 Convertido a USD con la tasa promedio mensual del pais.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 Convertido a USD con la tasa promedio mensual del pais.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 Convertido a USD con la tasa promedio mensual del pais.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 Convertido a USD con la tasa promedio mensual del pais.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 Convertido a USD con la tasa promedio mensual del pais.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 Convertido a USD con la tasa promedio mensual del pais.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 Convertido a USD con la tasa promedio mensual del pais.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 Convertido a USD con la tasa promedio mensual del pais.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 Convertido a USD con la tasa promedio mensual del pais.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USD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155.29</v>
      </c>
      <c r="K155" t="n">
        <v>763.8099999999999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 Convertido a USD con la tasa promedio mensual del pais.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USD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102.94</v>
      </c>
      <c r="K156" t="n">
        <v>838.24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 Convertido a USD con la tasa promedio mensual del pais.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USD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2176.56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 Convertido a USD con la tasa promedio mensual del pais.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USD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4524.48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 Convertido a USD con la tasa promedio mensual del pais.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USD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2176.56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 Convertido a USD con la tasa promedio mensual del pais.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USD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625.59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 Convertido a USD con la tasa promedio mensual del pais.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USD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501.82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 Convertido a USD con la tasa promedio mensual del pais.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USD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830.0599999999999</v>
      </c>
      <c r="K162" t="n">
        <v>830.0599999999999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 Convertido a USD con la tasa promedio mensual del pais.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USD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78.61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 Convertido a USD con la tasa promedio mensual del pais.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USD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347.94</v>
      </c>
      <c r="K164" t="n">
        <v>347.94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 Convertido a USD con la tasa promedio mensual del pais.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USD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23.76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 Convertido a USD con la tasa promedio mensual del pais.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USD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6.08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 Convertido a USD con la tasa promedio mensual del pais.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USD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138.67</v>
      </c>
      <c r="K167" t="n">
        <v>138.67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 Convertido a USD con la tasa promedio mensual del pais.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USD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75.29000000000001</v>
      </c>
      <c r="K168" t="n">
        <v>75.29000000000001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 Convertido a USD con la tasa promedio mensual del pais.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USD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79.12</v>
      </c>
      <c r="K169" t="n">
        <v>79.12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 Convertido a USD con la tasa promedio mensual del pais.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USD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33.53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 Convertido a USD con la tasa promedio mensual del pais.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USD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36.65</v>
      </c>
      <c r="K171" t="n">
        <v>36.65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 Convertido a USD con la tasa promedio mensual del pais.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USD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5.74</v>
      </c>
      <c r="K172" t="n">
        <v>5.74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 Convertido a USD con la tasa promedio mensual del pais.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USD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152.94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 Convertido a USD con la tasa promedio mensual del pais.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USD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1.76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 Convertido a USD con la tasa promedio mensual del pais.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USD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66.56999999999999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 Convertido a USD con la tasa promedio mensual del pais.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USD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113.74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 Convertido a USD con la tasa promedio mensual del pais.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USD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44.33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 Convertido a USD con la tasa promedio mensual del pais.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USD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7.06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 Convertido a USD con la tasa promedio mensual del pais.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USD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7.06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 Convertido a USD con la tasa promedio mensual del pais.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USD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426.66</v>
      </c>
      <c r="K180" t="n">
        <v>426.66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 Convertido a USD con la tasa promedio mensual del pais.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USD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1513.59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 Convertido a USD con la tasa promedio mensual del pais.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USD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14.71</v>
      </c>
      <c r="K182" t="n">
        <v>14.71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 Convertido a USD con la tasa promedio mensual del pais.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USD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8.82</v>
      </c>
      <c r="K183" t="n">
        <v>8.82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 Convertido a USD con la tasa promedio mensual del pais.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USD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22.94</v>
      </c>
      <c r="K184" t="n">
        <v>45.88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 Convertido a USD con la tasa promedio mensual del pais.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USD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114.52</v>
      </c>
      <c r="K185" t="n">
        <v>114.52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 Convertido a USD con la tasa promedio mensual del pais.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USD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23.5</v>
      </c>
      <c r="K186" t="n">
        <v>23.5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 Convertido a USD con la tasa promedio mensual del pais.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USD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11.95</v>
      </c>
      <c r="K187" t="n">
        <v>11.95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 Convertido a USD con la tasa promedio mensual del pais.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USD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1162.94</v>
      </c>
      <c r="K188" t="n">
        <v>1162.94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 Convertido a USD con la tasa promedio mensual del pais.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USD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0.5600000000000001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 Convertido a USD con la tasa promedio mensual del pais.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USD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68.72</v>
      </c>
      <c r="K190" t="n">
        <v>135.53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 Convertido a USD con la tasa promedio mensual del pais.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USD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1.26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 Convertido a USD con la tasa promedio mensual del pais.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USD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50.62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 Convertido a USD con la tasa promedio mensual del pais.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USD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0.15</v>
      </c>
      <c r="K193" t="n">
        <v>2.32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 Convertido a USD con la tasa promedio mensual del pais.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USD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23.53</v>
      </c>
      <c r="K194" t="n">
        <v>153.49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 Convertido a USD con la tasa promedio mensual del pais.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USD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1.26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 Convertido a USD con la tasa promedio mensual del pais.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USD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-1.26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 Convertido a USD con la tasa promedio mensual del pais.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 Convertido a USD con la tasa promedio mensual del pais.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 Convertido a USD con la tasa promedio mensual del pais.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 Convertido a USD con la tasa promedio mensual del pais.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 Convertido a USD con la tasa promedio mensual del pais.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 Convertido a USD con la tasa promedio mensual del pais.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 Convertido a USD con la tasa promedio mensual del pais.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 Convertido a USD con la tasa promedio mensual del pais.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 Convertido a USD con la tasa promedio mensual del pais.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 Convertido a USD con la tasa promedio mensual del pais.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 Convertido a USD con la tasa promedio mensual del pais.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 Convertido a USD con la tasa promedio mensual del pais.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 Convertido a USD con la tasa promedio mensual del pais.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 Convertido a USD con la tasa promedio mensual del pais.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 Convertido a USD con la tasa promedio mensual del pais.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 Convertido a USD con la tasa promedio mensual del pais.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 Convertido a USD con la tasa promedio mensual del pais.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 Convertido a USD con la tasa promedio mensual del pais.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 Convertido a USD con la tasa promedio mensual del pais.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 Convertido a USD con la tasa promedio mensual del pais.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 Convertido a USD con la tasa promedio mensual del pais.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 Convertido a USD con la tasa promedio mensual del pais.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 Convertido a USD con la tasa promedio mensual del pais.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 Convertido a USD con la tasa promedio mensual del pais.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 Convertido a USD con la tasa promedio mensual del pais.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 Convertido a USD con la tasa promedio mensual del pais.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 Convertido a USD con la tasa promedio mensual del pais.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 Convertido a USD con la tasa promedio mensual del pais.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 Convertido a USD con la tasa promedio mensual del pais.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 Convertido a USD con la tasa promedio mensual del pais.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 Convertido a USD con la tasa promedio mensual del pais.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 Convertido a USD con la tasa promedio mensual del pais.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 Convertido a USD con la tasa promedio mensual del pais.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 Convertido a USD con la tasa promedio mensual del pais.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 Convertido a USD con la tasa promedio mensual del pais.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 Convertido a USD con la tasa promedio mensual del pais.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 Convertido a USD con la tasa promedio mensual del pais.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 Convertido a USD con la tasa promedio mensual del pais.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 Convertido a USD con la tasa promedio mensual del pais.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 Convertido a USD con la tasa promedio mensual del pais.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 Convertido a USD con la tasa promedio mensual del pais.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 Convertido a USD con la tasa promedio mensual del pais.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 Convertido a USD con la tasa promedio mensual del pais.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 Convertido a USD con la tasa promedio mensual del pais.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 Convertido a USD con la tasa promedio mensual del pais.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 Convertido a USD con la tasa promedio mensual del pais.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 Convertido a USD con la tasa promedio mensual del pais.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 Convertido a USD con la tasa promedio mensual del pais.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 Convertido a USD con la tasa promedio mensual del pais.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 Convertido a USD con la tasa promedio mensual del pais.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 Convertido a USD con la tasa promedio mensual del pais.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 Convertido a USD con la tasa promedio mensual del pais.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 Convertido a USD con la tasa promedio mensual del pais.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 Convertido a USD con la tasa promedio mensual del pais.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 Convertido a USD con la tasa promedio mensual del pais.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 Convertido a USD con la tasa promedio mensual del pais.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 Convertido a USD con la tasa promedio mensual del pais.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 Convertido a USD con la tasa promedio mensual del pais.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 Convertido a USD con la tasa promedio mensual del pais.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 Convertido a USD con la tasa promedio mensual del pais.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 Convertido a USD con la tasa promedio mensual del pais.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 Convertido a USD con la tasa promedio mensual del pais.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 Convertido a USD con la tasa promedio mensual del pais.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 Convertido a USD con la tasa promedio mensual del pais.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 Convertido a USD con la tasa promedio mensual del pais.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 Convertido a USD con la tasa promedio mensual del pais.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 Convertido a USD con la tasa promedio mensual del pais.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 Convertido a USD con la tasa promedio mensual del pais.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 Convertido a USD con la tasa promedio mensual del pais.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 Convertido a USD con la tasa promedio mensual del pais.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 Convertido a USD con la tasa promedio mensual del pais.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 Convertido a USD con la tasa promedio mensual del pais.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 Convertido a USD con la tasa promedio mensual del pais.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 Convertido a USD con la tasa promedio mensual del pais.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 Convertido a USD con la tasa promedio mensual del pais.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 Convertido a USD con la tasa promedio mensual del pais.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 Convertido a USD con la tasa promedio mensual del pais.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 Convertido a USD con la tasa promedio mensual del pais.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 Convertido a USD con la tasa promedio mensual del pais.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 Convertido a USD con la tasa promedio mensual del pais.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 Convertido a USD con la tasa promedio mensual del pais.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 Convertido a USD con la tasa promedio mensual del pais.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 Convertido a USD con la tasa promedio mensual del pais.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 Convertido a USD con la tasa promedio mensual del pais.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 Convertido a USD con la tasa promedio mensual del pais.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 Convertido a USD con la tasa promedio mensual del pais.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 Convertido a USD con la tasa promedio mensual del pais.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 Convertido a USD con la tasa promedio mensual del pais.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 Convertido a USD con la tasa promedio mensual del pais.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 Convertido a USD con la tasa promedio mensual del pais.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 Convertido a USD con la tasa promedio mensual del pais.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USD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155.07</v>
      </c>
      <c r="K287" t="n">
        <v>762.6900000000001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 Convertido a USD con la tasa promedio mensual del pais.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USD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102.79</v>
      </c>
      <c r="K288" t="n">
        <v>837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 Convertido a USD con la tasa promedio mensual del pais.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USD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2173.36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 Convertido a USD con la tasa promedio mensual del pais.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USD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4517.83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 Convertido a USD con la tasa promedio mensual del pais.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USD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2173.36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 Convertido a USD con la tasa promedio mensual del pais.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USD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624.67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 Convertido a USD con la tasa promedio mensual del pais.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USD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501.08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 Convertido a USD con la tasa promedio mensual del pais.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USD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828.84</v>
      </c>
      <c r="K294" t="n">
        <v>828.84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 Convertido a USD con la tasa promedio mensual del pais.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USD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78.48999999999999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 Convertido a USD con la tasa promedio mensual del pais.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USD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347.43</v>
      </c>
      <c r="K296" t="n">
        <v>347.43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 Convertido a USD con la tasa promedio mensual del pais.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USD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23.73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 Convertido a USD con la tasa promedio mensual del pais.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USD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6.07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 Convertido a USD con la tasa promedio mensual del pais.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USD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138.47</v>
      </c>
      <c r="K299" t="n">
        <v>138.47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 Convertido a USD con la tasa promedio mensual del pais.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USD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75.18000000000001</v>
      </c>
      <c r="K300" t="n">
        <v>75.18000000000001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 Convertido a USD con la tasa promedio mensual del pais.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USD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79</v>
      </c>
      <c r="K301" t="n">
        <v>79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 Convertido a USD con la tasa promedio mensual del pais.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USD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33.48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 Convertido a USD con la tasa promedio mensual del pais.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USD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36.59</v>
      </c>
      <c r="K303" t="n">
        <v>36.59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 Convertido a USD con la tasa promedio mensual del pais.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USD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5.73</v>
      </c>
      <c r="K304" t="n">
        <v>5.73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 Convertido a USD con la tasa promedio mensual del pais.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USD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152.72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 Convertido a USD con la tasa promedio mensual del pais.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USD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1.76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 Convertido a USD con la tasa promedio mensual del pais.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USD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66.47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 Convertido a USD con la tasa promedio mensual del pais.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USD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113.57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 Convertido a USD con la tasa promedio mensual del pais.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USD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44.26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 Convertido a USD con la tasa promedio mensual del pais.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USD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7.05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 Convertido a USD con la tasa promedio mensual del pais.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USD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7.05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 Convertido a USD con la tasa promedio mensual del pais.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USD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426.03</v>
      </c>
      <c r="K312" t="n">
        <v>426.03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 Convertido a USD con la tasa promedio mensual del pais.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USD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1511.37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 Convertido a USD con la tasa promedio mensual del pais.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USD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14.68</v>
      </c>
      <c r="K314" t="n">
        <v>14.68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 Convertido a USD con la tasa promedio mensual del pais.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USD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8.81</v>
      </c>
      <c r="K315" t="n">
        <v>8.81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 Convertido a USD con la tasa promedio mensual del pais.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USD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22.91</v>
      </c>
      <c r="K316" t="n">
        <v>45.81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 Convertido a USD con la tasa promedio mensual del pais.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USD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114.35</v>
      </c>
      <c r="K317" t="n">
        <v>114.35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 Convertido a USD con la tasa promedio mensual del pais.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USD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23.47</v>
      </c>
      <c r="K318" t="n">
        <v>23.47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 Convertido a USD con la tasa promedio mensual del pais.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USD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11.93</v>
      </c>
      <c r="K319" t="n">
        <v>11.93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 Convertido a USD con la tasa promedio mensual del pais.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USD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1161.23</v>
      </c>
      <c r="K320" t="n">
        <v>1161.23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 Convertido a USD con la tasa promedio mensual del pais.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USD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0.5600000000000001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 Convertido a USD con la tasa promedio mensual del pais.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USD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68.62</v>
      </c>
      <c r="K322" t="n">
        <v>135.33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 Convertido a USD con la tasa promedio mensual del pais.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USD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1.26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 Convertido a USD con la tasa promedio mensual del pais.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USD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50.54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 Convertido a USD con la tasa promedio mensual del pais.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0.15</v>
      </c>
      <c r="K325" t="n">
        <v>2.32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 Convertido a USD con la tasa promedio mensual del pais.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23.49</v>
      </c>
      <c r="K326" t="n">
        <v>153.27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 Convertido a USD con la tasa promedio mensual del pais.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USD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1.26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 Convertido a USD con la tasa promedio mensual del pais.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USD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-1.26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 Convertido a USD con la tasa promedio mensual del pais.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 Convertido a USD con la tasa promedio mensual del pais.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 Convertido a USD con la tasa promedio mensual del pais.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 Convertido a USD con la tasa promedio mensual del pais.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 Convertido a USD con la tasa promedio mensual del pais.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 Convertido a USD con la tasa promedio mensual del pais.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 Convertido a USD con la tasa promedio mensual del pais.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 Convertido a USD con la tasa promedio mensual del pais.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 Convertido a USD con la tasa promedio mensual del pais.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 Convertido a USD con la tasa promedio mensual del pais.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 Convertido a USD con la tasa promedio mensual del pais.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 Convertido a USD con la tasa promedio mensual del pais.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 Convertido a USD con la tasa promedio mensual del pais.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 Convertido a USD con la tasa promedio mensual del pais.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 Convertido a USD con la tasa promedio mensual del pais.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 Convertido a USD con la tasa promedio mensual del pais.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 Convertido a USD con la tasa promedio mensual del pais.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 Convertido a USD con la tasa promedio mensual del pais.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 Convertido a USD con la tasa promedio mensual del pais.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 Convertido a USD con la tasa promedio mensual del pais.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 Convertido a USD con la tasa promedio mensual del pais.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 Convertido a USD con la tasa promedio mensual del pais.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 Convertido a USD con la tasa promedio mensual del pais.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 Convertido a USD con la tasa promedio mensual del pais.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 Convertido a USD con la tasa promedio mensual del pais.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 Convertido a USD con la tasa promedio mensual del pais.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 Convertido a USD con la tasa promedio mensual del pais.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 Convertido a USD con la tasa promedio mensual del pais.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 Convertido a USD con la tasa promedio mensual del pais.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 Convertido a USD con la tasa promedio mensual del pais.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 Convertido a USD con la tasa promedio mensual del pais.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 Convertido a USD con la tasa promedio mensual del pais.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 Convertido a USD con la tasa promedio mensual del pais.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 Convertido a USD con la tasa promedio mensual del pais.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 Convertido a USD con la tasa promedio mensual del pais.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 Convertido a USD con la tasa promedio mensual del pais.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 Convertido a USD con la tasa promedio mensual del pais.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 Convertido a USD con la tasa promedio mensual del pais.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 Convertido a USD con la tasa promedio mensual del pais.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 Convertido a USD con la tasa promedio mensual del pais.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 Convertido a USD con la tasa promedio mensual del pais.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 Convertido a USD con la tasa promedio mensual del pais.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 Convertido a USD con la tasa promedio mensual del pais.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 Convertido a USD con la tasa promedio mensual del pais.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 Convertido a USD con la tasa promedio mensual del pais.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 Convertido a USD con la tasa promedio mensual del pais.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 Convertido a USD con la tasa promedio mensual del pais.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 Convertido a USD con la tasa promedio mensual del pais.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 Convertido a USD con la tasa promedio mensual del pais.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 Convertido a USD con la tasa promedio mensual del pais.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 Convertido a USD con la tasa promedio mensual del pais.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 Convertido a USD con la tasa promedio mensual del pais.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 Convertido a USD con la tasa promedio mensual del pais.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 Convertido a USD con la tasa promedio mensual del pais.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 Convertido a USD con la tasa promedio mensual del pais.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 Convertido a USD con la tasa promedio mensual del pais.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 Convertido a USD con la tasa promedio mensual del pais.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 Convertido a USD con la tasa promedio mensual del pais.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 Convertido a USD con la tasa promedio mensual del pais.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 Convertido a USD con la tasa promedio mensual del pais.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 Convertido a USD con la tasa promedio mensual del pais.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 Convertido a USD con la tasa promedio mensual del pais.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 Convertido a USD con la tasa promedio mensual del pais.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 Convertido a USD con la tasa promedio mensual del pais.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 Convertido a USD con la tasa promedio mensual del pais.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 Convertido a USD con la tasa promedio mensual del pais.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 Convertido a USD con la tasa promedio mensual del pais.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 Convertido a USD con la tasa promedio mensual del pais.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 Convertido a USD con la tasa promedio mensual del pais.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 Convertido a USD con la tasa promedio mensual del pais.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 Convertido a USD con la tasa promedio mensual del pais.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 Convertido a USD con la tasa promedio mensual del pais.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 Convertido a USD con la tasa promedio mensual del pais.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 Convertido a USD con la tasa promedio mensual del pais.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 Convertido a USD con la tasa promedio mensual del pais.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 Convertido a USD con la tasa promedio mensual del pais.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 Convertido a USD con la tasa promedio mensual del pais.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 Convertido a USD con la tasa promedio mensual del pais.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 Convertido a USD con la tasa promedio mensual del pais.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 Convertido a USD con la tasa promedio mensual del pais.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 Convertido a USD con la tasa promedio mensual del pais.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 Convertido a USD con la tasa promedio mensual del pais.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 Convertido a USD con la tasa promedio mensual del pais.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USD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152.09</v>
      </c>
      <c r="K411" t="n">
        <v>446.65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 Convertido a USD con la tasa promedio mensual del pais.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USD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319.12</v>
      </c>
      <c r="K412" t="n">
        <v>522.1900000000001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 Convertido a USD con la tasa promedio mensual del pais.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USD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617.0599999999999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 Convertido a USD con la tasa promedio mensual del pais.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USD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494.98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 Convertido a USD con la tasa promedio mensual del pais.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USD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77.53</v>
      </c>
      <c r="K415" t="n">
        <v>77.53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 Convertido a USD con la tasa promedio mensual del pais.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USD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23.44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 Convertido a USD con la tasa promedio mensual del pais.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USD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6</v>
      </c>
      <c r="K417" t="n">
        <v>6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 Convertido a USD con la tasa promedio mensual del pais.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USD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33.07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 Convertido a USD con la tasa promedio mensual del pais.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USD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150.86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 Convertido a USD con la tasa promedio mensual del pais.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USD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1.74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 Convertido a USD con la tasa promedio mensual del pais.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USD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65.66</v>
      </c>
      <c r="K421" t="n">
        <v>65.66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 Convertido a USD con la tasa promedio mensual del pais.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USD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30.95</v>
      </c>
      <c r="K422" t="n">
        <v>112.18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 Convertido a USD con la tasa promedio mensual del pais.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USD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43.72</v>
      </c>
      <c r="K423" t="n">
        <v>43.72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 Convertido a USD con la tasa promedio mensual del pais.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USD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6.96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 Convertido a USD con la tasa promedio mensual del pais.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USD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6.96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 Convertido a USD con la tasa promedio mensual del pais.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USD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22.63</v>
      </c>
      <c r="K426" t="n">
        <v>22.63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 Convertido a USD con la tasa promedio mensual del pais.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USD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0.55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 Convertido a USD con la tasa promedio mensual del pais.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USD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3.19</v>
      </c>
      <c r="K428" t="n">
        <v>12.78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 Convertido a USD con la tasa promedio mensual del pais.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USD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0.1</v>
      </c>
      <c r="K429" t="n">
        <v>1.61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 Convertido a USD con la tasa promedio mensual del pais.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USD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23.21</v>
      </c>
      <c r="K430" t="n">
        <v>92.83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 Convertido a USD con la tasa promedio mensual del pais.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 Convertido a USD con la tasa promedio mensual del pais.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 Convertido a USD con la tasa promedio mensual del pais.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 Convertido a USD con la tasa promedio mensual del pais.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 Convertido a USD con la tasa promedio mensual del pais.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 Convertido a USD con la tasa promedio mensual del pais.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 Convertido a USD con la tasa promedio mensual del pais.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 Convertido a USD con la tasa promedio mensual del pais.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 Convertido a USD con la tasa promedio mensual del pais.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 Convertido a USD con la tasa promedio mensual del pais.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 Convertido a USD con la tasa promedio mensual del pais.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 Convertido a USD con la tasa promedio mensual del pais.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 Convertido a USD con la tasa promedio mensual del pais.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 Convertido a USD con la tasa promedio mensual del pais.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 Convertido a USD con la tasa promedio mensual del pais.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 Convertido a USD con la tasa promedio mensual del pais.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 Convertido a USD con la tasa promedio mensual del pais.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 Convertido a USD con la tasa promedio mensual del pais.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 Convertido a USD con la tasa promedio mensual del pais.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 Convertido a USD con la tasa promedio mensual del pais.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 Convertido a USD con la tasa promedio mensual del pais.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 Convertido a USD con la tasa promedio mensual del pais.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 Convertido a USD con la tasa promedio mensual del pais.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 Convertido a USD con la tasa promedio mensual del pais.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 Convertido a USD con la tasa promedio mensual del pais.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 Convertido a USD con la tasa promedio mensual del pais.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 Convertido a USD con la tasa promedio mensual del pais.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 Convertido a USD con la tasa promedio mensual del pais.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 Convertido a USD con la tasa promedio mensual del pais.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 Convertido a USD con la tasa promedio mensual del pais.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 Convertido a USD con la tasa promedio mensual del pais.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 Convertido a USD con la tasa promedio mensual del pais.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 Convertido a USD con la tasa promedio mensual del pais.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 Convertido a USD con la tasa promedio mensual del pais.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 Convertido a USD con la tasa promedio mensual del pais.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 Convertido a USD con la tasa promedio mensual del pais.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 Convertido a USD con la tasa promedio mensual del pais.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 Convertido a USD con la tasa promedio mensual del pais.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 Convertido a USD con la tasa promedio mensual del pais.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 Convertido a USD con la tasa promedio mensual del pais.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 Convertido a USD con la tasa promedio mensual del pais.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 Convertido a USD con la tasa promedio mensual del pais.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 Convertido a USD con la tasa promedio mensual del pais.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 Convertido a USD con la tasa promedio mensual del pais.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 Convertido a USD con la tasa promedio mensual del pais.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 Convertido a USD con la tasa promedio mensual del pais.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 Convertido a USD con la tasa promedio mensual del pais.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 Convertido a USD con la tasa promedio mensual del pais.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 Convertido a USD con la tasa promedio mensual del pais.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USD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154.1</v>
      </c>
      <c r="K479" t="n">
        <v>602.3099999999999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 Convertido a USD con la tasa promedio mensual del pais.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USD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203.78</v>
      </c>
      <c r="K480" t="n">
        <v>727.8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 Convertido a USD con la tasa promedio mensual del pais.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USD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2154.38</v>
      </c>
      <c r="K481" t="n">
        <v>2154.38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 Convertido a USD con la tasa promedio mensual del pais.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USD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4478.38</v>
      </c>
      <c r="K482" t="n">
        <v>4478.38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 Convertido a USD con la tasa promedio mensual del pais.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USD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2154.38</v>
      </c>
      <c r="K483" t="n">
        <v>2154.38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 Convertido a USD con la tasa promedio mensual del pais.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USD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619.21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 Convertido a USD con la tasa promedio mensual del pais.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USD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496.71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 Convertido a USD con la tasa promedio mensual del pais.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USD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77.8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 Convertido a USD con la tasa promedio mensual del pais.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USD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23.52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 Convertido a USD con la tasa promedio mensual del pais.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USD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6.02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 Convertido a USD con la tasa promedio mensual del pais.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USD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33.19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 Convertido a USD con la tasa promedio mensual del pais.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USD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151.38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 Convertido a USD con la tasa promedio mensual del pais.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USD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1.75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 Convertido a USD con la tasa promedio mensual del pais.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USD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65.89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 Convertido a USD con la tasa promedio mensual del pais.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USD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112.58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 Convertido a USD con la tasa promedio mensual del pais.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USD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43.88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 Convertido a USD con la tasa promedio mensual del pais.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USD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6.99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 Convertido a USD con la tasa promedio mensual del pais.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USD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6.99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 Convertido a USD con la tasa promedio mensual del pais.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USD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1498.17</v>
      </c>
      <c r="K497" t="n">
        <v>1498.17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 Convertido a USD con la tasa promedio mensual del pais.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USD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22.71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 Convertido a USD con la tasa promedio mensual del pais.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USD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0.55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 Convertido a USD con la tasa promedio mensual del pais.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USD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53.3</v>
      </c>
      <c r="K500" t="n">
        <v>66.13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 Convertido a USD con la tasa promedio mensual del pais.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USD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1.25</v>
      </c>
      <c r="K501" t="n">
        <v>1.25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 Convertido a USD con la tasa promedio mensual del pais.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USD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50.1</v>
      </c>
      <c r="K502" t="n">
        <v>50.1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 Convertido a USD con la tasa promedio mensual del pais.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USD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0.54</v>
      </c>
      <c r="K503" t="n">
        <v>2.15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 Convertido a USD con la tasa promedio mensual del pais.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USD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35.48</v>
      </c>
      <c r="K504" t="n">
        <v>128.64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 Convertido a USD con la tasa promedio mensual del pais.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USD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1.25</v>
      </c>
      <c r="K505" t="n">
        <v>1.25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 Convertido a USD con la tasa promedio mensual del pais.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USD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-1.25</v>
      </c>
      <c r="K506" t="n">
        <v>-1.25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 Convertido a USD con la tasa promedio mensual del pais.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 Convertido a USD con la tasa promedio mensual del pais.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 Convertido a USD con la tasa promedio mensual del pais.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 Convertido a USD con la tasa promedio mensual del pais.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 Convertido a USD con la tasa promedio mensual del pais.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 Convertido a USD con la tasa promedio mensual del pais.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 Convertido a USD con la tasa promedio mensual del pais.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 Convertido a USD con la tasa promedio mensual del pais.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 Convertido a USD con la tasa promedio mensual del pais.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 Convertido a USD con la tasa promedio mensual del pais.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 Convertido a USD con la tasa promedio mensual del pais.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 Convertido a USD con la tasa promedio mensual del pais.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 Convertido a USD con la tasa promedio mensual del pais.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 Convertido a USD con la tasa promedio mensual del pais.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 Convertido a USD con la tasa promedio mensual del pais.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 Convertido a USD con la tasa promedio mensual del pais.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 Convertido a USD con la tasa promedio mensual del pais.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 Convertido a USD con la tasa promedio mensual del pais.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 Convertido a USD con la tasa promedio mensual del pais.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 Convertido a USD con la tasa promedio mensual del pais.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 Convertido a USD con la tasa promedio mensual del pais.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 Convertido a USD con la tasa promedio mensual del pais.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 Convertido a USD con la tasa promedio mensual del pais.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 Convertido a USD con la tasa promedio mensual del pais.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 Convertido a USD con la tasa promedio mensual del pais.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 Convertido a USD con la tasa promedio mensual del pais.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 Convertido a USD con la tasa promedio mensual del pais.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 Convertido a USD con la tasa promedio mensual del pais.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 Convertido a USD con la tasa promedio mensual del pais.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 Convertido a USD con la tasa promedio mensual del pais.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 Convertido a USD con la tasa promedio mensual del pais.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 Convertido a USD con la tasa promedio mensual del pais.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 Convertido a USD con la tasa promedio mensual del pais.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 Convertido a USD con la tasa promedio mensual del pais.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 Convertido a USD con la tasa promedio mensual del pais.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 Convertido a USD con la tasa promedio mensual del pais.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 Convertido a USD con la tasa promedio mensual del pais.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 Convertido a USD con la tasa promedio mensual del pais.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 Convertido a USD con la tasa promedio mensual del pais.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 Convertido a USD con la tasa promedio mensual del pais.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 Convertido a USD con la tasa promedio mensual del pais.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 Convertido a USD con la tasa promedio mensual del pais.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 Convertido a USD con la tasa promedio mensual del pais.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 Convertido a USD con la tasa promedio mensual del pais.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 Convertido a USD con la tasa promedio mensual del pais.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 Convertido a USD con la tasa promedio mensual del pais.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 Convertido a USD con la tasa promedio mensual del pais.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 Convertido a USD con la tasa promedio mensual del pais.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 Convertido a USD con la tasa promedio mensual del pais.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 Convertido a USD con la tasa promedio mensual del pais.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 Convertido a USD con la tasa promedio mensual del pais.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 Convertido a USD con la tasa promedio mensual del pais.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 Convertido a USD con la tasa promedio mensual del pais.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 Convertido a USD con la tasa promedio mensual del pais.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 Convertido a USD con la tasa promedio mensual del pais.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 Convertido a USD con la tasa promedio mensual del pais.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 Convertido a USD con la tasa promedio mensual del pais.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 Convertido a USD con la tasa promedio mensual del pais.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 Convertido a USD con la tasa promedio mensual del pais.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 Convertido a USD con la tasa promedio mensual del pais.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 Convertido a USD con la tasa promedio mensual del pais.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 Convertido a USD con la tasa promedio mensual del pais.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 Convertido a USD con la tasa promedio mensual del pais.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 Convertido a USD con la tasa promedio mensual del pais.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USD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1637.72</v>
      </c>
      <c r="K570" t="n">
        <v>12269.49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 Convertido a USD con la tasa promedio mensual del pais.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 Convertido a USD con la tasa promedio mensual del pais.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 Convertido a USD con la tasa promedio mensual del pais.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 Convertido a USD con la tasa promedio mensual del pais.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 Convertido a USD con la tasa promedio mensual del pais.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 Convertido a USD con la tasa promedio mensual del pais.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 Convertido a USD con la tasa promedio mensual del pais.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 Convertido a USD con la tasa promedio mensual del pais.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 Convertido a USD con la tasa promedio mensual del pais.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 Convertido a USD con la tasa promedio mensual del pais.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 Convertido a USD con la tasa promedio mensual del pais.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 Convertido a USD con la tasa promedio mensual del pais.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 Convertido a USD con la tasa promedio mensual del pais.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 Convertido a USD con la tasa promedio mensual del pais.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 Convertido a USD con la tasa promedio mensual del pais.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 Convertido a USD con la tasa promedio mensual del pais.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 Convertido a USD con la tasa promedio mensual del pais.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 Convertido a USD con la tasa promedio mensual del pais.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 Convertido a USD con la tasa promedio mensual del pais.</t>
        </is>
      </c>
    </row>
    <row r="589">
      <c r="A589" t="inlineStr">
        <is>
          <t>2026-01</t>
        </is>
      </c>
      <c r="B589" t="inlineStr">
        <is>
          <t>Colombia</t>
        </is>
      </c>
      <c r="C589" t="inlineStr">
        <is>
          <t>COCO</t>
        </is>
      </c>
      <c r="D589" t="inlineStr">
        <is>
          <t>USD</t>
        </is>
      </c>
      <c r="E589" t="inlineStr">
        <is>
          <t>PL-F-010</t>
        </is>
      </c>
      <c r="F589" t="inlineStr">
        <is>
          <t>Gastos financieros</t>
        </is>
      </c>
      <c r="G589" t="inlineStr">
        <is>
          <t>gasto_area</t>
        </is>
      </c>
      <c r="H589" t="inlineStr">
        <is>
          <t>Financieros</t>
        </is>
      </c>
      <c r="I589" t="inlineStr">
        <is>
          <t>Financieros</t>
        </is>
      </c>
      <c r="J589" t="n">
        <v>1915.08</v>
      </c>
      <c r="K589" t="n">
        <v>1915.08</v>
      </c>
      <c r="L589" t="inlineStr">
        <is>
          <t>P&amp;G mensual oficial de Colombia (BD_Indicadores, segmento vacío)</t>
        </is>
      </c>
      <c r="M589" t="inlineStr">
        <is>
          <t>Aprobado</t>
        </is>
      </c>
      <c r="N589" t="inlineStr">
        <is>
          <t>Puente para redise?ar vistas de Costos &amp; Gastos; no reemplaza P&amp;G oficial. Convertido a USD con la tasa promedio mensual del pais.</t>
        </is>
      </c>
    </row>
    <row r="590">
      <c r="A590" t="inlineStr">
        <is>
          <t>2026-02</t>
        </is>
      </c>
      <c r="B590" t="inlineStr">
        <is>
          <t>Colombia</t>
        </is>
      </c>
      <c r="C590" t="inlineStr">
        <is>
          <t>COCO</t>
        </is>
      </c>
      <c r="D590" t="inlineStr">
        <is>
          <t>USD</t>
        </is>
      </c>
      <c r="E590" t="inlineStr">
        <is>
          <t>PL-F-010</t>
        </is>
      </c>
      <c r="F590" t="inlineStr">
        <is>
          <t>Gastos financieros</t>
        </is>
      </c>
      <c r="G590" t="inlineStr">
        <is>
          <t>gasto_area</t>
        </is>
      </c>
      <c r="H590" t="inlineStr">
        <is>
          <t>Financieros</t>
        </is>
      </c>
      <c r="I590" t="inlineStr">
        <is>
          <t>Financieros</t>
        </is>
      </c>
      <c r="J590" t="n">
        <v>1516.5</v>
      </c>
      <c r="K590" t="n">
        <v>3445.83</v>
      </c>
      <c r="L590" t="inlineStr">
        <is>
          <t>P&amp;G mensual oficial de Colombia (BD_Indicadores, segmento vacío)</t>
        </is>
      </c>
      <c r="M590" t="inlineStr">
        <is>
          <t>Aprobado</t>
        </is>
      </c>
      <c r="N590" t="inlineStr">
        <is>
          <t>Puente para redise?ar vistas de Costos &amp; Gastos; no reemplaza P&amp;G oficial. Convertido a USD con la tasa promedio mensual del pais.</t>
        </is>
      </c>
    </row>
    <row r="591">
      <c r="A591" t="inlineStr">
        <is>
          <t>2026-03</t>
        </is>
      </c>
      <c r="B591" t="inlineStr">
        <is>
          <t>Colombia</t>
        </is>
      </c>
      <c r="C591" t="inlineStr">
        <is>
          <t>COCO</t>
        </is>
      </c>
      <c r="D591" t="inlineStr">
        <is>
          <t>USD</t>
        </is>
      </c>
      <c r="E591" t="inlineStr">
        <is>
          <t>PL-F-010</t>
        </is>
      </c>
      <c r="F591" t="inlineStr">
        <is>
          <t>Gastos financieros</t>
        </is>
      </c>
      <c r="G591" t="inlineStr">
        <is>
          <t>gasto_area</t>
        </is>
      </c>
      <c r="H591" t="inlineStr">
        <is>
          <t>Financieros</t>
        </is>
      </c>
      <c r="I591" t="inlineStr">
        <is>
          <t>Financieros</t>
        </is>
      </c>
      <c r="J591" t="n">
        <v>1478.81</v>
      </c>
      <c r="K591" t="n">
        <v>4885.78</v>
      </c>
      <c r="L591" t="inlineStr">
        <is>
          <t>P&amp;G mensual oficial de Colombia (BD_Indicadores, segmento vacío)</t>
        </is>
      </c>
      <c r="M591" t="inlineStr">
        <is>
          <t>Aprobado</t>
        </is>
      </c>
      <c r="N591" t="inlineStr">
        <is>
          <t>Puente para redise?ar vistas de Costos &amp; Gastos; no reemplaza P&amp;G oficial. Convertido a USD con la tasa promedio mensual del pais.</t>
        </is>
      </c>
    </row>
    <row r="592">
      <c r="A592" t="inlineStr">
        <is>
          <t>2026-04</t>
        </is>
      </c>
      <c r="B592" t="inlineStr">
        <is>
          <t>Colombia</t>
        </is>
      </c>
      <c r="C592" t="inlineStr">
        <is>
          <t>COCO</t>
        </is>
      </c>
      <c r="D592" t="inlineStr">
        <is>
          <t>USD</t>
        </is>
      </c>
      <c r="E592" t="inlineStr">
        <is>
          <t>PL-F-010</t>
        </is>
      </c>
      <c r="F592" t="inlineStr">
        <is>
          <t>Gastos financieros</t>
        </is>
      </c>
      <c r="G592" t="inlineStr">
        <is>
          <t>gasto_area</t>
        </is>
      </c>
      <c r="H592" t="inlineStr">
        <is>
          <t>Financieros</t>
        </is>
      </c>
      <c r="I592" t="inlineStr">
        <is>
          <t>Financieros</t>
        </is>
      </c>
      <c r="J592" t="n">
        <v>1392.83</v>
      </c>
      <c r="K592" t="n">
        <v>6413.73</v>
      </c>
      <c r="L592" t="inlineStr">
        <is>
          <t>P&amp;G mensual oficial de Colombia (BD_Indicadores, segmento vacío)</t>
        </is>
      </c>
      <c r="M592" t="inlineStr">
        <is>
          <t>Aprobado</t>
        </is>
      </c>
      <c r="N592" t="inlineStr">
        <is>
          <t>Puente para redise?ar vistas de Costos &amp; Gastos; no reemplaza P&amp;G oficial. Convertido a USD con la tasa promedio mensual del pais.</t>
        </is>
      </c>
    </row>
    <row r="593">
      <c r="A593" t="inlineStr">
        <is>
          <t>2026-05</t>
        </is>
      </c>
      <c r="B593" t="inlineStr">
        <is>
          <t>Colombia</t>
        </is>
      </c>
      <c r="C593" t="inlineStr">
        <is>
          <t>COCO</t>
        </is>
      </c>
      <c r="D593" t="inlineStr">
        <is>
          <t>USD</t>
        </is>
      </c>
      <c r="E593" t="inlineStr">
        <is>
          <t>PL-F-010</t>
        </is>
      </c>
      <c r="F593" t="inlineStr">
        <is>
          <t>Gastos financieros</t>
        </is>
      </c>
      <c r="G593" t="inlineStr">
        <is>
          <t>gasto_area</t>
        </is>
      </c>
      <c r="H593" t="inlineStr">
        <is>
          <t>Financieros</t>
        </is>
      </c>
      <c r="I593" t="inlineStr">
        <is>
          <t>Financieros</t>
        </is>
      </c>
      <c r="J593" t="n">
        <v>1615.73</v>
      </c>
      <c r="K593" t="n">
        <v>7862.81</v>
      </c>
      <c r="L593" t="inlineStr">
        <is>
          <t>P&amp;G mensual oficial de Colombia (BD_Indicadores, segmento vacío)</t>
        </is>
      </c>
      <c r="M593" t="inlineStr">
        <is>
          <t>Aprobado</t>
        </is>
      </c>
      <c r="N593" t="inlineStr">
        <is>
          <t>Puente para redise?ar vistas de Costos &amp; Gastos; no reemplaza P&amp;G oficial. Convertido a USD con la tasa promedio mensual del pais.</t>
        </is>
      </c>
    </row>
    <row r="594">
      <c r="A594" t="inlineStr">
        <is>
          <t>2026-06</t>
        </is>
      </c>
      <c r="B594" t="inlineStr">
        <is>
          <t>Colombia</t>
        </is>
      </c>
      <c r="C594" t="inlineStr">
        <is>
          <t>COCO</t>
        </is>
      </c>
      <c r="D594" t="inlineStr">
        <is>
          <t>USD</t>
        </is>
      </c>
      <c r="E594" t="inlineStr">
        <is>
          <t>PL-F-010</t>
        </is>
      </c>
      <c r="F594" t="inlineStr">
        <is>
          <t>Gastos financieros</t>
        </is>
      </c>
      <c r="G594" t="inlineStr">
        <is>
          <t>gasto_area</t>
        </is>
      </c>
      <c r="H594" t="inlineStr">
        <is>
          <t>Financieros</t>
        </is>
      </c>
      <c r="I594" t="inlineStr">
        <is>
          <t>Financieros</t>
        </is>
      </c>
      <c r="J594" t="n">
        <v>1585.87</v>
      </c>
      <c r="K594" t="n">
        <v>9927.139999999999</v>
      </c>
      <c r="L594" t="inlineStr">
        <is>
          <t>P&amp;G mensual oficial de Colombia (BD_Indicadores, segmento vacío)</t>
        </is>
      </c>
      <c r="M594" t="inlineStr">
        <is>
          <t>Aprobado</t>
        </is>
      </c>
      <c r="N594" t="inlineStr">
        <is>
          <t>Puente para redise?ar vistas de Costos &amp; Gastos; no reemplaza P&amp;G oficial. Convertido a USD con la tasa promedio mensual del pais.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6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Colombia</t>
        </is>
      </c>
      <c r="C2" t="inlineStr">
        <is>
          <t>COCO</t>
        </is>
      </c>
      <c r="D2" t="inlineStr">
        <is>
          <t>USD</t>
        </is>
      </c>
      <c r="E2" t="inlineStr">
        <is>
          <t>gasto_area</t>
        </is>
      </c>
      <c r="F2" t="inlineStr">
        <is>
          <t>Financieros</t>
        </is>
      </c>
      <c r="G2" t="inlineStr">
        <is>
          <t>Financieros</t>
        </is>
      </c>
      <c r="H2" t="n">
        <v>1915.08</v>
      </c>
      <c r="I2" t="n">
        <v>1915.08</v>
      </c>
      <c r="J2" t="n">
        <v>1</v>
      </c>
      <c r="K2" t="inlineStr">
        <is>
          <t>Agregado desde BD_GASTOS_DASHBOARD_BRIDGE (USD)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Diversos</t>
        </is>
      </c>
      <c r="G3" t="inlineStr">
        <is>
          <t>Administracion</t>
        </is>
      </c>
      <c r="H3" t="n">
        <v>262.73</v>
      </c>
      <c r="I3" t="n">
        <v>262.73</v>
      </c>
      <c r="J3" t="n">
        <v>3</v>
      </c>
      <c r="K3" t="inlineStr">
        <is>
          <t>Agregado desde BD_GASTOS_DASHBOARD_BRIDGE (USD)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Personal</t>
        </is>
      </c>
      <c r="G4" t="inlineStr">
        <is>
          <t>Administracion</t>
        </is>
      </c>
      <c r="H4" t="n">
        <v>1600</v>
      </c>
      <c r="I4" t="n">
        <v>1600</v>
      </c>
      <c r="J4" t="n">
        <v>2</v>
      </c>
      <c r="K4" t="inlineStr">
        <is>
          <t>Agregado desde BD_GASTOS_DASHBOARD_BRIDGE (USD)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gasto_admin</t>
        </is>
      </c>
      <c r="F5" t="inlineStr">
        <is>
          <t>Viajes</t>
        </is>
      </c>
      <c r="G5" t="inlineStr">
        <is>
          <t>Administracion</t>
        </is>
      </c>
      <c r="H5" t="n">
        <v>300</v>
      </c>
      <c r="I5" t="n">
        <v>300</v>
      </c>
      <c r="J5" t="n">
        <v>1</v>
      </c>
      <c r="K5" t="inlineStr">
        <is>
          <t>Agregado desde BD_GASTOS_DASHBOARD_BRIDGE (USD)</t>
        </is>
      </c>
    </row>
    <row r="6">
      <c r="A6" t="inlineStr">
        <is>
          <t>2026-01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gasto_area</t>
        </is>
      </c>
      <c r="F6" t="inlineStr">
        <is>
          <t>Financieros</t>
        </is>
      </c>
      <c r="G6" t="inlineStr">
        <is>
          <t>Financieros</t>
        </is>
      </c>
      <c r="H6" t="n">
        <v>20</v>
      </c>
      <c r="I6" t="n">
        <v>20</v>
      </c>
      <c r="J6" t="n">
        <v>1</v>
      </c>
      <c r="K6" t="inlineStr">
        <is>
          <t>Agregado desde BD_GASTOS_DASHBOARD_BRIDGE (USD)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Diversos</t>
        </is>
      </c>
      <c r="G7" t="inlineStr">
        <is>
          <t>Administracion</t>
        </is>
      </c>
      <c r="H7" t="n">
        <v>506.5</v>
      </c>
      <c r="I7" t="n">
        <v>506.5</v>
      </c>
      <c r="J7" t="n">
        <v>4</v>
      </c>
      <c r="K7" t="inlineStr">
        <is>
          <t>Agregado desde BD_GASTOS_DASHBOARD_BRIDGE (USD)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Honorarios</t>
        </is>
      </c>
      <c r="G8" t="inlineStr">
        <is>
          <t>Administracion</t>
        </is>
      </c>
      <c r="H8" t="n">
        <v>1500</v>
      </c>
      <c r="I8" t="n">
        <v>1500</v>
      </c>
      <c r="J8" t="n">
        <v>1</v>
      </c>
      <c r="K8" t="inlineStr">
        <is>
          <t>Agregado desde BD_GASTOS_DASHBOARD_BRIDGE (USD)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Personal</t>
        </is>
      </c>
      <c r="G9" t="inlineStr">
        <is>
          <t>Administracion</t>
        </is>
      </c>
      <c r="H9" t="n">
        <v>3550.43</v>
      </c>
      <c r="I9" t="n">
        <v>3550.43</v>
      </c>
      <c r="J9" t="n">
        <v>3</v>
      </c>
      <c r="K9" t="inlineStr">
        <is>
          <t>Agregado desde BD_GASTOS_DASHBOARD_BRIDGE (USD)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gasto_admin</t>
        </is>
      </c>
      <c r="F10" t="inlineStr">
        <is>
          <t>Servicios</t>
        </is>
      </c>
      <c r="G10" t="inlineStr">
        <is>
          <t>Administracion</t>
        </is>
      </c>
      <c r="H10" t="n">
        <v>281.34</v>
      </c>
      <c r="I10" t="n">
        <v>281.34</v>
      </c>
      <c r="J10" t="n">
        <v>4</v>
      </c>
      <c r="K10" t="inlineStr">
        <is>
          <t>Agregado desde BD_GASTOS_DASHBOARD_BRIDGE (USD)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gasto_area</t>
        </is>
      </c>
      <c r="F11" t="inlineStr">
        <is>
          <t>Financieros</t>
        </is>
      </c>
      <c r="G11" t="inlineStr">
        <is>
          <t>Financieros</t>
        </is>
      </c>
      <c r="H11" t="n">
        <v>75.90000000000001</v>
      </c>
      <c r="I11" t="n">
        <v>75.90000000000001</v>
      </c>
      <c r="J11" t="n">
        <v>2</v>
      </c>
      <c r="K11" t="inlineStr">
        <is>
          <t>Agregado desde BD_GASTOS_DASHBOARD_BRIDGE (USD)</t>
        </is>
      </c>
    </row>
    <row r="12">
      <c r="A12" t="inlineStr">
        <is>
          <t>2026-01</t>
        </is>
      </c>
      <c r="B12" t="inlineStr">
        <is>
          <t>Estados Unidos</t>
        </is>
      </c>
      <c r="C12" t="inlineStr">
        <is>
          <t>USA</t>
        </is>
      </c>
      <c r="D12" t="inlineStr">
        <is>
          <t>USD</t>
        </is>
      </c>
      <c r="E12" t="inlineStr">
        <is>
          <t>gasto_comercial</t>
        </is>
      </c>
      <c r="F12" t="inlineStr">
        <is>
          <t>Servicios</t>
        </is>
      </c>
      <c r="G12" t="inlineStr">
        <is>
          <t>Comercial</t>
        </is>
      </c>
      <c r="H12" t="n">
        <v>648</v>
      </c>
      <c r="I12" t="n">
        <v>648</v>
      </c>
      <c r="J12" t="n">
        <v>1</v>
      </c>
      <c r="K12" t="inlineStr">
        <is>
          <t>Agregado desde BD_GASTOS_DASHBOARD_BRIDGE (USD)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USD</t>
        </is>
      </c>
      <c r="E13" t="inlineStr">
        <is>
          <t>gasto_area</t>
        </is>
      </c>
      <c r="F13" t="inlineStr">
        <is>
          <t>Financieros</t>
        </is>
      </c>
      <c r="G13" t="inlineStr">
        <is>
          <t>Financieros</t>
        </is>
      </c>
      <c r="H13" t="n">
        <v>27.61</v>
      </c>
      <c r="I13" t="n">
        <v>27.61</v>
      </c>
      <c r="J13" t="n">
        <v>3</v>
      </c>
      <c r="K13" t="inlineStr">
        <is>
          <t>Agregado desde BD_GASTOS_DASHBOARD_BRIDGE (USD)</t>
        </is>
      </c>
    </row>
    <row r="14">
      <c r="A14" t="inlineStr">
        <is>
          <t>2026-01</t>
        </is>
      </c>
      <c r="B14" t="inlineStr">
        <is>
          <t>Peru</t>
        </is>
      </c>
      <c r="C14" t="inlineStr">
        <is>
          <t>PERU</t>
        </is>
      </c>
      <c r="D14" t="inlineStr">
        <is>
          <t>USD</t>
        </is>
      </c>
      <c r="E14" t="inlineStr">
        <is>
          <t>gasto_comercial</t>
        </is>
      </c>
      <c r="F14" t="inlineStr">
        <is>
          <t>Honorarios</t>
        </is>
      </c>
      <c r="G14" t="inlineStr">
        <is>
          <t>Comercial</t>
        </is>
      </c>
      <c r="H14" t="n">
        <v>633.6</v>
      </c>
      <c r="I14" t="n">
        <v>633.6</v>
      </c>
      <c r="J14" t="n">
        <v>1</v>
      </c>
      <c r="K14" t="inlineStr">
        <is>
          <t>Agregado desde BD_GASTOS_DASHBOARD_BRIDGE (USD)</t>
        </is>
      </c>
    </row>
    <row r="15">
      <c r="A15" t="inlineStr">
        <is>
          <t>2026-02</t>
        </is>
      </c>
      <c r="B15" t="inlineStr">
        <is>
          <t>Colombia</t>
        </is>
      </c>
      <c r="C15" t="inlineStr">
        <is>
          <t>COCO</t>
        </is>
      </c>
      <c r="D15" t="inlineStr">
        <is>
          <t>USD</t>
        </is>
      </c>
      <c r="E15" t="inlineStr">
        <is>
          <t>gasto_area</t>
        </is>
      </c>
      <c r="F15" t="inlineStr">
        <is>
          <t>Financieros</t>
        </is>
      </c>
      <c r="G15" t="inlineStr">
        <is>
          <t>Financieros</t>
        </is>
      </c>
      <c r="H15" t="n">
        <v>1516.5</v>
      </c>
      <c r="I15" t="n">
        <v>3445.83</v>
      </c>
      <c r="J15" t="n">
        <v>1</v>
      </c>
      <c r="K15" t="inlineStr">
        <is>
          <t>Agregado desde BD_GASTOS_DASHBOARD_BRIDGE (USD)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Diversos</t>
        </is>
      </c>
      <c r="G16" t="inlineStr">
        <is>
          <t>Administracion</t>
        </is>
      </c>
      <c r="H16" t="n">
        <v>217.26</v>
      </c>
      <c r="I16" t="n">
        <v>479.99</v>
      </c>
      <c r="J16" t="n">
        <v>7</v>
      </c>
      <c r="K16" t="inlineStr">
        <is>
          <t>Agregado desde BD_GASTOS_DASHBOARD_BRIDGE (USD)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Honorarios</t>
        </is>
      </c>
      <c r="G17" t="inlineStr">
        <is>
          <t>Administracion</t>
        </is>
      </c>
      <c r="H17" t="n">
        <v>47.76</v>
      </c>
      <c r="I17" t="n">
        <v>270.35</v>
      </c>
      <c r="J17" t="n">
        <v>1</v>
      </c>
      <c r="K17" t="inlineStr">
        <is>
          <t>Agregado desde BD_GASTOS_DASHBOARD_BRIDGE (USD)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Personal</t>
        </is>
      </c>
      <c r="G18" t="inlineStr">
        <is>
          <t>Administracion</t>
        </is>
      </c>
      <c r="H18" t="n">
        <v>1600</v>
      </c>
      <c r="I18" t="n">
        <v>4812.37</v>
      </c>
      <c r="J18" t="n">
        <v>2</v>
      </c>
      <c r="K18" t="inlineStr">
        <is>
          <t>Agregado desde BD_GASTOS_DASHBOARD_BRIDGE (USD)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gasto_admin</t>
        </is>
      </c>
      <c r="F19" t="inlineStr">
        <is>
          <t>Seguros</t>
        </is>
      </c>
      <c r="G19" t="inlineStr">
        <is>
          <t>Administracion</t>
        </is>
      </c>
      <c r="H19" t="n">
        <v>70.81</v>
      </c>
      <c r="I19" t="n">
        <v>70.81</v>
      </c>
      <c r="J19" t="n">
        <v>1</v>
      </c>
      <c r="K19" t="inlineStr">
        <is>
          <t>Agregado desde BD_GASTOS_DASHBOARD_BRIDGE (USD)</t>
        </is>
      </c>
    </row>
    <row r="20">
      <c r="A20" t="inlineStr">
        <is>
          <t>2026-02</t>
        </is>
      </c>
      <c r="B20" t="inlineStr">
        <is>
          <t>Costa Rica</t>
        </is>
      </c>
      <c r="C20" t="inlineStr">
        <is>
          <t>CR</t>
        </is>
      </c>
      <c r="D20" t="inlineStr">
        <is>
          <t>USD</t>
        </is>
      </c>
      <c r="E20" t="inlineStr">
        <is>
          <t>gasto_admin</t>
        </is>
      </c>
      <c r="F20" t="inlineStr">
        <is>
          <t>Viajes</t>
        </is>
      </c>
      <c r="G20" t="inlineStr">
        <is>
          <t>Administracion</t>
        </is>
      </c>
      <c r="H20" t="n">
        <v>300</v>
      </c>
      <c r="I20" t="n">
        <v>900</v>
      </c>
      <c r="J20" t="n">
        <v>1</v>
      </c>
      <c r="K20" t="inlineStr">
        <is>
          <t>Agregado desde BD_GASTOS_DASHBOARD_BRIDGE (USD)</t>
        </is>
      </c>
    </row>
    <row r="21">
      <c r="A21" t="inlineStr">
        <is>
          <t>2026-02</t>
        </is>
      </c>
      <c r="B21" t="inlineStr">
        <is>
          <t>Costa Rica</t>
        </is>
      </c>
      <c r="C21" t="inlineStr">
        <is>
          <t>CR</t>
        </is>
      </c>
      <c r="D21" t="inlineStr">
        <is>
          <t>USD</t>
        </is>
      </c>
      <c r="E21" t="inlineStr">
        <is>
          <t>gasto_area</t>
        </is>
      </c>
      <c r="F21" t="inlineStr">
        <is>
          <t>Financieros</t>
        </is>
      </c>
      <c r="G21" t="inlineStr">
        <is>
          <t>Financieros</t>
        </is>
      </c>
      <c r="H21" t="n">
        <v>30</v>
      </c>
      <c r="I21" t="n">
        <v>80</v>
      </c>
      <c r="J21" t="n">
        <v>1</v>
      </c>
      <c r="K21" t="inlineStr">
        <is>
          <t>Agregado desde BD_GASTOS_DASHBOARD_BRIDGE (USD)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Diversos</t>
        </is>
      </c>
      <c r="G22" t="inlineStr">
        <is>
          <t>Administracion</t>
        </is>
      </c>
      <c r="H22" t="n">
        <v>4021.87</v>
      </c>
      <c r="I22" t="n">
        <v>4528.37</v>
      </c>
      <c r="J22" t="n">
        <v>5</v>
      </c>
      <c r="K22" t="inlineStr">
        <is>
          <t>Agregado desde BD_GASTOS_DASHBOARD_BRIDGE (USD)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Honorarios</t>
        </is>
      </c>
      <c r="G23" t="inlineStr">
        <is>
          <t>Administracion</t>
        </is>
      </c>
      <c r="H23" t="n">
        <v>445</v>
      </c>
      <c r="I23" t="n">
        <v>1945</v>
      </c>
      <c r="J23" t="n">
        <v>2</v>
      </c>
      <c r="K23" t="inlineStr">
        <is>
          <t>Agregado desde BD_GASTOS_DASHBOARD_BRIDGE (USD)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Personal</t>
        </is>
      </c>
      <c r="G24" t="inlineStr">
        <is>
          <t>Administracion</t>
        </is>
      </c>
      <c r="H24" t="n">
        <v>10928.5</v>
      </c>
      <c r="I24" t="n">
        <v>14478.93</v>
      </c>
      <c r="J24" t="n">
        <v>4</v>
      </c>
      <c r="K24" t="inlineStr">
        <is>
          <t>Agregado desde BD_GASTOS_DASHBOARD_BRIDGE (USD)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gasto_admin</t>
        </is>
      </c>
      <c r="F25" t="inlineStr">
        <is>
          <t>Servicios</t>
        </is>
      </c>
      <c r="G25" t="inlineStr">
        <is>
          <t>Administracion</t>
        </is>
      </c>
      <c r="H25" t="n">
        <v>604.1799999999999</v>
      </c>
      <c r="I25" t="n">
        <v>885.52</v>
      </c>
      <c r="J25" t="n">
        <v>5</v>
      </c>
      <c r="K25" t="inlineStr">
        <is>
          <t>Agregado desde BD_GASTOS_DASHBOARD_BRIDGE (USD)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gasto_admin</t>
        </is>
      </c>
      <c r="F26" t="inlineStr">
        <is>
          <t>Viajes</t>
        </is>
      </c>
      <c r="G26" t="inlineStr">
        <is>
          <t>Administracion</t>
        </is>
      </c>
      <c r="H26" t="n">
        <v>9.91</v>
      </c>
      <c r="I26" t="n">
        <v>9.91</v>
      </c>
      <c r="J26" t="n">
        <v>1</v>
      </c>
      <c r="K26" t="inlineStr">
        <is>
          <t>Agregado desde BD_GASTOS_DASHBOARD_BRIDGE (USD)</t>
        </is>
      </c>
    </row>
    <row r="27">
      <c r="A27" t="inlineStr">
        <is>
          <t>2026-02</t>
        </is>
      </c>
      <c r="B27" t="inlineStr">
        <is>
          <t>Estados Unidos</t>
        </is>
      </c>
      <c r="C27" t="inlineStr">
        <is>
          <t>USA</t>
        </is>
      </c>
      <c r="D27" t="inlineStr">
        <is>
          <t>USD</t>
        </is>
      </c>
      <c r="E27" t="inlineStr">
        <is>
          <t>gasto_area</t>
        </is>
      </c>
      <c r="F27" t="inlineStr">
        <is>
          <t>Financieros</t>
        </is>
      </c>
      <c r="G27" t="inlineStr">
        <is>
          <t>Financieros</t>
        </is>
      </c>
      <c r="H27" t="n">
        <v>83.06999999999999</v>
      </c>
      <c r="I27" t="n">
        <v>158.97</v>
      </c>
      <c r="J27" t="n">
        <v>3</v>
      </c>
      <c r="K27" t="inlineStr">
        <is>
          <t>Agregado desde BD_GASTOS_DASHBOARD_BRIDGE (USD)</t>
        </is>
      </c>
    </row>
    <row r="28">
      <c r="A28" t="inlineStr">
        <is>
          <t>2026-02</t>
        </is>
      </c>
      <c r="B28" t="inlineStr">
        <is>
          <t>Estados Unidos</t>
        </is>
      </c>
      <c r="C28" t="inlineStr">
        <is>
          <t>USA</t>
        </is>
      </c>
      <c r="D28" t="inlineStr">
        <is>
          <t>USD</t>
        </is>
      </c>
      <c r="E28" t="inlineStr">
        <is>
          <t>gasto_comercial</t>
        </is>
      </c>
      <c r="F28" t="inlineStr">
        <is>
          <t>Servicios</t>
        </is>
      </c>
      <c r="G28" t="inlineStr">
        <is>
          <t>Comercial</t>
        </is>
      </c>
      <c r="H28" t="n">
        <v>0</v>
      </c>
      <c r="I28" t="n">
        <v>648</v>
      </c>
      <c r="J28" t="n">
        <v>1</v>
      </c>
      <c r="K28" t="inlineStr">
        <is>
          <t>Agregado desde BD_GASTOS_DASHBOARD_BRIDGE (USD)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gasto_admin</t>
        </is>
      </c>
      <c r="F29" t="inlineStr">
        <is>
          <t>Honorarios</t>
        </is>
      </c>
      <c r="G29" t="inlineStr">
        <is>
          <t>Administracion</t>
        </is>
      </c>
      <c r="H29" t="n">
        <v>254.8</v>
      </c>
      <c r="I29" t="n">
        <v>254.8</v>
      </c>
      <c r="J29" t="n">
        <v>2</v>
      </c>
      <c r="K29" t="inlineStr">
        <is>
          <t>Agregado desde BD_GASTOS_DASHBOARD_BRIDGE (USD)</t>
        </is>
      </c>
    </row>
    <row r="30">
      <c r="A30" t="inlineStr">
        <is>
          <t>2026-02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gasto_area</t>
        </is>
      </c>
      <c r="F30" t="inlineStr">
        <is>
          <t>Financieros</t>
        </is>
      </c>
      <c r="G30" t="inlineStr">
        <is>
          <t>Financieros</t>
        </is>
      </c>
      <c r="H30" t="n">
        <v>28.12</v>
      </c>
      <c r="I30" t="n">
        <v>55.73</v>
      </c>
      <c r="J30" t="n">
        <v>3</v>
      </c>
      <c r="K30" t="inlineStr">
        <is>
          <t>Agregado desde BD_GASTOS_DASHBOARD_BRIDGE (USD)</t>
        </is>
      </c>
    </row>
    <row r="31">
      <c r="A31" t="inlineStr">
        <is>
          <t>2026-02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gasto_comercial</t>
        </is>
      </c>
      <c r="F31" t="inlineStr">
        <is>
          <t>Honorarios</t>
        </is>
      </c>
      <c r="G31" t="inlineStr">
        <is>
          <t>Comercial</t>
        </is>
      </c>
      <c r="H31" t="n">
        <v>0</v>
      </c>
      <c r="I31" t="n">
        <v>633.6</v>
      </c>
      <c r="J31" t="n">
        <v>1</v>
      </c>
      <c r="K31" t="inlineStr">
        <is>
          <t>Agregado desde BD_GASTOS_DASHBOARD_BRIDGE (USD)</t>
        </is>
      </c>
    </row>
    <row r="32">
      <c r="A32" t="inlineStr">
        <is>
          <t>2026-03</t>
        </is>
      </c>
      <c r="B32" t="inlineStr">
        <is>
          <t>Colombia</t>
        </is>
      </c>
      <c r="C32" t="inlineStr">
        <is>
          <t>COCO</t>
        </is>
      </c>
      <c r="D32" t="inlineStr">
        <is>
          <t>USD</t>
        </is>
      </c>
      <c r="E32" t="inlineStr">
        <is>
          <t>gasto_area</t>
        </is>
      </c>
      <c r="F32" t="inlineStr">
        <is>
          <t>Financieros</t>
        </is>
      </c>
      <c r="G32" t="inlineStr">
        <is>
          <t>Financieros</t>
        </is>
      </c>
      <c r="H32" t="n">
        <v>1478.81</v>
      </c>
      <c r="I32" t="n">
        <v>4885.78</v>
      </c>
      <c r="J32" t="n">
        <v>1</v>
      </c>
      <c r="K32" t="inlineStr">
        <is>
          <t>Agregado desde BD_GASTOS_DASHBOARD_BRIDGE (USD)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Diversos</t>
        </is>
      </c>
      <c r="G33" t="inlineStr">
        <is>
          <t>Administracion</t>
        </is>
      </c>
      <c r="H33" t="n">
        <v>217.26</v>
      </c>
      <c r="I33" t="n">
        <v>479.99</v>
      </c>
      <c r="J33" t="n">
        <v>7</v>
      </c>
      <c r="K33" t="inlineStr">
        <is>
          <t>Agregado desde BD_GASTOS_DASHBOARD_BRIDGE (USD)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Honorarios</t>
        </is>
      </c>
      <c r="G34" t="inlineStr">
        <is>
          <t>Administracion</t>
        </is>
      </c>
      <c r="H34" t="n">
        <v>47.76</v>
      </c>
      <c r="I34" t="n">
        <v>270.35</v>
      </c>
      <c r="J34" t="n">
        <v>1</v>
      </c>
      <c r="K34" t="inlineStr">
        <is>
          <t>Agregado desde BD_GASTOS_DASHBOARD_BRIDGE (USD)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gasto_admin</t>
        </is>
      </c>
      <c r="F35" t="inlineStr">
        <is>
          <t>Personal</t>
        </is>
      </c>
      <c r="G35" t="inlineStr">
        <is>
          <t>Administracion</t>
        </is>
      </c>
      <c r="H35" t="n">
        <v>1600</v>
      </c>
      <c r="I35" t="n">
        <v>4812.37</v>
      </c>
      <c r="J35" t="n">
        <v>2</v>
      </c>
      <c r="K35" t="inlineStr">
        <is>
          <t>Agregado desde BD_GASTOS_DASHBOARD_BRIDGE (USD)</t>
        </is>
      </c>
    </row>
    <row r="36">
      <c r="A36" t="inlineStr">
        <is>
          <t>2026-03</t>
        </is>
      </c>
      <c r="B36" t="inlineStr">
        <is>
          <t>Costa Rica</t>
        </is>
      </c>
      <c r="C36" t="inlineStr">
        <is>
          <t>CR</t>
        </is>
      </c>
      <c r="D36" t="inlineStr">
        <is>
          <t>USD</t>
        </is>
      </c>
      <c r="E36" t="inlineStr">
        <is>
          <t>gasto_admin</t>
        </is>
      </c>
      <c r="F36" t="inlineStr">
        <is>
          <t>Seguros</t>
        </is>
      </c>
      <c r="G36" t="inlineStr">
        <is>
          <t>Administracion</t>
        </is>
      </c>
      <c r="H36" t="n">
        <v>70.81</v>
      </c>
      <c r="I36" t="n">
        <v>70.81</v>
      </c>
      <c r="J36" t="n">
        <v>1</v>
      </c>
      <c r="K36" t="inlineStr">
        <is>
          <t>Agregado desde BD_GASTOS_DASHBOARD_BRIDGE (USD)</t>
        </is>
      </c>
    </row>
    <row r="37">
      <c r="A37" t="inlineStr">
        <is>
          <t>2026-03</t>
        </is>
      </c>
      <c r="B37" t="inlineStr">
        <is>
          <t>Costa Rica</t>
        </is>
      </c>
      <c r="C37" t="inlineStr">
        <is>
          <t>CR</t>
        </is>
      </c>
      <c r="D37" t="inlineStr">
        <is>
          <t>USD</t>
        </is>
      </c>
      <c r="E37" t="inlineStr">
        <is>
          <t>gasto_admin</t>
        </is>
      </c>
      <c r="F37" t="inlineStr">
        <is>
          <t>Viajes</t>
        </is>
      </c>
      <c r="G37" t="inlineStr">
        <is>
          <t>Administracion</t>
        </is>
      </c>
      <c r="H37" t="n">
        <v>300</v>
      </c>
      <c r="I37" t="n">
        <v>900</v>
      </c>
      <c r="J37" t="n">
        <v>1</v>
      </c>
      <c r="K37" t="inlineStr">
        <is>
          <t>Agregado desde BD_GASTOS_DASHBOARD_BRIDGE (USD)</t>
        </is>
      </c>
    </row>
    <row r="38">
      <c r="A38" t="inlineStr">
        <is>
          <t>2026-03</t>
        </is>
      </c>
      <c r="B38" t="inlineStr">
        <is>
          <t>Costa Rica</t>
        </is>
      </c>
      <c r="C38" t="inlineStr">
        <is>
          <t>CR</t>
        </is>
      </c>
      <c r="D38" t="inlineStr">
        <is>
          <t>USD</t>
        </is>
      </c>
      <c r="E38" t="inlineStr">
        <is>
          <t>gasto_area</t>
        </is>
      </c>
      <c r="F38" t="inlineStr">
        <is>
          <t>Financieros</t>
        </is>
      </c>
      <c r="G38" t="inlineStr">
        <is>
          <t>Financieros</t>
        </is>
      </c>
      <c r="H38" t="n">
        <v>30</v>
      </c>
      <c r="I38" t="n">
        <v>80</v>
      </c>
      <c r="J38" t="n">
        <v>1</v>
      </c>
      <c r="K38" t="inlineStr">
        <is>
          <t>Agregado desde BD_GASTOS_DASHBOARD_BRIDGE (USD)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Diversos</t>
        </is>
      </c>
      <c r="G39" t="inlineStr">
        <is>
          <t>Administracion</t>
        </is>
      </c>
      <c r="H39" t="n">
        <v>336.98</v>
      </c>
      <c r="I39" t="n">
        <v>4865.35</v>
      </c>
      <c r="J39" t="n">
        <v>10</v>
      </c>
      <c r="K39" t="inlineStr">
        <is>
          <t>Agregado desde BD_GASTOS_DASHBOARD_BRIDGE (USD)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Honorarios</t>
        </is>
      </c>
      <c r="G40" t="inlineStr">
        <is>
          <t>Administracion</t>
        </is>
      </c>
      <c r="H40" t="n">
        <v>2557.46</v>
      </c>
      <c r="I40" t="n">
        <v>4502.46</v>
      </c>
      <c r="J40" t="n">
        <v>3</v>
      </c>
      <c r="K40" t="inlineStr">
        <is>
          <t>Agregado desde BD_GASTOS_DASHBOARD_BRIDGE (USD)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gasto_admin</t>
        </is>
      </c>
      <c r="F41" t="inlineStr">
        <is>
          <t>Personal</t>
        </is>
      </c>
      <c r="G41" t="inlineStr">
        <is>
          <t>Administracion</t>
        </is>
      </c>
      <c r="H41" t="n">
        <v>3670.94</v>
      </c>
      <c r="I41" t="n">
        <v>18149.87</v>
      </c>
      <c r="J41" t="n">
        <v>6</v>
      </c>
      <c r="K41" t="inlineStr">
        <is>
          <t>Agregado desde BD_GASTOS_DASHBOARD_BRIDGE (USD)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gasto_admin</t>
        </is>
      </c>
      <c r="F42" t="inlineStr">
        <is>
          <t>Servicios</t>
        </is>
      </c>
      <c r="G42" t="inlineStr">
        <is>
          <t>Administracion</t>
        </is>
      </c>
      <c r="H42" t="n">
        <v>203.79</v>
      </c>
      <c r="I42" t="n">
        <v>1089.31</v>
      </c>
      <c r="J42" t="n">
        <v>5</v>
      </c>
      <c r="K42" t="inlineStr">
        <is>
          <t>Agregado desde BD_GASTOS_DASHBOARD_BRIDGE (USD)</t>
        </is>
      </c>
    </row>
    <row r="43">
      <c r="A43" t="inlineStr">
        <is>
          <t>2026-03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gasto_admin</t>
        </is>
      </c>
      <c r="F43" t="inlineStr">
        <is>
          <t>Viajes</t>
        </is>
      </c>
      <c r="G43" t="inlineStr">
        <is>
          <t>Administracion</t>
        </is>
      </c>
      <c r="H43" t="n">
        <v>51.94</v>
      </c>
      <c r="I43" t="n">
        <v>61.85</v>
      </c>
      <c r="J43" t="n">
        <v>2</v>
      </c>
      <c r="K43" t="inlineStr">
        <is>
          <t>Agregado desde BD_GASTOS_DASHBOARD_BRIDGE (USD)</t>
        </is>
      </c>
    </row>
    <row r="44">
      <c r="A44" t="inlineStr">
        <is>
          <t>2026-03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8.33</v>
      </c>
      <c r="I44" t="n">
        <v>167.3</v>
      </c>
      <c r="J44" t="n">
        <v>4</v>
      </c>
      <c r="K44" t="inlineStr">
        <is>
          <t>Agregado desde BD_GASTOS_DASHBOARD_BRIDGE (USD)</t>
        </is>
      </c>
    </row>
    <row r="45">
      <c r="A45" t="inlineStr">
        <is>
          <t>2026-03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gasto_comercial</t>
        </is>
      </c>
      <c r="F45" t="inlineStr">
        <is>
          <t>Servicios</t>
        </is>
      </c>
      <c r="G45" t="inlineStr">
        <is>
          <t>Comercial</t>
        </is>
      </c>
      <c r="H45" t="n">
        <v>400</v>
      </c>
      <c r="I45" t="n">
        <v>1048</v>
      </c>
      <c r="J45" t="n">
        <v>2</v>
      </c>
      <c r="K45" t="inlineStr">
        <is>
          <t>Agregado desde BD_GASTOS_DASHBOARD_BRIDGE (USD)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USD</t>
        </is>
      </c>
      <c r="E46" t="inlineStr">
        <is>
          <t>gasto_admin</t>
        </is>
      </c>
      <c r="F46" t="inlineStr">
        <is>
          <t>Honorarios</t>
        </is>
      </c>
      <c r="G46" t="inlineStr">
        <is>
          <t>Administracion</t>
        </is>
      </c>
      <c r="H46" t="n">
        <v>471.21</v>
      </c>
      <c r="I46" t="n">
        <v>968.84</v>
      </c>
      <c r="J46" t="n">
        <v>2</v>
      </c>
      <c r="K46" t="inlineStr">
        <is>
          <t>Agregado desde BD_GASTOS_DASHBOARD_BRIDGE (USD)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USD</t>
        </is>
      </c>
      <c r="E47" t="inlineStr">
        <is>
          <t>gasto_area</t>
        </is>
      </c>
      <c r="F47" t="inlineStr">
        <is>
          <t>Financieros</t>
        </is>
      </c>
      <c r="G47" t="inlineStr">
        <is>
          <t>Financieros</t>
        </is>
      </c>
      <c r="H47" t="n">
        <v>26.5</v>
      </c>
      <c r="I47" t="n">
        <v>107.22</v>
      </c>
      <c r="J47" t="n">
        <v>3</v>
      </c>
      <c r="K47" t="inlineStr">
        <is>
          <t>Agregado desde BD_GASTOS_DASHBOARD_BRIDGE (USD)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USD</t>
        </is>
      </c>
      <c r="E48" t="inlineStr">
        <is>
          <t>gasto_comercial</t>
        </is>
      </c>
      <c r="F48" t="inlineStr">
        <is>
          <t>Diversos</t>
        </is>
      </c>
      <c r="G48" t="inlineStr">
        <is>
          <t>Comercial</t>
        </is>
      </c>
      <c r="H48" t="n">
        <v>0</v>
      </c>
      <c r="I48" t="n">
        <v>0.55</v>
      </c>
      <c r="J48" t="n">
        <v>1</v>
      </c>
      <c r="K48" t="inlineStr">
        <is>
          <t>Agregado desde BD_GASTOS_DASHBOARD_BRIDGE (USD)</t>
        </is>
      </c>
    </row>
    <row r="49">
      <c r="A49" t="inlineStr">
        <is>
          <t>2026-03</t>
        </is>
      </c>
      <c r="B49" t="inlineStr">
        <is>
          <t>Peru</t>
        </is>
      </c>
      <c r="C49" t="inlineStr">
        <is>
          <t>PERU</t>
        </is>
      </c>
      <c r="D49" t="inlineStr">
        <is>
          <t>USD</t>
        </is>
      </c>
      <c r="E49" t="inlineStr">
        <is>
          <t>gasto_comercial</t>
        </is>
      </c>
      <c r="F49" t="inlineStr">
        <is>
          <t>Honorarios</t>
        </is>
      </c>
      <c r="G49" t="inlineStr">
        <is>
          <t>Comercial</t>
        </is>
      </c>
      <c r="H49" t="n">
        <v>0</v>
      </c>
      <c r="I49" t="n">
        <v>617.0599999999999</v>
      </c>
      <c r="J49" t="n">
        <v>1</v>
      </c>
      <c r="K49" t="inlineStr">
        <is>
          <t>Agregado desde BD_GASTOS_DASHBOARD_BRIDGE (USD)</t>
        </is>
      </c>
    </row>
    <row r="50">
      <c r="A50" t="inlineStr">
        <is>
          <t>2026-03</t>
        </is>
      </c>
      <c r="B50" t="inlineStr">
        <is>
          <t>Peru</t>
        </is>
      </c>
      <c r="C50" t="inlineStr">
        <is>
          <t>PERU</t>
        </is>
      </c>
      <c r="D50" t="inlineStr">
        <is>
          <t>USD</t>
        </is>
      </c>
      <c r="E50" t="inlineStr">
        <is>
          <t>gasto_comercial</t>
        </is>
      </c>
      <c r="F50" t="inlineStr">
        <is>
          <t>Servicios</t>
        </is>
      </c>
      <c r="G50" t="inlineStr">
        <is>
          <t>Comercial</t>
        </is>
      </c>
      <c r="H50" t="n">
        <v>0</v>
      </c>
      <c r="I50" t="n">
        <v>494.98</v>
      </c>
      <c r="J50" t="n">
        <v>1</v>
      </c>
      <c r="K50" t="inlineStr">
        <is>
          <t>Agregado desde BD_GASTOS_DASHBOARD_BRIDGE (USD)</t>
        </is>
      </c>
    </row>
    <row r="51">
      <c r="A51" t="inlineStr">
        <is>
          <t>2026-03</t>
        </is>
      </c>
      <c r="B51" t="inlineStr">
        <is>
          <t>Peru</t>
        </is>
      </c>
      <c r="C51" t="inlineStr">
        <is>
          <t>PERU</t>
        </is>
      </c>
      <c r="D51" t="inlineStr">
        <is>
          <t>USD</t>
        </is>
      </c>
      <c r="E51" t="inlineStr">
        <is>
          <t>gasto_comercial</t>
        </is>
      </c>
      <c r="F51" t="inlineStr">
        <is>
          <t>Viajes</t>
        </is>
      </c>
      <c r="G51" t="inlineStr">
        <is>
          <t>Comercial</t>
        </is>
      </c>
      <c r="H51" t="n">
        <v>246.49</v>
      </c>
      <c r="I51" t="n">
        <v>550.75</v>
      </c>
      <c r="J51" t="n">
        <v>12</v>
      </c>
      <c r="K51" t="inlineStr">
        <is>
          <t>Agregado desde BD_GASTOS_DASHBOARD_BRIDGE (USD)</t>
        </is>
      </c>
    </row>
    <row r="52">
      <c r="A52" t="inlineStr">
        <is>
          <t>2026-04</t>
        </is>
      </c>
      <c r="B52" t="inlineStr">
        <is>
          <t>Colombia</t>
        </is>
      </c>
      <c r="C52" t="inlineStr">
        <is>
          <t>COCO</t>
        </is>
      </c>
      <c r="D52" t="inlineStr">
        <is>
          <t>USD</t>
        </is>
      </c>
      <c r="E52" t="inlineStr">
        <is>
          <t>gasto_area</t>
        </is>
      </c>
      <c r="F52" t="inlineStr">
        <is>
          <t>Financieros</t>
        </is>
      </c>
      <c r="G52" t="inlineStr">
        <is>
          <t>Financieros</t>
        </is>
      </c>
      <c r="H52" t="n">
        <v>1392.83</v>
      </c>
      <c r="I52" t="n">
        <v>6413.73</v>
      </c>
      <c r="J52" t="n">
        <v>1</v>
      </c>
      <c r="K52" t="inlineStr">
        <is>
          <t>Agregado desde BD_GASTOS_DASHBOARD_BRIDGE (USD)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Diversos</t>
        </is>
      </c>
      <c r="G53" t="inlineStr">
        <is>
          <t>Administracion</t>
        </is>
      </c>
      <c r="H53" t="n">
        <v>115.64</v>
      </c>
      <c r="I53" t="n">
        <v>595.63</v>
      </c>
      <c r="J53" t="n">
        <v>7</v>
      </c>
      <c r="K53" t="inlineStr">
        <is>
          <t>Agregado desde BD_GASTOS_DASHBOARD_BRIDGE (USD)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Honorarios</t>
        </is>
      </c>
      <c r="G54" t="inlineStr">
        <is>
          <t>Administracion</t>
        </is>
      </c>
      <c r="H54" t="n">
        <v>0</v>
      </c>
      <c r="I54" t="n">
        <v>270.35</v>
      </c>
      <c r="J54" t="n">
        <v>1</v>
      </c>
      <c r="K54" t="inlineStr">
        <is>
          <t>Agregado desde BD_GASTOS_DASHBOARD_BRIDGE (USD)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gasto_admin</t>
        </is>
      </c>
      <c r="F55" t="inlineStr">
        <is>
          <t>Personal</t>
        </is>
      </c>
      <c r="G55" t="inlineStr">
        <is>
          <t>Administracion</t>
        </is>
      </c>
      <c r="H55" t="n">
        <v>1600</v>
      </c>
      <c r="I55" t="n">
        <v>6412.37</v>
      </c>
      <c r="J55" t="n">
        <v>2</v>
      </c>
      <c r="K55" t="inlineStr">
        <is>
          <t>Agregado desde BD_GASTOS_DASHBOARD_BRIDGE (USD)</t>
        </is>
      </c>
    </row>
    <row r="56">
      <c r="A56" t="inlineStr">
        <is>
          <t>2026-04</t>
        </is>
      </c>
      <c r="B56" t="inlineStr">
        <is>
          <t>Costa Rica</t>
        </is>
      </c>
      <c r="C56" t="inlineStr">
        <is>
          <t>CR</t>
        </is>
      </c>
      <c r="D56" t="inlineStr">
        <is>
          <t>USD</t>
        </is>
      </c>
      <c r="E56" t="inlineStr">
        <is>
          <t>gasto_admin</t>
        </is>
      </c>
      <c r="F56" t="inlineStr">
        <is>
          <t>Seguros</t>
        </is>
      </c>
      <c r="G56" t="inlineStr">
        <is>
          <t>Administracion</t>
        </is>
      </c>
      <c r="H56" t="n">
        <v>9205.719999999999</v>
      </c>
      <c r="I56" t="n">
        <v>9276.530000000001</v>
      </c>
      <c r="J56" t="n">
        <v>2</v>
      </c>
      <c r="K56" t="inlineStr">
        <is>
          <t>Agregado desde BD_GASTOS_DASHBOARD_BRIDGE (USD)</t>
        </is>
      </c>
    </row>
    <row r="57">
      <c r="A57" t="inlineStr">
        <is>
          <t>2026-04</t>
        </is>
      </c>
      <c r="B57" t="inlineStr">
        <is>
          <t>Costa Rica</t>
        </is>
      </c>
      <c r="C57" t="inlineStr">
        <is>
          <t>CR</t>
        </is>
      </c>
      <c r="D57" t="inlineStr">
        <is>
          <t>USD</t>
        </is>
      </c>
      <c r="E57" t="inlineStr">
        <is>
          <t>gasto_admin</t>
        </is>
      </c>
      <c r="F57" t="inlineStr">
        <is>
          <t>Servicios</t>
        </is>
      </c>
      <c r="G57" t="inlineStr">
        <is>
          <t>Administracion</t>
        </is>
      </c>
      <c r="H57" t="n">
        <v>57.71</v>
      </c>
      <c r="I57" t="n">
        <v>57.71</v>
      </c>
      <c r="J57" t="n">
        <v>1</v>
      </c>
      <c r="K57" t="inlineStr">
        <is>
          <t>Agregado desde BD_GASTOS_DASHBOARD_BRIDGE (USD)</t>
        </is>
      </c>
    </row>
    <row r="58">
      <c r="A58" t="inlineStr">
        <is>
          <t>2026-04</t>
        </is>
      </c>
      <c r="B58" t="inlineStr">
        <is>
          <t>Costa Rica</t>
        </is>
      </c>
      <c r="C58" t="inlineStr">
        <is>
          <t>CR</t>
        </is>
      </c>
      <c r="D58" t="inlineStr">
        <is>
          <t>USD</t>
        </is>
      </c>
      <c r="E58" t="inlineStr">
        <is>
          <t>gasto_admin</t>
        </is>
      </c>
      <c r="F58" t="inlineStr">
        <is>
          <t>Viajes</t>
        </is>
      </c>
      <c r="G58" t="inlineStr">
        <is>
          <t>Administracion</t>
        </is>
      </c>
      <c r="H58" t="n">
        <v>300</v>
      </c>
      <c r="I58" t="n">
        <v>1200</v>
      </c>
      <c r="J58" t="n">
        <v>1</v>
      </c>
      <c r="K58" t="inlineStr">
        <is>
          <t>Agregado desde BD_GASTOS_DASHBOARD_BRIDGE (USD)</t>
        </is>
      </c>
    </row>
    <row r="59">
      <c r="A59" t="inlineStr">
        <is>
          <t>2026-04</t>
        </is>
      </c>
      <c r="B59" t="inlineStr">
        <is>
          <t>Costa Rica</t>
        </is>
      </c>
      <c r="C59" t="inlineStr">
        <is>
          <t>CR</t>
        </is>
      </c>
      <c r="D59" t="inlineStr">
        <is>
          <t>USD</t>
        </is>
      </c>
      <c r="E59" t="inlineStr">
        <is>
          <t>gasto_area</t>
        </is>
      </c>
      <c r="F59" t="inlineStr">
        <is>
          <t>Financieros</t>
        </is>
      </c>
      <c r="G59" t="inlineStr">
        <is>
          <t>Financieros</t>
        </is>
      </c>
      <c r="H59" t="n">
        <v>40</v>
      </c>
      <c r="I59" t="n">
        <v>120</v>
      </c>
      <c r="J59" t="n">
        <v>1</v>
      </c>
      <c r="K59" t="inlineStr">
        <is>
          <t>Agregado desde BD_GASTOS_DASHBOARD_BRIDGE (USD)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Diversos</t>
        </is>
      </c>
      <c r="G60" t="inlineStr">
        <is>
          <t>Administracion</t>
        </is>
      </c>
      <c r="H60" t="n">
        <v>1184.49</v>
      </c>
      <c r="I60" t="n">
        <v>6049.84</v>
      </c>
      <c r="J60" t="n">
        <v>20</v>
      </c>
      <c r="K60" t="inlineStr">
        <is>
          <t>Agregado desde BD_GASTOS_DASHBOARD_BRIDGE (USD)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gasto_admin</t>
        </is>
      </c>
      <c r="F61" t="inlineStr">
        <is>
          <t>Honorarios</t>
        </is>
      </c>
      <c r="G61" t="inlineStr">
        <is>
          <t>Administracion</t>
        </is>
      </c>
      <c r="H61" t="n">
        <v>0</v>
      </c>
      <c r="I61" t="n">
        <v>4502.46</v>
      </c>
      <c r="J61" t="n">
        <v>3</v>
      </c>
      <c r="K61" t="inlineStr">
        <is>
          <t>Agregado desde BD_GASTOS_DASHBOARD_BRIDGE (USD)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gasto_admin</t>
        </is>
      </c>
      <c r="F62" t="inlineStr">
        <is>
          <t>Personal</t>
        </is>
      </c>
      <c r="G62" t="inlineStr">
        <is>
          <t>Administracion</t>
        </is>
      </c>
      <c r="H62" t="n">
        <v>4633.6</v>
      </c>
      <c r="I62" t="n">
        <v>22783.47</v>
      </c>
      <c r="J62" t="n">
        <v>8</v>
      </c>
      <c r="K62" t="inlineStr">
        <is>
          <t>Agregado desde BD_GASTOS_DASHBOARD_BRIDGE (USD)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gasto_admin</t>
        </is>
      </c>
      <c r="F63" t="inlineStr">
        <is>
          <t>Servicios</t>
        </is>
      </c>
      <c r="G63" t="inlineStr">
        <is>
          <t>Administracion</t>
        </is>
      </c>
      <c r="H63" t="n">
        <v>1202.96</v>
      </c>
      <c r="I63" t="n">
        <v>2292.27</v>
      </c>
      <c r="J63" t="n">
        <v>7</v>
      </c>
      <c r="K63" t="inlineStr">
        <is>
          <t>Agregado desde BD_GASTOS_DASHBOARD_BRIDGE (USD)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gasto_admin</t>
        </is>
      </c>
      <c r="F64" t="inlineStr">
        <is>
          <t>Viajes</t>
        </is>
      </c>
      <c r="G64" t="inlineStr">
        <is>
          <t>Administracion</t>
        </is>
      </c>
      <c r="H64" t="n">
        <v>96.41</v>
      </c>
      <c r="I64" t="n">
        <v>158.26</v>
      </c>
      <c r="J64" t="n">
        <v>6</v>
      </c>
      <c r="K64" t="inlineStr">
        <is>
          <t>Agregado desde BD_GASTOS_DASHBOARD_BRIDGE (USD)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gasto_area</t>
        </is>
      </c>
      <c r="F65" t="inlineStr">
        <is>
          <t>Financieros</t>
        </is>
      </c>
      <c r="G65" t="inlineStr">
        <is>
          <t>Financieros</t>
        </is>
      </c>
      <c r="H65" t="n">
        <v>23.28</v>
      </c>
      <c r="I65" t="n">
        <v>190.58</v>
      </c>
      <c r="J65" t="n">
        <v>6</v>
      </c>
      <c r="K65" t="inlineStr">
        <is>
          <t>Agregado desde BD_GASTOS_DASHBOARD_BRIDGE (USD)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gasto_comercial</t>
        </is>
      </c>
      <c r="F66" t="inlineStr">
        <is>
          <t>Servicios</t>
        </is>
      </c>
      <c r="G66" t="inlineStr">
        <is>
          <t>Comercial</t>
        </is>
      </c>
      <c r="H66" t="n">
        <v>0</v>
      </c>
      <c r="I66" t="n">
        <v>1048</v>
      </c>
      <c r="J66" t="n">
        <v>2</v>
      </c>
      <c r="K66" t="inlineStr">
        <is>
          <t>Agregado desde BD_GASTOS_DASHBOARD_BRIDGE (USD)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USD</t>
        </is>
      </c>
      <c r="E67" t="inlineStr">
        <is>
          <t>gasto_admin</t>
        </is>
      </c>
      <c r="F67" t="inlineStr">
        <is>
          <t>Honorarios</t>
        </is>
      </c>
      <c r="G67" t="inlineStr">
        <is>
          <t>Administracion</t>
        </is>
      </c>
      <c r="H67" t="n">
        <v>471.76</v>
      </c>
      <c r="I67" t="n">
        <v>969.97</v>
      </c>
      <c r="J67" t="n">
        <v>2</v>
      </c>
      <c r="K67" t="inlineStr">
        <is>
          <t>Agregado desde BD_GASTOS_DASHBOARD_BRIDGE (USD)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USD</t>
        </is>
      </c>
      <c r="E68" t="inlineStr">
        <is>
          <t>gasto_area</t>
        </is>
      </c>
      <c r="F68" t="inlineStr">
        <is>
          <t>Financieros</t>
        </is>
      </c>
      <c r="G68" t="inlineStr">
        <is>
          <t>Financieros</t>
        </is>
      </c>
      <c r="H68" t="n">
        <v>26.53</v>
      </c>
      <c r="I68" t="n">
        <v>107.35</v>
      </c>
      <c r="J68" t="n">
        <v>3</v>
      </c>
      <c r="K68" t="inlineStr">
        <is>
          <t>Agregado desde BD_GASTOS_DASHBOARD_BRIDGE (USD)</t>
        </is>
      </c>
    </row>
    <row r="69">
      <c r="A69" t="inlineStr">
        <is>
          <t>2026-04</t>
        </is>
      </c>
      <c r="B69" t="inlineStr">
        <is>
          <t>Peru</t>
        </is>
      </c>
      <c r="C69" t="inlineStr">
        <is>
          <t>PERU</t>
        </is>
      </c>
      <c r="D69" t="inlineStr">
        <is>
          <t>USD</t>
        </is>
      </c>
      <c r="E69" t="inlineStr">
        <is>
          <t>gasto_comercial</t>
        </is>
      </c>
      <c r="F69" t="inlineStr">
        <is>
          <t>Diversos</t>
        </is>
      </c>
      <c r="G69" t="inlineStr">
        <is>
          <t>Comercial</t>
        </is>
      </c>
      <c r="H69" t="n">
        <v>0</v>
      </c>
      <c r="I69" t="n">
        <v>0.55</v>
      </c>
      <c r="J69" t="n">
        <v>1</v>
      </c>
      <c r="K69" t="inlineStr">
        <is>
          <t>Agregado desde BD_GASTOS_DASHBOARD_BRIDGE (USD)</t>
        </is>
      </c>
    </row>
    <row r="70">
      <c r="A70" t="inlineStr">
        <is>
          <t>2026-04</t>
        </is>
      </c>
      <c r="B70" t="inlineStr">
        <is>
          <t>Peru</t>
        </is>
      </c>
      <c r="C70" t="inlineStr">
        <is>
          <t>PERU</t>
        </is>
      </c>
      <c r="D70" t="inlineStr">
        <is>
          <t>USD</t>
        </is>
      </c>
      <c r="E70" t="inlineStr">
        <is>
          <t>gasto_comercial</t>
        </is>
      </c>
      <c r="F70" t="inlineStr">
        <is>
          <t>Honorarios</t>
        </is>
      </c>
      <c r="G70" t="inlineStr">
        <is>
          <t>Comercial</t>
        </is>
      </c>
      <c r="H70" t="n">
        <v>0</v>
      </c>
      <c r="I70" t="n">
        <v>617.78</v>
      </c>
      <c r="J70" t="n">
        <v>1</v>
      </c>
      <c r="K70" t="inlineStr">
        <is>
          <t>Agregado desde BD_GASTOS_DASHBOARD_BRIDGE (USD)</t>
        </is>
      </c>
    </row>
    <row r="71">
      <c r="A71" t="inlineStr">
        <is>
          <t>2026-04</t>
        </is>
      </c>
      <c r="B71" t="inlineStr">
        <is>
          <t>Peru</t>
        </is>
      </c>
      <c r="C71" t="inlineStr">
        <is>
          <t>PERU</t>
        </is>
      </c>
      <c r="D71" t="inlineStr">
        <is>
          <t>USD</t>
        </is>
      </c>
      <c r="E71" t="inlineStr">
        <is>
          <t>gasto_comercial</t>
        </is>
      </c>
      <c r="F71" t="inlineStr">
        <is>
          <t>Servicios</t>
        </is>
      </c>
      <c r="G71" t="inlineStr">
        <is>
          <t>Comercial</t>
        </is>
      </c>
      <c r="H71" t="n">
        <v>0</v>
      </c>
      <c r="I71" t="n">
        <v>495.55</v>
      </c>
      <c r="J71" t="n">
        <v>1</v>
      </c>
      <c r="K71" t="inlineStr">
        <is>
          <t>Agregado desde BD_GASTOS_DASHBOARD_BRIDGE (USD)</t>
        </is>
      </c>
    </row>
    <row r="72">
      <c r="A72" t="inlineStr">
        <is>
          <t>2026-04</t>
        </is>
      </c>
      <c r="B72" t="inlineStr">
        <is>
          <t>Peru</t>
        </is>
      </c>
      <c r="C72" t="inlineStr">
        <is>
          <t>PERU</t>
        </is>
      </c>
      <c r="D72" t="inlineStr">
        <is>
          <t>USD</t>
        </is>
      </c>
      <c r="E72" t="inlineStr">
        <is>
          <t>gasto_comercial</t>
        </is>
      </c>
      <c r="F72" t="inlineStr">
        <is>
          <t>Viajes</t>
        </is>
      </c>
      <c r="G72" t="inlineStr">
        <is>
          <t>Comercial</t>
        </is>
      </c>
      <c r="H72" t="n">
        <v>246.79</v>
      </c>
      <c r="I72" t="n">
        <v>551.4</v>
      </c>
      <c r="J72" t="n">
        <v>12</v>
      </c>
      <c r="K72" t="inlineStr">
        <is>
          <t>Agregado desde BD_GASTOS_DASHBOARD_BRIDGE (USD)</t>
        </is>
      </c>
    </row>
    <row r="73">
      <c r="A73" t="inlineStr">
        <is>
          <t>2026-05</t>
        </is>
      </c>
      <c r="B73" t="inlineStr">
        <is>
          <t>Colombia</t>
        </is>
      </c>
      <c r="C73" t="inlineStr">
        <is>
          <t>COCO</t>
        </is>
      </c>
      <c r="D73" t="inlineStr">
        <is>
          <t>USD</t>
        </is>
      </c>
      <c r="E73" t="inlineStr">
        <is>
          <t>gasto_area</t>
        </is>
      </c>
      <c r="F73" t="inlineStr">
        <is>
          <t>Financieros</t>
        </is>
      </c>
      <c r="G73" t="inlineStr">
        <is>
          <t>Financieros</t>
        </is>
      </c>
      <c r="H73" t="n">
        <v>1615.73</v>
      </c>
      <c r="I73" t="n">
        <v>7862.81</v>
      </c>
      <c r="J73" t="n">
        <v>1</v>
      </c>
      <c r="K73" t="inlineStr">
        <is>
          <t>Agregado desde BD_GASTOS_DASHBOARD_BRIDGE (USD)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Diversos</t>
        </is>
      </c>
      <c r="G74" t="inlineStr">
        <is>
          <t>Administracion</t>
        </is>
      </c>
      <c r="H74" t="n">
        <v>0</v>
      </c>
      <c r="I74" t="n">
        <v>595.63</v>
      </c>
      <c r="J74" t="n">
        <v>7</v>
      </c>
      <c r="K74" t="inlineStr">
        <is>
          <t>Agregado desde BD_GASTOS_DASHBOARD_BRIDGE (USD)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gasto_admin</t>
        </is>
      </c>
      <c r="F75" t="inlineStr">
        <is>
          <t>Honorarios</t>
        </is>
      </c>
      <c r="G75" t="inlineStr">
        <is>
          <t>Administracion</t>
        </is>
      </c>
      <c r="H75" t="n">
        <v>0</v>
      </c>
      <c r="I75" t="n">
        <v>270.35</v>
      </c>
      <c r="J75" t="n">
        <v>1</v>
      </c>
      <c r="K75" t="inlineStr">
        <is>
          <t>Agregado desde BD_GASTOS_DASHBOARD_BRIDGE (USD)</t>
        </is>
      </c>
    </row>
    <row r="76">
      <c r="A76" t="inlineStr">
        <is>
          <t>2026-05</t>
        </is>
      </c>
      <c r="B76" t="inlineStr">
        <is>
          <t>Costa Rica</t>
        </is>
      </c>
      <c r="C76" t="inlineStr">
        <is>
          <t>CR</t>
        </is>
      </c>
      <c r="D76" t="inlineStr">
        <is>
          <t>USD</t>
        </is>
      </c>
      <c r="E76" t="inlineStr">
        <is>
          <t>gasto_admin</t>
        </is>
      </c>
      <c r="F76" t="inlineStr">
        <is>
          <t>Personal</t>
        </is>
      </c>
      <c r="G76" t="inlineStr">
        <is>
          <t>Administracion</t>
        </is>
      </c>
      <c r="H76" t="n">
        <v>1000</v>
      </c>
      <c r="I76" t="n">
        <v>7412.37</v>
      </c>
      <c r="J76" t="n">
        <v>2</v>
      </c>
      <c r="K76" t="inlineStr">
        <is>
          <t>Agregado desde BD_GASTOS_DASHBOARD_BRIDGE (USD)</t>
        </is>
      </c>
    </row>
    <row r="77">
      <c r="A77" t="inlineStr">
        <is>
          <t>2026-05</t>
        </is>
      </c>
      <c r="B77" t="inlineStr">
        <is>
          <t>Costa Rica</t>
        </is>
      </c>
      <c r="C77" t="inlineStr">
        <is>
          <t>CR</t>
        </is>
      </c>
      <c r="D77" t="inlineStr">
        <is>
          <t>USD</t>
        </is>
      </c>
      <c r="E77" t="inlineStr">
        <is>
          <t>gasto_admin</t>
        </is>
      </c>
      <c r="F77" t="inlineStr">
        <is>
          <t>Seguros</t>
        </is>
      </c>
      <c r="G77" t="inlineStr">
        <is>
          <t>Administracion</t>
        </is>
      </c>
      <c r="H77" t="n">
        <v>0</v>
      </c>
      <c r="I77" t="n">
        <v>9276.530000000001</v>
      </c>
      <c r="J77" t="n">
        <v>2</v>
      </c>
      <c r="K77" t="inlineStr">
        <is>
          <t>Agregado desde BD_GASTOS_DASHBOARD_BRIDGE (USD)</t>
        </is>
      </c>
    </row>
    <row r="78">
      <c r="A78" t="inlineStr">
        <is>
          <t>2026-05</t>
        </is>
      </c>
      <c r="B78" t="inlineStr">
        <is>
          <t>Costa Rica</t>
        </is>
      </c>
      <c r="C78" t="inlineStr">
        <is>
          <t>CR</t>
        </is>
      </c>
      <c r="D78" t="inlineStr">
        <is>
          <t>USD</t>
        </is>
      </c>
      <c r="E78" t="inlineStr">
        <is>
          <t>gasto_admin</t>
        </is>
      </c>
      <c r="F78" t="inlineStr">
        <is>
          <t>Servicios</t>
        </is>
      </c>
      <c r="G78" t="inlineStr">
        <is>
          <t>Administracion</t>
        </is>
      </c>
      <c r="H78" t="n">
        <v>57.8</v>
      </c>
      <c r="I78" t="n">
        <v>115.51</v>
      </c>
      <c r="J78" t="n">
        <v>1</v>
      </c>
      <c r="K78" t="inlineStr">
        <is>
          <t>Agregado desde BD_GASTOS_DASHBOARD_BRIDGE (USD)</t>
        </is>
      </c>
    </row>
    <row r="79">
      <c r="A79" t="inlineStr">
        <is>
          <t>2026-05</t>
        </is>
      </c>
      <c r="B79" t="inlineStr">
        <is>
          <t>Costa Rica</t>
        </is>
      </c>
      <c r="C79" t="inlineStr">
        <is>
          <t>CR</t>
        </is>
      </c>
      <c r="D79" t="inlineStr">
        <is>
          <t>USD</t>
        </is>
      </c>
      <c r="E79" t="inlineStr">
        <is>
          <t>gasto_admin</t>
        </is>
      </c>
      <c r="F79" t="inlineStr">
        <is>
          <t>Viajes</t>
        </is>
      </c>
      <c r="G79" t="inlineStr">
        <is>
          <t>Administracion</t>
        </is>
      </c>
      <c r="H79" t="n">
        <v>300</v>
      </c>
      <c r="I79" t="n">
        <v>1500</v>
      </c>
      <c r="J79" t="n">
        <v>1</v>
      </c>
      <c r="K79" t="inlineStr">
        <is>
          <t>Agregado desde BD_GASTOS_DASHBOARD_BRIDGE (USD)</t>
        </is>
      </c>
    </row>
    <row r="80">
      <c r="A80" t="inlineStr">
        <is>
          <t>2026-05</t>
        </is>
      </c>
      <c r="B80" t="inlineStr">
        <is>
          <t>Costa Rica</t>
        </is>
      </c>
      <c r="C80" t="inlineStr">
        <is>
          <t>CR</t>
        </is>
      </c>
      <c r="D80" t="inlineStr">
        <is>
          <t>USD</t>
        </is>
      </c>
      <c r="E80" t="inlineStr">
        <is>
          <t>gasto_area</t>
        </is>
      </c>
      <c r="F80" t="inlineStr">
        <is>
          <t>Financieros</t>
        </is>
      </c>
      <c r="G80" t="inlineStr">
        <is>
          <t>Financieros</t>
        </is>
      </c>
      <c r="H80" t="n">
        <v>36</v>
      </c>
      <c r="I80" t="n">
        <v>156</v>
      </c>
      <c r="J80" t="n">
        <v>2</v>
      </c>
      <c r="K80" t="inlineStr">
        <is>
          <t>Agregado desde BD_GASTOS_DASHBOARD_BRIDGE (USD)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gasto_admin</t>
        </is>
      </c>
      <c r="F81" t="inlineStr">
        <is>
          <t>Diversos</t>
        </is>
      </c>
      <c r="G81" t="inlineStr">
        <is>
          <t>Administracion</t>
        </is>
      </c>
      <c r="H81" t="n">
        <v>674.85</v>
      </c>
      <c r="I81" t="n">
        <v>6724.69</v>
      </c>
      <c r="J81" t="n">
        <v>22</v>
      </c>
      <c r="K81" t="inlineStr">
        <is>
          <t>Agregado desde BD_GASTOS_DASHBOARD_BRIDGE (USD)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gasto_admin</t>
        </is>
      </c>
      <c r="F82" t="inlineStr">
        <is>
          <t>Honorarios</t>
        </is>
      </c>
      <c r="G82" t="inlineStr">
        <is>
          <t>Administracion</t>
        </is>
      </c>
      <c r="H82" t="n">
        <v>4000</v>
      </c>
      <c r="I82" t="n">
        <v>8502.459999999999</v>
      </c>
      <c r="J82" t="n">
        <v>4</v>
      </c>
      <c r="K82" t="inlineStr">
        <is>
          <t>Agregado desde BD_GASTOS_DASHBOARD_BRIDGE (USD)</t>
        </is>
      </c>
    </row>
    <row r="83">
      <c r="A83" t="inlineStr">
        <is>
          <t>2026-05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gasto_admin</t>
        </is>
      </c>
      <c r="F83" t="inlineStr">
        <is>
          <t>Personal</t>
        </is>
      </c>
      <c r="G83" t="inlineStr">
        <is>
          <t>Administracion</t>
        </is>
      </c>
      <c r="H83" t="n">
        <v>3190.11</v>
      </c>
      <c r="I83" t="n">
        <v>25973.58</v>
      </c>
      <c r="J83" t="n">
        <v>11</v>
      </c>
      <c r="K83" t="inlineStr">
        <is>
          <t>Agregado desde BD_GASTOS_DASHBOARD_BRIDGE (USD)</t>
        </is>
      </c>
    </row>
    <row r="84">
      <c r="A84" t="inlineStr">
        <is>
          <t>2026-05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gasto_admin</t>
        </is>
      </c>
      <c r="F84" t="inlineStr">
        <is>
          <t>Servicios</t>
        </is>
      </c>
      <c r="G84" t="inlineStr">
        <is>
          <t>Administracion</t>
        </is>
      </c>
      <c r="H84" t="n">
        <v>7940.22</v>
      </c>
      <c r="I84" t="n">
        <v>10232.49</v>
      </c>
      <c r="J84" t="n">
        <v>10</v>
      </c>
      <c r="K84" t="inlineStr">
        <is>
          <t>Agregado desde BD_GASTOS_DASHBOARD_BRIDGE (USD)</t>
        </is>
      </c>
    </row>
    <row r="85">
      <c r="A85" t="inlineStr">
        <is>
          <t>2026-05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gasto_admin</t>
        </is>
      </c>
      <c r="F85" t="inlineStr">
        <is>
          <t>Viajes</t>
        </is>
      </c>
      <c r="G85" t="inlineStr">
        <is>
          <t>Administracion</t>
        </is>
      </c>
      <c r="H85" t="n">
        <v>78.43000000000001</v>
      </c>
      <c r="I85" t="n">
        <v>236.69</v>
      </c>
      <c r="J85" t="n">
        <v>7</v>
      </c>
      <c r="K85" t="inlineStr">
        <is>
          <t>Agregado desde BD_GASTOS_DASHBOARD_BRIDGE (USD)</t>
        </is>
      </c>
    </row>
    <row r="86">
      <c r="A86" t="inlineStr">
        <is>
          <t>2026-05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gasto_area</t>
        </is>
      </c>
      <c r="F86" t="inlineStr">
        <is>
          <t>Financieros</t>
        </is>
      </c>
      <c r="G86" t="inlineStr">
        <is>
          <t>Financieros</t>
        </is>
      </c>
      <c r="H86" t="n">
        <v>260.62</v>
      </c>
      <c r="I86" t="n">
        <v>451.2</v>
      </c>
      <c r="J86" t="n">
        <v>6</v>
      </c>
      <c r="K86" t="inlineStr">
        <is>
          <t>Agregado desde BD_GASTOS_DASHBOARD_BRIDGE (USD)</t>
        </is>
      </c>
    </row>
    <row r="87">
      <c r="A87" t="inlineStr">
        <is>
          <t>2026-05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3500</v>
      </c>
      <c r="I87" t="n">
        <v>4548</v>
      </c>
      <c r="J87" t="n">
        <v>3</v>
      </c>
      <c r="K87" t="inlineStr">
        <is>
          <t>Agregado desde BD_GASTOS_DASHBOARD_BRIDGE (USD)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USD</t>
        </is>
      </c>
      <c r="E88" t="inlineStr">
        <is>
          <t>gasto_admin</t>
        </is>
      </c>
      <c r="F88" t="inlineStr">
        <is>
          <t>Honorarios</t>
        </is>
      </c>
      <c r="G88" t="inlineStr">
        <is>
          <t>Administracion</t>
        </is>
      </c>
      <c r="H88" t="n">
        <v>357.88</v>
      </c>
      <c r="I88" t="n">
        <v>1330.11</v>
      </c>
      <c r="J88" t="n">
        <v>2</v>
      </c>
      <c r="K88" t="inlineStr">
        <is>
          <t>Agregado desde BD_GASTOS_DASHBOARD_BRIDGE (USD)</t>
        </is>
      </c>
    </row>
    <row r="89">
      <c r="A89" t="inlineStr">
        <is>
          <t>2026-05</t>
        </is>
      </c>
      <c r="B89" t="inlineStr">
        <is>
          <t>Peru</t>
        </is>
      </c>
      <c r="C89" t="inlineStr">
        <is>
          <t>PERU</t>
        </is>
      </c>
      <c r="D89" t="inlineStr">
        <is>
          <t>USD</t>
        </is>
      </c>
      <c r="E89" t="inlineStr">
        <is>
          <t>gasto_area</t>
        </is>
      </c>
      <c r="F89" t="inlineStr">
        <is>
          <t>Financieros</t>
        </is>
      </c>
      <c r="G89" t="inlineStr">
        <is>
          <t>Financieros</t>
        </is>
      </c>
      <c r="H89" t="n">
        <v>140.67</v>
      </c>
      <c r="I89" t="n">
        <v>248.27</v>
      </c>
      <c r="J89" t="n">
        <v>7</v>
      </c>
      <c r="K89" t="inlineStr">
        <is>
          <t>Agregado desde BD_GASTOS_DASHBOARD_BRIDGE (USD)</t>
        </is>
      </c>
    </row>
    <row r="90">
      <c r="A90" t="inlineStr">
        <is>
          <t>2026-05</t>
        </is>
      </c>
      <c r="B90" t="inlineStr">
        <is>
          <t>Peru</t>
        </is>
      </c>
      <c r="C90" t="inlineStr">
        <is>
          <t>PERU</t>
        </is>
      </c>
      <c r="D90" t="inlineStr">
        <is>
          <t>USD</t>
        </is>
      </c>
      <c r="E90" t="inlineStr">
        <is>
          <t>gasto_comercial</t>
        </is>
      </c>
      <c r="F90" t="inlineStr">
        <is>
          <t>Diversos</t>
        </is>
      </c>
      <c r="G90" t="inlineStr">
        <is>
          <t>Comercial</t>
        </is>
      </c>
      <c r="H90" t="n">
        <v>0</v>
      </c>
      <c r="I90" t="n">
        <v>0.55</v>
      </c>
      <c r="J90" t="n">
        <v>1</v>
      </c>
      <c r="K90" t="inlineStr">
        <is>
          <t>Agregado desde BD_GASTOS_DASHBOARD_BRIDGE (USD)</t>
        </is>
      </c>
    </row>
    <row r="91">
      <c r="A91" t="inlineStr">
        <is>
          <t>2026-05</t>
        </is>
      </c>
      <c r="B91" t="inlineStr">
        <is>
          <t>Peru</t>
        </is>
      </c>
      <c r="C91" t="inlineStr">
        <is>
          <t>PERU</t>
        </is>
      </c>
      <c r="D91" t="inlineStr">
        <is>
          <t>USD</t>
        </is>
      </c>
      <c r="E91" t="inlineStr">
        <is>
          <t>gasto_comercial</t>
        </is>
      </c>
      <c r="F91" t="inlineStr">
        <is>
          <t>Honorarios</t>
        </is>
      </c>
      <c r="G91" t="inlineStr">
        <is>
          <t>Comercial</t>
        </is>
      </c>
      <c r="H91" t="n">
        <v>8787.139999999999</v>
      </c>
      <c r="I91" t="n">
        <v>9406.35</v>
      </c>
      <c r="J91" t="n">
        <v>4</v>
      </c>
      <c r="K91" t="inlineStr">
        <is>
          <t>Agregado desde BD_GASTOS_DASHBOARD_BRIDGE (USD)</t>
        </is>
      </c>
    </row>
    <row r="92">
      <c r="A92" t="inlineStr">
        <is>
          <t>2026-05</t>
        </is>
      </c>
      <c r="B92" t="inlineStr">
        <is>
          <t>Peru</t>
        </is>
      </c>
      <c r="C92" t="inlineStr">
        <is>
          <t>PERU</t>
        </is>
      </c>
      <c r="D92" t="inlineStr">
        <is>
          <t>USD</t>
        </is>
      </c>
      <c r="E92" t="inlineStr">
        <is>
          <t>gasto_comercial</t>
        </is>
      </c>
      <c r="F92" t="inlineStr">
        <is>
          <t>Servicios</t>
        </is>
      </c>
      <c r="G92" t="inlineStr">
        <is>
          <t>Comercial</t>
        </is>
      </c>
      <c r="H92" t="n">
        <v>0</v>
      </c>
      <c r="I92" t="n">
        <v>496.71</v>
      </c>
      <c r="J92" t="n">
        <v>1</v>
      </c>
      <c r="K92" t="inlineStr">
        <is>
          <t>Agregado desde BD_GASTOS_DASHBOARD_BRIDGE (USD)</t>
        </is>
      </c>
    </row>
    <row r="93">
      <c r="A93" t="inlineStr">
        <is>
          <t>2026-05</t>
        </is>
      </c>
      <c r="B93" t="inlineStr">
        <is>
          <t>Peru</t>
        </is>
      </c>
      <c r="C93" t="inlineStr">
        <is>
          <t>PERU</t>
        </is>
      </c>
      <c r="D93" t="inlineStr">
        <is>
          <t>USD</t>
        </is>
      </c>
      <c r="E93" t="inlineStr">
        <is>
          <t>gasto_comercial</t>
        </is>
      </c>
      <c r="F93" t="inlineStr">
        <is>
          <t>Viajes</t>
        </is>
      </c>
      <c r="G93" t="inlineStr">
        <is>
          <t>Comercial</t>
        </is>
      </c>
      <c r="H93" t="n">
        <v>1498.17</v>
      </c>
      <c r="I93" t="n">
        <v>2050.87</v>
      </c>
      <c r="J93" t="n">
        <v>13</v>
      </c>
      <c r="K93" t="inlineStr">
        <is>
          <t>Agregado desde BD_GASTOS_DASHBOARD_BRIDGE (USD)</t>
        </is>
      </c>
    </row>
    <row r="94">
      <c r="A94" t="inlineStr">
        <is>
          <t>2026-06</t>
        </is>
      </c>
      <c r="B94" t="inlineStr">
        <is>
          <t>Colombia</t>
        </is>
      </c>
      <c r="C94" t="inlineStr">
        <is>
          <t>COCO</t>
        </is>
      </c>
      <c r="D94" t="inlineStr">
        <is>
          <t>USD</t>
        </is>
      </c>
      <c r="E94" t="inlineStr">
        <is>
          <t>gasto_area</t>
        </is>
      </c>
      <c r="F94" t="inlineStr">
        <is>
          <t>Financieros</t>
        </is>
      </c>
      <c r="G94" t="inlineStr">
        <is>
          <t>Financieros</t>
        </is>
      </c>
      <c r="H94" t="n">
        <v>1585.87</v>
      </c>
      <c r="I94" t="n">
        <v>9927.139999999999</v>
      </c>
      <c r="J94" t="n">
        <v>1</v>
      </c>
      <c r="K94" t="inlineStr">
        <is>
          <t>Agregado desde BD_GASTOS_DASHBOARD_BRIDGE (USD)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gasto_admin</t>
        </is>
      </c>
      <c r="F95" t="inlineStr">
        <is>
          <t>Diversos</t>
        </is>
      </c>
      <c r="G95" t="inlineStr">
        <is>
          <t>Administracion</t>
        </is>
      </c>
      <c r="H95" t="n">
        <v>37.69</v>
      </c>
      <c r="I95" t="n">
        <v>633.3200000000001</v>
      </c>
      <c r="J95" t="n">
        <v>8</v>
      </c>
      <c r="K95" t="inlineStr">
        <is>
          <t>Agregado desde BD_GASTOS_DASHBOARD_BRIDGE (USD)</t>
        </is>
      </c>
    </row>
    <row r="96">
      <c r="A96" t="inlineStr">
        <is>
          <t>2026-06</t>
        </is>
      </c>
      <c r="B96" t="inlineStr">
        <is>
          <t>Costa Rica</t>
        </is>
      </c>
      <c r="C96" t="inlineStr">
        <is>
          <t>CR</t>
        </is>
      </c>
      <c r="D96" t="inlineStr">
        <is>
          <t>USD</t>
        </is>
      </c>
      <c r="E96" t="inlineStr">
        <is>
          <t>gasto_admin</t>
        </is>
      </c>
      <c r="F96" t="inlineStr">
        <is>
          <t>Honorarios</t>
        </is>
      </c>
      <c r="G96" t="inlineStr">
        <is>
          <t>Administracion</t>
        </is>
      </c>
      <c r="H96" t="n">
        <v>0</v>
      </c>
      <c r="I96" t="n">
        <v>270.35</v>
      </c>
      <c r="J96" t="n">
        <v>1</v>
      </c>
      <c r="K96" t="inlineStr">
        <is>
          <t>Agregado desde BD_GASTOS_DASHBOARD_BRIDGE (USD)</t>
        </is>
      </c>
    </row>
    <row r="97">
      <c r="A97" t="inlineStr">
        <is>
          <t>2026-06</t>
        </is>
      </c>
      <c r="B97" t="inlineStr">
        <is>
          <t>Costa Rica</t>
        </is>
      </c>
      <c r="C97" t="inlineStr">
        <is>
          <t>CR</t>
        </is>
      </c>
      <c r="D97" t="inlineStr">
        <is>
          <t>USD</t>
        </is>
      </c>
      <c r="E97" t="inlineStr">
        <is>
          <t>gasto_admin</t>
        </is>
      </c>
      <c r="F97" t="inlineStr">
        <is>
          <t>Personal</t>
        </is>
      </c>
      <c r="G97" t="inlineStr">
        <is>
          <t>Administracion</t>
        </is>
      </c>
      <c r="H97" t="n">
        <v>2250</v>
      </c>
      <c r="I97" t="n">
        <v>9662.370000000001</v>
      </c>
      <c r="J97" t="n">
        <v>2</v>
      </c>
      <c r="K97" t="inlineStr">
        <is>
          <t>Agregado desde BD_GASTOS_DASHBOARD_BRIDGE (USD)</t>
        </is>
      </c>
    </row>
    <row r="98">
      <c r="A98" t="inlineStr">
        <is>
          <t>2026-06</t>
        </is>
      </c>
      <c r="B98" t="inlineStr">
        <is>
          <t>Costa Rica</t>
        </is>
      </c>
      <c r="C98" t="inlineStr">
        <is>
          <t>CR</t>
        </is>
      </c>
      <c r="D98" t="inlineStr">
        <is>
          <t>USD</t>
        </is>
      </c>
      <c r="E98" t="inlineStr">
        <is>
          <t>gasto_admin</t>
        </is>
      </c>
      <c r="F98" t="inlineStr">
        <is>
          <t>Seguros</t>
        </is>
      </c>
      <c r="G98" t="inlineStr">
        <is>
          <t>Administracion</t>
        </is>
      </c>
      <c r="H98" t="n">
        <v>0</v>
      </c>
      <c r="I98" t="n">
        <v>9276.530000000001</v>
      </c>
      <c r="J98" t="n">
        <v>2</v>
      </c>
      <c r="K98" t="inlineStr">
        <is>
          <t>Agregado desde BD_GASTOS_DASHBOARD_BRIDGE (USD)</t>
        </is>
      </c>
    </row>
    <row r="99">
      <c r="A99" t="inlineStr">
        <is>
          <t>2026-06</t>
        </is>
      </c>
      <c r="B99" t="inlineStr">
        <is>
          <t>Costa Rica</t>
        </is>
      </c>
      <c r="C99" t="inlineStr">
        <is>
          <t>CR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34.3</v>
      </c>
      <c r="I99" t="n">
        <v>149.81</v>
      </c>
      <c r="J99" t="n">
        <v>2</v>
      </c>
      <c r="K99" t="inlineStr">
        <is>
          <t>Agregado desde BD_GASTOS_DASHBOARD_BRIDGE (USD)</t>
        </is>
      </c>
    </row>
    <row r="100">
      <c r="A100" t="inlineStr">
        <is>
          <t>2026-06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300</v>
      </c>
      <c r="I100" t="n">
        <v>1800</v>
      </c>
      <c r="J100" t="n">
        <v>1</v>
      </c>
      <c r="K100" t="inlineStr">
        <is>
          <t>Agregado desde BD_GASTOS_DASHBOARD_BRIDGE (USD)</t>
        </is>
      </c>
    </row>
    <row r="101">
      <c r="A101" t="inlineStr">
        <is>
          <t>2026-06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50</v>
      </c>
      <c r="I101" t="n">
        <v>206</v>
      </c>
      <c r="J101" t="n">
        <v>2</v>
      </c>
      <c r="K101" t="inlineStr">
        <is>
          <t>Agregado desde BD_GASTOS_DASHBOARD_BRIDGE (USD)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gasto_admin</t>
        </is>
      </c>
      <c r="F102" t="inlineStr">
        <is>
          <t>Diversos</t>
        </is>
      </c>
      <c r="G102" t="inlineStr">
        <is>
          <t>Administracion</t>
        </is>
      </c>
      <c r="H102" t="n">
        <v>1113.37</v>
      </c>
      <c r="I102" t="n">
        <v>7838.06</v>
      </c>
      <c r="J102" t="n">
        <v>23</v>
      </c>
      <c r="K102" t="inlineStr">
        <is>
          <t>Agregado desde BD_GASTOS_DASHBOARD_BRIDGE (USD)</t>
        </is>
      </c>
    </row>
    <row r="103">
      <c r="A103" t="inlineStr">
        <is>
          <t>2026-06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4650</v>
      </c>
      <c r="I103" t="n">
        <v>13152.46</v>
      </c>
      <c r="J103" t="n">
        <v>6</v>
      </c>
      <c r="K103" t="inlineStr">
        <is>
          <t>Agregado desde BD_GASTOS_DASHBOARD_BRIDGE (USD)</t>
        </is>
      </c>
    </row>
    <row r="104">
      <c r="A104" t="inlineStr">
        <is>
          <t>2026-06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gasto_admin</t>
        </is>
      </c>
      <c r="F104" t="inlineStr">
        <is>
          <t>Personal</t>
        </is>
      </c>
      <c r="G104" t="inlineStr">
        <is>
          <t>Administracion</t>
        </is>
      </c>
      <c r="H104" t="n">
        <v>12984.91</v>
      </c>
      <c r="I104" t="n">
        <v>38958.49</v>
      </c>
      <c r="J104" t="n">
        <v>13</v>
      </c>
      <c r="K104" t="inlineStr">
        <is>
          <t>Agregado desde BD_GASTOS_DASHBOARD_BRIDGE (USD)</t>
        </is>
      </c>
    </row>
    <row r="105">
      <c r="A105" t="inlineStr">
        <is>
          <t>2026-06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gasto_admin</t>
        </is>
      </c>
      <c r="F105" t="inlineStr">
        <is>
          <t>Servicios</t>
        </is>
      </c>
      <c r="G105" t="inlineStr">
        <is>
          <t>Administracion</t>
        </is>
      </c>
      <c r="H105" t="n">
        <v>180.88</v>
      </c>
      <c r="I105" t="n">
        <v>10413.37</v>
      </c>
      <c r="J105" t="n">
        <v>10</v>
      </c>
      <c r="K105" t="inlineStr">
        <is>
          <t>Agregado desde BD_GASTOS_DASHBOARD_BRIDGE (USD)</t>
        </is>
      </c>
    </row>
    <row r="106">
      <c r="A106" t="inlineStr">
        <is>
          <t>2026-06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gasto_admin</t>
        </is>
      </c>
      <c r="F106" t="inlineStr">
        <is>
          <t>Viajes</t>
        </is>
      </c>
      <c r="G106" t="inlineStr">
        <is>
          <t>Administracion</t>
        </is>
      </c>
      <c r="H106" t="n">
        <v>73.20999999999999</v>
      </c>
      <c r="I106" t="n">
        <v>309.9</v>
      </c>
      <c r="J106" t="n">
        <v>8</v>
      </c>
      <c r="K106" t="inlineStr">
        <is>
          <t>Agregado desde BD_GASTOS_DASHBOARD_BRIDGE (USD)</t>
        </is>
      </c>
    </row>
    <row r="107">
      <c r="A107" t="inlineStr">
        <is>
          <t>2026-06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gasto_area</t>
        </is>
      </c>
      <c r="F107" t="inlineStr">
        <is>
          <t>Financieros</t>
        </is>
      </c>
      <c r="G107" t="inlineStr">
        <is>
          <t>Financieros</t>
        </is>
      </c>
      <c r="H107" t="n">
        <v>327.06</v>
      </c>
      <c r="I107" t="n">
        <v>778.26</v>
      </c>
      <c r="J107" t="n">
        <v>6</v>
      </c>
      <c r="K107" t="inlineStr">
        <is>
          <t>Agregado desde BD_GASTOS_DASHBOARD_BRIDGE (USD)</t>
        </is>
      </c>
    </row>
    <row r="108">
      <c r="A108" t="inlineStr">
        <is>
          <t>2026-06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gasto_comercial</t>
        </is>
      </c>
      <c r="F108" t="inlineStr">
        <is>
          <t>Servicios</t>
        </is>
      </c>
      <c r="G108" t="inlineStr">
        <is>
          <t>Comercial</t>
        </is>
      </c>
      <c r="H108" t="n">
        <v>0</v>
      </c>
      <c r="I108" t="n">
        <v>4548</v>
      </c>
      <c r="J108" t="n">
        <v>3</v>
      </c>
      <c r="K108" t="inlineStr">
        <is>
          <t>Agregado desde BD_GASTOS_DASHBOARD_BRIDGE (USD)</t>
        </is>
      </c>
    </row>
    <row r="109">
      <c r="A109" t="inlineStr">
        <is>
          <t>2026-06</t>
        </is>
      </c>
      <c r="B109" t="inlineStr">
        <is>
          <t>Peru</t>
        </is>
      </c>
      <c r="C109" t="inlineStr">
        <is>
          <t>PERU</t>
        </is>
      </c>
      <c r="D109" t="inlineStr">
        <is>
          <t>USD</t>
        </is>
      </c>
      <c r="E109" t="inlineStr">
        <is>
          <t>gasto_admin</t>
        </is>
      </c>
      <c r="F109" t="inlineStr">
        <is>
          <t>Honorarios</t>
        </is>
      </c>
      <c r="G109" t="inlineStr">
        <is>
          <t>Administracion</t>
        </is>
      </c>
      <c r="H109" t="n">
        <v>257.86</v>
      </c>
      <c r="I109" t="n">
        <v>1599.69</v>
      </c>
      <c r="J109" t="n">
        <v>2</v>
      </c>
      <c r="K109" t="inlineStr">
        <is>
          <t>Agregado desde BD_GASTOS_DASHBOARD_BRIDGE (USD)</t>
        </is>
      </c>
    </row>
    <row r="110">
      <c r="A110" t="inlineStr">
        <is>
          <t>2026-06</t>
        </is>
      </c>
      <c r="B110" t="inlineStr">
        <is>
          <t>Peru</t>
        </is>
      </c>
      <c r="C110" t="inlineStr">
        <is>
          <t>PERU</t>
        </is>
      </c>
      <c r="D110" t="inlineStr">
        <is>
          <t>USD</t>
        </is>
      </c>
      <c r="E110" t="inlineStr">
        <is>
          <t>gasto_area</t>
        </is>
      </c>
      <c r="F110" t="inlineStr">
        <is>
          <t>Financieros</t>
        </is>
      </c>
      <c r="G110" t="inlineStr">
        <is>
          <t>Financieros</t>
        </is>
      </c>
      <c r="H110" t="n">
        <v>92.26000000000001</v>
      </c>
      <c r="I110" t="n">
        <v>342.72</v>
      </c>
      <c r="J110" t="n">
        <v>7</v>
      </c>
      <c r="K110" t="inlineStr">
        <is>
          <t>Agregado desde BD_GASTOS_DASHBOARD_BRIDGE (USD)</t>
        </is>
      </c>
    </row>
    <row r="111">
      <c r="A111" t="inlineStr">
        <is>
          <t>2026-06</t>
        </is>
      </c>
      <c r="B111" t="inlineStr">
        <is>
          <t>Peru</t>
        </is>
      </c>
      <c r="C111" t="inlineStr">
        <is>
          <t>PERU</t>
        </is>
      </c>
      <c r="D111" t="inlineStr">
        <is>
          <t>USD</t>
        </is>
      </c>
      <c r="E111" t="inlineStr">
        <is>
          <t>gasto_comercial</t>
        </is>
      </c>
      <c r="F111" t="inlineStr">
        <is>
          <t>Diversos</t>
        </is>
      </c>
      <c r="G111" t="inlineStr">
        <is>
          <t>Comercial</t>
        </is>
      </c>
      <c r="H111" t="n">
        <v>1196.63</v>
      </c>
      <c r="I111" t="n">
        <v>1197.19</v>
      </c>
      <c r="J111" t="n">
        <v>4</v>
      </c>
      <c r="K111" t="inlineStr">
        <is>
          <t>Agregado desde BD_GASTOS_DASHBOARD_BRIDGE (USD)</t>
        </is>
      </c>
    </row>
    <row r="112">
      <c r="A112" t="inlineStr">
        <is>
          <t>2026-06</t>
        </is>
      </c>
      <c r="B112" t="inlineStr">
        <is>
          <t>Peru</t>
        </is>
      </c>
      <c r="C112" t="inlineStr">
        <is>
          <t>PERU</t>
        </is>
      </c>
      <c r="D112" t="inlineStr">
        <is>
          <t>USD</t>
        </is>
      </c>
      <c r="E112" t="inlineStr">
        <is>
          <t>gasto_comercial</t>
        </is>
      </c>
      <c r="F112" t="inlineStr">
        <is>
          <t>Honorarios</t>
        </is>
      </c>
      <c r="G112" t="inlineStr">
        <is>
          <t>Comercial</t>
        </is>
      </c>
      <c r="H112" t="n">
        <v>0</v>
      </c>
      <c r="I112" t="n">
        <v>9489.219999999999</v>
      </c>
      <c r="J112" t="n">
        <v>4</v>
      </c>
      <c r="K112" t="inlineStr">
        <is>
          <t>Agregado desde BD_GASTOS_DASHBOARD_BRIDGE (USD)</t>
        </is>
      </c>
    </row>
    <row r="113">
      <c r="A113" t="inlineStr">
        <is>
          <t>2026-06</t>
        </is>
      </c>
      <c r="B113" t="inlineStr">
        <is>
          <t>Peru</t>
        </is>
      </c>
      <c r="C113" t="inlineStr">
        <is>
          <t>PERU</t>
        </is>
      </c>
      <c r="D113" t="inlineStr">
        <is>
          <t>USD</t>
        </is>
      </c>
      <c r="E113" t="inlineStr">
        <is>
          <t>gasto_comercial</t>
        </is>
      </c>
      <c r="F113" t="inlineStr">
        <is>
          <t>Servicios</t>
        </is>
      </c>
      <c r="G113" t="inlineStr">
        <is>
          <t>Comercial</t>
        </is>
      </c>
      <c r="H113" t="n">
        <v>0</v>
      </c>
      <c r="I113" t="n">
        <v>501.08</v>
      </c>
      <c r="J113" t="n">
        <v>1</v>
      </c>
      <c r="K113" t="inlineStr">
        <is>
          <t>Agregado desde BD_GASTOS_DASHBOARD_BRIDGE (USD)</t>
        </is>
      </c>
    </row>
    <row r="114">
      <c r="A114" t="inlineStr">
        <is>
          <t>2026-06</t>
        </is>
      </c>
      <c r="B114" t="inlineStr">
        <is>
          <t>Peru</t>
        </is>
      </c>
      <c r="C114" t="inlineStr">
        <is>
          <t>PERU</t>
        </is>
      </c>
      <c r="D114" t="inlineStr">
        <is>
          <t>USD</t>
        </is>
      </c>
      <c r="E114" t="inlineStr">
        <is>
          <t>gasto_comercial</t>
        </is>
      </c>
      <c r="F114" t="inlineStr">
        <is>
          <t>Viajes</t>
        </is>
      </c>
      <c r="G114" t="inlineStr">
        <is>
          <t>Comercial</t>
        </is>
      </c>
      <c r="H114" t="n">
        <v>2098.02</v>
      </c>
      <c r="I114" t="n">
        <v>4166.94</v>
      </c>
      <c r="J114" t="n">
        <v>24</v>
      </c>
      <c r="K114" t="inlineStr">
        <is>
          <t>Agregado desde BD_GASTOS_DASHBOARD_BRIDGE (USD)</t>
        </is>
      </c>
    </row>
    <row r="115">
      <c r="A115" t="inlineStr">
        <is>
          <t>2026-07</t>
        </is>
      </c>
      <c r="B115" t="inlineStr">
        <is>
          <t>Colombia</t>
        </is>
      </c>
      <c r="C115" t="inlineStr">
        <is>
          <t>COCO</t>
        </is>
      </c>
      <c r="D115" t="inlineStr">
        <is>
          <t>USD</t>
        </is>
      </c>
      <c r="E115" t="inlineStr">
        <is>
          <t>gasto_area</t>
        </is>
      </c>
      <c r="F115" t="inlineStr">
        <is>
          <t>Financieros</t>
        </is>
      </c>
      <c r="G115" t="inlineStr">
        <is>
          <t>Financieros</t>
        </is>
      </c>
      <c r="H115" t="n">
        <v>1637.72</v>
      </c>
      <c r="I115" t="n">
        <v>12269.49</v>
      </c>
      <c r="J115" t="n">
        <v>1</v>
      </c>
      <c r="K115" t="inlineStr">
        <is>
          <t>Agregado desde BD_GASTOS_DASHBOARD_BRIDGE (USD)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gasto_admin</t>
        </is>
      </c>
      <c r="F116" t="inlineStr">
        <is>
          <t>Diversos</t>
        </is>
      </c>
      <c r="G116" t="inlineStr">
        <is>
          <t>Administracion</t>
        </is>
      </c>
      <c r="H116" t="n">
        <v>116.94</v>
      </c>
      <c r="I116" t="n">
        <v>750.26</v>
      </c>
      <c r="J116" t="n">
        <v>8</v>
      </c>
      <c r="K116" t="inlineStr">
        <is>
          <t>Agregado desde BD_GASTOS_DASHBOARD_BRIDGE (USD)</t>
        </is>
      </c>
    </row>
    <row r="117">
      <c r="A117" t="inlineStr">
        <is>
          <t>2026-07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Honorarios</t>
        </is>
      </c>
      <c r="G117" t="inlineStr">
        <is>
          <t>Administracion</t>
        </is>
      </c>
      <c r="H117" t="n">
        <v>0</v>
      </c>
      <c r="I117" t="n">
        <v>270.35</v>
      </c>
      <c r="J117" t="n">
        <v>1</v>
      </c>
      <c r="K117" t="inlineStr">
        <is>
          <t>Agregado desde BD_GASTOS_DASHBOARD_BRIDGE (USD)</t>
        </is>
      </c>
    </row>
    <row r="118">
      <c r="A118" t="inlineStr">
        <is>
          <t>2026-07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Personal</t>
        </is>
      </c>
      <c r="G118" t="inlineStr">
        <is>
          <t>Administracion</t>
        </is>
      </c>
      <c r="H118" t="n">
        <v>2630</v>
      </c>
      <c r="I118" t="n">
        <v>12292.37</v>
      </c>
      <c r="J118" t="n">
        <v>2</v>
      </c>
      <c r="K118" t="inlineStr">
        <is>
          <t>Agregado desde BD_GASTOS_DASHBOARD_BRIDGE (USD)</t>
        </is>
      </c>
    </row>
    <row r="119">
      <c r="A119" t="inlineStr">
        <is>
          <t>2026-07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Seguros</t>
        </is>
      </c>
      <c r="G119" t="inlineStr">
        <is>
          <t>Administracion</t>
        </is>
      </c>
      <c r="H119" t="n">
        <v>0</v>
      </c>
      <c r="I119" t="n">
        <v>9276.530000000001</v>
      </c>
      <c r="J119" t="n">
        <v>2</v>
      </c>
      <c r="K119" t="inlineStr">
        <is>
          <t>Agregado desde BD_GASTOS_DASHBOARD_BRIDGE (USD)</t>
        </is>
      </c>
    </row>
    <row r="120">
      <c r="A120" t="inlineStr">
        <is>
          <t>2026-07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Servicios</t>
        </is>
      </c>
      <c r="G120" t="inlineStr">
        <is>
          <t>Administracion</t>
        </is>
      </c>
      <c r="H120" t="n">
        <v>0</v>
      </c>
      <c r="I120" t="n">
        <v>149.81</v>
      </c>
      <c r="J120" t="n">
        <v>2</v>
      </c>
      <c r="K120" t="inlineStr">
        <is>
          <t>Agregado desde BD_GASTOS_DASHBOARD_BRIDGE (USD)</t>
        </is>
      </c>
    </row>
    <row r="121">
      <c r="A121" t="inlineStr">
        <is>
          <t>2026-07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Viajes</t>
        </is>
      </c>
      <c r="G121" t="inlineStr">
        <is>
          <t>Administracion</t>
        </is>
      </c>
      <c r="H121" t="n">
        <v>300</v>
      </c>
      <c r="I121" t="n">
        <v>2100</v>
      </c>
      <c r="J121" t="n">
        <v>1</v>
      </c>
      <c r="K121" t="inlineStr">
        <is>
          <t>Agregado desde BD_GASTOS_DASHBOARD_BRIDGE (USD)</t>
        </is>
      </c>
    </row>
    <row r="122">
      <c r="A122" t="inlineStr">
        <is>
          <t>2026-07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gasto_area</t>
        </is>
      </c>
      <c r="F122" t="inlineStr">
        <is>
          <t>Financieros</t>
        </is>
      </c>
      <c r="G122" t="inlineStr">
        <is>
          <t>Financieros</t>
        </is>
      </c>
      <c r="H122" t="n">
        <v>30</v>
      </c>
      <c r="I122" t="n">
        <v>236</v>
      </c>
      <c r="J122" t="n">
        <v>2</v>
      </c>
      <c r="K122" t="inlineStr">
        <is>
          <t>Agregado desde BD_GASTOS_DASHBOARD_BRIDGE (USD)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gasto_admin</t>
        </is>
      </c>
      <c r="F123" t="inlineStr">
        <is>
          <t>Arrendamiento</t>
        </is>
      </c>
      <c r="G123" t="inlineStr">
        <is>
          <t>Administracion</t>
        </is>
      </c>
      <c r="H123" t="n">
        <v>85.06</v>
      </c>
      <c r="I123" t="n">
        <v>85.06</v>
      </c>
      <c r="J123" t="n">
        <v>1</v>
      </c>
      <c r="K123" t="inlineStr">
        <is>
          <t>Agregado desde BD_GASTOS_DASHBOARD_BRIDGE (USD)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gasto_admin</t>
        </is>
      </c>
      <c r="F124" t="inlineStr">
        <is>
          <t>Diversos</t>
        </is>
      </c>
      <c r="G124" t="inlineStr">
        <is>
          <t>Administracion</t>
        </is>
      </c>
      <c r="H124" t="n">
        <v>177.66</v>
      </c>
      <c r="I124" t="n">
        <v>8015.72</v>
      </c>
      <c r="J124" t="n">
        <v>25</v>
      </c>
      <c r="K124" t="inlineStr">
        <is>
          <t>Agregado desde BD_GASTOS_DASHBOARD_BRIDGE (USD)</t>
        </is>
      </c>
    </row>
    <row r="125">
      <c r="A125" t="inlineStr">
        <is>
          <t>2026-07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8100</v>
      </c>
      <c r="I125" t="n">
        <v>21252.46</v>
      </c>
      <c r="J125" t="n">
        <v>6</v>
      </c>
      <c r="K125" t="inlineStr">
        <is>
          <t>Agregado desde BD_GASTOS_DASHBOARD_BRIDGE (USD)</t>
        </is>
      </c>
    </row>
    <row r="126">
      <c r="A126" t="inlineStr">
        <is>
          <t>2026-07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gasto_admin</t>
        </is>
      </c>
      <c r="F126" t="inlineStr">
        <is>
          <t>Personal</t>
        </is>
      </c>
      <c r="G126" t="inlineStr">
        <is>
          <t>Administracion</t>
        </is>
      </c>
      <c r="H126" t="n">
        <v>3229.5</v>
      </c>
      <c r="I126" t="n">
        <v>42187.99</v>
      </c>
      <c r="J126" t="n">
        <v>13</v>
      </c>
      <c r="K126" t="inlineStr">
        <is>
          <t>Agregado desde BD_GASTOS_DASHBOARD_BRIDGE (USD)</t>
        </is>
      </c>
    </row>
    <row r="127">
      <c r="A127" t="inlineStr">
        <is>
          <t>2026-07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gasto_admin</t>
        </is>
      </c>
      <c r="F127" t="inlineStr">
        <is>
          <t>Servicios</t>
        </is>
      </c>
      <c r="G127" t="inlineStr">
        <is>
          <t>Administracion</t>
        </is>
      </c>
      <c r="H127" t="n">
        <v>409.53</v>
      </c>
      <c r="I127" t="n">
        <v>10822.9</v>
      </c>
      <c r="J127" t="n">
        <v>10</v>
      </c>
      <c r="K127" t="inlineStr">
        <is>
          <t>Agregado desde BD_GASTOS_DASHBOARD_BRIDGE (USD)</t>
        </is>
      </c>
    </row>
    <row r="128">
      <c r="A128" t="inlineStr">
        <is>
          <t>2026-07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gasto_admin</t>
        </is>
      </c>
      <c r="F128" t="inlineStr">
        <is>
          <t>Viajes</t>
        </is>
      </c>
      <c r="G128" t="inlineStr">
        <is>
          <t>Administracion</t>
        </is>
      </c>
      <c r="H128" t="n">
        <v>0</v>
      </c>
      <c r="I128" t="n">
        <v>309.9</v>
      </c>
      <c r="J128" t="n">
        <v>8</v>
      </c>
      <c r="K128" t="inlineStr">
        <is>
          <t>Agregado desde BD_GASTOS_DASHBOARD_BRIDGE (USD)</t>
        </is>
      </c>
    </row>
    <row r="129">
      <c r="A129" t="inlineStr">
        <is>
          <t>2026-07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gasto_area</t>
        </is>
      </c>
      <c r="F129" t="inlineStr">
        <is>
          <t>Financieros</t>
        </is>
      </c>
      <c r="G129" t="inlineStr">
        <is>
          <t>Financieros</t>
        </is>
      </c>
      <c r="H129" t="n">
        <v>134.28</v>
      </c>
      <c r="I129" t="n">
        <v>912.54</v>
      </c>
      <c r="J129" t="n">
        <v>6</v>
      </c>
      <c r="K129" t="inlineStr">
        <is>
          <t>Agregado desde BD_GASTOS_DASHBOARD_BRIDGE (USD)</t>
        </is>
      </c>
    </row>
    <row r="130">
      <c r="A130" t="inlineStr">
        <is>
          <t>2026-07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gasto_comercial</t>
        </is>
      </c>
      <c r="F130" t="inlineStr">
        <is>
          <t>Servicios</t>
        </is>
      </c>
      <c r="G130" t="inlineStr">
        <is>
          <t>Comercial</t>
        </is>
      </c>
      <c r="H130" t="n">
        <v>0</v>
      </c>
      <c r="I130" t="n">
        <v>4548</v>
      </c>
      <c r="J130" t="n">
        <v>3</v>
      </c>
      <c r="K130" t="inlineStr">
        <is>
          <t>Agregado desde BD_GASTOS_DASHBOARD_BRIDGE (USD)</t>
        </is>
      </c>
    </row>
    <row r="131">
      <c r="A131" t="inlineStr">
        <is>
          <t>2026-07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gasto_admin</t>
        </is>
      </c>
      <c r="F131" t="inlineStr">
        <is>
          <t>Honorarios</t>
        </is>
      </c>
      <c r="G131" t="inlineStr">
        <is>
          <t>Administracion</t>
        </is>
      </c>
      <c r="H131" t="n">
        <v>258.23</v>
      </c>
      <c r="I131" t="n">
        <v>1602.05</v>
      </c>
      <c r="J131" t="n">
        <v>2</v>
      </c>
      <c r="K131" t="inlineStr">
        <is>
          <t>Agregado desde BD_GASTOS_DASHBOARD_BRIDGE (USD)</t>
        </is>
      </c>
    </row>
    <row r="132">
      <c r="A132" t="inlineStr">
        <is>
          <t>2026-07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gasto_area</t>
        </is>
      </c>
      <c r="F132" t="inlineStr">
        <is>
          <t>Financieros</t>
        </is>
      </c>
      <c r="G132" t="inlineStr">
        <is>
          <t>Financieros</t>
        </is>
      </c>
      <c r="H132" t="n">
        <v>92.40000000000001</v>
      </c>
      <c r="I132" t="n">
        <v>343.22</v>
      </c>
      <c r="J132" t="n">
        <v>7</v>
      </c>
      <c r="K132" t="inlineStr">
        <is>
          <t>Agregado desde BD_GASTOS_DASHBOARD_BRIDGE (USD)</t>
        </is>
      </c>
    </row>
    <row r="133">
      <c r="A133" t="inlineStr">
        <is>
          <t>2026-07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gasto_comercial</t>
        </is>
      </c>
      <c r="F133" t="inlineStr">
        <is>
          <t>Diversos</t>
        </is>
      </c>
      <c r="G133" t="inlineStr">
        <is>
          <t>Comercial</t>
        </is>
      </c>
      <c r="H133" t="n">
        <v>1198.39</v>
      </c>
      <c r="I133" t="n">
        <v>1198.95</v>
      </c>
      <c r="J133" t="n">
        <v>4</v>
      </c>
      <c r="K133" t="inlineStr">
        <is>
          <t>Agregado desde BD_GASTOS_DASHBOARD_BRIDGE (USD)</t>
        </is>
      </c>
    </row>
    <row r="134">
      <c r="A134" t="inlineStr">
        <is>
          <t>2026-07</t>
        </is>
      </c>
      <c r="B134" t="inlineStr">
        <is>
          <t>Peru</t>
        </is>
      </c>
      <c r="C134" t="inlineStr">
        <is>
          <t>PERU</t>
        </is>
      </c>
      <c r="D134" t="inlineStr">
        <is>
          <t>USD</t>
        </is>
      </c>
      <c r="E134" t="inlineStr">
        <is>
          <t>gasto_comercial</t>
        </is>
      </c>
      <c r="F134" t="inlineStr">
        <is>
          <t>Honorarios</t>
        </is>
      </c>
      <c r="G134" t="inlineStr">
        <is>
          <t>Comercial</t>
        </is>
      </c>
      <c r="H134" t="n">
        <v>0</v>
      </c>
      <c r="I134" t="n">
        <v>9503.190000000001</v>
      </c>
      <c r="J134" t="n">
        <v>4</v>
      </c>
      <c r="K134" t="inlineStr">
        <is>
          <t>Agregado desde BD_GASTOS_DASHBOARD_BRIDGE (USD)</t>
        </is>
      </c>
    </row>
    <row r="135">
      <c r="A135" t="inlineStr">
        <is>
          <t>2026-07</t>
        </is>
      </c>
      <c r="B135" t="inlineStr">
        <is>
          <t>Peru</t>
        </is>
      </c>
      <c r="C135" t="inlineStr">
        <is>
          <t>PERU</t>
        </is>
      </c>
      <c r="D135" t="inlineStr">
        <is>
          <t>USD</t>
        </is>
      </c>
      <c r="E135" t="inlineStr">
        <is>
          <t>gasto_comercial</t>
        </is>
      </c>
      <c r="F135" t="inlineStr">
        <is>
          <t>Servicios</t>
        </is>
      </c>
      <c r="G135" t="inlineStr">
        <is>
          <t>Comercial</t>
        </is>
      </c>
      <c r="H135" t="n">
        <v>0</v>
      </c>
      <c r="I135" t="n">
        <v>501.82</v>
      </c>
      <c r="J135" t="n">
        <v>1</v>
      </c>
      <c r="K135" t="inlineStr">
        <is>
          <t>Agregado desde BD_GASTOS_DASHBOARD_BRIDGE (USD)</t>
        </is>
      </c>
    </row>
    <row r="136">
      <c r="A136" t="inlineStr">
        <is>
          <t>2026-07</t>
        </is>
      </c>
      <c r="B136" t="inlineStr">
        <is>
          <t>Peru</t>
        </is>
      </c>
      <c r="C136" t="inlineStr">
        <is>
          <t>PERU</t>
        </is>
      </c>
      <c r="D136" t="inlineStr">
        <is>
          <t>USD</t>
        </is>
      </c>
      <c r="E136" t="inlineStr">
        <is>
          <t>gasto_comercial</t>
        </is>
      </c>
      <c r="F136" t="inlineStr">
        <is>
          <t>Viajes</t>
        </is>
      </c>
      <c r="G136" t="inlineStr">
        <is>
          <t>Comercial</t>
        </is>
      </c>
      <c r="H136" t="n">
        <v>2101.12</v>
      </c>
      <c r="I136" t="n">
        <v>4173.09</v>
      </c>
      <c r="J136" t="n">
        <v>24</v>
      </c>
      <c r="K136" t="inlineStr">
        <is>
          <t>Agregado desde BD_GASTOS_DASHBOARD_BRIDGE (USD)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50" customWidth="1" style="52" min="1" max="1"/>
    <col width="50" customWidth="1" style="52" min="2" max="2"/>
    <col width="50" customWidth="1" style="52" min="3" max="3"/>
    <col width="6" customWidth="1" style="52" min="4" max="4"/>
    <col width="6" customWidth="1" style="52" min="5" max="5"/>
  </cols>
  <sheetData>
    <row r="1">
      <c r="A1" s="63" t="inlineStr">
        <is>
          <t>Análisis de Movimiento MRR — Junio vs Julio 2026</t>
        </is>
      </c>
    </row>
    <row r="2">
      <c r="A2" s="64" t="inlineStr">
        <is>
          <t>MRR mensual = VENCIDA (Mes Anterior) + CORRIENTE (Mes en curso), por cliente. Caja Costa Rica (CCSS) reclasificada como Up Sale — no se cuenta como MRR recurrente.</t>
        </is>
      </c>
    </row>
    <row r="3"/>
    <row r="4">
      <c r="A4" s="65" t="inlineStr">
        <is>
          <t>Categoría</t>
        </is>
      </c>
      <c r="B4" s="65" t="inlineStr">
        <is>
          <t>Total MRR</t>
        </is>
      </c>
      <c r="C4" s="65" t="inlineStr">
        <is>
          <t># Clientes</t>
        </is>
      </c>
    </row>
    <row r="5">
      <c r="A5" s="66" t="inlineStr">
        <is>
          <t>Retenidas MRR</t>
        </is>
      </c>
      <c r="B5" s="67">
        <f>+Detalle!I117-B11-B6-B10</f>
        <v/>
      </c>
      <c r="C5" s="68">
        <f>COUNTIF(Detalle!$K$2:$K$116,"Retenida")</f>
        <v/>
      </c>
    </row>
    <row r="6">
      <c r="A6" s="66" t="inlineStr">
        <is>
          <t>Nuevas Ventas MRR</t>
        </is>
      </c>
      <c r="B6" s="67">
        <f>SUMIF(Detalle!$K$2:$K$116,"Nueva",Detalle!$L$2:$L$116)</f>
        <v/>
      </c>
      <c r="C6" s="68">
        <f>COUNTIF(Detalle!$K$2:$K$116,"Nueva")</f>
        <v/>
      </c>
    </row>
    <row r="7">
      <c r="A7" s="66" t="inlineStr">
        <is>
          <t>Rescatadas MRR</t>
        </is>
      </c>
      <c r="B7" s="67">
        <f>SUMIF(Detalle!$K$2:$K$116,"Rescatada",Detalle!$L$2:$L$116)</f>
        <v/>
      </c>
      <c r="C7" s="68">
        <f>COUNTIF(Detalle!$K$2:$K$116,"Rescatada")</f>
        <v/>
      </c>
    </row>
    <row r="8">
      <c r="A8" s="66" t="inlineStr">
        <is>
          <t>Expansión MRR</t>
        </is>
      </c>
      <c r="B8" s="67">
        <f>SUMIF(Detalle!$K$2:$K$116,"Expansión",Detalle!$L$2:$L$116)</f>
        <v/>
      </c>
      <c r="C8" s="68">
        <f>COUNTIF(Detalle!$K$2:$K$116,"Expansión")</f>
        <v/>
      </c>
    </row>
    <row r="9">
      <c r="A9" s="66" t="inlineStr">
        <is>
          <t>Contracción MRR</t>
        </is>
      </c>
      <c r="B9" s="67">
        <f>SUMIF(Detalle!$K$2:$K$116,"Contracción",Detalle!$L$2:$L$116)</f>
        <v/>
      </c>
      <c r="C9" s="68">
        <f>COUNTIF(Detalle!$K$2:$K$116,"Contracción")</f>
        <v/>
      </c>
    </row>
    <row r="10">
      <c r="A10" s="66" t="inlineStr">
        <is>
          <t>Churned MRR</t>
        </is>
      </c>
      <c r="B10" s="67">
        <f>SUMIF(Detalle!$K$2:$K$116,"Churned",Detalle!$L$2:$L$116)</f>
        <v/>
      </c>
      <c r="C10" s="68">
        <f>COUNTIF(Detalle!$K$2:$K$116,"Churned")</f>
        <v/>
      </c>
    </row>
    <row r="11">
      <c r="A11" s="69" t="inlineStr">
        <is>
          <t>Up Sale / Ingreso no recurrente</t>
        </is>
      </c>
      <c r="B11" s="70">
        <f>SUMIF(Detalle!$K$2:$K$116,"Up Sale (no recurrente)",Detalle!$I$2:$I$116)</f>
        <v/>
      </c>
      <c r="C11" s="71">
        <f>COUNTIF(Detalle!$K$2:$K$116,"Up Sale (no recurrente)")</f>
        <v/>
      </c>
    </row>
    <row r="12">
      <c r="A12" s="66" t="n"/>
      <c r="B12" s="66" t="n"/>
    </row>
    <row r="13">
      <c r="A13" s="66" t="inlineStr">
        <is>
          <t>Total MRR Junio (recurrente)</t>
        </is>
      </c>
      <c r="B13" s="66">
        <f>SUM(Detalle!H2:H116)</f>
        <v/>
      </c>
    </row>
    <row r="14">
      <c r="A14" s="66" t="inlineStr">
        <is>
          <t>Total MRR Julio (recurrente)</t>
        </is>
      </c>
      <c r="B14" s="66">
        <f>SUM(Detalle!I2:I116)-SUMIF(Detalle!$K$2:$K$116,"Up Sale (no recurrente)",Detalle!$I$2:$I$116)</f>
        <v/>
      </c>
    </row>
    <row r="15">
      <c r="A15" s="66" t="inlineStr">
        <is>
          <t>Variación neta (recurrente)</t>
        </is>
      </c>
      <c r="B15" s="66">
        <f>B14-B13</f>
        <v/>
      </c>
    </row>
    <row r="16">
      <c r="A16" s="72" t="inlineStr">
        <is>
          <t># Clientes sin actividad (Jun y Jul)</t>
        </is>
      </c>
      <c r="B16" s="72">
        <f>COUNTIF(Detalle!$K$2:$K$116,"Sin actividad")</f>
        <v/>
      </c>
    </row>
    <row r="17">
      <c r="A17" s="73" t="n"/>
    </row>
    <row r="18">
      <c r="A18" s="74" t="inlineStr">
        <is>
          <t>MRR mensual recurrente (histórico 2026)</t>
        </is>
      </c>
    </row>
    <row r="19">
      <c r="A19" s="67" t="inlineStr">
        <is>
          <t>Enero</t>
        </is>
      </c>
      <c r="B19" s="67">
        <f>SUM(Detalle!C2:C116)</f>
        <v/>
      </c>
    </row>
    <row r="20">
      <c r="A20" s="67" t="inlineStr">
        <is>
          <t>Febrero</t>
        </is>
      </c>
      <c r="B20" s="67">
        <f>SUM(Detalle!D2:D116)</f>
        <v/>
      </c>
    </row>
    <row r="21">
      <c r="A21" s="75" t="inlineStr">
        <is>
          <t>Marzo</t>
        </is>
      </c>
      <c r="B21" s="67">
        <f>SUM(Detalle!E2:E116)</f>
        <v/>
      </c>
    </row>
    <row r="22">
      <c r="A22" s="67" t="inlineStr">
        <is>
          <t>Abril</t>
        </is>
      </c>
      <c r="B22" s="67">
        <f>SUM(Detalle!F2:F116)</f>
        <v/>
      </c>
    </row>
    <row r="23">
      <c r="A23" s="67" t="inlineStr">
        <is>
          <t>Mayo</t>
        </is>
      </c>
      <c r="B23" s="67">
        <f>SUM(Detalle!G2:G116)</f>
        <v/>
      </c>
    </row>
    <row r="24">
      <c r="A24" s="67" t="inlineStr">
        <is>
          <t>Junio</t>
        </is>
      </c>
      <c r="B24" s="67">
        <f>SUM(Detalle!H2:H116)</f>
        <v/>
      </c>
    </row>
    <row r="25">
      <c r="A25" s="67" t="inlineStr">
        <is>
          <t>Julio</t>
        </is>
      </c>
      <c r="B25" s="67">
        <f>SUM(Detalle!I2:I116)-SUMIF(Detalle!$K$2:$K$116,"Up Sale (no recurrente)",Detalle!$I$2:$I$116)</f>
        <v/>
      </c>
    </row>
    <row r="26">
      <c r="A26" s="76" t="n"/>
    </row>
    <row r="27">
      <c r="A27" s="66" t="inlineStr">
        <is>
          <t>MRR promedio (Ene-Jul, recurrente)</t>
        </is>
      </c>
      <c r="B27" s="66">
        <f>AVERAGE(B19:B25)</f>
        <v/>
      </c>
    </row>
    <row r="28"/>
    <row r="29">
      <c r="A29" s="77" t="inlineStr">
        <is>
          <t>ARR (Annual Recurring Revenue)</t>
        </is>
      </c>
    </row>
    <row r="30">
      <c r="A30" s="66" t="inlineStr">
        <is>
          <t>ARR = MRR promedio Ene-Jul × 12</t>
        </is>
      </c>
      <c r="B30" s="78">
        <f>B27*12</f>
        <v/>
      </c>
    </row>
    <row r="31"/>
    <row r="32">
      <c r="A32" s="76" t="inlineStr">
        <is>
          <t>Nota MRR: el MRR mensual de cada cliente = VENCIDA (Mes Anterior) + CORRIENTE (Mes en curso), pues distintos comerciales registran la factura en una u otra columna (casi nunca ambas a la vez). 'Nuevas Ventas' = $0 en junio y sin facturación previa Ene-Mayo. 'Rescatadas' = $0 en junio pero con facturación en algún mes Ene-Mayo, y volvieron a facturar en julio. Caja Costa Rica (CCSS) se reclasificó manualmente como Up Sale y se excluye de Nuevas Ventas, del Total MRR y del ARR.</t>
        </is>
      </c>
    </row>
    <row r="33"/>
    <row r="34"/>
    <row r="35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17"/>
  <sheetViews>
    <sheetView workbookViewId="0">
      <selection activeCell="A1" sqref="A1"/>
    </sheetView>
  </sheetViews>
  <sheetFormatPr baseColWidth="8" defaultRowHeight="15"/>
  <cols>
    <col width="50" customWidth="1" style="52" min="1" max="1"/>
    <col width="10" customWidth="1" style="52" min="2" max="2"/>
    <col width="18" customWidth="1" style="52" min="3" max="3"/>
    <col width="17" customWidth="1" style="52" min="4" max="4"/>
    <col width="18" customWidth="1" style="52" min="5" max="5"/>
    <col width="18" customWidth="1" style="52" min="6" max="6"/>
    <col width="17" customWidth="1" style="52" min="7" max="7"/>
    <col width="18" customWidth="1" style="52" min="8" max="8"/>
    <col width="18" customWidth="1" style="52" min="9" max="9"/>
    <col width="33" customWidth="1" style="52" min="10" max="10"/>
    <col width="50" customWidth="1" style="52" min="11" max="11"/>
    <col width="50" customWidth="1" style="52" min="12" max="12"/>
    <col width="33" customWidth="1" style="52" min="13" max="13"/>
    <col width="44" customWidth="1" style="52" min="14" max="14"/>
  </cols>
  <sheetData>
    <row r="1">
      <c r="A1" s="79" t="inlineStr">
        <is>
          <t>Cliente</t>
        </is>
      </c>
      <c r="B1" s="79" t="inlineStr">
        <is>
          <t>Estado</t>
        </is>
      </c>
      <c r="C1" s="79" t="inlineStr">
        <is>
          <t>Enero</t>
        </is>
      </c>
      <c r="D1" s="79" t="inlineStr">
        <is>
          <t>Febrero</t>
        </is>
      </c>
      <c r="E1" s="79" t="inlineStr">
        <is>
          <t>Marzo</t>
        </is>
      </c>
      <c r="F1" s="79" t="inlineStr">
        <is>
          <t>Abril</t>
        </is>
      </c>
      <c r="G1" s="79" t="inlineStr">
        <is>
          <t>Mayo</t>
        </is>
      </c>
      <c r="H1" s="79" t="inlineStr">
        <is>
          <t>Junio</t>
        </is>
      </c>
      <c r="I1" s="79" t="inlineStr">
        <is>
          <t>Julio</t>
        </is>
      </c>
      <c r="J1" s="79" t="inlineStr">
        <is>
          <t>Tuvo histórico previo (Ene-May)</t>
        </is>
      </c>
      <c r="K1" s="79" t="inlineStr">
        <is>
          <t>Categoría</t>
        </is>
      </c>
      <c r="L1" s="79" t="inlineStr">
        <is>
          <t>Monto categoría</t>
        </is>
      </c>
      <c r="M1" s="79" t="inlineStr">
        <is>
          <t>Clasificación manual (override)</t>
        </is>
      </c>
      <c r="N1" s="79" t="inlineStr">
        <is>
          <t>Monto no recurrente (Up Sale)</t>
        </is>
      </c>
    </row>
    <row r="2">
      <c r="A2" s="67" t="inlineStr">
        <is>
          <t>Preventist</t>
        </is>
      </c>
      <c r="B2" s="67" t="inlineStr">
        <is>
          <t>Activo</t>
        </is>
      </c>
      <c r="C2" s="67" t="n">
        <v>10471000</v>
      </c>
      <c r="D2" s="67" t="n">
        <v>14211600</v>
      </c>
      <c r="E2" s="67" t="n">
        <v>13198568</v>
      </c>
      <c r="F2" s="67" t="n">
        <v>20507241</v>
      </c>
      <c r="G2" s="67" t="n">
        <v>19480285</v>
      </c>
      <c r="H2" s="67" t="n">
        <v>20342970</v>
      </c>
      <c r="I2" s="67" t="n">
        <v>21630780</v>
      </c>
      <c r="J2" s="67">
        <f>IF(SUM(C2:G2)&gt;0,1,0)</f>
        <v/>
      </c>
      <c r="K2" s="68">
        <f>IF(M2&lt;&gt;"",M2,IF(AND(H2=0,I2=0),"Sin actividad",IF(AND(H2=0,I2&gt;0),IF(J2=1,"Rescatada","Nueva"),IF(AND(H2&gt;0,I2=0),"Churned",IF(I2&gt;H2,"Expansión",IF(I2&lt;H2,"Contracción","Retenida"))))))</f>
        <v/>
      </c>
      <c r="L2" s="67">
        <f>IF(K2="Up Sale (no recurrente)",0,IF(K2="Expansión",I2-H2,IF(K2="Contracción",H2-I2,IF(K2="Retenida",I2,IF(OR(K2="Nueva",K2="Rescatada"),I2,IF(K2="Churned",H2,0))))))</f>
        <v/>
      </c>
      <c r="M2" s="67" t="n"/>
      <c r="N2" s="67">
        <f>IF(K2="Up Sale (no recurrente)",I2,0)</f>
        <v/>
      </c>
    </row>
    <row r="3">
      <c r="A3" s="67" t="inlineStr">
        <is>
          <t>Emmely Coronado Peguero</t>
        </is>
      </c>
      <c r="B3" s="67" t="inlineStr">
        <is>
          <t>Activo</t>
        </is>
      </c>
      <c r="C3" s="67" t="n">
        <v>356865</v>
      </c>
      <c r="D3" s="67" t="n">
        <v>351463.8</v>
      </c>
      <c r="E3" s="67" t="n">
        <v>351463.8</v>
      </c>
      <c r="F3" s="67" t="n">
        <v>356961.45</v>
      </c>
      <c r="G3" s="67" t="n">
        <v>357540.15</v>
      </c>
      <c r="H3" s="67" t="n">
        <v>355900.5</v>
      </c>
      <c r="I3" s="67" t="n">
        <v>355900.5</v>
      </c>
      <c r="J3" s="67">
        <f>IF(SUM(C3:G3)&gt;0,1,0)</f>
        <v/>
      </c>
      <c r="K3" s="68">
        <f>IF(M3&lt;&gt;"",M3,IF(AND(H3=0,I3=0),"Sin actividad",IF(AND(H3=0,I3&gt;0),IF(J3=1,"Rescatada","Nueva"),IF(AND(H3&gt;0,I3=0),"Churned",IF(I3&gt;H3,"Expansión",IF(I3&lt;H3,"Contracción","Retenida"))))))</f>
        <v/>
      </c>
      <c r="L3" s="67">
        <f>IF(K3="Up Sale (no recurrente)",0,IF(K3="Expansión",I3-H3,IF(K3="Contracción",H3-I3,IF(K3="Retenida",I3,IF(OR(K3="Nueva",K3="Rescatada"),I3,IF(K3="Churned",H3,0))))))</f>
        <v/>
      </c>
      <c r="M3" s="67" t="n"/>
      <c r="N3" s="67">
        <f>IF(K3="Up Sale (no recurrente)",I3,0)</f>
        <v/>
      </c>
    </row>
    <row r="4">
      <c r="A4" s="67" t="inlineStr">
        <is>
          <t>Fundacion para la Confianza</t>
        </is>
      </c>
      <c r="B4" s="67" t="inlineStr">
        <is>
          <t>Activo</t>
        </is>
      </c>
      <c r="C4" s="67" t="n">
        <v>203500</v>
      </c>
      <c r="D4" s="67" t="n">
        <v>200420</v>
      </c>
      <c r="E4" s="67" t="n">
        <v>200420</v>
      </c>
      <c r="F4" s="67" t="n">
        <v>200420</v>
      </c>
      <c r="G4" s="67" t="n">
        <v>203885</v>
      </c>
      <c r="H4" s="67" t="n">
        <v>202950</v>
      </c>
      <c r="I4" s="67" t="n">
        <v>202950</v>
      </c>
      <c r="J4" s="67">
        <f>IF(SUM(C4:G4)&gt;0,1,0)</f>
        <v/>
      </c>
      <c r="K4" s="68">
        <f>IF(M4&lt;&gt;"",M4,IF(AND(H4=0,I4=0),"Sin actividad",IF(AND(H4=0,I4&gt;0),IF(J4=1,"Rescatada","Nueva"),IF(AND(H4&gt;0,I4=0),"Churned",IF(I4&gt;H4,"Expansión",IF(I4&lt;H4,"Contracción","Retenida"))))))</f>
        <v/>
      </c>
      <c r="L4" s="67">
        <f>IF(K4="Up Sale (no recurrente)",0,IF(K4="Expansión",I4-H4,IF(K4="Contracción",H4-I4,IF(K4="Retenida",I4,IF(OR(K4="Nueva",K4="Rescatada"),I4,IF(K4="Churned",H4,0))))))</f>
        <v/>
      </c>
      <c r="M4" s="67" t="n"/>
      <c r="N4" s="67">
        <f>IF(K4="Up Sale (no recurrente)",I4,0)</f>
        <v/>
      </c>
    </row>
    <row r="5">
      <c r="A5" s="67" t="inlineStr">
        <is>
          <t>Hospitalaria SAC (Pacifico Salud)</t>
        </is>
      </c>
      <c r="B5" s="67" t="inlineStr">
        <is>
          <t>Activo</t>
        </is>
      </c>
      <c r="C5" s="67" t="n">
        <v>0</v>
      </c>
      <c r="D5" s="67" t="n">
        <v>3015920.16</v>
      </c>
      <c r="E5" s="67" t="n">
        <v>4929020.16</v>
      </c>
      <c r="F5" s="67" t="n">
        <v>3015920.16</v>
      </c>
      <c r="G5" s="67" t="n">
        <v>3068061.48</v>
      </c>
      <c r="H5" s="67" t="n">
        <v>6707091.6</v>
      </c>
      <c r="I5" s="67" t="n">
        <v>3889887.3</v>
      </c>
      <c r="J5" s="67">
        <f>IF(SUM(C5:G5)&gt;0,1,0)</f>
        <v/>
      </c>
      <c r="K5" s="68">
        <f>IF(M5&lt;&gt;"",M5,IF(AND(H5=0,I5=0),"Sin actividad",IF(AND(H5=0,I5&gt;0),IF(J5=1,"Rescatada","Nueva"),IF(AND(H5&gt;0,I5=0),"Churned",IF(I5&gt;H5,"Expansión",IF(I5&lt;H5,"Contracción","Retenida"))))))</f>
        <v/>
      </c>
      <c r="L5" s="67">
        <f>IF(K5="Up Sale (no recurrente)",0,IF(K5="Expansión",I5-H5,IF(K5="Contracción",H5-I5,IF(K5="Retenida",I5,IF(OR(K5="Nueva",K5="Rescatada"),I5,IF(K5="Churned",H5,0))))))</f>
        <v/>
      </c>
      <c r="M5" s="67" t="n"/>
      <c r="N5" s="67">
        <f>IF(K5="Up Sale (no recurrente)",I5,0)</f>
        <v/>
      </c>
    </row>
    <row r="6">
      <c r="A6" s="67" t="inlineStr">
        <is>
          <t>Servicios Hospitalarios Brisas SA</t>
        </is>
      </c>
      <c r="B6" s="67" t="inlineStr">
        <is>
          <t>Activo</t>
        </is>
      </c>
      <c r="C6" s="67" t="n">
        <v>1110000</v>
      </c>
      <c r="D6" s="67" t="n">
        <v>0</v>
      </c>
      <c r="E6" s="67" t="n">
        <v>1110000</v>
      </c>
      <c r="F6" s="67" t="n">
        <v>1110300</v>
      </c>
      <c r="G6" s="67" t="n">
        <v>0</v>
      </c>
      <c r="H6" s="67" t="n">
        <v>0</v>
      </c>
      <c r="I6" s="67" t="n">
        <v>0</v>
      </c>
      <c r="J6" s="67">
        <f>IF(SUM(C6:G6)&gt;0,1,0)</f>
        <v/>
      </c>
      <c r="K6" s="68">
        <f>IF(M6&lt;&gt;"",M6,IF(AND(H6=0,I6=0),"Sin actividad",IF(AND(H6=0,I6&gt;0),IF(J6=1,"Rescatada","Nueva"),IF(AND(H6&gt;0,I6=0),"Churned",IF(I6&gt;H6,"Expansión",IF(I6&lt;H6,"Contracción","Retenida"))))))</f>
        <v/>
      </c>
      <c r="L6" s="67">
        <f>IF(K6="Up Sale (no recurrente)",0,IF(K6="Expansión",I6-H6,IF(K6="Contracción",H6-I6,IF(K6="Retenida",I6,IF(OR(K6="Nueva",K6="Rescatada"),I6,IF(K6="Churned",H6,0))))))</f>
        <v/>
      </c>
      <c r="M6" s="67" t="n"/>
      <c r="N6" s="67">
        <f>IF(K6="Up Sale (no recurrente)",I6,0)</f>
        <v/>
      </c>
    </row>
    <row r="7">
      <c r="A7" s="67" t="inlineStr">
        <is>
          <t>Caja Costa Rija (CCSS)</t>
        </is>
      </c>
      <c r="B7" s="67" t="inlineStr">
        <is>
          <t>Activo</t>
        </is>
      </c>
      <c r="C7" s="67" t="n">
        <v>0</v>
      </c>
      <c r="D7" s="67" t="n">
        <v>0</v>
      </c>
      <c r="E7" s="67" t="n">
        <v>0</v>
      </c>
      <c r="F7" s="67" t="n">
        <v>0</v>
      </c>
      <c r="G7" s="67" t="n">
        <v>0</v>
      </c>
      <c r="H7" s="67" t="n">
        <v>0</v>
      </c>
      <c r="I7" s="67" t="n">
        <v>494843760</v>
      </c>
      <c r="J7" s="67">
        <f>IF(SUM(C7:G7)&gt;0,1,0)</f>
        <v/>
      </c>
      <c r="K7" s="68">
        <f>IF(M7&lt;&gt;"",M7,IF(AND(H7=0,I7=0),"Sin actividad",IF(AND(H7=0,I7&gt;0),IF(J7=1,"Rescatada","Nueva"),IF(AND(H7&gt;0,I7=0),"Churned",IF(I7&gt;H7,"Expansión",IF(I7&lt;H7,"Contracción","Retenida"))))))</f>
        <v/>
      </c>
      <c r="L7" s="67">
        <f>IF(K7="Up Sale (no recurrente)",0,IF(K7="Expansión",I7-H7,IF(K7="Contracción",H7-I7,IF(K7="Retenida",I7,IF(OR(K7="Nueva",K7="Rescatada"),I7,IF(K7="Churned",H7,0))))))</f>
        <v/>
      </c>
      <c r="M7" s="67" t="inlineStr">
        <is>
          <t>Up Sale (no recurrente)</t>
        </is>
      </c>
      <c r="N7" s="67">
        <f>IF(K7="Up Sale (no recurrente)",I7,0)</f>
        <v/>
      </c>
    </row>
    <row r="8">
      <c r="A8" s="67" t="inlineStr">
        <is>
          <t>Clínica Ziegler</t>
        </is>
      </c>
      <c r="B8" s="67" t="inlineStr">
        <is>
          <t>Activo</t>
        </is>
      </c>
      <c r="C8" s="67" t="n">
        <v>0</v>
      </c>
      <c r="D8" s="67" t="n">
        <v>0</v>
      </c>
      <c r="E8" s="67" t="n">
        <v>0</v>
      </c>
      <c r="F8" s="67" t="n">
        <v>0</v>
      </c>
      <c r="G8" s="67" t="n">
        <v>0</v>
      </c>
      <c r="H8" s="67" t="n">
        <v>0</v>
      </c>
      <c r="I8" s="67" t="n">
        <v>1749060</v>
      </c>
      <c r="J8" s="67">
        <f>IF(SUM(C8:G8)&gt;0,1,0)</f>
        <v/>
      </c>
      <c r="K8" s="68">
        <f>IF(M8&lt;&gt;"",M8,IF(AND(H8=0,I8=0),"Sin actividad",IF(AND(H8=0,I8&gt;0),IF(J8=1,"Rescatada","Nueva"),IF(AND(H8&gt;0,I8=0),"Churned",IF(I8&gt;H8,"Expansión",IF(I8&lt;H8,"Contracción","Retenida"))))))</f>
        <v/>
      </c>
      <c r="L8" s="67">
        <f>IF(K8="Up Sale (no recurrente)",0,IF(K8="Expansión",I8-H8,IF(K8="Contracción",H8-I8,IF(K8="Retenida",I8,IF(OR(K8="Nueva",K8="Rescatada"),I8,IF(K8="Churned",H8,0))))))</f>
        <v/>
      </c>
      <c r="M8" s="67" t="n"/>
      <c r="N8" s="67">
        <f>IF(K8="Up Sale (no recurrente)",I8,0)</f>
        <v/>
      </c>
    </row>
    <row r="9">
      <c r="A9" s="67" t="inlineStr">
        <is>
          <t>Dr Jaime (Ginecología)</t>
        </is>
      </c>
      <c r="B9" s="67" t="inlineStr">
        <is>
          <t>Activo</t>
        </is>
      </c>
      <c r="C9" s="67" t="n">
        <v>266098.14</v>
      </c>
      <c r="D9" s="67" t="n">
        <v>266098.14</v>
      </c>
      <c r="E9" s="67" t="n">
        <v>266098.14</v>
      </c>
      <c r="F9" s="67" t="n">
        <v>266098.14</v>
      </c>
      <c r="G9" s="67" t="n">
        <v>266098.14</v>
      </c>
      <c r="H9" s="67" t="n">
        <v>266098.14</v>
      </c>
      <c r="I9" s="67" t="n">
        <v>266098.14</v>
      </c>
      <c r="J9" s="67">
        <f>IF(SUM(C9:G9)&gt;0,1,0)</f>
        <v/>
      </c>
      <c r="K9" s="68">
        <f>IF(M9&lt;&gt;"",M9,IF(AND(H9=0,I9=0),"Sin actividad",IF(AND(H9=0,I9&gt;0),IF(J9=1,"Rescatada","Nueva"),IF(AND(H9&gt;0,I9=0),"Churned",IF(I9&gt;H9,"Expansión",IF(I9&lt;H9,"Contracción","Retenida"))))))</f>
        <v/>
      </c>
      <c r="L9" s="67">
        <f>IF(K9="Up Sale (no recurrente)",0,IF(K9="Expansión",I9-H9,IF(K9="Contracción",H9-I9,IF(K9="Retenida",I9,IF(OR(K9="Nueva",K9="Rescatada"),I9,IF(K9="Churned",H9,0))))))</f>
        <v/>
      </c>
      <c r="M9" s="67" t="n"/>
      <c r="N9" s="67">
        <f>IF(K9="Up Sale (no recurrente)",I9,0)</f>
        <v/>
      </c>
    </row>
    <row r="10">
      <c r="A10" s="67" t="inlineStr">
        <is>
          <t>Oral Studio</t>
        </is>
      </c>
      <c r="B10" s="67" t="inlineStr">
        <is>
          <t>Activo</t>
        </is>
      </c>
      <c r="C10" s="67" t="n">
        <v>447047.62285568</v>
      </c>
      <c r="D10" s="67" t="n">
        <v>447047.62285568</v>
      </c>
      <c r="E10" s="67" t="n">
        <v>447047.62285568</v>
      </c>
      <c r="F10" s="67" t="n">
        <v>447047.62285568</v>
      </c>
      <c r="G10" s="67" t="n">
        <v>447047.62285568</v>
      </c>
      <c r="H10" s="67" t="n">
        <v>447047.62285568</v>
      </c>
      <c r="I10" s="67" t="n">
        <v>447047.62285568</v>
      </c>
      <c r="J10" s="67">
        <f>IF(SUM(C10:G10)&gt;0,1,0)</f>
        <v/>
      </c>
      <c r="K10" s="68">
        <f>IF(M10&lt;&gt;"",M10,IF(AND(H10=0,I10=0),"Sin actividad",IF(AND(H10=0,I10&gt;0),IF(J10=1,"Rescatada","Nueva"),IF(AND(H10&gt;0,I10=0),"Churned",IF(I10&gt;H10,"Expansión",IF(I10&lt;H10,"Contracción","Retenida"))))))</f>
        <v/>
      </c>
      <c r="L10" s="67">
        <f>IF(K10="Up Sale (no recurrente)",0,IF(K10="Expansión",I10-H10,IF(K10="Contracción",H10-I10,IF(K10="Retenida",I10,IF(OR(K10="Nueva",K10="Rescatada"),I10,IF(K10="Churned",H10,0))))))</f>
        <v/>
      </c>
      <c r="M10" s="67" t="n"/>
      <c r="N10" s="67">
        <f>IF(K10="Up Sale (no recurrente)",I10,0)</f>
        <v/>
      </c>
    </row>
    <row r="11">
      <c r="A11" s="67" t="inlineStr">
        <is>
          <t>Clinica Guadalupe</t>
        </is>
      </c>
      <c r="B11" s="67" t="inlineStr">
        <is>
          <t>Activo</t>
        </is>
      </c>
      <c r="C11" s="67" t="n">
        <v>7595917</v>
      </c>
      <c r="D11" s="67" t="n">
        <v>9601552</v>
      </c>
      <c r="E11" s="67" t="n">
        <v>9601552</v>
      </c>
      <c r="F11" s="67" t="n">
        <v>7595917</v>
      </c>
      <c r="G11" s="67" t="n">
        <v>7983308.77</v>
      </c>
      <c r="H11" s="67" t="n">
        <v>7983308.77</v>
      </c>
      <c r="I11" s="67" t="n">
        <v>6654932</v>
      </c>
      <c r="J11" s="67">
        <f>IF(SUM(C11:G11)&gt;0,1,0)</f>
        <v/>
      </c>
      <c r="K11" s="68">
        <f>IF(M11&lt;&gt;"",M11,IF(AND(H11=0,I11=0),"Sin actividad",IF(AND(H11=0,I11&gt;0),IF(J11=1,"Rescatada","Nueva"),IF(AND(H11&gt;0,I11=0),"Churned",IF(I11&gt;H11,"Expansión",IF(I11&lt;H11,"Contracción","Retenida"))))))</f>
        <v/>
      </c>
      <c r="L11" s="67">
        <f>IF(K11="Up Sale (no recurrente)",0,IF(K11="Expansión",I11-H11,IF(K11="Contracción",H11-I11,IF(K11="Retenida",I11,IF(OR(K11="Nueva",K11="Rescatada"),I11,IF(K11="Churned",H11,0))))))</f>
        <v/>
      </c>
      <c r="M11" s="67" t="n"/>
      <c r="N11" s="67">
        <f>IF(K11="Up Sale (no recurrente)",I11,0)</f>
        <v/>
      </c>
    </row>
    <row r="12">
      <c r="A12" s="67" t="inlineStr">
        <is>
          <t>Clínica Panamericana (Zona Franca de Uraba)</t>
        </is>
      </c>
      <c r="B12" s="67" t="inlineStr">
        <is>
          <t>Activo</t>
        </is>
      </c>
      <c r="C12" s="67" t="n">
        <v>19150000</v>
      </c>
      <c r="D12" s="67" t="n">
        <v>19150000</v>
      </c>
      <c r="E12" s="67" t="n">
        <v>19150000</v>
      </c>
      <c r="F12" s="67" t="n">
        <v>19150000</v>
      </c>
      <c r="G12" s="67" t="n">
        <v>19150000</v>
      </c>
      <c r="H12" s="67" t="n">
        <v>19150000</v>
      </c>
      <c r="I12" s="67" t="n">
        <v>19150000</v>
      </c>
      <c r="J12" s="67">
        <f>IF(SUM(C12:G12)&gt;0,1,0)</f>
        <v/>
      </c>
      <c r="K12" s="68">
        <f>IF(M12&lt;&gt;"",M12,IF(AND(H12=0,I12=0),"Sin actividad",IF(AND(H12=0,I12&gt;0),IF(J12=1,"Rescatada","Nueva"),IF(AND(H12&gt;0,I12=0),"Churned",IF(I12&gt;H12,"Expansión",IF(I12&lt;H12,"Contracción","Retenida"))))))</f>
        <v/>
      </c>
      <c r="L12" s="67">
        <f>IF(K12="Up Sale (no recurrente)",0,IF(K12="Expansión",I12-H12,IF(K12="Contracción",H12-I12,IF(K12="Retenida",I12,IF(OR(K12="Nueva",K12="Rescatada"),I12,IF(K12="Churned",H12,0))))))</f>
        <v/>
      </c>
      <c r="M12" s="67" t="n"/>
      <c r="N12" s="67">
        <f>IF(K12="Up Sale (no recurrente)",I12,0)</f>
        <v/>
      </c>
    </row>
    <row r="13">
      <c r="A13" s="67" t="inlineStr">
        <is>
          <t>Vidamedical Bogotá - Cafam</t>
        </is>
      </c>
      <c r="B13" s="67" t="inlineStr">
        <is>
          <t>Activo</t>
        </is>
      </c>
      <c r="C13" s="67" t="n">
        <v>0</v>
      </c>
      <c r="D13" s="67" t="n">
        <v>29661904</v>
      </c>
      <c r="E13" s="67" t="n">
        <v>30509238</v>
      </c>
      <c r="F13" s="67" t="n">
        <v>30509238</v>
      </c>
      <c r="G13" s="67" t="n">
        <v>30509238</v>
      </c>
      <c r="H13" s="67" t="n">
        <v>30509238</v>
      </c>
      <c r="I13" s="67" t="n">
        <v>30509238</v>
      </c>
      <c r="J13" s="67">
        <f>IF(SUM(C13:G13)&gt;0,1,0)</f>
        <v/>
      </c>
      <c r="K13" s="68">
        <f>IF(M13&lt;&gt;"",M13,IF(AND(H13=0,I13=0),"Sin actividad",IF(AND(H13=0,I13&gt;0),IF(J13=1,"Rescatada","Nueva"),IF(AND(H13&gt;0,I13=0),"Churned",IF(I13&gt;H13,"Expansión",IF(I13&lt;H13,"Contracción","Retenida"))))))</f>
        <v/>
      </c>
      <c r="L13" s="67">
        <f>IF(K13="Up Sale (no recurrente)",0,IF(K13="Expansión",I13-H13,IF(K13="Contracción",H13-I13,IF(K13="Retenida",I13,IF(OR(K13="Nueva",K13="Rescatada"),I13,IF(K13="Churned",H13,0))))))</f>
        <v/>
      </c>
      <c r="M13" s="67" t="n"/>
      <c r="N13" s="67">
        <f>IF(K13="Up Sale (no recurrente)",I13,0)</f>
        <v/>
      </c>
    </row>
    <row r="14">
      <c r="A14" s="67" t="inlineStr">
        <is>
          <t>Vidamedical Cúcuta</t>
        </is>
      </c>
      <c r="B14" s="67" t="inlineStr">
        <is>
          <t>Activo</t>
        </is>
      </c>
      <c r="C14" s="67" t="n">
        <v>0</v>
      </c>
      <c r="D14" s="67" t="n">
        <v>5965476</v>
      </c>
      <c r="E14" s="67" t="n">
        <v>5118142</v>
      </c>
      <c r="F14" s="67" t="n">
        <v>5118142</v>
      </c>
      <c r="G14" s="67" t="n">
        <v>5118142</v>
      </c>
      <c r="H14" s="67" t="n">
        <v>5118142</v>
      </c>
      <c r="I14" s="67" t="n">
        <v>5118142</v>
      </c>
      <c r="J14" s="67">
        <f>IF(SUM(C14:G14)&gt;0,1,0)</f>
        <v/>
      </c>
      <c r="K14" s="68">
        <f>IF(M14&lt;&gt;"",M14,IF(AND(H14=0,I14=0),"Sin actividad",IF(AND(H14=0,I14&gt;0),IF(J14=1,"Rescatada","Nueva"),IF(AND(H14&gt;0,I14=0),"Churned",IF(I14&gt;H14,"Expansión",IF(I14&lt;H14,"Contracción","Retenida"))))))</f>
        <v/>
      </c>
      <c r="L14" s="67">
        <f>IF(K14="Up Sale (no recurrente)",0,IF(K14="Expansión",I14-H14,IF(K14="Contracción",H14-I14,IF(K14="Retenida",I14,IF(OR(K14="Nueva",K14="Rescatada"),I14,IF(K14="Churned",H14,0))))))</f>
        <v/>
      </c>
      <c r="M14" s="67" t="n"/>
      <c r="N14" s="67">
        <f>IF(K14="Up Sale (no recurrente)",I14,0)</f>
        <v/>
      </c>
    </row>
    <row r="15">
      <c r="A15" s="67" t="inlineStr">
        <is>
          <t>Fundación Organización Vid</t>
        </is>
      </c>
      <c r="B15" s="67" t="inlineStr">
        <is>
          <t>Activo</t>
        </is>
      </c>
      <c r="C15" s="67" t="n">
        <v>2338699.24538737</v>
      </c>
      <c r="D15" s="67" t="n">
        <v>2338699</v>
      </c>
      <c r="E15" s="67" t="n">
        <v>14099524</v>
      </c>
      <c r="F15" s="67" t="n">
        <v>14254915</v>
      </c>
      <c r="G15" s="67" t="n">
        <v>14440019</v>
      </c>
      <c r="H15" s="67" t="n">
        <v>14793897</v>
      </c>
      <c r="I15" s="67" t="n">
        <v>15149201</v>
      </c>
      <c r="J15" s="67">
        <f>IF(SUM(C15:G15)&gt;0,1,0)</f>
        <v/>
      </c>
      <c r="K15" s="68">
        <f>IF(M15&lt;&gt;"",M15,IF(AND(H15=0,I15=0),"Sin actividad",IF(AND(H15=0,I15&gt;0),IF(J15=1,"Rescatada","Nueva"),IF(AND(H15&gt;0,I15=0),"Churned",IF(I15&gt;H15,"Expansión",IF(I15&lt;H15,"Contracción","Retenida"))))))</f>
        <v/>
      </c>
      <c r="L15" s="67">
        <f>IF(K15="Up Sale (no recurrente)",0,IF(K15="Expansión",I15-H15,IF(K15="Contracción",H15-I15,IF(K15="Retenida",I15,IF(OR(K15="Nueva",K15="Rescatada"),I15,IF(K15="Churned",H15,0))))))</f>
        <v/>
      </c>
      <c r="M15" s="67" t="n"/>
      <c r="N15" s="67">
        <f>IF(K15="Up Sale (no recurrente)",I15,0)</f>
        <v/>
      </c>
    </row>
    <row r="16">
      <c r="A16" s="67" t="inlineStr">
        <is>
          <t>Clinica Cardio VID</t>
        </is>
      </c>
      <c r="B16" s="67" t="inlineStr">
        <is>
          <t>Activo</t>
        </is>
      </c>
      <c r="C16" s="67" t="n">
        <v>0</v>
      </c>
      <c r="D16" s="67" t="n">
        <v>0</v>
      </c>
      <c r="E16" s="67" t="n">
        <v>4048044</v>
      </c>
      <c r="F16" s="67" t="n">
        <v>3892653</v>
      </c>
      <c r="G16" s="67" t="n">
        <v>3707549</v>
      </c>
      <c r="H16" s="67" t="n">
        <v>3348226</v>
      </c>
      <c r="I16" s="67" t="n">
        <v>2998368</v>
      </c>
      <c r="J16" s="67">
        <f>IF(SUM(C16:G16)&gt;0,1,0)</f>
        <v/>
      </c>
      <c r="K16" s="68">
        <f>IF(M16&lt;&gt;"",M16,IF(AND(H16=0,I16=0),"Sin actividad",IF(AND(H16=0,I16&gt;0),IF(J16=1,"Rescatada","Nueva"),IF(AND(H16&gt;0,I16=0),"Churned",IF(I16&gt;H16,"Expansión",IF(I16&lt;H16,"Contracción","Retenida"))))))</f>
        <v/>
      </c>
      <c r="L16" s="67">
        <f>IF(K16="Up Sale (no recurrente)",0,IF(K16="Expansión",I16-H16,IF(K16="Contracción",H16-I16,IF(K16="Retenida",I16,IF(OR(K16="Nueva",K16="Rescatada"),I16,IF(K16="Churned",H16,0))))))</f>
        <v/>
      </c>
      <c r="M16" s="67" t="n"/>
      <c r="N16" s="67">
        <f>IF(K16="Up Sale (no recurrente)",I16,0)</f>
        <v/>
      </c>
    </row>
    <row r="17">
      <c r="A17" s="67" t="inlineStr">
        <is>
          <t>Central de Especialistas</t>
        </is>
      </c>
      <c r="B17" s="67" t="inlineStr">
        <is>
          <t>Activo</t>
        </is>
      </c>
      <c r="C17" s="67" t="n">
        <v>2177417</v>
      </c>
      <c r="D17" s="67" t="n">
        <v>3996370</v>
      </c>
      <c r="E17" s="67" t="n">
        <v>3899447</v>
      </c>
      <c r="F17" s="67" t="n">
        <v>3628439</v>
      </c>
      <c r="G17" s="67" t="n">
        <v>2730725</v>
      </c>
      <c r="H17" s="67" t="n">
        <v>3924364.61538462</v>
      </c>
      <c r="I17" s="67" t="n">
        <v>3324724.61538462</v>
      </c>
      <c r="J17" s="67">
        <f>IF(SUM(C17:G17)&gt;0,1,0)</f>
        <v/>
      </c>
      <c r="K17" s="68">
        <f>IF(M17&lt;&gt;"",M17,IF(AND(H17=0,I17=0),"Sin actividad",IF(AND(H17=0,I17&gt;0),IF(J17=1,"Rescatada","Nueva"),IF(AND(H17&gt;0,I17=0),"Churned",IF(I17&gt;H17,"Expansión",IF(I17&lt;H17,"Contracción","Retenida"))))))</f>
        <v/>
      </c>
      <c r="L17" s="67">
        <f>IF(K17="Up Sale (no recurrente)",0,IF(K17="Expansión",I17-H17,IF(K17="Contracción",H17-I17,IF(K17="Retenida",I17,IF(OR(K17="Nueva",K17="Rescatada"),I17,IF(K17="Churned",H17,0))))))</f>
        <v/>
      </c>
      <c r="M17" s="67" t="n"/>
      <c r="N17" s="67">
        <f>IF(K17="Up Sale (no recurrente)",I17,0)</f>
        <v/>
      </c>
    </row>
    <row r="18">
      <c r="A18" s="67" t="inlineStr">
        <is>
          <t>Reencontrarse</t>
        </is>
      </c>
      <c r="B18" s="67" t="inlineStr">
        <is>
          <t>Activo</t>
        </is>
      </c>
      <c r="C18" s="67" t="n">
        <v>9819552</v>
      </c>
      <c r="D18" s="67" t="n">
        <v>10330168.704</v>
      </c>
      <c r="E18" s="67" t="n">
        <v>10320349.152</v>
      </c>
      <c r="F18" s="67" t="n">
        <v>10320349.152</v>
      </c>
      <c r="G18" s="67" t="n">
        <v>10320349.152</v>
      </c>
      <c r="H18" s="67" t="n">
        <v>10523660.0302944</v>
      </c>
      <c r="I18" s="67" t="n">
        <v>10320349.152</v>
      </c>
      <c r="J18" s="67">
        <f>IF(SUM(C18:G18)&gt;0,1,0)</f>
        <v/>
      </c>
      <c r="K18" s="68">
        <f>IF(M18&lt;&gt;"",M18,IF(AND(H18=0,I18=0),"Sin actividad",IF(AND(H18=0,I18&gt;0),IF(J18=1,"Rescatada","Nueva"),IF(AND(H18&gt;0,I18=0),"Churned",IF(I18&gt;H18,"Expansión",IF(I18&lt;H18,"Contracción","Retenida"))))))</f>
        <v/>
      </c>
      <c r="L18" s="67">
        <f>IF(K18="Up Sale (no recurrente)",0,IF(K18="Expansión",I18-H18,IF(K18="Contracción",H18-I18,IF(K18="Retenida",I18,IF(OR(K18="Nueva",K18="Rescatada"),I18,IF(K18="Churned",H18,0))))))</f>
        <v/>
      </c>
      <c r="M18" s="67" t="n"/>
      <c r="N18" s="67">
        <f>IF(K18="Up Sale (no recurrente)",I18,0)</f>
        <v/>
      </c>
    </row>
    <row r="19">
      <c r="A19" s="67" t="inlineStr">
        <is>
          <t>San Diego</t>
        </is>
      </c>
      <c r="B19" s="67" t="inlineStr">
        <is>
          <t>Activo</t>
        </is>
      </c>
      <c r="C19" s="67" t="n">
        <v>688546.9606399999</v>
      </c>
      <c r="D19" s="67" t="n">
        <v>688546.9606399999</v>
      </c>
      <c r="E19" s="67" t="n">
        <v>688546.9606399999</v>
      </c>
      <c r="F19" s="67" t="n">
        <v>688546.9606399999</v>
      </c>
      <c r="G19" s="67" t="n">
        <v>688546.9606399999</v>
      </c>
      <c r="H19" s="67" t="n">
        <v>688546.9606399999</v>
      </c>
      <c r="I19" s="67" t="n">
        <v>688546.9606399999</v>
      </c>
      <c r="J19" s="67">
        <f>IF(SUM(C19:G19)&gt;0,1,0)</f>
        <v/>
      </c>
      <c r="K19" s="68">
        <f>IF(M19&lt;&gt;"",M19,IF(AND(H19=0,I19=0),"Sin actividad",IF(AND(H19=0,I19&gt;0),IF(J19=1,"Rescatada","Nueva"),IF(AND(H19&gt;0,I19=0),"Churned",IF(I19&gt;H19,"Expansión",IF(I19&lt;H19,"Contracción","Retenida"))))))</f>
        <v/>
      </c>
      <c r="L19" s="67">
        <f>IF(K19="Up Sale (no recurrente)",0,IF(K19="Expansión",I19-H19,IF(K19="Contracción",H19-I19,IF(K19="Retenida",I19,IF(OR(K19="Nueva",K19="Rescatada"),I19,IF(K19="Churned",H19,0))))))</f>
        <v/>
      </c>
      <c r="M19" s="67" t="n"/>
      <c r="N19" s="67">
        <f>IF(K19="Up Sale (no recurrente)",I19,0)</f>
        <v/>
      </c>
    </row>
    <row r="20">
      <c r="A20" s="67" t="inlineStr">
        <is>
          <t>Promotora Pinares</t>
        </is>
      </c>
      <c r="B20" s="67" t="inlineStr">
        <is>
          <t>Activo</t>
        </is>
      </c>
      <c r="C20" s="67" t="n">
        <v>852120</v>
      </c>
      <c r="D20" s="67" t="n">
        <v>852120</v>
      </c>
      <c r="E20" s="67" t="n">
        <v>852120</v>
      </c>
      <c r="F20" s="67" t="n">
        <v>852120</v>
      </c>
      <c r="G20" s="67" t="n">
        <v>852120</v>
      </c>
      <c r="H20" s="67" t="n">
        <v>852120</v>
      </c>
      <c r="I20" s="67" t="n">
        <v>852120</v>
      </c>
      <c r="J20" s="67">
        <f>IF(SUM(C20:G20)&gt;0,1,0)</f>
        <v/>
      </c>
      <c r="K20" s="68">
        <f>IF(M20&lt;&gt;"",M20,IF(AND(H20=0,I20=0),"Sin actividad",IF(AND(H20=0,I20&gt;0),IF(J20=1,"Rescatada","Nueva"),IF(AND(H20&gt;0,I20=0),"Churned",IF(I20&gt;H20,"Expansión",IF(I20&lt;H20,"Contracción","Retenida"))))))</f>
        <v/>
      </c>
      <c r="L20" s="67">
        <f>IF(K20="Up Sale (no recurrente)",0,IF(K20="Expansión",I20-H20,IF(K20="Contracción",H20-I20,IF(K20="Retenida",I20,IF(OR(K20="Nueva",K20="Rescatada"),I20,IF(K20="Churned",H20,0))))))</f>
        <v/>
      </c>
      <c r="M20" s="67" t="n"/>
      <c r="N20" s="67">
        <f>IF(K20="Up Sale (no recurrente)",I20,0)</f>
        <v/>
      </c>
    </row>
    <row r="21">
      <c r="A21" s="67" t="inlineStr">
        <is>
          <t>Humanos SAS</t>
        </is>
      </c>
      <c r="B21" s="67" t="inlineStr">
        <is>
          <t>Activo</t>
        </is>
      </c>
      <c r="C21" s="67" t="n">
        <v>688546.9606399999</v>
      </c>
      <c r="D21" s="67" t="n">
        <v>688546.9606399999</v>
      </c>
      <c r="E21" s="67" t="n">
        <v>688546.9606399999</v>
      </c>
      <c r="F21" s="67" t="n">
        <v>688546.9606399999</v>
      </c>
      <c r="G21" s="67" t="n">
        <v>688546.9606399999</v>
      </c>
      <c r="H21" s="67" t="n">
        <v>688546.9606399999</v>
      </c>
      <c r="I21" s="67" t="n">
        <v>688546.9606399999</v>
      </c>
      <c r="J21" s="67">
        <f>IF(SUM(C21:G21)&gt;0,1,0)</f>
        <v/>
      </c>
      <c r="K21" s="68">
        <f>IF(M21&lt;&gt;"",M21,IF(AND(H21=0,I21=0),"Sin actividad",IF(AND(H21=0,I21&gt;0),IF(J21=1,"Rescatada","Nueva"),IF(AND(H21&gt;0,I21=0),"Churned",IF(I21&gt;H21,"Expansión",IF(I21&lt;H21,"Contracción","Retenida"))))))</f>
        <v/>
      </c>
      <c r="L21" s="67">
        <f>IF(K21="Up Sale (no recurrente)",0,IF(K21="Expansión",I21-H21,IF(K21="Contracción",H21-I21,IF(K21="Retenida",I21,IF(OR(K21="Nueva",K21="Rescatada"),I21,IF(K21="Churned",H21,0))))))</f>
        <v/>
      </c>
      <c r="M21" s="67" t="n"/>
      <c r="N21" s="67">
        <f>IF(K21="Up Sale (no recurrente)",I21,0)</f>
        <v/>
      </c>
    </row>
    <row r="22">
      <c r="A22" s="67" t="inlineStr">
        <is>
          <t>Comite de rehabilitacion</t>
        </is>
      </c>
      <c r="B22" s="67" t="inlineStr">
        <is>
          <t>Activo</t>
        </is>
      </c>
      <c r="C22" s="67" t="n">
        <v>4524205.952</v>
      </c>
      <c r="D22" s="67" t="n">
        <v>4524205.952</v>
      </c>
      <c r="E22" s="67" t="n">
        <v>4733224.2669824</v>
      </c>
      <c r="F22" s="67" t="n">
        <v>5147641.5321856</v>
      </c>
      <c r="G22" s="67" t="n">
        <v>4963053.929344</v>
      </c>
      <c r="H22" s="67" t="n">
        <v>4084000.721024</v>
      </c>
      <c r="I22" s="67" t="n">
        <v>4524205.952</v>
      </c>
      <c r="J22" s="67">
        <f>IF(SUM(C22:G22)&gt;0,1,0)</f>
        <v/>
      </c>
      <c r="K22" s="68">
        <f>IF(M22&lt;&gt;"",M22,IF(AND(H22=0,I22=0),"Sin actividad",IF(AND(H22=0,I22&gt;0),IF(J22=1,"Rescatada","Nueva"),IF(AND(H22&gt;0,I22=0),"Churned",IF(I22&gt;H22,"Expansión",IF(I22&lt;H22,"Contracción","Retenida"))))))</f>
        <v/>
      </c>
      <c r="L22" s="67">
        <f>IF(K22="Up Sale (no recurrente)",0,IF(K22="Expansión",I22-H22,IF(K22="Contracción",H22-I22,IF(K22="Retenida",I22,IF(OR(K22="Nueva",K22="Rescatada"),I22,IF(K22="Churned",H22,0))))))</f>
        <v/>
      </c>
      <c r="M22" s="67" t="n"/>
      <c r="N22" s="67">
        <f>IF(K22="Up Sale (no recurrente)",I22,0)</f>
        <v/>
      </c>
    </row>
    <row r="23">
      <c r="A23" s="67" t="inlineStr">
        <is>
          <t>Surgifast</t>
        </is>
      </c>
      <c r="B23" s="67" t="inlineStr">
        <is>
          <t>Activo</t>
        </is>
      </c>
      <c r="C23" s="67" t="n">
        <v>528827.43936</v>
      </c>
      <c r="D23" s="67" t="n">
        <v>528827.43936</v>
      </c>
      <c r="E23" s="67" t="n">
        <v>528827.43936</v>
      </c>
      <c r="F23" s="67" t="n">
        <v>528827.43936</v>
      </c>
      <c r="G23" s="67" t="n">
        <v>528827.43936</v>
      </c>
      <c r="H23" s="67" t="n">
        <v>528827.43936</v>
      </c>
      <c r="I23" s="67" t="n">
        <v>528827.43936</v>
      </c>
      <c r="J23" s="67">
        <f>IF(SUM(C23:G23)&gt;0,1,0)</f>
        <v/>
      </c>
      <c r="K23" s="68">
        <f>IF(M23&lt;&gt;"",M23,IF(AND(H23=0,I23=0),"Sin actividad",IF(AND(H23=0,I23&gt;0),IF(J23=1,"Rescatada","Nueva"),IF(AND(H23&gt;0,I23=0),"Churned",IF(I23&gt;H23,"Expansión",IF(I23&lt;H23,"Contracción","Retenida"))))))</f>
        <v/>
      </c>
      <c r="L23" s="67">
        <f>IF(K23="Up Sale (no recurrente)",0,IF(K23="Expansión",I23-H23,IF(K23="Contracción",H23-I23,IF(K23="Retenida",I23,IF(OR(K23="Nueva",K23="Rescatada"),I23,IF(K23="Churned",H23,0))))))</f>
        <v/>
      </c>
      <c r="M23" s="67" t="n"/>
      <c r="N23" s="67">
        <f>IF(K23="Up Sale (no recurrente)",I23,0)</f>
        <v/>
      </c>
    </row>
    <row r="24">
      <c r="A24" s="67" t="inlineStr">
        <is>
          <t>Instituto Neurologico</t>
        </is>
      </c>
      <c r="B24" s="67" t="inlineStr">
        <is>
          <t>Activo</t>
        </is>
      </c>
      <c r="C24" s="67" t="n">
        <v>9497456</v>
      </c>
      <c r="D24" s="67" t="n">
        <v>9497456</v>
      </c>
      <c r="E24" s="67" t="n">
        <v>9497456</v>
      </c>
      <c r="F24" s="67" t="n">
        <v>9497456</v>
      </c>
      <c r="G24" s="67" t="n">
        <v>9497456</v>
      </c>
      <c r="H24" s="67" t="n">
        <v>10013737.70816</v>
      </c>
      <c r="I24" s="67" t="n">
        <v>10163037.71648</v>
      </c>
      <c r="J24" s="67">
        <f>IF(SUM(C24:G24)&gt;0,1,0)</f>
        <v/>
      </c>
      <c r="K24" s="68">
        <f>IF(M24&lt;&gt;"",M24,IF(AND(H24=0,I24=0),"Sin actividad",IF(AND(H24=0,I24&gt;0),IF(J24=1,"Rescatada","Nueva"),IF(AND(H24&gt;0,I24=0),"Churned",IF(I24&gt;H24,"Expansión",IF(I24&lt;H24,"Contracción","Retenida"))))))</f>
        <v/>
      </c>
      <c r="L24" s="67">
        <f>IF(K24="Up Sale (no recurrente)",0,IF(K24="Expansión",I24-H24,IF(K24="Contracción",H24-I24,IF(K24="Retenida",I24,IF(OR(K24="Nueva",K24="Rescatada"),I24,IF(K24="Churned",H24,0))))))</f>
        <v/>
      </c>
      <c r="M24" s="67" t="n"/>
      <c r="N24" s="67">
        <f>IF(K24="Up Sale (no recurrente)",I24,0)</f>
        <v/>
      </c>
    </row>
    <row r="25">
      <c r="A25" s="67" t="inlineStr">
        <is>
          <t>Assomet</t>
        </is>
      </c>
      <c r="B25" s="67" t="inlineStr">
        <is>
          <t>Activo</t>
        </is>
      </c>
      <c r="C25" s="67" t="n">
        <v>643919</v>
      </c>
      <c r="D25" s="67" t="n">
        <v>643919</v>
      </c>
      <c r="E25" s="67" t="n">
        <v>619288.88576</v>
      </c>
      <c r="F25" s="67" t="n">
        <v>619288.88576</v>
      </c>
      <c r="G25" s="67" t="n">
        <v>619288.88576</v>
      </c>
      <c r="H25" s="67" t="n">
        <v>619288.88576</v>
      </c>
      <c r="I25" s="67" t="n">
        <v>619288.88576</v>
      </c>
      <c r="J25" s="67">
        <f>IF(SUM(C25:G25)&gt;0,1,0)</f>
        <v/>
      </c>
      <c r="K25" s="68">
        <f>IF(M25&lt;&gt;"",M25,IF(AND(H25=0,I25=0),"Sin actividad",IF(AND(H25=0,I25&gt;0),IF(J25=1,"Rescatada","Nueva"),IF(AND(H25&gt;0,I25=0),"Churned",IF(I25&gt;H25,"Expansión",IF(I25&lt;H25,"Contracción","Retenida"))))))</f>
        <v/>
      </c>
      <c r="L25" s="67">
        <f>IF(K25="Up Sale (no recurrente)",0,IF(K25="Expansión",I25-H25,IF(K25="Contracción",H25-I25,IF(K25="Retenida",I25,IF(OR(K25="Nueva",K25="Rescatada"),I25,IF(K25="Churned",H25,0))))))</f>
        <v/>
      </c>
      <c r="M25" s="67" t="n"/>
      <c r="N25" s="67">
        <f>IF(K25="Up Sale (no recurrente)",I25,0)</f>
        <v/>
      </c>
    </row>
    <row r="26">
      <c r="A26" s="67" t="inlineStr">
        <is>
          <t>Endosalud de Occidente SA</t>
        </is>
      </c>
      <c r="B26" s="67" t="inlineStr">
        <is>
          <t>Activo</t>
        </is>
      </c>
      <c r="C26" s="67" t="n">
        <v>1746520</v>
      </c>
      <c r="D26" s="67" t="n">
        <v>1200000</v>
      </c>
      <c r="E26" s="67" t="n">
        <v>1200000</v>
      </c>
      <c r="F26" s="67" t="n">
        <v>547040</v>
      </c>
      <c r="G26" s="67" t="n">
        <v>547040</v>
      </c>
      <c r="H26" s="67" t="n">
        <v>547040</v>
      </c>
      <c r="I26" s="67" t="n">
        <v>1261200</v>
      </c>
      <c r="J26" s="67">
        <f>IF(SUM(C26:G26)&gt;0,1,0)</f>
        <v/>
      </c>
      <c r="K26" s="68">
        <f>IF(M26&lt;&gt;"",M26,IF(AND(H26=0,I26=0),"Sin actividad",IF(AND(H26=0,I26&gt;0),IF(J26=1,"Rescatada","Nueva"),IF(AND(H26&gt;0,I26=0),"Churned",IF(I26&gt;H26,"Expansión",IF(I26&lt;H26,"Contracción","Retenida"))))))</f>
        <v/>
      </c>
      <c r="L26" s="67">
        <f>IF(K26="Up Sale (no recurrente)",0,IF(K26="Expansión",I26-H26,IF(K26="Contracción",H26-I26,IF(K26="Retenida",I26,IF(OR(K26="Nueva",K26="Rescatada"),I26,IF(K26="Churned",H26,0))))))</f>
        <v/>
      </c>
      <c r="M26" s="67" t="n"/>
      <c r="N26" s="67">
        <f>IF(K26="Up Sale (no recurrente)",I26,0)</f>
        <v/>
      </c>
    </row>
    <row r="27">
      <c r="A27" s="67" t="inlineStr">
        <is>
          <t>Departamento de Radiologia</t>
        </is>
      </c>
      <c r="B27" s="67" t="inlineStr">
        <is>
          <t>Activo</t>
        </is>
      </c>
      <c r="C27" s="67" t="n">
        <v>6266610.408</v>
      </c>
      <c r="D27" s="67" t="n">
        <v>7740158.38</v>
      </c>
      <c r="E27" s="67" t="n">
        <v>6266610.408</v>
      </c>
      <c r="F27" s="67" t="n">
        <v>6266610.408</v>
      </c>
      <c r="G27" s="67" t="n">
        <v>6266610.408</v>
      </c>
      <c r="H27" s="67" t="n">
        <v>3530238</v>
      </c>
      <c r="I27" s="67" t="n">
        <v>3530238</v>
      </c>
      <c r="J27" s="67">
        <f>IF(SUM(C27:G27)&gt;0,1,0)</f>
        <v/>
      </c>
      <c r="K27" s="68">
        <f>IF(M27&lt;&gt;"",M27,IF(AND(H27=0,I27=0),"Sin actividad",IF(AND(H27=0,I27&gt;0),IF(J27=1,"Rescatada","Nueva"),IF(AND(H27&gt;0,I27=0),"Churned",IF(I27&gt;H27,"Expansión",IF(I27&lt;H27,"Contracción","Retenida"))))))</f>
        <v/>
      </c>
      <c r="L27" s="67">
        <f>IF(K27="Up Sale (no recurrente)",0,IF(K27="Expansión",I27-H27,IF(K27="Contracción",H27-I27,IF(K27="Retenida",I27,IF(OR(K27="Nueva",K27="Rescatada"),I27,IF(K27="Churned",H27,0))))))</f>
        <v/>
      </c>
      <c r="M27" s="67" t="n"/>
      <c r="N27" s="67">
        <f>IF(K27="Up Sale (no recurrente)",I27,0)</f>
        <v/>
      </c>
    </row>
    <row r="28">
      <c r="A28" s="67" t="inlineStr">
        <is>
          <t>ESE Hospital Tomas Uribe Uribe - Tulua (ASOHSVAL)</t>
        </is>
      </c>
      <c r="B28" s="67" t="inlineStr">
        <is>
          <t>Activo</t>
        </is>
      </c>
      <c r="C28" s="67" t="n">
        <v>13969395</v>
      </c>
      <c r="D28" s="67" t="n">
        <v>13516065</v>
      </c>
      <c r="E28" s="67" t="n">
        <v>12401370</v>
      </c>
      <c r="F28" s="67" t="n">
        <v>16374735</v>
      </c>
      <c r="G28" s="67" t="n">
        <v>13797585</v>
      </c>
      <c r="H28" s="67" t="n">
        <v>16176015</v>
      </c>
      <c r="I28" s="67" t="n">
        <v>15628500</v>
      </c>
      <c r="J28" s="67">
        <f>IF(SUM(C28:G28)&gt;0,1,0)</f>
        <v/>
      </c>
      <c r="K28" s="68">
        <f>IF(M28&lt;&gt;"",M28,IF(AND(H28=0,I28=0),"Sin actividad",IF(AND(H28=0,I28&gt;0),IF(J28=1,"Rescatada","Nueva"),IF(AND(H28&gt;0,I28=0),"Churned",IF(I28&gt;H28,"Expansión",IF(I28&lt;H28,"Contracción","Retenida"))))))</f>
        <v/>
      </c>
      <c r="L28" s="67">
        <f>IF(K28="Up Sale (no recurrente)",0,IF(K28="Expansión",I28-H28,IF(K28="Contracción",H28-I28,IF(K28="Retenida",I28,IF(OR(K28="Nueva",K28="Rescatada"),I28,IF(K28="Churned",H28,0))))))</f>
        <v/>
      </c>
      <c r="M28" s="67" t="n"/>
      <c r="N28" s="67">
        <f>IF(K28="Up Sale (no recurrente)",I28,0)</f>
        <v/>
      </c>
    </row>
    <row r="29">
      <c r="A29" s="67" t="inlineStr">
        <is>
          <t>Santa Fe de Antioquia (San Juan de Dios)</t>
        </is>
      </c>
      <c r="B29" s="67" t="inlineStr">
        <is>
          <t>Activo</t>
        </is>
      </c>
      <c r="C29" s="67" t="n">
        <v>0</v>
      </c>
      <c r="D29" s="67" t="n">
        <v>28188580</v>
      </c>
      <c r="E29" s="67" t="n">
        <v>28188580</v>
      </c>
      <c r="F29" s="67" t="n">
        <v>28188580</v>
      </c>
      <c r="G29" s="67" t="n">
        <v>28188580</v>
      </c>
      <c r="H29" s="67" t="n">
        <v>28188580</v>
      </c>
      <c r="I29" s="67" t="n">
        <v>28188580</v>
      </c>
      <c r="J29" s="67">
        <f>IF(SUM(C29:G29)&gt;0,1,0)</f>
        <v/>
      </c>
      <c r="K29" s="68">
        <f>IF(M29&lt;&gt;"",M29,IF(AND(H29=0,I29=0),"Sin actividad",IF(AND(H29=0,I29&gt;0),IF(J29=1,"Rescatada","Nueva"),IF(AND(H29&gt;0,I29=0),"Churned",IF(I29&gt;H29,"Expansión",IF(I29&lt;H29,"Contracción","Retenida"))))))</f>
        <v/>
      </c>
      <c r="L29" s="67">
        <f>IF(K29="Up Sale (no recurrente)",0,IF(K29="Expansión",I29-H29,IF(K29="Contracción",H29-I29,IF(K29="Retenida",I29,IF(OR(K29="Nueva",K29="Rescatada"),I29,IF(K29="Churned",H29,0))))))</f>
        <v/>
      </c>
      <c r="M29" s="67" t="n"/>
      <c r="N29" s="67">
        <f>IF(K29="Up Sale (no recurrente)",I29,0)</f>
        <v/>
      </c>
    </row>
    <row r="30">
      <c r="A30" s="67" t="inlineStr">
        <is>
          <t>Cidsalud IPS</t>
        </is>
      </c>
      <c r="B30" s="67" t="inlineStr">
        <is>
          <t>Activo</t>
        </is>
      </c>
      <c r="C30" s="67" t="n">
        <v>3106377.16</v>
      </c>
      <c r="D30" s="67" t="n">
        <v>4232774.6</v>
      </c>
      <c r="E30" s="67" t="n">
        <v>4232774.6</v>
      </c>
      <c r="F30" s="67" t="n">
        <v>4232774.6</v>
      </c>
      <c r="G30" s="67" t="n">
        <v>4232774.6</v>
      </c>
      <c r="H30" s="67" t="n">
        <v>3106377</v>
      </c>
      <c r="I30" s="67" t="n">
        <v>3106377</v>
      </c>
      <c r="J30" s="67">
        <f>IF(SUM(C30:G30)&gt;0,1,0)</f>
        <v/>
      </c>
      <c r="K30" s="68">
        <f>IF(M30&lt;&gt;"",M30,IF(AND(H30=0,I30=0),"Sin actividad",IF(AND(H30=0,I30&gt;0),IF(J30=1,"Rescatada","Nueva"),IF(AND(H30&gt;0,I30=0),"Churned",IF(I30&gt;H30,"Expansión",IF(I30&lt;H30,"Contracción","Retenida"))))))</f>
        <v/>
      </c>
      <c r="L30" s="67">
        <f>IF(K30="Up Sale (no recurrente)",0,IF(K30="Expansión",I30-H30,IF(K30="Contracción",H30-I30,IF(K30="Retenida",I30,IF(OR(K30="Nueva",K30="Rescatada"),I30,IF(K30="Churned",H30,0))))))</f>
        <v/>
      </c>
      <c r="M30" s="67" t="n"/>
      <c r="N30" s="67">
        <f>IF(K30="Up Sale (no recurrente)",I30,0)</f>
        <v/>
      </c>
    </row>
    <row r="31">
      <c r="A31" s="67" t="inlineStr">
        <is>
          <t>Clinica Bonnadona</t>
        </is>
      </c>
      <c r="B31" s="67" t="inlineStr">
        <is>
          <t>Activo</t>
        </is>
      </c>
      <c r="C31" s="67" t="n">
        <v>1299220</v>
      </c>
      <c r="D31" s="67" t="n">
        <v>1299220</v>
      </c>
      <c r="E31" s="67" t="n">
        <v>1888647</v>
      </c>
      <c r="F31" s="67" t="n">
        <v>1297985</v>
      </c>
      <c r="G31" s="67" t="n">
        <v>1297985</v>
      </c>
      <c r="H31" s="67" t="n">
        <v>1297985</v>
      </c>
      <c r="I31" s="67" t="n">
        <v>1297985</v>
      </c>
      <c r="J31" s="67">
        <f>IF(SUM(C31:G31)&gt;0,1,0)</f>
        <v/>
      </c>
      <c r="K31" s="68">
        <f>IF(M31&lt;&gt;"",M31,IF(AND(H31=0,I31=0),"Sin actividad",IF(AND(H31=0,I31&gt;0),IF(J31=1,"Rescatada","Nueva"),IF(AND(H31&gt;0,I31=0),"Churned",IF(I31&gt;H31,"Expansión",IF(I31&lt;H31,"Contracción","Retenida"))))))</f>
        <v/>
      </c>
      <c r="L31" s="67">
        <f>IF(K31="Up Sale (no recurrente)",0,IF(K31="Expansión",I31-H31,IF(K31="Contracción",H31-I31,IF(K31="Retenida",I31,IF(OR(K31="Nueva",K31="Rescatada"),I31,IF(K31="Churned",H31,0))))))</f>
        <v/>
      </c>
      <c r="M31" s="67" t="n"/>
      <c r="N31" s="67">
        <f>IF(K31="Up Sale (no recurrente)",I31,0)</f>
        <v/>
      </c>
    </row>
    <row r="32">
      <c r="A32" s="67" t="inlineStr">
        <is>
          <t>ESE Ceminsa</t>
        </is>
      </c>
      <c r="B32" s="67" t="inlineStr">
        <is>
          <t>Activo</t>
        </is>
      </c>
      <c r="C32" s="67" t="n">
        <v>0</v>
      </c>
      <c r="D32" s="67" t="n">
        <v>9768302</v>
      </c>
      <c r="E32" s="67" t="n">
        <v>9768302</v>
      </c>
      <c r="F32" s="67" t="n">
        <v>9768302</v>
      </c>
      <c r="G32" s="67" t="n">
        <v>9768302</v>
      </c>
      <c r="H32" s="67" t="n">
        <v>9768302</v>
      </c>
      <c r="I32" s="67" t="n">
        <v>9768302</v>
      </c>
      <c r="J32" s="67">
        <f>IF(SUM(C32:G32)&gt;0,1,0)</f>
        <v/>
      </c>
      <c r="K32" s="68">
        <f>IF(M32&lt;&gt;"",M32,IF(AND(H32=0,I32=0),"Sin actividad",IF(AND(H32=0,I32&gt;0),IF(J32=1,"Rescatada","Nueva"),IF(AND(H32&gt;0,I32=0),"Churned",IF(I32&gt;H32,"Expansión",IF(I32&lt;H32,"Contracción","Retenida"))))))</f>
        <v/>
      </c>
      <c r="L32" s="67">
        <f>IF(K32="Up Sale (no recurrente)",0,IF(K32="Expansión",I32-H32,IF(K32="Contracción",H32-I32,IF(K32="Retenida",I32,IF(OR(K32="Nueva",K32="Rescatada"),I32,IF(K32="Churned",H32,0))))))</f>
        <v/>
      </c>
      <c r="M32" s="67" t="n"/>
      <c r="N32" s="67">
        <f>IF(K32="Up Sale (no recurrente)",I32,0)</f>
        <v/>
      </c>
    </row>
    <row r="33">
      <c r="A33" s="67" t="inlineStr">
        <is>
          <t>Clinicos</t>
        </is>
      </c>
      <c r="B33" s="67" t="inlineStr">
        <is>
          <t>Activo</t>
        </is>
      </c>
      <c r="C33" s="67" t="n">
        <v>16023108.784</v>
      </c>
      <c r="D33" s="67" t="n">
        <v>16023108.784</v>
      </c>
      <c r="E33" s="67" t="n">
        <v>16023108.784</v>
      </c>
      <c r="F33" s="67" t="n">
        <v>16023108.784</v>
      </c>
      <c r="G33" s="67" t="n">
        <v>9624000</v>
      </c>
      <c r="H33" s="67" t="n">
        <v>9624000</v>
      </c>
      <c r="I33" s="67" t="n">
        <v>9624000</v>
      </c>
      <c r="J33" s="67">
        <f>IF(SUM(C33:G33)&gt;0,1,0)</f>
        <v/>
      </c>
      <c r="K33" s="68">
        <f>IF(M33&lt;&gt;"",M33,IF(AND(H33=0,I33=0),"Sin actividad",IF(AND(H33=0,I33&gt;0),IF(J33=1,"Rescatada","Nueva"),IF(AND(H33&gt;0,I33=0),"Churned",IF(I33&gt;H33,"Expansión",IF(I33&lt;H33,"Contracción","Retenida"))))))</f>
        <v/>
      </c>
      <c r="L33" s="67">
        <f>IF(K33="Up Sale (no recurrente)",0,IF(K33="Expansión",I33-H33,IF(K33="Contracción",H33-I33,IF(K33="Retenida",I33,IF(OR(K33="Nueva",K33="Rescatada"),I33,IF(K33="Churned",H33,0))))))</f>
        <v/>
      </c>
      <c r="M33" s="67" t="n"/>
      <c r="N33" s="67">
        <f>IF(K33="Up Sale (no recurrente)",I33,0)</f>
        <v/>
      </c>
    </row>
    <row r="34">
      <c r="A34" s="67" t="inlineStr">
        <is>
          <t>ESE Santa Margarita de La Cumbre (ASOHSVAL)</t>
        </is>
      </c>
      <c r="B34" s="67" t="inlineStr">
        <is>
          <t>Activo</t>
        </is>
      </c>
      <c r="C34" s="67" t="n">
        <v>0</v>
      </c>
      <c r="D34" s="67" t="n">
        <v>1552800</v>
      </c>
      <c r="E34" s="67" t="n">
        <v>967200</v>
      </c>
      <c r="F34" s="67" t="n">
        <v>1288800</v>
      </c>
      <c r="G34" s="67" t="n">
        <v>657288</v>
      </c>
      <c r="H34" s="67" t="n">
        <v>0</v>
      </c>
      <c r="I34" s="67" t="n">
        <v>0</v>
      </c>
      <c r="J34" s="67">
        <f>IF(SUM(C34:G34)&gt;0,1,0)</f>
        <v/>
      </c>
      <c r="K34" s="68">
        <f>IF(M34&lt;&gt;"",M34,IF(AND(H34=0,I34=0),"Sin actividad",IF(AND(H34=0,I34&gt;0),IF(J34=1,"Rescatada","Nueva"),IF(AND(H34&gt;0,I34=0),"Churned",IF(I34&gt;H34,"Expansión",IF(I34&lt;H34,"Contracción","Retenida"))))))</f>
        <v/>
      </c>
      <c r="L34" s="67">
        <f>IF(K34="Up Sale (no recurrente)",0,IF(K34="Expansión",I34-H34,IF(K34="Contracción",H34-I34,IF(K34="Retenida",I34,IF(OR(K34="Nueva",K34="Rescatada"),I34,IF(K34="Churned",H34,0))))))</f>
        <v/>
      </c>
      <c r="M34" s="67" t="n"/>
      <c r="N34" s="67">
        <f>IF(K34="Up Sale (no recurrente)",I34,0)</f>
        <v/>
      </c>
    </row>
    <row r="35">
      <c r="A35" s="67" t="inlineStr">
        <is>
          <t>Sociedad Medica Antioqueña (SOMA)</t>
        </is>
      </c>
      <c r="B35" s="67" t="inlineStr">
        <is>
          <t>Activo</t>
        </is>
      </c>
      <c r="C35" s="67" t="n">
        <v>6266610.408</v>
      </c>
      <c r="D35" s="67" t="n">
        <v>6266610.408</v>
      </c>
      <c r="E35" s="67" t="n">
        <v>6266610.408</v>
      </c>
      <c r="F35" s="67" t="n">
        <v>6266610.408</v>
      </c>
      <c r="G35" s="67" t="n">
        <v>6266610.408</v>
      </c>
      <c r="H35" s="67" t="n">
        <v>6266610.408</v>
      </c>
      <c r="I35" s="67" t="n">
        <v>6266610.408</v>
      </c>
      <c r="J35" s="67">
        <f>IF(SUM(C35:G35)&gt;0,1,0)</f>
        <v/>
      </c>
      <c r="K35" s="68">
        <f>IF(M35&lt;&gt;"",M35,IF(AND(H35=0,I35=0),"Sin actividad",IF(AND(H35=0,I35&gt;0),IF(J35=1,"Rescatada","Nueva"),IF(AND(H35&gt;0,I35=0),"Churned",IF(I35&gt;H35,"Expansión",IF(I35&lt;H35,"Contracción","Retenida"))))))</f>
        <v/>
      </c>
      <c r="L35" s="67">
        <f>IF(K35="Up Sale (no recurrente)",0,IF(K35="Expansión",I35-H35,IF(K35="Contracción",H35-I35,IF(K35="Retenida",I35,IF(OR(K35="Nueva",K35="Rescatada"),I35,IF(K35="Churned",H35,0))))))</f>
        <v/>
      </c>
      <c r="M35" s="67" t="n"/>
      <c r="N35" s="67">
        <f>IF(K35="Up Sale (no recurrente)",I35,0)</f>
        <v/>
      </c>
    </row>
    <row r="36">
      <c r="A36" s="67" t="inlineStr">
        <is>
          <t>Liga Contra el Cancer</t>
        </is>
      </c>
      <c r="B36" s="67" t="inlineStr">
        <is>
          <t>Activo</t>
        </is>
      </c>
      <c r="C36" s="67" t="n">
        <v>15015564.2</v>
      </c>
      <c r="D36" s="67" t="n">
        <v>15043342.99377</v>
      </c>
      <c r="E36" s="67" t="n">
        <v>15826334.8444265</v>
      </c>
      <c r="F36" s="67" t="n">
        <v>16377104.2377261</v>
      </c>
      <c r="G36" s="67" t="n">
        <v>15781357.9742</v>
      </c>
      <c r="H36" s="67" t="n">
        <v>15781357.9742</v>
      </c>
      <c r="I36" s="67" t="n">
        <v>15781357.9742</v>
      </c>
      <c r="J36" s="67">
        <f>IF(SUM(C36:G36)&gt;0,1,0)</f>
        <v/>
      </c>
      <c r="K36" s="68">
        <f>IF(M36&lt;&gt;"",M36,IF(AND(H36=0,I36=0),"Sin actividad",IF(AND(H36=0,I36&gt;0),IF(J36=1,"Rescatada","Nueva"),IF(AND(H36&gt;0,I36=0),"Churned",IF(I36&gt;H36,"Expansión",IF(I36&lt;H36,"Contracción","Retenida"))))))</f>
        <v/>
      </c>
      <c r="L36" s="67">
        <f>IF(K36="Up Sale (no recurrente)",0,IF(K36="Expansión",I36-H36,IF(K36="Contracción",H36-I36,IF(K36="Retenida",I36,IF(OR(K36="Nueva",K36="Rescatada"),I36,IF(K36="Churned",H36,0))))))</f>
        <v/>
      </c>
      <c r="M36" s="67" t="n"/>
      <c r="N36" s="67">
        <f>IF(K36="Up Sale (no recurrente)",I36,0)</f>
        <v/>
      </c>
    </row>
    <row r="37">
      <c r="A37" s="67" t="inlineStr">
        <is>
          <t>IPS Especializada</t>
        </is>
      </c>
      <c r="B37" s="67" t="inlineStr">
        <is>
          <t>Activo</t>
        </is>
      </c>
      <c r="C37" s="67" t="n">
        <v>10510000</v>
      </c>
      <c r="D37" s="67" t="n">
        <v>10160000</v>
      </c>
      <c r="E37" s="67" t="n">
        <v>9610330</v>
      </c>
      <c r="F37" s="67" t="n">
        <v>9911277</v>
      </c>
      <c r="G37" s="67" t="n">
        <v>10488980</v>
      </c>
      <c r="H37" s="67" t="n">
        <v>10488980</v>
      </c>
      <c r="I37" s="67" t="n">
        <v>10488980</v>
      </c>
      <c r="J37" s="67">
        <f>IF(SUM(C37:G37)&gt;0,1,0)</f>
        <v/>
      </c>
      <c r="K37" s="68">
        <f>IF(M37&lt;&gt;"",M37,IF(AND(H37=0,I37=0),"Sin actividad",IF(AND(H37=0,I37&gt;0),IF(J37=1,"Rescatada","Nueva"),IF(AND(H37&gt;0,I37=0),"Churned",IF(I37&gt;H37,"Expansión",IF(I37&lt;H37,"Contracción","Retenida"))))))</f>
        <v/>
      </c>
      <c r="L37" s="67">
        <f>IF(K37="Up Sale (no recurrente)",0,IF(K37="Expansión",I37-H37,IF(K37="Contracción",H37-I37,IF(K37="Retenida",I37,IF(OR(K37="Nueva",K37="Rescatada"),I37,IF(K37="Churned",H37,0))))))</f>
        <v/>
      </c>
      <c r="M37" s="67" t="n"/>
      <c r="N37" s="67">
        <f>IF(K37="Up Sale (no recurrente)",I37,0)</f>
        <v/>
      </c>
    </row>
    <row r="38">
      <c r="A38" s="67" t="inlineStr">
        <is>
          <t>IPS de la Costa</t>
        </is>
      </c>
      <c r="B38" s="67" t="inlineStr">
        <is>
          <t>Activo</t>
        </is>
      </c>
      <c r="C38" s="67" t="n">
        <v>1225000</v>
      </c>
      <c r="D38" s="67" t="n">
        <v>1288700</v>
      </c>
      <c r="E38" s="67" t="n">
        <v>1288700</v>
      </c>
      <c r="F38" s="67" t="n">
        <v>1288700</v>
      </c>
      <c r="G38" s="67" t="n">
        <v>1288700</v>
      </c>
      <c r="H38" s="67" t="n">
        <v>1288700</v>
      </c>
      <c r="I38" s="67" t="n">
        <v>1288700</v>
      </c>
      <c r="J38" s="67">
        <f>IF(SUM(C38:G38)&gt;0,1,0)</f>
        <v/>
      </c>
      <c r="K38" s="68">
        <f>IF(M38&lt;&gt;"",M38,IF(AND(H38=0,I38=0),"Sin actividad",IF(AND(H38=0,I38&gt;0),IF(J38=1,"Rescatada","Nueva"),IF(AND(H38&gt;0,I38=0),"Churned",IF(I38&gt;H38,"Expansión",IF(I38&lt;H38,"Contracción","Retenida"))))))</f>
        <v/>
      </c>
      <c r="L38" s="67">
        <f>IF(K38="Up Sale (no recurrente)",0,IF(K38="Expansión",I38-H38,IF(K38="Contracción",H38-I38,IF(K38="Retenida",I38,IF(OR(K38="Nueva",K38="Rescatada"),I38,IF(K38="Churned",H38,0))))))</f>
        <v/>
      </c>
      <c r="M38" s="67" t="n"/>
      <c r="N38" s="67">
        <f>IF(K38="Up Sale (no recurrente)",I38,0)</f>
        <v/>
      </c>
    </row>
    <row r="39">
      <c r="A39" s="67" t="inlineStr">
        <is>
          <t>Colombia Vive Salud SAS- My medical</t>
        </is>
      </c>
      <c r="B39" s="67" t="inlineStr">
        <is>
          <t>Activo</t>
        </is>
      </c>
      <c r="C39" s="67" t="n">
        <v>0</v>
      </c>
      <c r="D39" s="67" t="n">
        <v>2150000</v>
      </c>
      <c r="E39" s="67" t="n">
        <v>2150000</v>
      </c>
      <c r="F39" s="67" t="n">
        <v>2150000</v>
      </c>
      <c r="G39" s="67" t="n">
        <v>2150000</v>
      </c>
      <c r="H39" s="67" t="n">
        <v>2150000</v>
      </c>
      <c r="I39" s="67" t="n">
        <v>2150000</v>
      </c>
      <c r="J39" s="67">
        <f>IF(SUM(C39:G39)&gt;0,1,0)</f>
        <v/>
      </c>
      <c r="K39" s="68">
        <f>IF(M39&lt;&gt;"",M39,IF(AND(H39=0,I39=0),"Sin actividad",IF(AND(H39=0,I39&gt;0),IF(J39=1,"Rescatada","Nueva"),IF(AND(H39&gt;0,I39=0),"Churned",IF(I39&gt;H39,"Expansión",IF(I39&lt;H39,"Contracción","Retenida"))))))</f>
        <v/>
      </c>
      <c r="L39" s="67">
        <f>IF(K39="Up Sale (no recurrente)",0,IF(K39="Expansión",I39-H39,IF(K39="Contracción",H39-I39,IF(K39="Retenida",I39,IF(OR(K39="Nueva",K39="Rescatada"),I39,IF(K39="Churned",H39,0))))))</f>
        <v/>
      </c>
      <c r="M39" s="67" t="n"/>
      <c r="N39" s="67">
        <f>IF(K39="Up Sale (no recurrente)",I39,0)</f>
        <v/>
      </c>
    </row>
    <row r="40">
      <c r="A40" s="67" t="inlineStr">
        <is>
          <t>ESE Hospital Sagrada Familia - El Toro (ASOHSVAL)</t>
        </is>
      </c>
      <c r="B40" s="67" t="inlineStr">
        <is>
          <t>Activo</t>
        </is>
      </c>
      <c r="C40" s="67" t="n">
        <v>637560</v>
      </c>
      <c r="D40" s="67" t="n">
        <v>1044000</v>
      </c>
      <c r="E40" s="67" t="n">
        <v>892800</v>
      </c>
      <c r="F40" s="67" t="n">
        <v>1082400</v>
      </c>
      <c r="G40" s="67" t="n">
        <v>721200</v>
      </c>
      <c r="H40" s="67" t="n">
        <v>663600</v>
      </c>
      <c r="I40" s="67" t="n">
        <v>0</v>
      </c>
      <c r="J40" s="67">
        <f>IF(SUM(C40:G40)&gt;0,1,0)</f>
        <v/>
      </c>
      <c r="K40" s="68">
        <f>IF(M40&lt;&gt;"",M40,IF(AND(H40=0,I40=0),"Sin actividad",IF(AND(H40=0,I40&gt;0),IF(J40=1,"Rescatada","Nueva"),IF(AND(H40&gt;0,I40=0),"Churned",IF(I40&gt;H40,"Expansión",IF(I40&lt;H40,"Contracción","Retenida"))))))</f>
        <v/>
      </c>
      <c r="L40" s="67">
        <f>IF(K40="Up Sale (no recurrente)",0,IF(K40="Expansión",I40-H40,IF(K40="Contracción",H40-I40,IF(K40="Retenida",I40,IF(OR(K40="Nueva",K40="Rescatada"),I40,IF(K40="Churned",H40,0))))))</f>
        <v/>
      </c>
      <c r="M40" s="67" t="n"/>
      <c r="N40" s="67">
        <f>IF(K40="Up Sale (no recurrente)",I40,0)</f>
        <v/>
      </c>
    </row>
    <row r="41">
      <c r="A41" s="67" t="inlineStr">
        <is>
          <t>Oinsamed SAS ( La Misericordia internacional)</t>
        </is>
      </c>
      <c r="B41" s="67" t="inlineStr">
        <is>
          <t>Activo</t>
        </is>
      </c>
      <c r="C41" s="67" t="n">
        <v>9803588</v>
      </c>
      <c r="D41" s="67" t="n">
        <v>10220240.49</v>
      </c>
      <c r="E41" s="67" t="n">
        <v>9803588</v>
      </c>
      <c r="F41" s="67" t="n">
        <v>9803588</v>
      </c>
      <c r="G41" s="67" t="n">
        <v>9803588</v>
      </c>
      <c r="H41" s="67" t="n">
        <v>9803588</v>
      </c>
      <c r="I41" s="67" t="n">
        <v>9803588</v>
      </c>
      <c r="J41" s="67">
        <f>IF(SUM(C41:G41)&gt;0,1,0)</f>
        <v/>
      </c>
      <c r="K41" s="68">
        <f>IF(M41&lt;&gt;"",M41,IF(AND(H41=0,I41=0),"Sin actividad",IF(AND(H41=0,I41&gt;0),IF(J41=1,"Rescatada","Nueva"),IF(AND(H41&gt;0,I41=0),"Churned",IF(I41&gt;H41,"Expansión",IF(I41&lt;H41,"Contracción","Retenida"))))))</f>
        <v/>
      </c>
      <c r="L41" s="67">
        <f>IF(K41="Up Sale (no recurrente)",0,IF(K41="Expansión",I41-H41,IF(K41="Contracción",H41-I41,IF(K41="Retenida",I41,IF(OR(K41="Nueva",K41="Rescatada"),I41,IF(K41="Churned",H41,0))))))</f>
        <v/>
      </c>
      <c r="M41" s="67" t="n"/>
      <c r="N41" s="67">
        <f>IF(K41="Up Sale (no recurrente)",I41,0)</f>
        <v/>
      </c>
    </row>
    <row r="42">
      <c r="A42" s="67" t="inlineStr">
        <is>
          <t>Corporacion para estudios en Salud CES</t>
        </is>
      </c>
      <c r="B42" s="67" t="inlineStr">
        <is>
          <t>Activo</t>
        </is>
      </c>
      <c r="C42" s="67" t="n">
        <v>2976436.224</v>
      </c>
      <c r="D42" s="67" t="n">
        <v>2976436.224</v>
      </c>
      <c r="E42" s="67" t="n">
        <v>2976436.224</v>
      </c>
      <c r="F42" s="67" t="n">
        <v>2976436.224</v>
      </c>
      <c r="G42" s="67" t="n">
        <v>3058288.22016</v>
      </c>
      <c r="H42" s="67" t="n">
        <v>2976436.224</v>
      </c>
      <c r="I42" s="67" t="n">
        <v>3199668.9408</v>
      </c>
      <c r="J42" s="67">
        <f>IF(SUM(C42:G42)&gt;0,1,0)</f>
        <v/>
      </c>
      <c r="K42" s="68">
        <f>IF(M42&lt;&gt;"",M42,IF(AND(H42=0,I42=0),"Sin actividad",IF(AND(H42=0,I42&gt;0),IF(J42=1,"Rescatada","Nueva"),IF(AND(H42&gt;0,I42=0),"Churned",IF(I42&gt;H42,"Expansión",IF(I42&lt;H42,"Contracción","Retenida"))))))</f>
        <v/>
      </c>
      <c r="L42" s="67">
        <f>IF(K42="Up Sale (no recurrente)",0,IF(K42="Expansión",I42-H42,IF(K42="Contracción",H42-I42,IF(K42="Retenida",I42,IF(OR(K42="Nueva",K42="Rescatada"),I42,IF(K42="Churned",H42,0))))))</f>
        <v/>
      </c>
      <c r="M42" s="67" t="n"/>
      <c r="N42" s="67">
        <f>IF(K42="Up Sale (no recurrente)",I42,0)</f>
        <v/>
      </c>
    </row>
    <row r="43">
      <c r="A43" s="67" t="inlineStr">
        <is>
          <t>Messer</t>
        </is>
      </c>
      <c r="B43" s="67" t="inlineStr">
        <is>
          <t>Activo</t>
        </is>
      </c>
      <c r="C43" s="67" t="n">
        <v>14130000</v>
      </c>
      <c r="D43" s="67" t="n">
        <v>18345000</v>
      </c>
      <c r="E43" s="67" t="n">
        <v>20145000</v>
      </c>
      <c r="F43" s="67" t="n">
        <v>20145000</v>
      </c>
      <c r="G43" s="67" t="n">
        <v>20145000</v>
      </c>
      <c r="H43" s="67" t="n">
        <v>20145000</v>
      </c>
      <c r="I43" s="67" t="n">
        <v>15930000</v>
      </c>
      <c r="J43" s="67">
        <f>IF(SUM(C43:G43)&gt;0,1,0)</f>
        <v/>
      </c>
      <c r="K43" s="68">
        <f>IF(M43&lt;&gt;"",M43,IF(AND(H43=0,I43=0),"Sin actividad",IF(AND(H43=0,I43&gt;0),IF(J43=1,"Rescatada","Nueva"),IF(AND(H43&gt;0,I43=0),"Churned",IF(I43&gt;H43,"Expansión",IF(I43&lt;H43,"Contracción","Retenida"))))))</f>
        <v/>
      </c>
      <c r="L43" s="67">
        <f>IF(K43="Up Sale (no recurrente)",0,IF(K43="Expansión",I43-H43,IF(K43="Contracción",H43-I43,IF(K43="Retenida",I43,IF(OR(K43="Nueva",K43="Rescatada"),I43,IF(K43="Churned",H43,0))))))</f>
        <v/>
      </c>
      <c r="M43" s="67" t="n"/>
      <c r="N43" s="67">
        <f>IF(K43="Up Sale (no recurrente)",I43,0)</f>
        <v/>
      </c>
    </row>
    <row r="44">
      <c r="A44" s="67" t="inlineStr">
        <is>
          <t>Clínica de Oftalmología de Cali</t>
        </is>
      </c>
      <c r="B44" s="67" t="inlineStr">
        <is>
          <t>Activo</t>
        </is>
      </c>
      <c r="C44" s="67" t="n">
        <v>6119068</v>
      </c>
      <c r="D44" s="67" t="n">
        <v>7636868</v>
      </c>
      <c r="E44" s="67" t="n">
        <v>7283826</v>
      </c>
      <c r="F44" s="67" t="n">
        <v>7922965</v>
      </c>
      <c r="G44" s="67" t="n">
        <v>6667639</v>
      </c>
      <c r="H44" s="67" t="n">
        <v>6534297</v>
      </c>
      <c r="I44" s="67" t="n">
        <v>6580634</v>
      </c>
      <c r="J44" s="67">
        <f>IF(SUM(C44:G44)&gt;0,1,0)</f>
        <v/>
      </c>
      <c r="K44" s="68">
        <f>IF(M44&lt;&gt;"",M44,IF(AND(H44=0,I44=0),"Sin actividad",IF(AND(H44=0,I44&gt;0),IF(J44=1,"Rescatada","Nueva"),IF(AND(H44&gt;0,I44=0),"Churned",IF(I44&gt;H44,"Expansión",IF(I44&lt;H44,"Contracción","Retenida"))))))</f>
        <v/>
      </c>
      <c r="L44" s="67">
        <f>IF(K44="Up Sale (no recurrente)",0,IF(K44="Expansión",I44-H44,IF(K44="Contracción",H44-I44,IF(K44="Retenida",I44,IF(OR(K44="Nueva",K44="Rescatada"),I44,IF(K44="Churned",H44,0))))))</f>
        <v/>
      </c>
      <c r="M44" s="67" t="n"/>
      <c r="N44" s="67">
        <f>IF(K44="Up Sale (no recurrente)",I44,0)</f>
        <v/>
      </c>
    </row>
    <row r="45">
      <c r="A45" s="67" t="inlineStr">
        <is>
          <t>Asisfarma</t>
        </is>
      </c>
      <c r="B45" s="67" t="inlineStr">
        <is>
          <t>Activo</t>
        </is>
      </c>
      <c r="C45" s="67" t="n">
        <v>4094070.504</v>
      </c>
      <c r="D45" s="67" t="n">
        <v>4094070.504</v>
      </c>
      <c r="E45" s="67" t="n">
        <v>4094070.504</v>
      </c>
      <c r="F45" s="67" t="n">
        <v>4094070.504</v>
      </c>
      <c r="G45" s="67" t="n">
        <v>4094070.504</v>
      </c>
      <c r="H45" s="67" t="n">
        <v>4094070.504</v>
      </c>
      <c r="I45" s="67" t="n">
        <v>4094070.504</v>
      </c>
      <c r="J45" s="67">
        <f>IF(SUM(C45:G45)&gt;0,1,0)</f>
        <v/>
      </c>
      <c r="K45" s="68">
        <f>IF(M45&lt;&gt;"",M45,IF(AND(H45=0,I45=0),"Sin actividad",IF(AND(H45=0,I45&gt;0),IF(J45=1,"Rescatada","Nueva"),IF(AND(H45&gt;0,I45=0),"Churned",IF(I45&gt;H45,"Expansión",IF(I45&lt;H45,"Contracción","Retenida"))))))</f>
        <v/>
      </c>
      <c r="L45" s="67">
        <f>IF(K45="Up Sale (no recurrente)",0,IF(K45="Expansión",I45-H45,IF(K45="Contracción",H45-I45,IF(K45="Retenida",I45,IF(OR(K45="Nueva",K45="Rescatada"),I45,IF(K45="Churned",H45,0))))))</f>
        <v/>
      </c>
      <c r="M45" s="67" t="n"/>
      <c r="N45" s="67">
        <f>IF(K45="Up Sale (no recurrente)",I45,0)</f>
        <v/>
      </c>
    </row>
    <row r="46">
      <c r="A46" s="67" t="inlineStr">
        <is>
          <t>ESE Hospital San Marcos de Chinchina</t>
        </is>
      </c>
      <c r="B46" s="67" t="inlineStr">
        <is>
          <t>Inactivo</t>
        </is>
      </c>
      <c r="C46" s="67" t="n">
        <v>0</v>
      </c>
      <c r="D46" s="67" t="n">
        <v>0</v>
      </c>
      <c r="E46" s="67" t="n">
        <v>0</v>
      </c>
      <c r="F46" s="67" t="n">
        <v>0</v>
      </c>
      <c r="G46" s="67" t="n">
        <v>0</v>
      </c>
      <c r="H46" s="67" t="n">
        <v>0</v>
      </c>
      <c r="I46" s="67" t="n">
        <v>0</v>
      </c>
      <c r="J46" s="67">
        <f>IF(SUM(C46:G46)&gt;0,1,0)</f>
        <v/>
      </c>
      <c r="K46" s="68">
        <f>IF(M46&lt;&gt;"",M46,IF(AND(H46=0,I46=0),"Sin actividad",IF(AND(H46=0,I46&gt;0),IF(J46=1,"Rescatada","Nueva"),IF(AND(H46&gt;0,I46=0),"Churned",IF(I46&gt;H46,"Expansión",IF(I46&lt;H46,"Contracción","Retenida"))))))</f>
        <v/>
      </c>
      <c r="L46" s="67">
        <f>IF(K46="Up Sale (no recurrente)",0,IF(K46="Expansión",I46-H46,IF(K46="Contracción",H46-I46,IF(K46="Retenida",I46,IF(OR(K46="Nueva",K46="Rescatada"),I46,IF(K46="Churned",H46,0))))))</f>
        <v/>
      </c>
      <c r="M46" s="67" t="n"/>
      <c r="N46" s="67">
        <f>IF(K46="Up Sale (no recurrente)",I46,0)</f>
        <v/>
      </c>
    </row>
    <row r="47">
      <c r="A47" s="67" t="inlineStr">
        <is>
          <t>Campestre</t>
        </is>
      </c>
      <c r="B47" s="67" t="inlineStr">
        <is>
          <t>Activo</t>
        </is>
      </c>
      <c r="C47" s="67" t="n">
        <v>0</v>
      </c>
      <c r="D47" s="67" t="n">
        <v>10000000</v>
      </c>
      <c r="E47" s="67" t="n">
        <v>0</v>
      </c>
      <c r="F47" s="67" t="n">
        <v>10000000</v>
      </c>
      <c r="G47" s="67" t="n">
        <v>5000000</v>
      </c>
      <c r="H47" s="67" t="n">
        <v>5000000</v>
      </c>
      <c r="I47" s="67" t="n">
        <v>5000000</v>
      </c>
      <c r="J47" s="67">
        <f>IF(SUM(C47:G47)&gt;0,1,0)</f>
        <v/>
      </c>
      <c r="K47" s="68">
        <f>IF(M47&lt;&gt;"",M47,IF(AND(H47=0,I47=0),"Sin actividad",IF(AND(H47=0,I47&gt;0),IF(J47=1,"Rescatada","Nueva"),IF(AND(H47&gt;0,I47=0),"Churned",IF(I47&gt;H47,"Expansión",IF(I47&lt;H47,"Contracción","Retenida"))))))</f>
        <v/>
      </c>
      <c r="L47" s="67">
        <f>IF(K47="Up Sale (no recurrente)",0,IF(K47="Expansión",I47-H47,IF(K47="Contracción",H47-I47,IF(K47="Retenida",I47,IF(OR(K47="Nueva",K47="Rescatada"),I47,IF(K47="Churned",H47,0))))))</f>
        <v/>
      </c>
      <c r="M47" s="67" t="n"/>
      <c r="N47" s="67">
        <f>IF(K47="Up Sale (no recurrente)",I47,0)</f>
        <v/>
      </c>
    </row>
    <row r="48">
      <c r="A48" s="67" t="inlineStr">
        <is>
          <t>Maple Respiratorio</t>
        </is>
      </c>
      <c r="B48" s="67" t="inlineStr">
        <is>
          <t>Activo</t>
        </is>
      </c>
      <c r="C48" s="67" t="n">
        <v>102502494</v>
      </c>
      <c r="D48" s="67" t="n">
        <v>0</v>
      </c>
      <c r="E48" s="67" t="n">
        <v>0</v>
      </c>
      <c r="F48" s="67" t="n">
        <v>0</v>
      </c>
      <c r="G48" s="67" t="n">
        <v>0</v>
      </c>
      <c r="H48" s="67" t="n">
        <v>0</v>
      </c>
      <c r="I48" s="67" t="n">
        <v>0</v>
      </c>
      <c r="J48" s="67">
        <f>IF(SUM(C48:G48)&gt;0,1,0)</f>
        <v/>
      </c>
      <c r="K48" s="68">
        <f>IF(M48&lt;&gt;"",M48,IF(AND(H48=0,I48=0),"Sin actividad",IF(AND(H48=0,I48&gt;0),IF(J48=1,"Rescatada","Nueva"),IF(AND(H48&gt;0,I48=0),"Churned",IF(I48&gt;H48,"Expansión",IF(I48&lt;H48,"Contracción","Retenida"))))))</f>
        <v/>
      </c>
      <c r="L48" s="67">
        <f>IF(K48="Up Sale (no recurrente)",0,IF(K48="Expansión",I48-H48,IF(K48="Contracción",H48-I48,IF(K48="Retenida",I48,IF(OR(K48="Nueva",K48="Rescatada"),I48,IF(K48="Churned",H48,0))))))</f>
        <v/>
      </c>
      <c r="M48" s="67" t="n"/>
      <c r="N48" s="67">
        <f>IF(K48="Up Sale (no recurrente)",I48,0)</f>
        <v/>
      </c>
    </row>
    <row r="49">
      <c r="A49" s="67" t="inlineStr">
        <is>
          <t>Urobosque SA</t>
        </is>
      </c>
      <c r="B49" s="67" t="inlineStr">
        <is>
          <t>Activo</t>
        </is>
      </c>
      <c r="C49" s="67" t="n">
        <v>1158000</v>
      </c>
      <c r="D49" s="67" t="n">
        <v>1046925</v>
      </c>
      <c r="E49" s="67" t="n">
        <v>4205956</v>
      </c>
      <c r="F49" s="67" t="n">
        <v>3695632</v>
      </c>
      <c r="G49" s="67" t="n">
        <v>3695632</v>
      </c>
      <c r="H49" s="67" t="n">
        <v>3695632</v>
      </c>
      <c r="I49" s="67" t="n">
        <v>3695632</v>
      </c>
      <c r="J49" s="67">
        <f>IF(SUM(C49:G49)&gt;0,1,0)</f>
        <v/>
      </c>
      <c r="K49" s="68">
        <f>IF(M49&lt;&gt;"",M49,IF(AND(H49=0,I49=0),"Sin actividad",IF(AND(H49=0,I49&gt;0),IF(J49=1,"Rescatada","Nueva"),IF(AND(H49&gt;0,I49=0),"Churned",IF(I49&gt;H49,"Expansión",IF(I49&lt;H49,"Contracción","Retenida"))))))</f>
        <v/>
      </c>
      <c r="L49" s="67">
        <f>IF(K49="Up Sale (no recurrente)",0,IF(K49="Expansión",I49-H49,IF(K49="Contracción",H49-I49,IF(K49="Retenida",I49,IF(OR(K49="Nueva",K49="Rescatada"),I49,IF(K49="Churned",H49,0))))))</f>
        <v/>
      </c>
      <c r="M49" s="67" t="n"/>
      <c r="N49" s="67">
        <f>IF(K49="Up Sale (no recurrente)",I49,0)</f>
        <v/>
      </c>
    </row>
    <row r="50">
      <c r="A50" s="67" t="inlineStr">
        <is>
          <t>Fundacion Clinica Universitaria Bolivariana (UPB)</t>
        </is>
      </c>
      <c r="B50" s="67" t="inlineStr">
        <is>
          <t>Activo</t>
        </is>
      </c>
      <c r="C50" s="67" t="n">
        <v>8130801</v>
      </c>
      <c r="D50" s="67" t="n">
        <v>9855172</v>
      </c>
      <c r="E50" s="67" t="n">
        <v>11008528</v>
      </c>
      <c r="F50" s="67" t="n">
        <v>11359312</v>
      </c>
      <c r="G50" s="67" t="n">
        <v>10447792</v>
      </c>
      <c r="H50" s="67" t="n">
        <v>11285008</v>
      </c>
      <c r="I50" s="67" t="n">
        <v>10757968</v>
      </c>
      <c r="J50" s="67">
        <f>IF(SUM(C50:G50)&gt;0,1,0)</f>
        <v/>
      </c>
      <c r="K50" s="68">
        <f>IF(M50&lt;&gt;"",M50,IF(AND(H50=0,I50=0),"Sin actividad",IF(AND(H50=0,I50&gt;0),IF(J50=1,"Rescatada","Nueva"),IF(AND(H50&gt;0,I50=0),"Churned",IF(I50&gt;H50,"Expansión",IF(I50&lt;H50,"Contracción","Retenida"))))))</f>
        <v/>
      </c>
      <c r="L50" s="67">
        <f>IF(K50="Up Sale (no recurrente)",0,IF(K50="Expansión",I50-H50,IF(K50="Contracción",H50-I50,IF(K50="Retenida",I50,IF(OR(K50="Nueva",K50="Rescatada"),I50,IF(K50="Churned",H50,0))))))</f>
        <v/>
      </c>
      <c r="M50" s="67" t="n"/>
      <c r="N50" s="67">
        <f>IF(K50="Up Sale (no recurrente)",I50,0)</f>
        <v/>
      </c>
    </row>
    <row r="51">
      <c r="A51" s="67" t="inlineStr">
        <is>
          <t>Clinica Medellin SAS</t>
        </is>
      </c>
      <c r="B51" s="67" t="inlineStr">
        <is>
          <t>Activo</t>
        </is>
      </c>
      <c r="C51" s="67" t="n">
        <v>0</v>
      </c>
      <c r="D51" s="67" t="n">
        <v>3188756</v>
      </c>
      <c r="E51" s="67" t="n">
        <v>5019656</v>
      </c>
      <c r="F51" s="67" t="n">
        <v>5346416</v>
      </c>
      <c r="G51" s="67" t="n">
        <v>5055444</v>
      </c>
      <c r="H51" s="67" t="n">
        <v>7145284</v>
      </c>
      <c r="I51" s="67" t="n">
        <v>10373126</v>
      </c>
      <c r="J51" s="67">
        <f>IF(SUM(C51:G51)&gt;0,1,0)</f>
        <v/>
      </c>
      <c r="K51" s="68">
        <f>IF(M51&lt;&gt;"",M51,IF(AND(H51=0,I51=0),"Sin actividad",IF(AND(H51=0,I51&gt;0),IF(J51=1,"Rescatada","Nueva"),IF(AND(H51&gt;0,I51=0),"Churned",IF(I51&gt;H51,"Expansión",IF(I51&lt;H51,"Contracción","Retenida"))))))</f>
        <v/>
      </c>
      <c r="L51" s="67">
        <f>IF(K51="Up Sale (no recurrente)",0,IF(K51="Expansión",I51-H51,IF(K51="Contracción",H51-I51,IF(K51="Retenida",I51,IF(OR(K51="Nueva",K51="Rescatada"),I51,IF(K51="Churned",H51,0))))))</f>
        <v/>
      </c>
      <c r="M51" s="67" t="n"/>
      <c r="N51" s="67">
        <f>IF(K51="Up Sale (no recurrente)",I51,0)</f>
        <v/>
      </c>
    </row>
    <row r="52">
      <c r="A52" s="67" t="inlineStr">
        <is>
          <t>Clinica CLOFAN</t>
        </is>
      </c>
      <c r="B52" s="67" t="inlineStr">
        <is>
          <t>Activo</t>
        </is>
      </c>
      <c r="C52" s="67" t="n">
        <v>0</v>
      </c>
      <c r="D52" s="67" t="n">
        <v>4281788</v>
      </c>
      <c r="E52" s="67" t="n">
        <v>5617646</v>
      </c>
      <c r="F52" s="67" t="n">
        <v>5494333</v>
      </c>
      <c r="G52" s="67" t="n">
        <v>5544903</v>
      </c>
      <c r="H52" s="67" t="n">
        <v>5946351</v>
      </c>
      <c r="I52" s="67" t="n">
        <v>5194414</v>
      </c>
      <c r="J52" s="67">
        <f>IF(SUM(C52:G52)&gt;0,1,0)</f>
        <v/>
      </c>
      <c r="K52" s="68">
        <f>IF(M52&lt;&gt;"",M52,IF(AND(H52=0,I52=0),"Sin actividad",IF(AND(H52=0,I52&gt;0),IF(J52=1,"Rescatada","Nueva"),IF(AND(H52&gt;0,I52=0),"Churned",IF(I52&gt;H52,"Expansión",IF(I52&lt;H52,"Contracción","Retenida"))))))</f>
        <v/>
      </c>
      <c r="L52" s="67">
        <f>IF(K52="Up Sale (no recurrente)",0,IF(K52="Expansión",I52-H52,IF(K52="Contracción",H52-I52,IF(K52="Retenida",I52,IF(OR(K52="Nueva",K52="Rescatada"),I52,IF(K52="Churned",H52,0))))))</f>
        <v/>
      </c>
      <c r="M52" s="67" t="n"/>
      <c r="N52" s="67">
        <f>IF(K52="Up Sale (no recurrente)",I52,0)</f>
        <v/>
      </c>
    </row>
    <row r="53">
      <c r="A53" s="67" t="inlineStr">
        <is>
          <t>Clinica de la Mujer</t>
        </is>
      </c>
      <c r="B53" s="67" t="inlineStr">
        <is>
          <t>Activo</t>
        </is>
      </c>
      <c r="C53" s="67" t="n">
        <v>0</v>
      </c>
      <c r="D53" s="67" t="n">
        <v>4831090</v>
      </c>
      <c r="E53" s="67" t="n">
        <v>4761846</v>
      </c>
      <c r="F53" s="67" t="n">
        <v>4912000</v>
      </c>
      <c r="G53" s="67" t="n">
        <v>4605857</v>
      </c>
      <c r="H53" s="67" t="n">
        <v>3845362</v>
      </c>
      <c r="I53" s="67" t="n">
        <v>4785964</v>
      </c>
      <c r="J53" s="67">
        <f>IF(SUM(C53:G53)&gt;0,1,0)</f>
        <v/>
      </c>
      <c r="K53" s="68">
        <f>IF(M53&lt;&gt;"",M53,IF(AND(H53=0,I53=0),"Sin actividad",IF(AND(H53=0,I53&gt;0),IF(J53=1,"Rescatada","Nueva"),IF(AND(H53&gt;0,I53=0),"Churned",IF(I53&gt;H53,"Expansión",IF(I53&lt;H53,"Contracción","Retenida"))))))</f>
        <v/>
      </c>
      <c r="L53" s="67">
        <f>IF(K53="Up Sale (no recurrente)",0,IF(K53="Expansión",I53-H53,IF(K53="Contracción",H53-I53,IF(K53="Retenida",I53,IF(OR(K53="Nueva",K53="Rescatada"),I53,IF(K53="Churned",H53,0))))))</f>
        <v/>
      </c>
      <c r="M53" s="67" t="n"/>
      <c r="N53" s="67">
        <f>IF(K53="Up Sale (no recurrente)",I53,0)</f>
        <v/>
      </c>
    </row>
    <row r="54">
      <c r="A54" s="67" t="inlineStr">
        <is>
          <t>COA (Centro Oncologico de Antioquia)</t>
        </is>
      </c>
      <c r="B54" s="67" t="inlineStr">
        <is>
          <t>Activo</t>
        </is>
      </c>
      <c r="C54" s="67" t="n">
        <v>0</v>
      </c>
      <c r="D54" s="67" t="n">
        <v>3739493</v>
      </c>
      <c r="E54" s="67" t="n">
        <v>4268205</v>
      </c>
      <c r="F54" s="67" t="n">
        <v>4079151</v>
      </c>
      <c r="G54" s="67" t="n">
        <v>4120774</v>
      </c>
      <c r="H54" s="67" t="n">
        <v>4394241</v>
      </c>
      <c r="I54" s="67" t="n">
        <v>4140613</v>
      </c>
      <c r="J54" s="67">
        <f>IF(SUM(C54:G54)&gt;0,1,0)</f>
        <v/>
      </c>
      <c r="K54" s="68">
        <f>IF(M54&lt;&gt;"",M54,IF(AND(H54=0,I54=0),"Sin actividad",IF(AND(H54=0,I54&gt;0),IF(J54=1,"Rescatada","Nueva"),IF(AND(H54&gt;0,I54=0),"Churned",IF(I54&gt;H54,"Expansión",IF(I54&lt;H54,"Contracción","Retenida"))))))</f>
        <v/>
      </c>
      <c r="L54" s="67">
        <f>IF(K54="Up Sale (no recurrente)",0,IF(K54="Expansión",I54-H54,IF(K54="Contracción",H54-I54,IF(K54="Retenida",I54,IF(OR(K54="Nueva",K54="Rescatada"),I54,IF(K54="Churned",H54,0))))))</f>
        <v/>
      </c>
      <c r="M54" s="67" t="n"/>
      <c r="N54" s="67">
        <f>IF(K54="Up Sale (no recurrente)",I54,0)</f>
        <v/>
      </c>
    </row>
    <row r="55">
      <c r="A55" s="67" t="inlineStr">
        <is>
          <t>Clinica Imbanaco</t>
        </is>
      </c>
      <c r="B55" s="67" t="inlineStr">
        <is>
          <t>Activo</t>
        </is>
      </c>
      <c r="C55" s="67" t="n">
        <v>0</v>
      </c>
      <c r="D55" s="67" t="n">
        <v>7944322</v>
      </c>
      <c r="E55" s="67" t="n">
        <v>11293156</v>
      </c>
      <c r="F55" s="67" t="n">
        <v>11607468</v>
      </c>
      <c r="G55" s="67" t="n">
        <v>12353570</v>
      </c>
      <c r="H55" s="67" t="n">
        <v>10710045</v>
      </c>
      <c r="I55" s="67" t="n">
        <v>10577396</v>
      </c>
      <c r="J55" s="67">
        <f>IF(SUM(C55:G55)&gt;0,1,0)</f>
        <v/>
      </c>
      <c r="K55" s="68">
        <f>IF(M55&lt;&gt;"",M55,IF(AND(H55=0,I55=0),"Sin actividad",IF(AND(H55=0,I55&gt;0),IF(J55=1,"Rescatada","Nueva"),IF(AND(H55&gt;0,I55=0),"Churned",IF(I55&gt;H55,"Expansión",IF(I55&lt;H55,"Contracción","Retenida"))))))</f>
        <v/>
      </c>
      <c r="L55" s="67">
        <f>IF(K55="Up Sale (no recurrente)",0,IF(K55="Expansión",I55-H55,IF(K55="Contracción",H55-I55,IF(K55="Retenida",I55,IF(OR(K55="Nueva",K55="Rescatada"),I55,IF(K55="Churned",H55,0))))))</f>
        <v/>
      </c>
      <c r="M55" s="67" t="n"/>
      <c r="N55" s="67">
        <f>IF(K55="Up Sale (no recurrente)",I55,0)</f>
        <v/>
      </c>
    </row>
    <row r="56">
      <c r="A56" s="67" t="inlineStr">
        <is>
          <t>Cedimed</t>
        </is>
      </c>
      <c r="B56" s="67" t="inlineStr">
        <is>
          <t>Activo</t>
        </is>
      </c>
      <c r="C56" s="67" t="n">
        <v>0</v>
      </c>
      <c r="D56" s="67" t="n">
        <v>4638386</v>
      </c>
      <c r="E56" s="67" t="n">
        <v>12584047</v>
      </c>
      <c r="F56" s="67" t="n">
        <v>15000519</v>
      </c>
      <c r="G56" s="67" t="n">
        <v>14260503</v>
      </c>
      <c r="H56" s="67" t="n">
        <v>14260503</v>
      </c>
      <c r="I56" s="67" t="n">
        <v>14260926</v>
      </c>
      <c r="J56" s="67">
        <f>IF(SUM(C56:G56)&gt;0,1,0)</f>
        <v/>
      </c>
      <c r="K56" s="68">
        <f>IF(M56&lt;&gt;"",M56,IF(AND(H56=0,I56=0),"Sin actividad",IF(AND(H56=0,I56&gt;0),IF(J56=1,"Rescatada","Nueva"),IF(AND(H56&gt;0,I56=0),"Churned",IF(I56&gt;H56,"Expansión",IF(I56&lt;H56,"Contracción","Retenida"))))))</f>
        <v/>
      </c>
      <c r="L56" s="67">
        <f>IF(K56="Up Sale (no recurrente)",0,IF(K56="Expansión",I56-H56,IF(K56="Contracción",H56-I56,IF(K56="Retenida",I56,IF(OR(K56="Nueva",K56="Rescatada"),I56,IF(K56="Churned",H56,0))))))</f>
        <v/>
      </c>
      <c r="M56" s="67" t="n"/>
      <c r="N56" s="67">
        <f>IF(K56="Up Sale (no recurrente)",I56,0)</f>
        <v/>
      </c>
    </row>
    <row r="57">
      <c r="A57" s="67" t="inlineStr">
        <is>
          <t>Inversiones Medicas de Antioquia  (las Vegas)</t>
        </is>
      </c>
      <c r="B57" s="67" t="inlineStr">
        <is>
          <t>Activo</t>
        </is>
      </c>
      <c r="C57" s="67" t="n">
        <v>0</v>
      </c>
      <c r="D57" s="67" t="n">
        <v>15932846</v>
      </c>
      <c r="E57" s="67" t="n">
        <v>8418824</v>
      </c>
      <c r="F57" s="67" t="n">
        <v>9242206</v>
      </c>
      <c r="G57" s="67" t="n">
        <v>7915202</v>
      </c>
      <c r="H57" s="67" t="n">
        <v>8180717</v>
      </c>
      <c r="I57" s="67" t="n">
        <v>8177862</v>
      </c>
      <c r="J57" s="67">
        <f>IF(SUM(C57:G57)&gt;0,1,0)</f>
        <v/>
      </c>
      <c r="K57" s="68">
        <f>IF(M57&lt;&gt;"",M57,IF(AND(H57=0,I57=0),"Sin actividad",IF(AND(H57=0,I57&gt;0),IF(J57=1,"Rescatada","Nueva"),IF(AND(H57&gt;0,I57=0),"Churned",IF(I57&gt;H57,"Expansión",IF(I57&lt;H57,"Contracción","Retenida"))))))</f>
        <v/>
      </c>
      <c r="L57" s="67">
        <f>IF(K57="Up Sale (no recurrente)",0,IF(K57="Expansión",I57-H57,IF(K57="Contracción",H57-I57,IF(K57="Retenida",I57,IF(OR(K57="Nueva",K57="Rescatada"),I57,IF(K57="Churned",H57,0))))))</f>
        <v/>
      </c>
      <c r="M57" s="67" t="n"/>
      <c r="N57" s="67">
        <f>IF(K57="Up Sale (no recurrente)",I57,0)</f>
        <v/>
      </c>
    </row>
    <row r="58">
      <c r="A58" s="67" t="inlineStr">
        <is>
          <t>Mederi (CORPORACION HOSPITALARIA JUAN CIUDAD)</t>
        </is>
      </c>
      <c r="B58" s="67" t="inlineStr">
        <is>
          <t>Activo</t>
        </is>
      </c>
      <c r="C58" s="67" t="n">
        <v>0</v>
      </c>
      <c r="D58" s="67" t="n">
        <v>2100000</v>
      </c>
      <c r="E58" s="67" t="n">
        <v>2100000</v>
      </c>
      <c r="F58" s="67" t="n">
        <v>2100000</v>
      </c>
      <c r="G58" s="67" t="n">
        <v>2100000</v>
      </c>
      <c r="H58" s="67" t="n">
        <v>2100000</v>
      </c>
      <c r="I58" s="67" t="n">
        <v>2100000</v>
      </c>
      <c r="J58" s="67">
        <f>IF(SUM(C58:G58)&gt;0,1,0)</f>
        <v/>
      </c>
      <c r="K58" s="68">
        <f>IF(M58&lt;&gt;"",M58,IF(AND(H58=0,I58=0),"Sin actividad",IF(AND(H58=0,I58&gt;0),IF(J58=1,"Rescatada","Nueva"),IF(AND(H58&gt;0,I58=0),"Churned",IF(I58&gt;H58,"Expansión",IF(I58&lt;H58,"Contracción","Retenida"))))))</f>
        <v/>
      </c>
      <c r="L58" s="67">
        <f>IF(K58="Up Sale (no recurrente)",0,IF(K58="Expansión",I58-H58,IF(K58="Contracción",H58-I58,IF(K58="Retenida",I58,IF(OR(K58="Nueva",K58="Rescatada"),I58,IF(K58="Churned",H58,0))))))</f>
        <v/>
      </c>
      <c r="M58" s="67" t="n"/>
      <c r="N58" s="67">
        <f>IF(K58="Up Sale (no recurrente)",I58,0)</f>
        <v/>
      </c>
    </row>
    <row r="59">
      <c r="A59" s="67" t="inlineStr">
        <is>
          <t>Psiquiatrico del Valle</t>
        </is>
      </c>
      <c r="B59" s="67" t="inlineStr">
        <is>
          <t>Activo</t>
        </is>
      </c>
      <c r="C59" s="67" t="n">
        <v>0</v>
      </c>
      <c r="D59" s="67" t="n">
        <v>9478092</v>
      </c>
      <c r="E59" s="67" t="n">
        <v>9478092</v>
      </c>
      <c r="F59" s="67" t="n">
        <v>9478092</v>
      </c>
      <c r="G59" s="67" t="n">
        <v>8558730</v>
      </c>
      <c r="H59" s="67" t="n">
        <v>8558730</v>
      </c>
      <c r="I59" s="67" t="n">
        <v>8558730</v>
      </c>
      <c r="J59" s="67">
        <f>IF(SUM(C59:G59)&gt;0,1,0)</f>
        <v/>
      </c>
      <c r="K59" s="68">
        <f>IF(M59&lt;&gt;"",M59,IF(AND(H59=0,I59=0),"Sin actividad",IF(AND(H59=0,I59&gt;0),IF(J59=1,"Rescatada","Nueva"),IF(AND(H59&gt;0,I59=0),"Churned",IF(I59&gt;H59,"Expansión",IF(I59&lt;H59,"Contracción","Retenida"))))))</f>
        <v/>
      </c>
      <c r="L59" s="67">
        <f>IF(K59="Up Sale (no recurrente)",0,IF(K59="Expansión",I59-H59,IF(K59="Contracción",H59-I59,IF(K59="Retenida",I59,IF(OR(K59="Nueva",K59="Rescatada"),I59,IF(K59="Churned",H59,0))))))</f>
        <v/>
      </c>
      <c r="M59" s="67" t="n"/>
      <c r="N59" s="67">
        <f>IF(K59="Up Sale (no recurrente)",I59,0)</f>
        <v/>
      </c>
    </row>
    <row r="60">
      <c r="A60" s="67" t="inlineStr">
        <is>
          <t>Evolucionar Servicios de Salud</t>
        </is>
      </c>
      <c r="B60" s="67" t="inlineStr">
        <is>
          <t>Activo</t>
        </is>
      </c>
      <c r="C60" s="67" t="n">
        <v>3621204</v>
      </c>
      <c r="D60" s="67" t="n">
        <v>2793082</v>
      </c>
      <c r="E60" s="67" t="n">
        <v>2793082</v>
      </c>
      <c r="F60" s="67" t="n">
        <v>2793082</v>
      </c>
      <c r="G60" s="67" t="n">
        <v>2793082</v>
      </c>
      <c r="H60" s="67" t="n">
        <v>2793082</v>
      </c>
      <c r="I60" s="67" t="n">
        <v>2793082</v>
      </c>
      <c r="J60" s="67">
        <f>IF(SUM(C60:G60)&gt;0,1,0)</f>
        <v/>
      </c>
      <c r="K60" s="68">
        <f>IF(M60&lt;&gt;"",M60,IF(AND(H60=0,I60=0),"Sin actividad",IF(AND(H60=0,I60&gt;0),IF(J60=1,"Rescatada","Nueva"),IF(AND(H60&gt;0,I60=0),"Churned",IF(I60&gt;H60,"Expansión",IF(I60&lt;H60,"Contracción","Retenida"))))))</f>
        <v/>
      </c>
      <c r="L60" s="67">
        <f>IF(K60="Up Sale (no recurrente)",0,IF(K60="Expansión",I60-H60,IF(K60="Contracción",H60-I60,IF(K60="Retenida",I60,IF(OR(K60="Nueva",K60="Rescatada"),I60,IF(K60="Churned",H60,0))))))</f>
        <v/>
      </c>
      <c r="M60" s="67" t="n"/>
      <c r="N60" s="67">
        <f>IF(K60="Up Sale (no recurrente)",I60,0)</f>
        <v/>
      </c>
    </row>
    <row r="61">
      <c r="A61" s="67" t="inlineStr">
        <is>
          <t>Meide</t>
        </is>
      </c>
      <c r="B61" s="67" t="inlineStr">
        <is>
          <t>Activo</t>
        </is>
      </c>
      <c r="C61" s="67" t="n">
        <v>11091065</v>
      </c>
      <c r="D61" s="67" t="n">
        <v>12429559</v>
      </c>
      <c r="E61" s="67" t="n">
        <v>11531065</v>
      </c>
      <c r="F61" s="67" t="n">
        <v>11531065</v>
      </c>
      <c r="G61" s="67" t="n">
        <v>11531065</v>
      </c>
      <c r="H61" s="67" t="n">
        <v>11531065</v>
      </c>
      <c r="I61" s="67" t="n">
        <v>11091065</v>
      </c>
      <c r="J61" s="67">
        <f>IF(SUM(C61:G61)&gt;0,1,0)</f>
        <v/>
      </c>
      <c r="K61" s="68">
        <f>IF(M61&lt;&gt;"",M61,IF(AND(H61=0,I61=0),"Sin actividad",IF(AND(H61=0,I61&gt;0),IF(J61=1,"Rescatada","Nueva"),IF(AND(H61&gt;0,I61=0),"Churned",IF(I61&gt;H61,"Expansión",IF(I61&lt;H61,"Contracción","Retenida"))))))</f>
        <v/>
      </c>
      <c r="L61" s="67">
        <f>IF(K61="Up Sale (no recurrente)",0,IF(K61="Expansión",I61-H61,IF(K61="Contracción",H61-I61,IF(K61="Retenida",I61,IF(OR(K61="Nueva",K61="Rescatada"),I61,IF(K61="Churned",H61,0))))))</f>
        <v/>
      </c>
      <c r="M61" s="67" t="n"/>
      <c r="N61" s="67">
        <f>IF(K61="Up Sale (no recurrente)",I61,0)</f>
        <v/>
      </c>
    </row>
    <row r="62">
      <c r="A62" s="67" t="inlineStr">
        <is>
          <t>Ese Villavicencio</t>
        </is>
      </c>
      <c r="B62" s="67" t="inlineStr">
        <is>
          <t>Activo</t>
        </is>
      </c>
      <c r="C62" s="67" t="n">
        <v>0</v>
      </c>
      <c r="D62" s="67" t="n">
        <v>7849047</v>
      </c>
      <c r="E62" s="67" t="n">
        <v>12818836</v>
      </c>
      <c r="F62" s="67" t="n">
        <v>12818836</v>
      </c>
      <c r="G62" s="67" t="n">
        <v>12818836</v>
      </c>
      <c r="H62" s="67" t="n">
        <v>12818836</v>
      </c>
      <c r="I62" s="67" t="n">
        <v>12818836</v>
      </c>
      <c r="J62" s="67">
        <f>IF(SUM(C62:G62)&gt;0,1,0)</f>
        <v/>
      </c>
      <c r="K62" s="68">
        <f>IF(M62&lt;&gt;"",M62,IF(AND(H62=0,I62=0),"Sin actividad",IF(AND(H62=0,I62&gt;0),IF(J62=1,"Rescatada","Nueva"),IF(AND(H62&gt;0,I62=0),"Churned",IF(I62&gt;H62,"Expansión",IF(I62&lt;H62,"Contracción","Retenida"))))))</f>
        <v/>
      </c>
      <c r="L62" s="67">
        <f>IF(K62="Up Sale (no recurrente)",0,IF(K62="Expansión",I62-H62,IF(K62="Contracción",H62-I62,IF(K62="Retenida",I62,IF(OR(K62="Nueva",K62="Rescatada"),I62,IF(K62="Churned",H62,0))))))</f>
        <v/>
      </c>
      <c r="M62" s="67" t="n"/>
      <c r="N62" s="67">
        <f>IF(K62="Up Sale (no recurrente)",I62,0)</f>
        <v/>
      </c>
    </row>
    <row r="63">
      <c r="A63" s="67" t="inlineStr">
        <is>
          <t>Colmedicos</t>
        </is>
      </c>
      <c r="B63" s="67" t="inlineStr">
        <is>
          <t>Activo</t>
        </is>
      </c>
      <c r="C63" s="67" t="n">
        <v>8541340</v>
      </c>
      <c r="D63" s="67" t="n">
        <v>8994770.778000001</v>
      </c>
      <c r="E63" s="67" t="n">
        <v>8994770.778000001</v>
      </c>
      <c r="F63" s="67" t="n">
        <v>7517787.7608</v>
      </c>
      <c r="G63" s="67" t="n">
        <v>7527409.8</v>
      </c>
      <c r="H63" s="67" t="n">
        <v>7081187.7321</v>
      </c>
      <c r="I63" s="67" t="n">
        <v>8633944.308</v>
      </c>
      <c r="J63" s="67">
        <f>IF(SUM(C63:G63)&gt;0,1,0)</f>
        <v/>
      </c>
      <c r="K63" s="68">
        <f>IF(M63&lt;&gt;"",M63,IF(AND(H63=0,I63=0),"Sin actividad",IF(AND(H63=0,I63&gt;0),IF(J63=1,"Rescatada","Nueva"),IF(AND(H63&gt;0,I63=0),"Churned",IF(I63&gt;H63,"Expansión",IF(I63&lt;H63,"Contracción","Retenida"))))))</f>
        <v/>
      </c>
      <c r="L63" s="67">
        <f>IF(K63="Up Sale (no recurrente)",0,IF(K63="Expansión",I63-H63,IF(K63="Contracción",H63-I63,IF(K63="Retenida",I63,IF(OR(K63="Nueva",K63="Rescatada"),I63,IF(K63="Churned",H63,0))))))</f>
        <v/>
      </c>
      <c r="M63" s="67" t="n"/>
      <c r="N63" s="67">
        <f>IF(K63="Up Sale (no recurrente)",I63,0)</f>
        <v/>
      </c>
    </row>
    <row r="64">
      <c r="A64" s="67" t="inlineStr">
        <is>
          <t>Instituto del corazon SAS</t>
        </is>
      </c>
      <c r="B64" s="67" t="inlineStr">
        <is>
          <t>Activo</t>
        </is>
      </c>
      <c r="C64" s="67" t="n">
        <v>25655105</v>
      </c>
      <c r="D64" s="67" t="n">
        <v>27927263</v>
      </c>
      <c r="E64" s="67" t="n">
        <v>30815449</v>
      </c>
      <c r="F64" s="67" t="n">
        <v>28930569</v>
      </c>
      <c r="G64" s="67" t="n">
        <v>24850247</v>
      </c>
      <c r="H64" s="67" t="n">
        <v>25208189</v>
      </c>
      <c r="I64" s="67" t="n">
        <v>23371455</v>
      </c>
      <c r="J64" s="67">
        <f>IF(SUM(C64:G64)&gt;0,1,0)</f>
        <v/>
      </c>
      <c r="K64" s="68">
        <f>IF(M64&lt;&gt;"",M64,IF(AND(H64=0,I64=0),"Sin actividad",IF(AND(H64=0,I64&gt;0),IF(J64=1,"Rescatada","Nueva"),IF(AND(H64&gt;0,I64=0),"Churned",IF(I64&gt;H64,"Expansión",IF(I64&lt;H64,"Contracción","Retenida"))))))</f>
        <v/>
      </c>
      <c r="L64" s="67">
        <f>IF(K64="Up Sale (no recurrente)",0,IF(K64="Expansión",I64-H64,IF(K64="Contracción",H64-I64,IF(K64="Retenida",I64,IF(OR(K64="Nueva",K64="Rescatada"),I64,IF(K64="Churned",H64,0))))))</f>
        <v/>
      </c>
      <c r="M64" s="67" t="n"/>
      <c r="N64" s="67">
        <f>IF(K64="Up Sale (no recurrente)",I64,0)</f>
        <v/>
      </c>
    </row>
    <row r="65">
      <c r="A65" s="67" t="inlineStr">
        <is>
          <t>Bienestar IPS (Patria)</t>
        </is>
      </c>
      <c r="B65" s="67" t="inlineStr">
        <is>
          <t>Activo</t>
        </is>
      </c>
      <c r="C65" s="67" t="n">
        <v>5533520</v>
      </c>
      <c r="D65" s="67" t="n">
        <v>0</v>
      </c>
      <c r="E65" s="67" t="n">
        <v>5533520</v>
      </c>
      <c r="F65" s="67" t="n">
        <v>11067040</v>
      </c>
      <c r="G65" s="67" t="n">
        <v>5533520</v>
      </c>
      <c r="H65" s="67" t="n">
        <v>5533520</v>
      </c>
      <c r="I65" s="67" t="n">
        <v>0</v>
      </c>
      <c r="J65" s="67">
        <f>IF(SUM(C65:G65)&gt;0,1,0)</f>
        <v/>
      </c>
      <c r="K65" s="68">
        <f>IF(M65&lt;&gt;"",M65,IF(AND(H65=0,I65=0),"Sin actividad",IF(AND(H65=0,I65&gt;0),IF(J65=1,"Rescatada","Nueva"),IF(AND(H65&gt;0,I65=0),"Churned",IF(I65&gt;H65,"Expansión",IF(I65&lt;H65,"Contracción","Retenida"))))))</f>
        <v/>
      </c>
      <c r="L65" s="67">
        <f>IF(K65="Up Sale (no recurrente)",0,IF(K65="Expansión",I65-H65,IF(K65="Contracción",H65-I65,IF(K65="Retenida",I65,IF(OR(K65="Nueva",K65="Rescatada"),I65,IF(K65="Churned",H65,0))))))</f>
        <v/>
      </c>
      <c r="M65" s="67" t="n"/>
      <c r="N65" s="67">
        <f>IF(K65="Up Sale (no recurrente)",I65,0)</f>
        <v/>
      </c>
    </row>
    <row r="66">
      <c r="A66" s="67" t="inlineStr">
        <is>
          <t>Instituto Colombiano del Sistema Nervioso (Clinica Montserrat)</t>
        </is>
      </c>
      <c r="B66" s="67" t="inlineStr">
        <is>
          <t>Activo</t>
        </is>
      </c>
      <c r="C66" s="67" t="n">
        <v>0</v>
      </c>
      <c r="D66" s="67" t="n">
        <v>7884460.804</v>
      </c>
      <c r="E66" s="67" t="n">
        <v>8333229.014</v>
      </c>
      <c r="F66" s="67" t="n">
        <v>9135376.218</v>
      </c>
      <c r="G66" s="67" t="n">
        <v>10241871.526</v>
      </c>
      <c r="H66" s="67" t="n">
        <v>9016584.632999999</v>
      </c>
      <c r="I66" s="67" t="n">
        <v>8644371</v>
      </c>
      <c r="J66" s="67">
        <f>IF(SUM(C66:G66)&gt;0,1,0)</f>
        <v/>
      </c>
      <c r="K66" s="68">
        <f>IF(M66&lt;&gt;"",M66,IF(AND(H66=0,I66=0),"Sin actividad",IF(AND(H66=0,I66&gt;0),IF(J66=1,"Rescatada","Nueva"),IF(AND(H66&gt;0,I66=0),"Churned",IF(I66&gt;H66,"Expansión",IF(I66&lt;H66,"Contracción","Retenida"))))))</f>
        <v/>
      </c>
      <c r="L66" s="67">
        <f>IF(K66="Up Sale (no recurrente)",0,IF(K66="Expansión",I66-H66,IF(K66="Contracción",H66-I66,IF(K66="Retenida",I66,IF(OR(K66="Nueva",K66="Rescatada"),I66,IF(K66="Churned",H66,0))))))</f>
        <v/>
      </c>
      <c r="M66" s="67" t="n"/>
      <c r="N66" s="67">
        <f>IF(K66="Up Sale (no recurrente)",I66,0)</f>
        <v/>
      </c>
    </row>
    <row r="67">
      <c r="A67" s="67" t="inlineStr">
        <is>
          <t>COHAN</t>
        </is>
      </c>
      <c r="B67" s="67" t="inlineStr">
        <is>
          <t>Activo</t>
        </is>
      </c>
      <c r="C67" s="67" t="n">
        <v>15295408</v>
      </c>
      <c r="D67" s="67" t="n">
        <v>9415280</v>
      </c>
      <c r="E67" s="67" t="n">
        <v>14659792</v>
      </c>
      <c r="F67" s="67" t="n">
        <v>0</v>
      </c>
      <c r="G67" s="67" t="n">
        <v>0</v>
      </c>
      <c r="H67" s="67" t="n">
        <v>0</v>
      </c>
      <c r="I67" s="67" t="n">
        <v>0</v>
      </c>
      <c r="J67" s="67">
        <f>IF(SUM(C67:G67)&gt;0,1,0)</f>
        <v/>
      </c>
      <c r="K67" s="68">
        <f>IF(M67&lt;&gt;"",M67,IF(AND(H67=0,I67=0),"Sin actividad",IF(AND(H67=0,I67&gt;0),IF(J67=1,"Rescatada","Nueva"),IF(AND(H67&gt;0,I67=0),"Churned",IF(I67&gt;H67,"Expansión",IF(I67&lt;H67,"Contracción","Retenida"))))))</f>
        <v/>
      </c>
      <c r="L67" s="67">
        <f>IF(K67="Up Sale (no recurrente)",0,IF(K67="Expansión",I67-H67,IF(K67="Contracción",H67-I67,IF(K67="Retenida",I67,IF(OR(K67="Nueva",K67="Rescatada"),I67,IF(K67="Churned",H67,0))))))</f>
        <v/>
      </c>
      <c r="M67" s="67" t="n"/>
      <c r="N67" s="67">
        <f>IF(K67="Up Sale (no recurrente)",I67,0)</f>
        <v/>
      </c>
    </row>
    <row r="68">
      <c r="A68" s="67" t="inlineStr">
        <is>
          <t>La Misericordia Cartagena</t>
        </is>
      </c>
      <c r="B68" s="67" t="inlineStr">
        <is>
          <t>Activo</t>
        </is>
      </c>
      <c r="C68" s="67" t="n">
        <v>6804835</v>
      </c>
      <c r="D68" s="67" t="n">
        <v>8518562</v>
      </c>
      <c r="E68" s="67" t="n">
        <v>6804835</v>
      </c>
      <c r="F68" s="67" t="n">
        <v>8518562</v>
      </c>
      <c r="G68" s="67" t="n">
        <v>7158686</v>
      </c>
      <c r="H68" s="67" t="n">
        <v>7158686</v>
      </c>
      <c r="I68" s="67" t="n">
        <v>7158686</v>
      </c>
      <c r="J68" s="67">
        <f>IF(SUM(C68:G68)&gt;0,1,0)</f>
        <v/>
      </c>
      <c r="K68" s="68">
        <f>IF(M68&lt;&gt;"",M68,IF(AND(H68=0,I68=0),"Sin actividad",IF(AND(H68=0,I68&gt;0),IF(J68=1,"Rescatada","Nueva"),IF(AND(H68&gt;0,I68=0),"Churned",IF(I68&gt;H68,"Expansión",IF(I68&lt;H68,"Contracción","Retenida"))))))</f>
        <v/>
      </c>
      <c r="L68" s="67">
        <f>IF(K68="Up Sale (no recurrente)",0,IF(K68="Expansión",I68-H68,IF(K68="Contracción",H68-I68,IF(K68="Retenida",I68,IF(OR(K68="Nueva",K68="Rescatada"),I68,IF(K68="Churned",H68,0))))))</f>
        <v/>
      </c>
      <c r="M68" s="67" t="n"/>
      <c r="N68" s="67">
        <f>IF(K68="Up Sale (no recurrente)",I68,0)</f>
        <v/>
      </c>
    </row>
    <row r="69">
      <c r="A69" s="67" t="inlineStr">
        <is>
          <t>Coopsana</t>
        </is>
      </c>
      <c r="B69" s="67" t="inlineStr">
        <is>
          <t>Activo</t>
        </is>
      </c>
      <c r="C69" s="67" t="n">
        <v>51500000</v>
      </c>
      <c r="D69" s="67" t="n">
        <v>51375000</v>
      </c>
      <c r="E69" s="67" t="n">
        <v>51375000</v>
      </c>
      <c r="F69" s="67" t="n">
        <v>50500000</v>
      </c>
      <c r="G69" s="67" t="n">
        <v>51500000</v>
      </c>
      <c r="H69" s="67" t="n">
        <v>51500000</v>
      </c>
      <c r="I69" s="67" t="n">
        <v>51750000</v>
      </c>
      <c r="J69" s="67">
        <f>IF(SUM(C69:G69)&gt;0,1,0)</f>
        <v/>
      </c>
      <c r="K69" s="68">
        <f>IF(M69&lt;&gt;"",M69,IF(AND(H69=0,I69=0),"Sin actividad",IF(AND(H69=0,I69&gt;0),IF(J69=1,"Rescatada","Nueva"),IF(AND(H69&gt;0,I69=0),"Churned",IF(I69&gt;H69,"Expansión",IF(I69&lt;H69,"Contracción","Retenida"))))))</f>
        <v/>
      </c>
      <c r="L69" s="67">
        <f>IF(K69="Up Sale (no recurrente)",0,IF(K69="Expansión",I69-H69,IF(K69="Contracción",H69-I69,IF(K69="Retenida",I69,IF(OR(K69="Nueva",K69="Rescatada"),I69,IF(K69="Churned",H69,0))))))</f>
        <v/>
      </c>
      <c r="M69" s="67" t="n"/>
      <c r="N69" s="67">
        <f>IF(K69="Up Sale (no recurrente)",I69,0)</f>
        <v/>
      </c>
    </row>
    <row r="70">
      <c r="A70" s="67" t="inlineStr">
        <is>
          <t>Junta Nacional de Calificacion de Invalidez</t>
        </is>
      </c>
      <c r="B70" s="67" t="inlineStr">
        <is>
          <t>Activo</t>
        </is>
      </c>
      <c r="C70" s="67" t="n">
        <v>2505000</v>
      </c>
      <c r="D70" s="67" t="n">
        <v>2505000</v>
      </c>
      <c r="E70" s="67" t="n">
        <v>3110000</v>
      </c>
      <c r="F70" s="67" t="n">
        <v>3045000</v>
      </c>
      <c r="G70" s="67" t="n">
        <v>1962300</v>
      </c>
      <c r="H70" s="67" t="n">
        <v>2505000</v>
      </c>
      <c r="I70" s="67" t="n">
        <v>3110000</v>
      </c>
      <c r="J70" s="67">
        <f>IF(SUM(C70:G70)&gt;0,1,0)</f>
        <v/>
      </c>
      <c r="K70" s="68">
        <f>IF(M70&lt;&gt;"",M70,IF(AND(H70=0,I70=0),"Sin actividad",IF(AND(H70=0,I70&gt;0),IF(J70=1,"Rescatada","Nueva"),IF(AND(H70&gt;0,I70=0),"Churned",IF(I70&gt;H70,"Expansión",IF(I70&lt;H70,"Contracción","Retenida"))))))</f>
        <v/>
      </c>
      <c r="L70" s="67">
        <f>IF(K70="Up Sale (no recurrente)",0,IF(K70="Expansión",I70-H70,IF(K70="Contracción",H70-I70,IF(K70="Retenida",I70,IF(OR(K70="Nueva",K70="Rescatada"),I70,IF(K70="Churned",H70,0))))))</f>
        <v/>
      </c>
      <c r="M70" s="67" t="n"/>
      <c r="N70" s="67">
        <f>IF(K70="Up Sale (no recurrente)",I70,0)</f>
        <v/>
      </c>
    </row>
    <row r="71">
      <c r="A71" s="67" t="inlineStr">
        <is>
          <t>Audiomedic</t>
        </is>
      </c>
      <c r="B71" s="67" t="inlineStr">
        <is>
          <t>Activo</t>
        </is>
      </c>
      <c r="C71" s="67" t="n">
        <v>0</v>
      </c>
      <c r="D71" s="67" t="n">
        <v>1452482</v>
      </c>
      <c r="E71" s="67" t="n">
        <v>726241</v>
      </c>
      <c r="F71" s="67" t="n">
        <v>726241</v>
      </c>
      <c r="G71" s="67" t="n">
        <v>726241</v>
      </c>
      <c r="H71" s="67" t="n">
        <v>726241</v>
      </c>
      <c r="I71" s="67" t="n">
        <v>726241</v>
      </c>
      <c r="J71" s="67">
        <f>IF(SUM(C71:G71)&gt;0,1,0)</f>
        <v/>
      </c>
      <c r="K71" s="68">
        <f>IF(M71&lt;&gt;"",M71,IF(AND(H71=0,I71=0),"Sin actividad",IF(AND(H71=0,I71&gt;0),IF(J71=1,"Rescatada","Nueva"),IF(AND(H71&gt;0,I71=0),"Churned",IF(I71&gt;H71,"Expansión",IF(I71&lt;H71,"Contracción","Retenida"))))))</f>
        <v/>
      </c>
      <c r="L71" s="67">
        <f>IF(K71="Up Sale (no recurrente)",0,IF(K71="Expansión",I71-H71,IF(K71="Contracción",H71-I71,IF(K71="Retenida",I71,IF(OR(K71="Nueva",K71="Rescatada"),I71,IF(K71="Churned",H71,0))))))</f>
        <v/>
      </c>
      <c r="M71" s="67" t="n"/>
      <c r="N71" s="67">
        <f>IF(K71="Up Sale (no recurrente)",I71,0)</f>
        <v/>
      </c>
    </row>
    <row r="72">
      <c r="A72" s="67" t="inlineStr">
        <is>
          <t>Instituto de Niños Sordos y Ciegos</t>
        </is>
      </c>
      <c r="B72" s="67" t="inlineStr">
        <is>
          <t>Activo</t>
        </is>
      </c>
      <c r="C72" s="67" t="n">
        <v>20082003.614</v>
      </c>
      <c r="D72" s="67" t="n">
        <v>27518415.072</v>
      </c>
      <c r="E72" s="67" t="n">
        <v>19143914</v>
      </c>
      <c r="F72" s="67" t="n">
        <v>15642134</v>
      </c>
      <c r="G72" s="67" t="n">
        <v>15642134</v>
      </c>
      <c r="H72" s="67" t="n">
        <v>20082003.614</v>
      </c>
      <c r="I72" s="67" t="n">
        <v>20082003.614</v>
      </c>
      <c r="J72" s="67">
        <f>IF(SUM(C72:G72)&gt;0,1,0)</f>
        <v/>
      </c>
      <c r="K72" s="68">
        <f>IF(M72&lt;&gt;"",M72,IF(AND(H72=0,I72=0),"Sin actividad",IF(AND(H72=0,I72&gt;0),IF(J72=1,"Rescatada","Nueva"),IF(AND(H72&gt;0,I72=0),"Churned",IF(I72&gt;H72,"Expansión",IF(I72&lt;H72,"Contracción","Retenida"))))))</f>
        <v/>
      </c>
      <c r="L72" s="67">
        <f>IF(K72="Up Sale (no recurrente)",0,IF(K72="Expansión",I72-H72,IF(K72="Contracción",H72-I72,IF(K72="Retenida",I72,IF(OR(K72="Nueva",K72="Rescatada"),I72,IF(K72="Churned",H72,0))))))</f>
        <v/>
      </c>
      <c r="M72" s="67" t="n"/>
      <c r="N72" s="67">
        <f>IF(K72="Up Sale (no recurrente)",I72,0)</f>
        <v/>
      </c>
    </row>
    <row r="73">
      <c r="A73" s="67" t="inlineStr">
        <is>
          <t>Clinica Genezen</t>
        </is>
      </c>
      <c r="B73" s="67" t="inlineStr">
        <is>
          <t>Activo</t>
        </is>
      </c>
      <c r="C73" s="67" t="n">
        <v>7273180</v>
      </c>
      <c r="D73" s="67" t="n">
        <v>17732000</v>
      </c>
      <c r="E73" s="67" t="n">
        <v>18190432</v>
      </c>
      <c r="F73" s="67" t="n">
        <v>19740432</v>
      </c>
      <c r="G73" s="67" t="n">
        <v>18190432</v>
      </c>
      <c r="H73" s="67" t="n">
        <v>18190432</v>
      </c>
      <c r="I73" s="67" t="n">
        <v>0</v>
      </c>
      <c r="J73" s="67">
        <f>IF(SUM(C73:G73)&gt;0,1,0)</f>
        <v/>
      </c>
      <c r="K73" s="68">
        <f>IF(M73&lt;&gt;"",M73,IF(AND(H73=0,I73=0),"Sin actividad",IF(AND(H73=0,I73&gt;0),IF(J73=1,"Rescatada","Nueva"),IF(AND(H73&gt;0,I73=0),"Churned",IF(I73&gt;H73,"Expansión",IF(I73&lt;H73,"Contracción","Retenida"))))))</f>
        <v/>
      </c>
      <c r="L73" s="67">
        <f>IF(K73="Up Sale (no recurrente)",0,IF(K73="Expansión",I73-H73,IF(K73="Contracción",H73-I73,IF(K73="Retenida",I73,IF(OR(K73="Nueva",K73="Rescatada"),I73,IF(K73="Churned",H73,0))))))</f>
        <v/>
      </c>
      <c r="M73" s="67" t="n"/>
      <c r="N73" s="67">
        <f>IF(K73="Up Sale (no recurrente)",I73,0)</f>
        <v/>
      </c>
    </row>
    <row r="74">
      <c r="A74" s="67" t="inlineStr">
        <is>
          <t>Hospital Universitario Nacional</t>
        </is>
      </c>
      <c r="B74" s="67" t="inlineStr">
        <is>
          <t>Activo</t>
        </is>
      </c>
      <c r="C74" s="67" t="n">
        <v>25804000</v>
      </c>
      <c r="D74" s="67" t="n">
        <v>28121862</v>
      </c>
      <c r="E74" s="67" t="n">
        <v>28121862</v>
      </c>
      <c r="F74" s="67" t="n">
        <v>28121862</v>
      </c>
      <c r="G74" s="67" t="n">
        <v>28121862</v>
      </c>
      <c r="H74" s="67" t="n">
        <v>28121862</v>
      </c>
      <c r="I74" s="67" t="n">
        <v>28121862</v>
      </c>
      <c r="J74" s="67">
        <f>IF(SUM(C74:G74)&gt;0,1,0)</f>
        <v/>
      </c>
      <c r="K74" s="68">
        <f>IF(M74&lt;&gt;"",M74,IF(AND(H74=0,I74=0),"Sin actividad",IF(AND(H74=0,I74&gt;0),IF(J74=1,"Rescatada","Nueva"),IF(AND(H74&gt;0,I74=0),"Churned",IF(I74&gt;H74,"Expansión",IF(I74&lt;H74,"Contracción","Retenida"))))))</f>
        <v/>
      </c>
      <c r="L74" s="67">
        <f>IF(K74="Up Sale (no recurrente)",0,IF(K74="Expansión",I74-H74,IF(K74="Contracción",H74-I74,IF(K74="Retenida",I74,IF(OR(K74="Nueva",K74="Rescatada"),I74,IF(K74="Churned",H74,0))))))</f>
        <v/>
      </c>
      <c r="M74" s="67" t="n"/>
      <c r="N74" s="67">
        <f>IF(K74="Up Sale (no recurrente)",I74,0)</f>
        <v/>
      </c>
    </row>
    <row r="75">
      <c r="A75" s="67" t="inlineStr">
        <is>
          <t>Infectoclínicos</t>
        </is>
      </c>
      <c r="B75" s="67" t="inlineStr">
        <is>
          <t>Inactivo</t>
        </is>
      </c>
      <c r="C75" s="67" t="n">
        <v>9736598.528000001</v>
      </c>
      <c r="D75" s="67" t="n">
        <v>0</v>
      </c>
      <c r="E75" s="67" t="n">
        <v>0</v>
      </c>
      <c r="F75" s="67" t="n">
        <v>0</v>
      </c>
      <c r="G75" s="67" t="n">
        <v>0</v>
      </c>
      <c r="H75" s="67" t="n">
        <v>0</v>
      </c>
      <c r="I75" s="67" t="n">
        <v>0</v>
      </c>
      <c r="J75" s="67">
        <f>IF(SUM(C75:G75)&gt;0,1,0)</f>
        <v/>
      </c>
      <c r="K75" s="68">
        <f>IF(M75&lt;&gt;"",M75,IF(AND(H75=0,I75=0),"Sin actividad",IF(AND(H75=0,I75&gt;0),IF(J75=1,"Rescatada","Nueva"),IF(AND(H75&gt;0,I75=0),"Churned",IF(I75&gt;H75,"Expansión",IF(I75&lt;H75,"Contracción","Retenida"))))))</f>
        <v/>
      </c>
      <c r="L75" s="67">
        <f>IF(K75="Up Sale (no recurrente)",0,IF(K75="Expansión",I75-H75,IF(K75="Contracción",H75-I75,IF(K75="Retenida",I75,IF(OR(K75="Nueva",K75="Rescatada"),I75,IF(K75="Churned",H75,0))))))</f>
        <v/>
      </c>
      <c r="M75" s="67" t="n"/>
      <c r="N75" s="67">
        <f>IF(K75="Up Sale (no recurrente)",I75,0)</f>
        <v/>
      </c>
    </row>
    <row r="76">
      <c r="A76" s="67" t="inlineStr">
        <is>
          <t>Amanecer Medico</t>
        </is>
      </c>
      <c r="B76" s="67" t="inlineStr">
        <is>
          <t>Activo</t>
        </is>
      </c>
      <c r="C76" s="67" t="n">
        <v>6731336.547</v>
      </c>
      <c r="D76" s="67" t="n">
        <v>7151881.585</v>
      </c>
      <c r="E76" s="67" t="n">
        <v>7151881.585</v>
      </c>
      <c r="F76" s="67" t="n">
        <v>7151881.585</v>
      </c>
      <c r="G76" s="67" t="n">
        <v>7346413.1904</v>
      </c>
      <c r="H76" s="67" t="n">
        <v>9071986.8632</v>
      </c>
      <c r="I76" s="67" t="n">
        <v>7151882</v>
      </c>
      <c r="J76" s="67">
        <f>IF(SUM(C76:G76)&gt;0,1,0)</f>
        <v/>
      </c>
      <c r="K76" s="68">
        <f>IF(M76&lt;&gt;"",M76,IF(AND(H76=0,I76=0),"Sin actividad",IF(AND(H76=0,I76&gt;0),IF(J76=1,"Rescatada","Nueva"),IF(AND(H76&gt;0,I76=0),"Churned",IF(I76&gt;H76,"Expansión",IF(I76&lt;H76,"Contracción","Retenida"))))))</f>
        <v/>
      </c>
      <c r="L76" s="67">
        <f>IF(K76="Up Sale (no recurrente)",0,IF(K76="Expansión",I76-H76,IF(K76="Contracción",H76-I76,IF(K76="Retenida",I76,IF(OR(K76="Nueva",K76="Rescatada"),I76,IF(K76="Churned",H76,0))))))</f>
        <v/>
      </c>
      <c r="M76" s="67" t="n"/>
      <c r="N76" s="67">
        <f>IF(K76="Up Sale (no recurrente)",I76,0)</f>
        <v/>
      </c>
    </row>
    <row r="77">
      <c r="A77" s="67" t="inlineStr">
        <is>
          <t>Sinergia Global</t>
        </is>
      </c>
      <c r="B77" s="67" t="inlineStr">
        <is>
          <t>Activo</t>
        </is>
      </c>
      <c r="C77" s="67" t="n">
        <v>10902215</v>
      </c>
      <c r="D77" s="67" t="n">
        <v>10902215</v>
      </c>
      <c r="E77" s="67" t="n">
        <v>13888450</v>
      </c>
      <c r="F77" s="67" t="n">
        <v>10902215</v>
      </c>
      <c r="G77" s="67" t="n">
        <v>13888450</v>
      </c>
      <c r="H77" s="67" t="n">
        <v>8871288</v>
      </c>
      <c r="I77" s="67" t="n">
        <v>8871288</v>
      </c>
      <c r="J77" s="67">
        <f>IF(SUM(C77:G77)&gt;0,1,0)</f>
        <v/>
      </c>
      <c r="K77" s="68">
        <f>IF(M77&lt;&gt;"",M77,IF(AND(H77=0,I77=0),"Sin actividad",IF(AND(H77=0,I77&gt;0),IF(J77=1,"Rescatada","Nueva"),IF(AND(H77&gt;0,I77=0),"Churned",IF(I77&gt;H77,"Expansión",IF(I77&lt;H77,"Contracción","Retenida"))))))</f>
        <v/>
      </c>
      <c r="L77" s="67">
        <f>IF(K77="Up Sale (no recurrente)",0,IF(K77="Expansión",I77-H77,IF(K77="Contracción",H77-I77,IF(K77="Retenida",I77,IF(OR(K77="Nueva",K77="Rescatada"),I77,IF(K77="Churned",H77,0))))))</f>
        <v/>
      </c>
      <c r="M77" s="67" t="n"/>
      <c r="N77" s="67">
        <f>IF(K77="Up Sale (no recurrente)",I77,0)</f>
        <v/>
      </c>
    </row>
    <row r="78">
      <c r="A78" s="67" t="inlineStr">
        <is>
          <t>Christus Sinergia Clinica Palma Real SAS</t>
        </is>
      </c>
      <c r="B78" s="67" t="inlineStr">
        <is>
          <t>Activo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  <c r="H78" s="67" t="n">
        <v>6842335</v>
      </c>
      <c r="I78" s="67" t="n">
        <v>6842335</v>
      </c>
      <c r="J78" s="67">
        <f>IF(SUM(C78:G78)&gt;0,1,0)</f>
        <v/>
      </c>
      <c r="K78" s="68">
        <f>IF(M78&lt;&gt;"",M78,IF(AND(H78=0,I78=0),"Sin actividad",IF(AND(H78=0,I78&gt;0),IF(J78=1,"Rescatada","Nueva"),IF(AND(H78&gt;0,I78=0),"Churned",IF(I78&gt;H78,"Expansión",IF(I78&lt;H78,"Contracción","Retenida"))))))</f>
        <v/>
      </c>
      <c r="L78" s="67">
        <f>IF(K78="Up Sale (no recurrente)",0,IF(K78="Expansión",I78-H78,IF(K78="Contracción",H78-I78,IF(K78="Retenida",I78,IF(OR(K78="Nueva",K78="Rescatada"),I78,IF(K78="Churned",H78,0))))))</f>
        <v/>
      </c>
      <c r="M78" s="67" t="n"/>
      <c r="N78" s="67">
        <f>IF(K78="Up Sale (no recurrente)",I78,0)</f>
        <v/>
      </c>
    </row>
    <row r="79">
      <c r="A79" s="67" t="inlineStr">
        <is>
          <t>Preventiva SAS</t>
        </is>
      </c>
      <c r="B79" s="67" t="inlineStr">
        <is>
          <t>Activo</t>
        </is>
      </c>
      <c r="C79" s="67" t="n">
        <v>0</v>
      </c>
      <c r="D79" s="67" t="n">
        <v>13294118</v>
      </c>
      <c r="E79" s="67" t="n">
        <v>13294118</v>
      </c>
      <c r="F79" s="67" t="n">
        <v>13294118</v>
      </c>
      <c r="G79" s="67" t="n">
        <v>13294118</v>
      </c>
      <c r="H79" s="67" t="n">
        <v>13294118</v>
      </c>
      <c r="I79" s="67" t="n">
        <v>0</v>
      </c>
      <c r="J79" s="67">
        <f>IF(SUM(C79:G79)&gt;0,1,0)</f>
        <v/>
      </c>
      <c r="K79" s="68">
        <f>IF(M79&lt;&gt;"",M79,IF(AND(H79=0,I79=0),"Sin actividad",IF(AND(H79=0,I79&gt;0),IF(J79=1,"Rescatada","Nueva"),IF(AND(H79&gt;0,I79=0),"Churned",IF(I79&gt;H79,"Expansión",IF(I79&lt;H79,"Contracción","Retenida"))))))</f>
        <v/>
      </c>
      <c r="L79" s="67">
        <f>IF(K79="Up Sale (no recurrente)",0,IF(K79="Expansión",I79-H79,IF(K79="Contracción",H79-I79,IF(K79="Retenida",I79,IF(OR(K79="Nueva",K79="Rescatada"),I79,IF(K79="Churned",H79,0))))))</f>
        <v/>
      </c>
      <c r="M79" s="67" t="n"/>
      <c r="N79" s="67">
        <f>IF(K79="Up Sale (no recurrente)",I79,0)</f>
        <v/>
      </c>
    </row>
    <row r="80">
      <c r="A80" s="67" t="inlineStr">
        <is>
          <t>Comfama</t>
        </is>
      </c>
      <c r="B80" s="67" t="inlineStr">
        <is>
          <t>Activo</t>
        </is>
      </c>
      <c r="C80" s="67" t="n">
        <v>40985019</v>
      </c>
      <c r="D80" s="67" t="n">
        <v>44175067</v>
      </c>
      <c r="E80" s="67" t="n">
        <v>42151149</v>
      </c>
      <c r="F80" s="67" t="n">
        <v>44259818</v>
      </c>
      <c r="G80" s="67" t="n">
        <v>38907224</v>
      </c>
      <c r="H80" s="67" t="n">
        <v>30754279</v>
      </c>
      <c r="I80" s="67" t="n">
        <v>12348928</v>
      </c>
      <c r="J80" s="67">
        <f>IF(SUM(C80:G80)&gt;0,1,0)</f>
        <v/>
      </c>
      <c r="K80" s="68">
        <f>IF(M80&lt;&gt;"",M80,IF(AND(H80=0,I80=0),"Sin actividad",IF(AND(H80=0,I80&gt;0),IF(J80=1,"Rescatada","Nueva"),IF(AND(H80&gt;0,I80=0),"Churned",IF(I80&gt;H80,"Expansión",IF(I80&lt;H80,"Contracción","Retenida"))))))</f>
        <v/>
      </c>
      <c r="L80" s="67">
        <f>IF(K80="Up Sale (no recurrente)",0,IF(K80="Expansión",I80-H80,IF(K80="Contracción",H80-I80,IF(K80="Retenida",I80,IF(OR(K80="Nueva",K80="Rescatada"),I80,IF(K80="Churned",H80,0))))))</f>
        <v/>
      </c>
      <c r="M80" s="67" t="n"/>
      <c r="N80" s="67">
        <f>IF(K80="Up Sale (no recurrente)",I80,0)</f>
        <v/>
      </c>
    </row>
    <row r="81">
      <c r="A81" s="67" t="inlineStr">
        <is>
          <t>Fisinova</t>
        </is>
      </c>
      <c r="B81" s="67" t="inlineStr">
        <is>
          <t>Activo</t>
        </is>
      </c>
      <c r="C81" s="67" t="n">
        <v>8408000</v>
      </c>
      <c r="D81" s="67" t="n">
        <v>8836808</v>
      </c>
      <c r="E81" s="67" t="n">
        <v>8836808</v>
      </c>
      <c r="F81" s="67" t="n">
        <v>8836808</v>
      </c>
      <c r="G81" s="67" t="n">
        <v>8836808</v>
      </c>
      <c r="H81" s="67" t="n">
        <v>7511287</v>
      </c>
      <c r="I81" s="67" t="n">
        <v>8836808</v>
      </c>
      <c r="J81" s="67">
        <f>IF(SUM(C81:G81)&gt;0,1,0)</f>
        <v/>
      </c>
      <c r="K81" s="68">
        <f>IF(M81&lt;&gt;"",M81,IF(AND(H81=0,I81=0),"Sin actividad",IF(AND(H81=0,I81&gt;0),IF(J81=1,"Rescatada","Nueva"),IF(AND(H81&gt;0,I81=0),"Churned",IF(I81&gt;H81,"Expansión",IF(I81&lt;H81,"Contracción","Retenida"))))))</f>
        <v/>
      </c>
      <c r="L81" s="67">
        <f>IF(K81="Up Sale (no recurrente)",0,IF(K81="Expansión",I81-H81,IF(K81="Contracción",H81-I81,IF(K81="Retenida",I81,IF(OR(K81="Nueva",K81="Rescatada"),I81,IF(K81="Churned",H81,0))))))</f>
        <v/>
      </c>
      <c r="M81" s="67" t="n"/>
      <c r="N81" s="67">
        <f>IF(K81="Up Sale (no recurrente)",I81,0)</f>
        <v/>
      </c>
    </row>
    <row r="82">
      <c r="A82" s="67" t="inlineStr">
        <is>
          <t>Hospital Universitario de Santander</t>
        </is>
      </c>
      <c r="B82" s="67" t="inlineStr">
        <is>
          <t>Activo</t>
        </is>
      </c>
      <c r="C82" s="67" t="n">
        <v>5046174</v>
      </c>
      <c r="D82" s="67" t="n">
        <v>5046174</v>
      </c>
      <c r="E82" s="67" t="n">
        <v>0</v>
      </c>
      <c r="F82" s="67" t="n">
        <v>0</v>
      </c>
      <c r="G82" s="67" t="n">
        <v>0</v>
      </c>
      <c r="H82" s="67" t="n">
        <v>0</v>
      </c>
      <c r="I82" s="67" t="n">
        <v>0</v>
      </c>
      <c r="J82" s="67">
        <f>IF(SUM(C82:G82)&gt;0,1,0)</f>
        <v/>
      </c>
      <c r="K82" s="68">
        <f>IF(M82&lt;&gt;"",M82,IF(AND(H82=0,I82=0),"Sin actividad",IF(AND(H82=0,I82&gt;0),IF(J82=1,"Rescatada","Nueva"),IF(AND(H82&gt;0,I82=0),"Churned",IF(I82&gt;H82,"Expansión",IF(I82&lt;H82,"Contracción","Retenida"))))))</f>
        <v/>
      </c>
      <c r="L82" s="67">
        <f>IF(K82="Up Sale (no recurrente)",0,IF(K82="Expansión",I82-H82,IF(K82="Contracción",H82-I82,IF(K82="Retenida",I82,IF(OR(K82="Nueva",K82="Rescatada"),I82,IF(K82="Churned",H82,0))))))</f>
        <v/>
      </c>
      <c r="M82" s="67" t="n"/>
      <c r="N82" s="67">
        <f>IF(K82="Up Sale (no recurrente)",I82,0)</f>
        <v/>
      </c>
    </row>
    <row r="83">
      <c r="A83" s="67" t="inlineStr">
        <is>
          <t>Ese San Rafael de Yolombo</t>
        </is>
      </c>
      <c r="B83" s="67" t="inlineStr">
        <is>
          <t>Activo</t>
        </is>
      </c>
      <c r="C83" s="67" t="n">
        <v>21560400</v>
      </c>
      <c r="D83" s="67" t="n">
        <v>21560400</v>
      </c>
      <c r="E83" s="67" t="n">
        <v>21560400</v>
      </c>
      <c r="F83" s="67" t="n">
        <v>21560400</v>
      </c>
      <c r="G83" s="67" t="n">
        <v>21560400</v>
      </c>
      <c r="H83" s="67" t="n">
        <v>21560400</v>
      </c>
      <c r="I83" s="67" t="n">
        <v>21560400</v>
      </c>
      <c r="J83" s="67">
        <f>IF(SUM(C83:G83)&gt;0,1,0)</f>
        <v/>
      </c>
      <c r="K83" s="68">
        <f>IF(M83&lt;&gt;"",M83,IF(AND(H83=0,I83=0),"Sin actividad",IF(AND(H83=0,I83&gt;0),IF(J83=1,"Rescatada","Nueva"),IF(AND(H83&gt;0,I83=0),"Churned",IF(I83&gt;H83,"Expansión",IF(I83&lt;H83,"Contracción","Retenida"))))))</f>
        <v/>
      </c>
      <c r="L83" s="67">
        <f>IF(K83="Up Sale (no recurrente)",0,IF(K83="Expansión",I83-H83,IF(K83="Contracción",H83-I83,IF(K83="Retenida",I83,IF(OR(K83="Nueva",K83="Rescatada"),I83,IF(K83="Churned",H83,0))))))</f>
        <v/>
      </c>
      <c r="M83" s="67" t="n"/>
      <c r="N83" s="67">
        <f>IF(K83="Up Sale (no recurrente)",I83,0)</f>
        <v/>
      </c>
    </row>
    <row r="84">
      <c r="A84" s="67" t="inlineStr">
        <is>
          <t>Ese San Juan de Dios Yarumal</t>
        </is>
      </c>
      <c r="B84" s="67" t="inlineStr">
        <is>
          <t>Inactivo</t>
        </is>
      </c>
      <c r="C84" s="67" t="n">
        <v>0</v>
      </c>
      <c r="D84" s="67" t="n">
        <v>0</v>
      </c>
      <c r="E84" s="67" t="n">
        <v>0</v>
      </c>
      <c r="F84" s="67" t="n">
        <v>0</v>
      </c>
      <c r="G84" s="67" t="n">
        <v>0</v>
      </c>
      <c r="H84" s="67" t="n">
        <v>0</v>
      </c>
      <c r="I84" s="67" t="n">
        <v>0</v>
      </c>
      <c r="J84" s="67">
        <f>IF(SUM(C84:G84)&gt;0,1,0)</f>
        <v/>
      </c>
      <c r="K84" s="68">
        <f>IF(M84&lt;&gt;"",M84,IF(AND(H84=0,I84=0),"Sin actividad",IF(AND(H84=0,I84&gt;0),IF(J84=1,"Rescatada","Nueva"),IF(AND(H84&gt;0,I84=0),"Churned",IF(I84&gt;H84,"Expansión",IF(I84&lt;H84,"Contracción","Retenida"))))))</f>
        <v/>
      </c>
      <c r="L84" s="67">
        <f>IF(K84="Up Sale (no recurrente)",0,IF(K84="Expansión",I84-H84,IF(K84="Contracción",H84-I84,IF(K84="Retenida",I84,IF(OR(K84="Nueva",K84="Rescatada"),I84,IF(K84="Churned",H84,0))))))</f>
        <v/>
      </c>
      <c r="M84" s="67" t="n"/>
      <c r="N84" s="67">
        <f>IF(K84="Up Sale (no recurrente)",I84,0)</f>
        <v/>
      </c>
    </row>
    <row r="85">
      <c r="A85" s="67" t="inlineStr">
        <is>
          <t>Clinica Zayma</t>
        </is>
      </c>
      <c r="B85" s="67" t="inlineStr">
        <is>
          <t>Activo</t>
        </is>
      </c>
      <c r="C85" s="67" t="n">
        <v>2150000</v>
      </c>
      <c r="D85" s="67" t="n">
        <v>2150000</v>
      </c>
      <c r="E85" s="67" t="n">
        <v>2150000</v>
      </c>
      <c r="F85" s="67" t="n">
        <v>2150000</v>
      </c>
      <c r="G85" s="67" t="n">
        <v>2150000</v>
      </c>
      <c r="H85" s="67" t="n">
        <v>2150000</v>
      </c>
      <c r="I85" s="67" t="n">
        <v>2150000</v>
      </c>
      <c r="J85" s="67">
        <f>IF(SUM(C85:G85)&gt;0,1,0)</f>
        <v/>
      </c>
      <c r="K85" s="68">
        <f>IF(M85&lt;&gt;"",M85,IF(AND(H85=0,I85=0),"Sin actividad",IF(AND(H85=0,I85&gt;0),IF(J85=1,"Rescatada","Nueva"),IF(AND(H85&gt;0,I85=0),"Churned",IF(I85&gt;H85,"Expansión",IF(I85&lt;H85,"Contracción","Retenida"))))))</f>
        <v/>
      </c>
      <c r="L85" s="67">
        <f>IF(K85="Up Sale (no recurrente)",0,IF(K85="Expansión",I85-H85,IF(K85="Contracción",H85-I85,IF(K85="Retenida",I85,IF(OR(K85="Nueva",K85="Rescatada"),I85,IF(K85="Churned",H85,0))))))</f>
        <v/>
      </c>
      <c r="M85" s="67" t="n"/>
      <c r="N85" s="67">
        <f>IF(K85="Up Sale (no recurrente)",I85,0)</f>
        <v/>
      </c>
    </row>
    <row r="86">
      <c r="A86" s="67" t="inlineStr">
        <is>
          <t>Rehabilitacion y Gestion del Reintegro con Salud (IPS Regresa)</t>
        </is>
      </c>
      <c r="B86" s="67" t="inlineStr">
        <is>
          <t>Activo</t>
        </is>
      </c>
      <c r="C86" s="67" t="n">
        <v>2832147.5</v>
      </c>
      <c r="D86" s="67" t="n">
        <v>2882893</v>
      </c>
      <c r="E86" s="67" t="n">
        <v>3723256.3095</v>
      </c>
      <c r="F86" s="67" t="n">
        <v>3207218.4625</v>
      </c>
      <c r="G86" s="67" t="n">
        <v>4024518.628</v>
      </c>
      <c r="H86" s="67" t="n">
        <v>4197492.208</v>
      </c>
      <c r="I86" s="67" t="n">
        <v>3847220.7085</v>
      </c>
      <c r="J86" s="67">
        <f>IF(SUM(C86:G86)&gt;0,1,0)</f>
        <v/>
      </c>
      <c r="K86" s="68">
        <f>IF(M86&lt;&gt;"",M86,IF(AND(H86=0,I86=0),"Sin actividad",IF(AND(H86=0,I86&gt;0),IF(J86=1,"Rescatada","Nueva"),IF(AND(H86&gt;0,I86=0),"Churned",IF(I86&gt;H86,"Expansión",IF(I86&lt;H86,"Contracción","Retenida"))))))</f>
        <v/>
      </c>
      <c r="L86" s="67">
        <f>IF(K86="Up Sale (no recurrente)",0,IF(K86="Expansión",I86-H86,IF(K86="Contracción",H86-I86,IF(K86="Retenida",I86,IF(OR(K86="Nueva",K86="Rescatada"),I86,IF(K86="Churned",H86,0))))))</f>
        <v/>
      </c>
      <c r="M86" s="67" t="n"/>
      <c r="N86" s="67">
        <f>IF(K86="Up Sale (no recurrente)",I86,0)</f>
        <v/>
      </c>
    </row>
    <row r="87">
      <c r="A87" s="67" t="inlineStr">
        <is>
          <t>Jose Orduz Medicina Integrativa (Our Family)</t>
        </is>
      </c>
      <c r="B87" s="67" t="inlineStr">
        <is>
          <t>Activo</t>
        </is>
      </c>
      <c r="C87" s="67" t="n">
        <v>2312200</v>
      </c>
      <c r="D87" s="67" t="n">
        <v>2312200</v>
      </c>
      <c r="E87" s="67" t="n">
        <v>3047900</v>
      </c>
      <c r="F87" s="67" t="n">
        <v>2900000</v>
      </c>
      <c r="G87" s="67" t="n">
        <v>2900000</v>
      </c>
      <c r="H87" s="67" t="n">
        <v>2900000</v>
      </c>
      <c r="I87" s="67" t="n">
        <v>2900000</v>
      </c>
      <c r="J87" s="67">
        <f>IF(SUM(C87:G87)&gt;0,1,0)</f>
        <v/>
      </c>
      <c r="K87" s="68">
        <f>IF(M87&lt;&gt;"",M87,IF(AND(H87=0,I87=0),"Sin actividad",IF(AND(H87=0,I87&gt;0),IF(J87=1,"Rescatada","Nueva"),IF(AND(H87&gt;0,I87=0),"Churned",IF(I87&gt;H87,"Expansión",IF(I87&lt;H87,"Contracción","Retenida"))))))</f>
        <v/>
      </c>
      <c r="L87" s="67">
        <f>IF(K87="Up Sale (no recurrente)",0,IF(K87="Expansión",I87-H87,IF(K87="Contracción",H87-I87,IF(K87="Retenida",I87,IF(OR(K87="Nueva",K87="Rescatada"),I87,IF(K87="Churned",H87,0))))))</f>
        <v/>
      </c>
      <c r="M87" s="67" t="n"/>
      <c r="N87" s="67">
        <f>IF(K87="Up Sale (no recurrente)",I87,0)</f>
        <v/>
      </c>
    </row>
    <row r="88">
      <c r="A88" s="67" t="inlineStr">
        <is>
          <t>ESE Hospital Local de Montelibano</t>
        </is>
      </c>
      <c r="B88" s="67" t="inlineStr">
        <is>
          <t>Activo</t>
        </is>
      </c>
      <c r="C88" s="67" t="n">
        <v>0</v>
      </c>
      <c r="D88" s="67" t="n">
        <v>6312000</v>
      </c>
      <c r="E88" s="67" t="n">
        <v>0</v>
      </c>
      <c r="F88" s="67" t="n">
        <v>0</v>
      </c>
      <c r="G88" s="67" t="n">
        <v>0</v>
      </c>
      <c r="H88" s="67" t="n">
        <v>0</v>
      </c>
      <c r="I88" s="67" t="n">
        <v>0</v>
      </c>
      <c r="J88" s="67">
        <f>IF(SUM(C88:G88)&gt;0,1,0)</f>
        <v/>
      </c>
      <c r="K88" s="68">
        <f>IF(M88&lt;&gt;"",M88,IF(AND(H88=0,I88=0),"Sin actividad",IF(AND(H88=0,I88&gt;0),IF(J88=1,"Rescatada","Nueva"),IF(AND(H88&gt;0,I88=0),"Churned",IF(I88&gt;H88,"Expansión",IF(I88&lt;H88,"Contracción","Retenida"))))))</f>
        <v/>
      </c>
      <c r="L88" s="67">
        <f>IF(K88="Up Sale (no recurrente)",0,IF(K88="Expansión",I88-H88,IF(K88="Contracción",H88-I88,IF(K88="Retenida",I88,IF(OR(K88="Nueva",K88="Rescatada"),I88,IF(K88="Churned",H88,0))))))</f>
        <v/>
      </c>
      <c r="M88" s="67" t="n"/>
      <c r="N88" s="67">
        <f>IF(K88="Up Sale (no recurrente)",I88,0)</f>
        <v/>
      </c>
    </row>
    <row r="89">
      <c r="A89" s="67" t="inlineStr">
        <is>
          <t>DermaPau Plus SAS</t>
        </is>
      </c>
      <c r="B89" s="67" t="n"/>
      <c r="C89" s="67" t="n">
        <v>2150000</v>
      </c>
      <c r="D89" s="67" t="n">
        <v>0</v>
      </c>
      <c r="E89" s="67" t="n">
        <v>10965000</v>
      </c>
      <c r="F89" s="67" t="n">
        <v>0</v>
      </c>
      <c r="G89" s="67" t="n">
        <v>0</v>
      </c>
      <c r="H89" s="67" t="n">
        <v>0</v>
      </c>
      <c r="I89" s="67" t="n">
        <v>0</v>
      </c>
      <c r="J89" s="67">
        <f>IF(SUM(C89:G89)&gt;0,1,0)</f>
        <v/>
      </c>
      <c r="K89" s="68">
        <f>IF(M89&lt;&gt;"",M89,IF(AND(H89=0,I89=0),"Sin actividad",IF(AND(H89=0,I89&gt;0),IF(J89=1,"Rescatada","Nueva"),IF(AND(H89&gt;0,I89=0),"Churned",IF(I89&gt;H89,"Expansión",IF(I89&lt;H89,"Contracción","Retenida"))))))</f>
        <v/>
      </c>
      <c r="L89" s="67">
        <f>IF(K89="Up Sale (no recurrente)",0,IF(K89="Expansión",I89-H89,IF(K89="Contracción",H89-I89,IF(K89="Retenida",I89,IF(OR(K89="Nueva",K89="Rescatada"),I89,IF(K89="Churned",H89,0))))))</f>
        <v/>
      </c>
      <c r="M89" s="67" t="n"/>
      <c r="N89" s="67">
        <f>IF(K89="Up Sale (no recurrente)",I89,0)</f>
        <v/>
      </c>
    </row>
    <row r="90">
      <c r="A90" s="67" t="inlineStr">
        <is>
          <t>ESE San Jose - (San Andres - Bucaramanga)</t>
        </is>
      </c>
      <c r="B90" s="67" t="n"/>
      <c r="C90" s="67" t="n">
        <v>0</v>
      </c>
      <c r="D90" s="67" t="n">
        <v>0</v>
      </c>
      <c r="E90" s="67" t="n">
        <v>0</v>
      </c>
      <c r="F90" s="67" t="n">
        <v>0</v>
      </c>
      <c r="G90" s="67" t="n">
        <v>3585600</v>
      </c>
      <c r="H90" s="67" t="n">
        <v>1106400</v>
      </c>
      <c r="I90" s="67" t="n">
        <v>1178400</v>
      </c>
      <c r="J90" s="67">
        <f>IF(SUM(C90:G90)&gt;0,1,0)</f>
        <v/>
      </c>
      <c r="K90" s="68">
        <f>IF(M90&lt;&gt;"",M90,IF(AND(H90=0,I90=0),"Sin actividad",IF(AND(H90=0,I90&gt;0),IF(J90=1,"Rescatada","Nueva"),IF(AND(H90&gt;0,I90=0),"Churned",IF(I90&gt;H90,"Expansión",IF(I90&lt;H90,"Contracción","Retenida"))))))</f>
        <v/>
      </c>
      <c r="L90" s="67">
        <f>IF(K90="Up Sale (no recurrente)",0,IF(K90="Expansión",I90-H90,IF(K90="Contracción",H90-I90,IF(K90="Retenida",I90,IF(OR(K90="Nueva",K90="Rescatada"),I90,IF(K90="Churned",H90,0))))))</f>
        <v/>
      </c>
      <c r="M90" s="67" t="n"/>
      <c r="N90" s="67">
        <f>IF(K90="Up Sale (no recurrente)",I90,0)</f>
        <v/>
      </c>
    </row>
    <row r="91">
      <c r="A91" s="67" t="inlineStr">
        <is>
          <t>Cooperativa San Esteban IPS</t>
        </is>
      </c>
      <c r="B91" s="67" t="n"/>
      <c r="C91" s="67" t="n">
        <v>0</v>
      </c>
      <c r="D91" s="67" t="n">
        <v>0</v>
      </c>
      <c r="E91" s="67" t="n">
        <v>0</v>
      </c>
      <c r="F91" s="67" t="n">
        <v>0</v>
      </c>
      <c r="G91" s="67" t="n">
        <v>0</v>
      </c>
      <c r="H91" s="67" t="n">
        <v>0</v>
      </c>
      <c r="I91" s="67" t="n">
        <v>0</v>
      </c>
      <c r="J91" s="67">
        <f>IF(SUM(C91:G91)&gt;0,1,0)</f>
        <v/>
      </c>
      <c r="K91" s="68">
        <f>IF(M91&lt;&gt;"",M91,IF(AND(H91=0,I91=0),"Sin actividad",IF(AND(H91=0,I91&gt;0),IF(J91=1,"Rescatada","Nueva"),IF(AND(H91&gt;0,I91=0),"Churned",IF(I91&gt;H91,"Expansión",IF(I91&lt;H91,"Contracción","Retenida"))))))</f>
        <v/>
      </c>
      <c r="L91" s="67">
        <f>IF(K91="Up Sale (no recurrente)",0,IF(K91="Expansión",I91-H91,IF(K91="Contracción",H91-I91,IF(K91="Retenida",I91,IF(OR(K91="Nueva",K91="Rescatada"),I91,IF(K91="Churned",H91,0))))))</f>
        <v/>
      </c>
      <c r="M91" s="67" t="n"/>
      <c r="N91" s="67">
        <f>IF(K91="Up Sale (no recurrente)",I91,0)</f>
        <v/>
      </c>
    </row>
    <row r="92">
      <c r="A92" s="67" t="inlineStr">
        <is>
          <t>Neurodinamia SA</t>
        </is>
      </c>
      <c r="B92" s="67" t="n"/>
      <c r="C92" s="67" t="n">
        <v>0</v>
      </c>
      <c r="D92" s="67" t="n">
        <v>0</v>
      </c>
      <c r="E92" s="67" t="n">
        <v>0</v>
      </c>
      <c r="F92" s="67" t="n">
        <v>7100000</v>
      </c>
      <c r="G92" s="67" t="n">
        <v>7100000</v>
      </c>
      <c r="H92" s="67" t="n">
        <v>8333980</v>
      </c>
      <c r="I92" s="67" t="n">
        <v>11936520</v>
      </c>
      <c r="J92" s="67">
        <f>IF(SUM(C92:G92)&gt;0,1,0)</f>
        <v/>
      </c>
      <c r="K92" s="68">
        <f>IF(M92&lt;&gt;"",M92,IF(AND(H92=0,I92=0),"Sin actividad",IF(AND(H92=0,I92&gt;0),IF(J92=1,"Rescatada","Nueva"),IF(AND(H92&gt;0,I92=0),"Churned",IF(I92&gt;H92,"Expansión",IF(I92&lt;H92,"Contracción","Retenida"))))))</f>
        <v/>
      </c>
      <c r="L92" s="67">
        <f>IF(K92="Up Sale (no recurrente)",0,IF(K92="Expansión",I92-H92,IF(K92="Contracción",H92-I92,IF(K92="Retenida",I92,IF(OR(K92="Nueva",K92="Rescatada"),I92,IF(K92="Churned",H92,0))))))</f>
        <v/>
      </c>
      <c r="M92" s="67" t="n"/>
      <c r="N92" s="67">
        <f>IF(K92="Up Sale (no recurrente)",I92,0)</f>
        <v/>
      </c>
    </row>
    <row r="93">
      <c r="A93" s="67" t="inlineStr">
        <is>
          <t>Clinica de Ojos (CLINOJOS) SA</t>
        </is>
      </c>
      <c r="B93" s="67" t="inlineStr">
        <is>
          <t>Activo</t>
        </is>
      </c>
      <c r="C93" s="67" t="n">
        <v>0</v>
      </c>
      <c r="D93" s="67" t="n">
        <v>0</v>
      </c>
      <c r="E93" s="67" t="n">
        <v>9468810</v>
      </c>
      <c r="F93" s="67" t="n">
        <v>13273756</v>
      </c>
      <c r="G93" s="67" t="n">
        <v>15829636</v>
      </c>
      <c r="H93" s="67" t="n">
        <v>13273756</v>
      </c>
      <c r="I93" s="67" t="n">
        <v>13273756</v>
      </c>
      <c r="J93" s="67">
        <f>IF(SUM(C93:G93)&gt;0,1,0)</f>
        <v/>
      </c>
      <c r="K93" s="68">
        <f>IF(M93&lt;&gt;"",M93,IF(AND(H93=0,I93=0),"Sin actividad",IF(AND(H93=0,I93&gt;0),IF(J93=1,"Rescatada","Nueva"),IF(AND(H93&gt;0,I93=0),"Churned",IF(I93&gt;H93,"Expansión",IF(I93&lt;H93,"Contracción","Retenida"))))))</f>
        <v/>
      </c>
      <c r="L93" s="67">
        <f>IF(K93="Up Sale (no recurrente)",0,IF(K93="Expansión",I93-H93,IF(K93="Contracción",H93-I93,IF(K93="Retenida",I93,IF(OR(K93="Nueva",K93="Rescatada"),I93,IF(K93="Churned",H93,0))))))</f>
        <v/>
      </c>
      <c r="M93" s="67" t="n"/>
      <c r="N93" s="67">
        <f>IF(K93="Up Sale (no recurrente)",I93,0)</f>
        <v/>
      </c>
    </row>
    <row r="94">
      <c r="A94" s="67" t="inlineStr">
        <is>
          <t>Centro de Ortopedia y Rehabilitacion Ortovital Integral SAS</t>
        </is>
      </c>
      <c r="B94" s="67" t="inlineStr">
        <is>
          <t>Activo</t>
        </is>
      </c>
      <c r="C94" s="67" t="n">
        <v>0</v>
      </c>
      <c r="D94" s="67" t="n">
        <v>0</v>
      </c>
      <c r="E94" s="67" t="n">
        <v>0</v>
      </c>
      <c r="F94" s="67" t="n">
        <v>6356250</v>
      </c>
      <c r="G94" s="67" t="n">
        <v>6356250</v>
      </c>
      <c r="H94" s="67" t="n">
        <v>7658550</v>
      </c>
      <c r="I94" s="67" t="n">
        <v>6356250</v>
      </c>
      <c r="J94" s="67">
        <f>IF(SUM(C94:G94)&gt;0,1,0)</f>
        <v/>
      </c>
      <c r="K94" s="68">
        <f>IF(M94&lt;&gt;"",M94,IF(AND(H94=0,I94=0),"Sin actividad",IF(AND(H94=0,I94&gt;0),IF(J94=1,"Rescatada","Nueva"),IF(AND(H94&gt;0,I94=0),"Churned",IF(I94&gt;H94,"Expansión",IF(I94&lt;H94,"Contracción","Retenida"))))))</f>
        <v/>
      </c>
      <c r="L94" s="67">
        <f>IF(K94="Up Sale (no recurrente)",0,IF(K94="Expansión",I94-H94,IF(K94="Contracción",H94-I94,IF(K94="Retenida",I94,IF(OR(K94="Nueva",K94="Rescatada"),I94,IF(K94="Churned",H94,0))))))</f>
        <v/>
      </c>
      <c r="M94" s="67" t="n"/>
      <c r="N94" s="67">
        <f>IF(K94="Up Sale (no recurrente)",I94,0)</f>
        <v/>
      </c>
    </row>
    <row r="95">
      <c r="A95" s="67" t="inlineStr">
        <is>
          <t>Hospital San Bernabe ESE  (ASOHSVAL)</t>
        </is>
      </c>
      <c r="B95" s="67" t="n"/>
      <c r="C95" s="67" t="n">
        <v>0</v>
      </c>
      <c r="D95" s="67" t="n">
        <v>0</v>
      </c>
      <c r="E95" s="67" t="n">
        <v>0</v>
      </c>
      <c r="F95" s="67" t="n">
        <v>0</v>
      </c>
      <c r="G95" s="67" t="n">
        <v>0</v>
      </c>
      <c r="H95" s="67" t="n">
        <v>5482828</v>
      </c>
      <c r="I95" s="67" t="n">
        <v>3262207</v>
      </c>
      <c r="J95" s="67">
        <f>IF(SUM(C95:G95)&gt;0,1,0)</f>
        <v/>
      </c>
      <c r="K95" s="68">
        <f>IF(M95&lt;&gt;"",M95,IF(AND(H95=0,I95=0),"Sin actividad",IF(AND(H95=0,I95&gt;0),IF(J95=1,"Rescatada","Nueva"),IF(AND(H95&gt;0,I95=0),"Churned",IF(I95&gt;H95,"Expansión",IF(I95&lt;H95,"Contracción","Retenida"))))))</f>
        <v/>
      </c>
      <c r="L95" s="67">
        <f>IF(K95="Up Sale (no recurrente)",0,IF(K95="Expansión",I95-H95,IF(K95="Contracción",H95-I95,IF(K95="Retenida",I95,IF(OR(K95="Nueva",K95="Rescatada"),I95,IF(K95="Churned",H95,0))))))</f>
        <v/>
      </c>
      <c r="M95" s="67" t="n"/>
      <c r="N95" s="67">
        <f>IF(K95="Up Sale (no recurrente)",I95,0)</f>
        <v/>
      </c>
    </row>
    <row r="96">
      <c r="A96" s="67" t="inlineStr">
        <is>
          <t>Medihel Services Colombia</t>
        </is>
      </c>
      <c r="B96" s="67" t="inlineStr">
        <is>
          <t>Activo</t>
        </is>
      </c>
      <c r="C96" s="67" t="n">
        <v>0</v>
      </c>
      <c r="D96" s="67" t="n">
        <v>0</v>
      </c>
      <c r="E96" s="67" t="n">
        <v>0</v>
      </c>
      <c r="F96" s="67" t="n">
        <v>0</v>
      </c>
      <c r="G96" s="67" t="n">
        <v>0</v>
      </c>
      <c r="H96" s="67" t="n">
        <v>0</v>
      </c>
      <c r="I96" s="67" t="n">
        <v>7500000</v>
      </c>
      <c r="J96" s="67">
        <f>IF(SUM(C96:G96)&gt;0,1,0)</f>
        <v/>
      </c>
      <c r="K96" s="68">
        <f>IF(M96&lt;&gt;"",M96,IF(AND(H96=0,I96=0),"Sin actividad",IF(AND(H96=0,I96&gt;0),IF(J96=1,"Rescatada","Nueva"),IF(AND(H96&gt;0,I96=0),"Churned",IF(I96&gt;H96,"Expansión",IF(I96&lt;H96,"Contracción","Retenida"))))))</f>
        <v/>
      </c>
      <c r="L96" s="67">
        <f>IF(K96="Up Sale (no recurrente)",0,IF(K96="Expansión",I96-H96,IF(K96="Contracción",H96-I96,IF(K96="Retenida",I96,IF(OR(K96="Nueva",K96="Rescatada"),I96,IF(K96="Churned",H96,0))))))</f>
        <v/>
      </c>
      <c r="M96" s="67" t="n"/>
      <c r="N96" s="67">
        <f>IF(K96="Up Sale (no recurrente)",I96,0)</f>
        <v/>
      </c>
    </row>
    <row r="97">
      <c r="A97" s="67" t="inlineStr">
        <is>
          <t>Audiocom SAS</t>
        </is>
      </c>
      <c r="B97" s="67" t="n"/>
      <c r="C97" s="67" t="n">
        <v>0</v>
      </c>
      <c r="D97" s="67" t="n">
        <v>0</v>
      </c>
      <c r="E97" s="67" t="n">
        <v>0</v>
      </c>
      <c r="F97" s="67" t="n">
        <v>0</v>
      </c>
      <c r="G97" s="67" t="n">
        <v>0</v>
      </c>
      <c r="H97" s="67" t="n">
        <v>0</v>
      </c>
      <c r="I97" s="67" t="n">
        <v>0</v>
      </c>
      <c r="J97" s="67">
        <f>IF(SUM(C97:G97)&gt;0,1,0)</f>
        <v/>
      </c>
      <c r="K97" s="68">
        <f>IF(M97&lt;&gt;"",M97,IF(AND(H97=0,I97=0),"Sin actividad",IF(AND(H97=0,I97&gt;0),IF(J97=1,"Rescatada","Nueva"),IF(AND(H97&gt;0,I97=0),"Churned",IF(I97&gt;H97,"Expansión",IF(I97&lt;H97,"Contracción","Retenida"))))))</f>
        <v/>
      </c>
      <c r="L97" s="67">
        <f>IF(K97="Up Sale (no recurrente)",0,IF(K97="Expansión",I97-H97,IF(K97="Contracción",H97-I97,IF(K97="Retenida",I97,IF(OR(K97="Nueva",K97="Rescatada"),I97,IF(K97="Churned",H97,0))))))</f>
        <v/>
      </c>
      <c r="M97" s="67" t="n"/>
      <c r="N97" s="67">
        <f>IF(K97="Up Sale (no recurrente)",I97,0)</f>
        <v/>
      </c>
    </row>
    <row r="98">
      <c r="A98" s="67" t="inlineStr">
        <is>
          <t>Fundacion Liberate</t>
        </is>
      </c>
      <c r="B98" s="67" t="inlineStr">
        <is>
          <t>Rangos</t>
        </is>
      </c>
      <c r="C98" s="67" t="n">
        <v>0</v>
      </c>
      <c r="D98" s="67" t="n">
        <v>0</v>
      </c>
      <c r="E98" s="67" t="n">
        <v>0</v>
      </c>
      <c r="F98" s="67" t="n">
        <v>4693114</v>
      </c>
      <c r="G98" s="67" t="n">
        <v>0</v>
      </c>
      <c r="H98" s="67" t="n">
        <v>5678214</v>
      </c>
      <c r="I98" s="67" t="n">
        <v>3378214</v>
      </c>
      <c r="J98" s="67">
        <f>IF(SUM(C98:G98)&gt;0,1,0)</f>
        <v/>
      </c>
      <c r="K98" s="68">
        <f>IF(M98&lt;&gt;"",M98,IF(AND(H98=0,I98=0),"Sin actividad",IF(AND(H98=0,I98&gt;0),IF(J98=1,"Rescatada","Nueva"),IF(AND(H98&gt;0,I98=0),"Churned",IF(I98&gt;H98,"Expansión",IF(I98&lt;H98,"Contracción","Retenida"))))))</f>
        <v/>
      </c>
      <c r="L98" s="67">
        <f>IF(K98="Up Sale (no recurrente)",0,IF(K98="Expansión",I98-H98,IF(K98="Contracción",H98-I98,IF(K98="Retenida",I98,IF(OR(K98="Nueva",K98="Rescatada"),I98,IF(K98="Churned",H98,0))))))</f>
        <v/>
      </c>
      <c r="M98" s="67" t="n"/>
      <c r="N98" s="67">
        <f>IF(K98="Up Sale (no recurrente)",I98,0)</f>
        <v/>
      </c>
    </row>
    <row r="99">
      <c r="A99" s="67" t="inlineStr">
        <is>
          <t>Centro Intercultural de Atencion en Salud (CIAS)</t>
        </is>
      </c>
      <c r="B99" s="67" t="n"/>
      <c r="C99" s="67" t="n">
        <v>0</v>
      </c>
      <c r="D99" s="67" t="n">
        <v>0</v>
      </c>
      <c r="E99" s="67" t="n">
        <v>0</v>
      </c>
      <c r="F99" s="67" t="n">
        <v>0</v>
      </c>
      <c r="G99" s="67" t="n">
        <v>1395000</v>
      </c>
      <c r="H99" s="67" t="n">
        <v>0</v>
      </c>
      <c r="I99" s="67" t="n">
        <v>0</v>
      </c>
      <c r="J99" s="67">
        <f>IF(SUM(C99:G99)&gt;0,1,0)</f>
        <v/>
      </c>
      <c r="K99" s="68">
        <f>IF(M99&lt;&gt;"",M99,IF(AND(H99=0,I99=0),"Sin actividad",IF(AND(H99=0,I99&gt;0),IF(J99=1,"Rescatada","Nueva"),IF(AND(H99&gt;0,I99=0),"Churned",IF(I99&gt;H99,"Expansión",IF(I99&lt;H99,"Contracción","Retenida"))))))</f>
        <v/>
      </c>
      <c r="L99" s="67">
        <f>IF(K99="Up Sale (no recurrente)",0,IF(K99="Expansión",I99-H99,IF(K99="Contracción",H99-I99,IF(K99="Retenida",I99,IF(OR(K99="Nueva",K99="Rescatada"),I99,IF(K99="Churned",H99,0))))))</f>
        <v/>
      </c>
      <c r="M99" s="67" t="n"/>
      <c r="N99" s="67">
        <f>IF(K99="Up Sale (no recurrente)",I99,0)</f>
        <v/>
      </c>
    </row>
    <row r="100">
      <c r="A100" s="67" t="inlineStr">
        <is>
          <t>Ese Hospital San Fernando (Amagá)</t>
        </is>
      </c>
      <c r="B100" s="67" t="n"/>
      <c r="C100" s="67" t="n">
        <v>0</v>
      </c>
      <c r="D100" s="67" t="n">
        <v>0</v>
      </c>
      <c r="E100" s="67" t="n">
        <v>0</v>
      </c>
      <c r="F100" s="67" t="n">
        <v>0</v>
      </c>
      <c r="G100" s="67" t="n">
        <v>6698888</v>
      </c>
      <c r="H100" s="67" t="n">
        <v>3284952</v>
      </c>
      <c r="I100" s="67" t="n">
        <v>3055320</v>
      </c>
      <c r="J100" s="67">
        <f>IF(SUM(C100:G100)&gt;0,1,0)</f>
        <v/>
      </c>
      <c r="K100" s="68">
        <f>IF(M100&lt;&gt;"",M100,IF(AND(H100=0,I100=0),"Sin actividad",IF(AND(H100=0,I100&gt;0),IF(J100=1,"Rescatada","Nueva"),IF(AND(H100&gt;0,I100=0),"Churned",IF(I100&gt;H100,"Expansión",IF(I100&lt;H100,"Contracción","Retenida"))))))</f>
        <v/>
      </c>
      <c r="L100" s="67">
        <f>IF(K100="Up Sale (no recurrente)",0,IF(K100="Expansión",I100-H100,IF(K100="Contracción",H100-I100,IF(K100="Retenida",I100,IF(OR(K100="Nueva",K100="Rescatada"),I100,IF(K100="Churned",H100,0))))))</f>
        <v/>
      </c>
      <c r="M100" s="67" t="n"/>
      <c r="N100" s="67">
        <f>IF(K100="Up Sale (no recurrente)",I100,0)</f>
        <v/>
      </c>
    </row>
    <row r="101">
      <c r="A101" s="67" t="inlineStr">
        <is>
          <t>Ese Hosptal la Anunciacion (Mutata)</t>
        </is>
      </c>
      <c r="B101" s="67" t="n"/>
      <c r="C101" s="67" t="n">
        <v>0</v>
      </c>
      <c r="D101" s="67" t="n">
        <v>0</v>
      </c>
      <c r="E101" s="67" t="n">
        <v>0</v>
      </c>
      <c r="F101" s="67" t="n">
        <v>0</v>
      </c>
      <c r="G101" s="67" t="n">
        <v>4560072</v>
      </c>
      <c r="H101" s="67" t="n">
        <v>2181136</v>
      </c>
      <c r="I101" s="67" t="n">
        <v>2127224</v>
      </c>
      <c r="J101" s="67">
        <f>IF(SUM(C101:G101)&gt;0,1,0)</f>
        <v/>
      </c>
      <c r="K101" s="68">
        <f>IF(M101&lt;&gt;"",M101,IF(AND(H101=0,I101=0),"Sin actividad",IF(AND(H101=0,I101&gt;0),IF(J101=1,"Rescatada","Nueva"),IF(AND(H101&gt;0,I101=0),"Churned",IF(I101&gt;H101,"Expansión",IF(I101&lt;H101,"Contracción","Retenida"))))))</f>
        <v/>
      </c>
      <c r="L101" s="67">
        <f>IF(K101="Up Sale (no recurrente)",0,IF(K101="Expansión",I101-H101,IF(K101="Contracción",H101-I101,IF(K101="Retenida",I101,IF(OR(K101="Nueva",K101="Rescatada"),I101,IF(K101="Churned",H101,0))))))</f>
        <v/>
      </c>
      <c r="M101" s="67" t="n"/>
      <c r="N101" s="67">
        <f>IF(K101="Up Sale (no recurrente)",I101,0)</f>
        <v/>
      </c>
    </row>
    <row r="102">
      <c r="A102" s="67" t="inlineStr">
        <is>
          <t>Ese Hospital Maria Auxiliadora (Chigorodo)</t>
        </is>
      </c>
      <c r="B102" s="67" t="n"/>
      <c r="C102" s="67" t="n">
        <v>0</v>
      </c>
      <c r="D102" s="67" t="n">
        <v>0</v>
      </c>
      <c r="E102" s="67" t="n">
        <v>0</v>
      </c>
      <c r="F102" s="67" t="n">
        <v>0</v>
      </c>
      <c r="G102" s="67" t="n">
        <v>4360248</v>
      </c>
      <c r="H102" s="67" t="n">
        <v>2262648</v>
      </c>
      <c r="I102" s="67" t="n">
        <v>2060064</v>
      </c>
      <c r="J102" s="67">
        <f>IF(SUM(C102:G102)&gt;0,1,0)</f>
        <v/>
      </c>
      <c r="K102" s="68">
        <f>IF(M102&lt;&gt;"",M102,IF(AND(H102=0,I102=0),"Sin actividad",IF(AND(H102=0,I102&gt;0),IF(J102=1,"Rescatada","Nueva"),IF(AND(H102&gt;0,I102=0),"Churned",IF(I102&gt;H102,"Expansión",IF(I102&lt;H102,"Contracción","Retenida"))))))</f>
        <v/>
      </c>
      <c r="L102" s="67">
        <f>IF(K102="Up Sale (no recurrente)",0,IF(K102="Expansión",I102-H102,IF(K102="Contracción",H102-I102,IF(K102="Retenida",I102,IF(OR(K102="Nueva",K102="Rescatada"),I102,IF(K102="Churned",H102,0))))))</f>
        <v/>
      </c>
      <c r="M102" s="67" t="n"/>
      <c r="N102" s="67">
        <f>IF(K102="Up Sale (no recurrente)",I102,0)</f>
        <v/>
      </c>
    </row>
    <row r="103">
      <c r="A103" s="67" t="inlineStr">
        <is>
          <t>Ese Hospital Francisco Luis Jimenez (Carepa)</t>
        </is>
      </c>
      <c r="B103" s="67" t="n"/>
      <c r="C103" s="67" t="n">
        <v>0</v>
      </c>
      <c r="D103" s="67" t="n">
        <v>0</v>
      </c>
      <c r="E103" s="67" t="n">
        <v>0</v>
      </c>
      <c r="F103" s="67" t="n">
        <v>1133440</v>
      </c>
      <c r="G103" s="67" t="n">
        <v>1042728</v>
      </c>
      <c r="H103" s="67" t="n">
        <v>774456</v>
      </c>
      <c r="I103" s="67" t="n">
        <v>672520</v>
      </c>
      <c r="J103" s="67">
        <f>IF(SUM(C103:G103)&gt;0,1,0)</f>
        <v/>
      </c>
      <c r="K103" s="68">
        <f>IF(M103&lt;&gt;"",M103,IF(AND(H103=0,I103=0),"Sin actividad",IF(AND(H103=0,I103&gt;0),IF(J103=1,"Rescatada","Nueva"),IF(AND(H103&gt;0,I103=0),"Churned",IF(I103&gt;H103,"Expansión",IF(I103&lt;H103,"Contracción","Retenida"))))))</f>
        <v/>
      </c>
      <c r="L103" s="67">
        <f>IF(K103="Up Sale (no recurrente)",0,IF(K103="Expansión",I103-H103,IF(K103="Contracción",H103-I103,IF(K103="Retenida",I103,IF(OR(K103="Nueva",K103="Rescatada"),I103,IF(K103="Churned",H103,0))))))</f>
        <v/>
      </c>
      <c r="M103" s="67" t="n"/>
      <c r="N103" s="67">
        <f>IF(K103="Up Sale (no recurrente)",I103,0)</f>
        <v/>
      </c>
    </row>
    <row r="104">
      <c r="A104" s="67" t="inlineStr">
        <is>
          <t>Ese Hospital San Rafael (San Luis)</t>
        </is>
      </c>
      <c r="B104" s="67" t="n"/>
      <c r="C104" s="67" t="n">
        <v>0</v>
      </c>
      <c r="D104" s="67" t="n">
        <v>0</v>
      </c>
      <c r="E104" s="67" t="n">
        <v>0</v>
      </c>
      <c r="F104" s="67" t="n">
        <v>0</v>
      </c>
      <c r="G104" s="67" t="n">
        <v>916136</v>
      </c>
      <c r="H104" s="67" t="n">
        <v>0</v>
      </c>
      <c r="I104" s="67" t="n">
        <v>0</v>
      </c>
      <c r="J104" s="67">
        <f>IF(SUM(C104:G104)&gt;0,1,0)</f>
        <v/>
      </c>
      <c r="K104" s="68">
        <f>IF(M104&lt;&gt;"",M104,IF(AND(H104=0,I104=0),"Sin actividad",IF(AND(H104=0,I104&gt;0),IF(J104=1,"Rescatada","Nueva"),IF(AND(H104&gt;0,I104=0),"Churned",IF(I104&gt;H104,"Expansión",IF(I104&lt;H104,"Contracción","Retenida"))))))</f>
        <v/>
      </c>
      <c r="L104" s="67">
        <f>IF(K104="Up Sale (no recurrente)",0,IF(K104="Expansión",I104-H104,IF(K104="Contracción",H104-I104,IF(K104="Retenida",I104,IF(OR(K104="Nueva",K104="Rescatada"),I104,IF(K104="Churned",H104,0))))))</f>
        <v/>
      </c>
      <c r="M104" s="67" t="n"/>
      <c r="N104" s="67">
        <f>IF(K104="Up Sale (no recurrente)",I104,0)</f>
        <v/>
      </c>
    </row>
    <row r="105">
      <c r="A105" s="67" t="inlineStr">
        <is>
          <t>Ese San Joaquin (Nariño)</t>
        </is>
      </c>
      <c r="B105" s="67" t="n"/>
      <c r="C105" s="67" t="n">
        <v>0</v>
      </c>
      <c r="D105" s="67" t="n">
        <v>0</v>
      </c>
      <c r="E105" s="67" t="n">
        <v>0</v>
      </c>
      <c r="F105" s="67" t="n">
        <v>0</v>
      </c>
      <c r="G105" s="67" t="n">
        <v>666080</v>
      </c>
      <c r="H105" s="67" t="n">
        <v>456320</v>
      </c>
      <c r="I105" s="67" t="n">
        <v>310592</v>
      </c>
      <c r="J105" s="67">
        <f>IF(SUM(C105:G105)&gt;0,1,0)</f>
        <v/>
      </c>
      <c r="K105" s="68">
        <f>IF(M105&lt;&gt;"",M105,IF(AND(H105=0,I105=0),"Sin actividad",IF(AND(H105=0,I105&gt;0),IF(J105=1,"Rescatada","Nueva"),IF(AND(H105&gt;0,I105=0),"Churned",IF(I105&gt;H105,"Expansión",IF(I105&lt;H105,"Contracción","Retenida"))))))</f>
        <v/>
      </c>
      <c r="L105" s="67">
        <f>IF(K105="Up Sale (no recurrente)",0,IF(K105="Expansión",I105-H105,IF(K105="Contracción",H105-I105,IF(K105="Retenida",I105,IF(OR(K105="Nueva",K105="Rescatada"),I105,IF(K105="Churned",H105,0))))))</f>
        <v/>
      </c>
      <c r="M105" s="67" t="n"/>
      <c r="N105" s="67">
        <f>IF(K105="Up Sale (no recurrente)",I105,0)</f>
        <v/>
      </c>
    </row>
    <row r="106">
      <c r="A106" s="67" t="inlineStr">
        <is>
          <t>Hospital San Antonio de (Buritica)</t>
        </is>
      </c>
      <c r="B106" s="67" t="n"/>
      <c r="C106" s="67" t="n">
        <v>0</v>
      </c>
      <c r="D106" s="67" t="n">
        <v>0</v>
      </c>
      <c r="E106" s="67" t="n">
        <v>0</v>
      </c>
      <c r="F106" s="67" t="n">
        <v>0</v>
      </c>
      <c r="G106" s="67" t="n">
        <v>464232</v>
      </c>
      <c r="H106" s="67" t="n">
        <v>329912</v>
      </c>
      <c r="I106" s="67" t="n">
        <v>154376</v>
      </c>
      <c r="J106" s="67">
        <f>IF(SUM(C106:G106)&gt;0,1,0)</f>
        <v/>
      </c>
      <c r="K106" s="68">
        <f>IF(M106&lt;&gt;"",M106,IF(AND(H106=0,I106=0),"Sin actividad",IF(AND(H106=0,I106&gt;0),IF(J106=1,"Rescatada","Nueva"),IF(AND(H106&gt;0,I106=0),"Churned",IF(I106&gt;H106,"Expansión",IF(I106&lt;H106,"Contracción","Retenida"))))))</f>
        <v/>
      </c>
      <c r="L106" s="67">
        <f>IF(K106="Up Sale (no recurrente)",0,IF(K106="Expansión",I106-H106,IF(K106="Contracción",H106-I106,IF(K106="Retenida",I106,IF(OR(K106="Nueva",K106="Rescatada"),I106,IF(K106="Churned",H106,0))))))</f>
        <v/>
      </c>
      <c r="M106" s="67" t="n"/>
      <c r="N106" s="67">
        <f>IF(K106="Up Sale (no recurrente)",I106,0)</f>
        <v/>
      </c>
    </row>
    <row r="107">
      <c r="A107" s="67" t="inlineStr">
        <is>
          <t>Ese Hospital San Antonio (Betania)</t>
        </is>
      </c>
      <c r="B107" s="67" t="n"/>
      <c r="C107" s="67" t="n">
        <v>0</v>
      </c>
      <c r="D107" s="67" t="n">
        <v>0</v>
      </c>
      <c r="E107" s="67" t="n">
        <v>0</v>
      </c>
      <c r="F107" s="67" t="n">
        <v>0</v>
      </c>
      <c r="G107" s="67" t="n">
        <v>670680</v>
      </c>
      <c r="H107" s="67" t="n">
        <v>430928</v>
      </c>
      <c r="I107" s="67" t="n">
        <v>412528</v>
      </c>
      <c r="J107" s="67">
        <f>IF(SUM(C107:G107)&gt;0,1,0)</f>
        <v/>
      </c>
      <c r="K107" s="68">
        <f>IF(M107&lt;&gt;"",M107,IF(AND(H107=0,I107=0),"Sin actividad",IF(AND(H107=0,I107&gt;0),IF(J107=1,"Rescatada","Nueva"),IF(AND(H107&gt;0,I107=0),"Churned",IF(I107&gt;H107,"Expansión",IF(I107&lt;H107,"Contracción","Retenida"))))))</f>
        <v/>
      </c>
      <c r="L107" s="67">
        <f>IF(K107="Up Sale (no recurrente)",0,IF(K107="Expansión",I107-H107,IF(K107="Contracción",H107-I107,IF(K107="Retenida",I107,IF(OR(K107="Nueva",K107="Rescatada"),I107,IF(K107="Churned",H107,0))))))</f>
        <v/>
      </c>
      <c r="M107" s="67" t="n"/>
      <c r="N107" s="67">
        <f>IF(K107="Up Sale (no recurrente)",I107,0)</f>
        <v/>
      </c>
    </row>
    <row r="108">
      <c r="A108" s="67" t="inlineStr">
        <is>
          <t>Ese Hospital Santa Isabel (Gomez Plata)</t>
        </is>
      </c>
      <c r="B108" s="67" t="n"/>
      <c r="C108" s="67" t="n">
        <v>0</v>
      </c>
      <c r="D108" s="67" t="n">
        <v>0</v>
      </c>
      <c r="E108" s="67" t="n">
        <v>0</v>
      </c>
      <c r="F108" s="67" t="n">
        <v>0</v>
      </c>
      <c r="G108" s="67" t="n">
        <v>973912</v>
      </c>
      <c r="H108" s="67" t="n">
        <v>586040</v>
      </c>
      <c r="I108" s="67" t="n">
        <v>438472</v>
      </c>
      <c r="J108" s="67">
        <f>IF(SUM(C108:G108)&gt;0,1,0)</f>
        <v/>
      </c>
      <c r="K108" s="68">
        <f>IF(M108&lt;&gt;"",M108,IF(AND(H108=0,I108=0),"Sin actividad",IF(AND(H108=0,I108&gt;0),IF(J108=1,"Rescatada","Nueva"),IF(AND(H108&gt;0,I108=0),"Churned",IF(I108&gt;H108,"Expansión",IF(I108&lt;H108,"Contracción","Retenida"))))))</f>
        <v/>
      </c>
      <c r="L108" s="67">
        <f>IF(K108="Up Sale (no recurrente)",0,IF(K108="Expansión",I108-H108,IF(K108="Contracción",H108-I108,IF(K108="Retenida",I108,IF(OR(K108="Nueva",K108="Rescatada"),I108,IF(K108="Churned",H108,0))))))</f>
        <v/>
      </c>
      <c r="M108" s="67" t="n"/>
      <c r="N108" s="67">
        <f>IF(K108="Up Sale (no recurrente)",I108,0)</f>
        <v/>
      </c>
    </row>
    <row r="109">
      <c r="A109" s="67" t="inlineStr">
        <is>
          <t>Ese Hospital Guillermo Gaviria Correa (Caicedo)</t>
        </is>
      </c>
      <c r="B109" s="67" t="n"/>
      <c r="C109" s="67" t="n">
        <v>0</v>
      </c>
      <c r="D109" s="67" t="n">
        <v>0</v>
      </c>
      <c r="E109" s="67" t="n">
        <v>0</v>
      </c>
      <c r="F109" s="67" t="n">
        <v>422036</v>
      </c>
      <c r="G109" s="67" t="n">
        <v>323820</v>
      </c>
      <c r="H109" s="67" t="n">
        <v>299324</v>
      </c>
      <c r="I109" s="67" t="n">
        <v>334412</v>
      </c>
      <c r="J109" s="67">
        <f>IF(SUM(C109:G109)&gt;0,1,0)</f>
        <v/>
      </c>
      <c r="K109" s="68">
        <f>IF(M109&lt;&gt;"",M109,IF(AND(H109=0,I109=0),"Sin actividad",IF(AND(H109=0,I109&gt;0),IF(J109=1,"Rescatada","Nueva"),IF(AND(H109&gt;0,I109=0),"Churned",IF(I109&gt;H109,"Expansión",IF(I109&lt;H109,"Contracción","Retenida"))))))</f>
        <v/>
      </c>
      <c r="L109" s="67">
        <f>IF(K109="Up Sale (no recurrente)",0,IF(K109="Expansión",I109-H109,IF(K109="Contracción",H109-I109,IF(K109="Retenida",I109,IF(OR(K109="Nueva",K109="Rescatada"),I109,IF(K109="Churned",H109,0))))))</f>
        <v/>
      </c>
      <c r="M109" s="67" t="n"/>
      <c r="N109" s="67">
        <f>IF(K109="Up Sale (no recurrente)",I109,0)</f>
        <v/>
      </c>
    </row>
    <row r="110">
      <c r="A110" s="67" t="inlineStr">
        <is>
          <t>Hospital San Juan de Dios (Rionegro)</t>
        </is>
      </c>
      <c r="B110" s="67" t="n"/>
      <c r="C110" s="67" t="n">
        <v>0</v>
      </c>
      <c r="D110" s="67" t="n">
        <v>0</v>
      </c>
      <c r="E110" s="67" t="n">
        <v>0</v>
      </c>
      <c r="F110" s="67" t="n">
        <v>0</v>
      </c>
      <c r="G110" s="67" t="n">
        <v>28707128</v>
      </c>
      <c r="H110" s="67" t="n">
        <v>14757352</v>
      </c>
      <c r="I110" s="67" t="n">
        <v>13563000</v>
      </c>
      <c r="J110" s="67">
        <f>IF(SUM(C110:G110)&gt;0,1,0)</f>
        <v/>
      </c>
      <c r="K110" s="68">
        <f>IF(M110&lt;&gt;"",M110,IF(AND(H110=0,I110=0),"Sin actividad",IF(AND(H110=0,I110&gt;0),IF(J110=1,"Rescatada","Nueva"),IF(AND(H110&gt;0,I110=0),"Churned",IF(I110&gt;H110,"Expansión",IF(I110&lt;H110,"Contracción","Retenida"))))))</f>
        <v/>
      </c>
      <c r="L110" s="67">
        <f>IF(K110="Up Sale (no recurrente)",0,IF(K110="Expansión",I110-H110,IF(K110="Contracción",H110-I110,IF(K110="Retenida",I110,IF(OR(K110="Nueva",K110="Rescatada"),I110,IF(K110="Churned",H110,0))))))</f>
        <v/>
      </c>
      <c r="M110" s="67" t="n"/>
      <c r="N110" s="67">
        <f>IF(K110="Up Sale (no recurrente)",I110,0)</f>
        <v/>
      </c>
    </row>
    <row r="111">
      <c r="A111" s="67" t="inlineStr">
        <is>
          <t>Clinica Nuestra señora de la Paz</t>
        </is>
      </c>
      <c r="B111" s="67" t="n"/>
      <c r="C111" s="67" t="n">
        <v>0</v>
      </c>
      <c r="D111" s="67" t="n">
        <v>0</v>
      </c>
      <c r="E111" s="67" t="n">
        <v>0</v>
      </c>
      <c r="F111" s="67" t="n">
        <v>0</v>
      </c>
      <c r="G111" s="67" t="n">
        <v>4842500</v>
      </c>
      <c r="H111" s="67" t="n">
        <v>4842500</v>
      </c>
      <c r="I111" s="67" t="n">
        <v>4842500</v>
      </c>
      <c r="J111" s="67">
        <f>IF(SUM(C111:G111)&gt;0,1,0)</f>
        <v/>
      </c>
      <c r="K111" s="68">
        <f>IF(M111&lt;&gt;"",M111,IF(AND(H111=0,I111=0),"Sin actividad",IF(AND(H111=0,I111&gt;0),IF(J111=1,"Rescatada","Nueva"),IF(AND(H111&gt;0,I111=0),"Churned",IF(I111&gt;H111,"Expansión",IF(I111&lt;H111,"Contracción","Retenida"))))))</f>
        <v/>
      </c>
      <c r="L111" s="67">
        <f>IF(K111="Up Sale (no recurrente)",0,IF(K111="Expansión",I111-H111,IF(K111="Contracción",H111-I111,IF(K111="Retenida",I111,IF(OR(K111="Nueva",K111="Rescatada"),I111,IF(K111="Churned",H111,0))))))</f>
        <v/>
      </c>
      <c r="M111" s="67" t="n"/>
      <c r="N111" s="67">
        <f>IF(K111="Up Sale (no recurrente)",I111,0)</f>
        <v/>
      </c>
    </row>
    <row r="112">
      <c r="A112" s="67" t="inlineStr">
        <is>
          <t>ESE Local Ismael Roldan</t>
        </is>
      </c>
      <c r="B112" s="67" t="n"/>
      <c r="C112" s="67" t="n">
        <v>0</v>
      </c>
      <c r="D112" s="67" t="n">
        <v>0</v>
      </c>
      <c r="E112" s="67" t="n">
        <v>0</v>
      </c>
      <c r="F112" s="67" t="n">
        <v>0</v>
      </c>
      <c r="G112" s="67" t="n">
        <v>0</v>
      </c>
      <c r="H112" s="67" t="n">
        <v>0</v>
      </c>
      <c r="I112" s="67" t="n">
        <v>0</v>
      </c>
      <c r="J112" s="67">
        <f>IF(SUM(C112:G112)&gt;0,1,0)</f>
        <v/>
      </c>
      <c r="K112" s="68">
        <f>IF(M112&lt;&gt;"",M112,IF(AND(H112=0,I112=0),"Sin actividad",IF(AND(H112=0,I112&gt;0),IF(J112=1,"Rescatada","Nueva"),IF(AND(H112&gt;0,I112=0),"Churned",IF(I112&gt;H112,"Expansión",IF(I112&lt;H112,"Contracción","Retenida"))))))</f>
        <v/>
      </c>
      <c r="L112" s="67">
        <f>IF(K112="Up Sale (no recurrente)",0,IF(K112="Expansión",I112-H112,IF(K112="Contracción",H112-I112,IF(K112="Retenida",I112,IF(OR(K112="Nueva",K112="Rescatada"),I112,IF(K112="Churned",H112,0))))))</f>
        <v/>
      </c>
      <c r="M112" s="67" t="n"/>
      <c r="N112" s="67">
        <f>IF(K112="Up Sale (no recurrente)",I112,0)</f>
        <v/>
      </c>
    </row>
    <row r="113">
      <c r="A113" s="67" t="inlineStr">
        <is>
          <t>Instituto de Seguridad y Salud Isesalud SAS</t>
        </is>
      </c>
      <c r="B113" s="67" t="n"/>
      <c r="C113" s="67" t="n">
        <v>0</v>
      </c>
      <c r="D113" s="67" t="n">
        <v>0</v>
      </c>
      <c r="E113" s="67" t="n">
        <v>0</v>
      </c>
      <c r="F113" s="67" t="n">
        <v>0</v>
      </c>
      <c r="G113" s="67" t="n">
        <v>0</v>
      </c>
      <c r="H113" s="67" t="n">
        <v>0</v>
      </c>
      <c r="I113" s="67" t="n">
        <v>0</v>
      </c>
      <c r="J113" s="67">
        <f>IF(SUM(C113:G113)&gt;0,1,0)</f>
        <v/>
      </c>
      <c r="K113" s="68">
        <f>IF(M113&lt;&gt;"",M113,IF(AND(H113=0,I113=0),"Sin actividad",IF(AND(H113=0,I113&gt;0),IF(J113=1,"Rescatada","Nueva"),IF(AND(H113&gt;0,I113=0),"Churned",IF(I113&gt;H113,"Expansión",IF(I113&lt;H113,"Contracción","Retenida"))))))</f>
        <v/>
      </c>
      <c r="L113" s="67">
        <f>IF(K113="Up Sale (no recurrente)",0,IF(K113="Expansión",I113-H113,IF(K113="Contracción",H113-I113,IF(K113="Retenida",I113,IF(OR(K113="Nueva",K113="Rescatada"),I113,IF(K113="Churned",H113,0))))))</f>
        <v/>
      </c>
      <c r="M113" s="67" t="n"/>
      <c r="N113" s="67">
        <f>IF(K113="Up Sale (no recurrente)",I113,0)</f>
        <v/>
      </c>
    </row>
    <row r="114">
      <c r="A114" s="67" t="inlineStr">
        <is>
          <t>Mediagnostica Tecmedi SAS</t>
        </is>
      </c>
      <c r="B114" s="67" t="n"/>
      <c r="C114" s="67" t="n">
        <v>0</v>
      </c>
      <c r="D114" s="67" t="n">
        <v>0</v>
      </c>
      <c r="E114" s="67" t="n">
        <v>0</v>
      </c>
      <c r="F114" s="67" t="n">
        <v>0</v>
      </c>
      <c r="G114" s="67" t="n">
        <v>0</v>
      </c>
      <c r="H114" s="67" t="n">
        <v>0</v>
      </c>
      <c r="I114" s="67" t="n">
        <v>0</v>
      </c>
      <c r="J114" s="67">
        <f>IF(SUM(C114:G114)&gt;0,1,0)</f>
        <v/>
      </c>
      <c r="K114" s="68">
        <f>IF(M114&lt;&gt;"",M114,IF(AND(H114=0,I114=0),"Sin actividad",IF(AND(H114=0,I114&gt;0),IF(J114=1,"Rescatada","Nueva"),IF(AND(H114&gt;0,I114=0),"Churned",IF(I114&gt;H114,"Expansión",IF(I114&lt;H114,"Contracción","Retenida"))))))</f>
        <v/>
      </c>
      <c r="L114" s="67">
        <f>IF(K114="Up Sale (no recurrente)",0,IF(K114="Expansión",I114-H114,IF(K114="Contracción",H114-I114,IF(K114="Retenida",I114,IF(OR(K114="Nueva",K114="Rescatada"),I114,IF(K114="Churned",H114,0))))))</f>
        <v/>
      </c>
      <c r="M114" s="67" t="n"/>
      <c r="N114" s="67">
        <f>IF(K114="Up Sale (no recurrente)",I114,0)</f>
        <v/>
      </c>
    </row>
    <row r="115">
      <c r="A115" s="67" t="inlineStr">
        <is>
          <t>IPS Horizonte Social La Esperanza SAS</t>
        </is>
      </c>
      <c r="B115" s="67" t="n"/>
      <c r="C115" s="67" t="n">
        <v>0</v>
      </c>
      <c r="D115" s="67" t="n">
        <v>0</v>
      </c>
      <c r="E115" s="67" t="n">
        <v>0</v>
      </c>
      <c r="F115" s="67" t="n">
        <v>0</v>
      </c>
      <c r="G115" s="67" t="n">
        <v>0</v>
      </c>
      <c r="H115" s="67" t="n">
        <v>0</v>
      </c>
      <c r="I115" s="67" t="n">
        <v>0</v>
      </c>
      <c r="J115" s="67">
        <f>IF(SUM(C115:G115)&gt;0,1,0)</f>
        <v/>
      </c>
      <c r="K115" s="68">
        <f>IF(M115&lt;&gt;"",M115,IF(AND(H115=0,I115=0),"Sin actividad",IF(AND(H115=0,I115&gt;0),IF(J115=1,"Rescatada","Nueva"),IF(AND(H115&gt;0,I115=0),"Churned",IF(I115&gt;H115,"Expansión",IF(I115&lt;H115,"Contracción","Retenida"))))))</f>
        <v/>
      </c>
      <c r="L115" s="67">
        <f>IF(K115="Up Sale (no recurrente)",0,IF(K115="Expansión",I115-H115,IF(K115="Contracción",H115-I115,IF(K115="Retenida",I115,IF(OR(K115="Nueva",K115="Rescatada"),I115,IF(K115="Churned",H115,0))))))</f>
        <v/>
      </c>
      <c r="M115" s="67" t="n"/>
      <c r="N115" s="67">
        <f>IF(K115="Up Sale (no recurrente)",I115,0)</f>
        <v/>
      </c>
    </row>
    <row r="116">
      <c r="A116" s="67" t="inlineStr">
        <is>
          <t>Clinica DIME (Neurocardiovascular)</t>
        </is>
      </c>
      <c r="B116" s="67" t="n"/>
      <c r="C116" s="67" t="n">
        <v>0</v>
      </c>
      <c r="D116" s="67" t="n">
        <v>0</v>
      </c>
      <c r="E116" s="67" t="n">
        <v>0</v>
      </c>
      <c r="F116" s="67" t="n">
        <v>0</v>
      </c>
      <c r="G116" s="67" t="n">
        <v>0</v>
      </c>
      <c r="H116" s="67" t="n">
        <v>0</v>
      </c>
      <c r="I116" s="67" t="n">
        <v>0</v>
      </c>
      <c r="J116" s="67">
        <f>IF(SUM(C116:G116)&gt;0,1,0)</f>
        <v/>
      </c>
      <c r="K116" s="68">
        <f>IF(M116&lt;&gt;"",M116,IF(AND(H116=0,I116=0),"Sin actividad",IF(AND(H116=0,I116&gt;0),IF(J116=1,"Rescatada","Nueva"),IF(AND(H116&gt;0,I116=0),"Churned",IF(I116&gt;H116,"Expansión",IF(I116&lt;H116,"Contracción","Retenida"))))))</f>
        <v/>
      </c>
      <c r="L116" s="67">
        <f>IF(K116="Up Sale (no recurrente)",0,IF(K116="Expansión",I116-H116,IF(K116="Contracción",H116-I116,IF(K116="Retenida",I116,IF(OR(K116="Nueva",K116="Rescatada"),I116,IF(K116="Churned",H116,0))))))</f>
        <v/>
      </c>
      <c r="M116" s="67" t="n"/>
      <c r="N116" s="67">
        <f>IF(K116="Up Sale (no recurrente)",I116,0)</f>
        <v/>
      </c>
    </row>
    <row r="117">
      <c r="I117">
        <f>SUM(I2:I116)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2026-08-13T15:27:50Z</dcterms:created>
  <dcterms:modified xsi:type="dcterms:W3CDTF">2026-09-02T21:37:30Z</dcterms:modified>
  <cp:lastModifiedBy>ANDRES ARANGO SANTAMARIA</cp:lastModifiedBy>
</cp:coreProperties>
</file>