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uentas por homolog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<sst xmlns="http://schemas.openxmlformats.org/spreadsheetml/2006/main" count="248" uniqueCount="176">
  <si>
    <t xml:space="preserve">COCO Tecnologías · homologación de cuentas de Colombia</t>
  </si>
  <si>
    <t xml:space="preserve">Qué es esto</t>
  </si>
  <si>
    <t xml:space="preserve">El tablero agrupa los gastos por rubro. Para hacerlo necesita saber a qué rubro va cada cuenta del PUC.</t>
  </si>
  <si>
    <t xml:space="preserve">EE.UU., Perú y Costa Rica ya están homologados al 100%%. Colombia tiene 30 de 100 cuentas con regla,</t>
  </si>
  <si>
    <t xml:space="preserve">que cubren el 46% del gasto. Las 70 cuentas de esta lista —970 millones ene-jul— no tienen a dónde ir.</t>
  </si>
  <si>
    <t xml:space="preserve">Qué hay que hacer</t>
  </si>
  <si>
    <t xml:space="preserve">Diligenciar la columna 'codigo_comun_propuesto' (la de fondo crema) con el rubro al que pertenece cada cuenta.</t>
  </si>
  <si>
    <t xml:space="preserve">Está como lista desplegable con los códigos que ya existen. Si ninguno sirve, escribe el nombre del rubro nuevo</t>
  </si>
  <si>
    <t xml:space="preserve">en la columna 'observación' y lo creamos.</t>
  </si>
  <si>
    <t xml:space="preserve">Están ordenadas de mayor a menor movimiento: las primeras quince ya resuelven la mayor parte de la plata.</t>
  </si>
  <si>
    <t xml:space="preserve">Rubros disponibles hoy</t>
  </si>
  <si>
    <t xml:space="preserve">   PL-F-010   Gastos financieros</t>
  </si>
  <si>
    <t xml:space="preserve">   PL-O-010   Gastos de personal</t>
  </si>
  <si>
    <t xml:space="preserve">   PL-O-020   Honorarios y servicios profesionales</t>
  </si>
  <si>
    <t xml:space="preserve">   PL-O-030   Impuestos y contribuciones</t>
  </si>
  <si>
    <t xml:space="preserve">   PL-O-040   Arrendamientos</t>
  </si>
  <si>
    <t xml:space="preserve">   PL-O-050   Seguros</t>
  </si>
  <si>
    <t xml:space="preserve">   PL-O-060   Tecnología y procesamiento de datos</t>
  </si>
  <si>
    <t xml:space="preserve">   PL-O-070   Telecomunicaciones</t>
  </si>
  <si>
    <t xml:space="preserve">   PL-O-080   Correo y mensajería</t>
  </si>
  <si>
    <t xml:space="preserve">   PL-O-090   Viajes y representación</t>
  </si>
  <si>
    <t xml:space="preserve">   PL-O-100   Otros servicios administrativos</t>
  </si>
  <si>
    <t xml:space="preserve">   PL-O-110   Suministros y oficina</t>
  </si>
  <si>
    <t xml:space="preserve">   PL-O-120   Alimentación y restaurante</t>
  </si>
  <si>
    <t xml:space="preserve">   PL-O-130   Transporte local y parqueaderos</t>
  </si>
  <si>
    <t xml:space="preserve">   PL-S-010   Honorarios comerciales y técnicos</t>
  </si>
  <si>
    <t xml:space="preserve">   PL-S-020   Mercadeo y publicidad</t>
  </si>
  <si>
    <t xml:space="preserve">   PL-S-030   Otros servicios comerciales</t>
  </si>
  <si>
    <t xml:space="preserve">   PL-S-040   Viajes comerciales</t>
  </si>
  <si>
    <t xml:space="preserve">   PL-S-050   Transporte comercial</t>
  </si>
  <si>
    <t xml:space="preserve">   PL-S-060   Otros gastos comerciales</t>
  </si>
  <si>
    <t xml:space="preserve">cuenta_puc</t>
  </si>
  <si>
    <t xml:space="preserve">nombre_cuenta</t>
  </si>
  <si>
    <t xml:space="preserve">cuenta</t>
  </si>
  <si>
    <t xml:space="preserve">movimiento_ene_jul</t>
  </si>
  <si>
    <t xml:space="preserve">codigo_comun_propuesto</t>
  </si>
  <si>
    <t xml:space="preserve">observación</t>
  </si>
  <si>
    <t xml:space="preserve">520506</t>
  </si>
  <si>
    <t xml:space="preserve">SUELDOS</t>
  </si>
  <si>
    <t xml:space="preserve">5205</t>
  </si>
  <si>
    <t xml:space="preserve">512010</t>
  </si>
  <si>
    <t xml:space="preserve">CONSTRUCCIONES Y EDIFICACIONES</t>
  </si>
  <si>
    <t xml:space="preserve">5120</t>
  </si>
  <si>
    <t xml:space="preserve">529550</t>
  </si>
  <si>
    <t xml:space="preserve">ESTAMPILLAS</t>
  </si>
  <si>
    <t xml:space="preserve">5295</t>
  </si>
  <si>
    <t xml:space="preserve">520518</t>
  </si>
  <si>
    <t xml:space="preserve">COMISIONES</t>
  </si>
  <si>
    <t xml:space="preserve">520570</t>
  </si>
  <si>
    <t xml:space="preserve">APORTES A FONDOS DE PENSIONES</t>
  </si>
  <si>
    <t xml:space="preserve">519595</t>
  </si>
  <si>
    <t xml:space="preserve">OTROS</t>
  </si>
  <si>
    <t xml:space="preserve">5195</t>
  </si>
  <si>
    <t xml:space="preserve">510570</t>
  </si>
  <si>
    <t xml:space="preserve">5105</t>
  </si>
  <si>
    <t xml:space="preserve">515015</t>
  </si>
  <si>
    <t xml:space="preserve">REPARACIONES LOCATIVVAS</t>
  </si>
  <si>
    <t xml:space="preserve">5150</t>
  </si>
  <si>
    <t xml:space="preserve">523520</t>
  </si>
  <si>
    <t xml:space="preserve">APLICATIVOS</t>
  </si>
  <si>
    <t xml:space="preserve">5235</t>
  </si>
  <si>
    <t xml:space="preserve">520536</t>
  </si>
  <si>
    <t xml:space="preserve">PRIMA DE SERVICIOS</t>
  </si>
  <si>
    <t xml:space="preserve">520530</t>
  </si>
  <si>
    <t xml:space="preserve">CESANTIAS</t>
  </si>
  <si>
    <t xml:space="preserve">510536</t>
  </si>
  <si>
    <t xml:space="preserve">510530</t>
  </si>
  <si>
    <t xml:space="preserve">515515</t>
  </si>
  <si>
    <t xml:space="preserve">PASAJES AEREOS</t>
  </si>
  <si>
    <t xml:space="preserve">5155</t>
  </si>
  <si>
    <t xml:space="preserve">510566</t>
  </si>
  <si>
    <t xml:space="preserve">GASTOS DEPORTIVOS Y DE RECREACION</t>
  </si>
  <si>
    <t xml:space="preserve">529505</t>
  </si>
  <si>
    <t xml:space="preserve">520539</t>
  </si>
  <si>
    <t xml:space="preserve">VACACIONES</t>
  </si>
  <si>
    <t xml:space="preserve">520572</t>
  </si>
  <si>
    <t xml:space="preserve">APORTES CAJA DE COMPENSACION FAMILIAR</t>
  </si>
  <si>
    <t xml:space="preserve">513010</t>
  </si>
  <si>
    <t xml:space="preserve">CUMPLIMIENTO</t>
  </si>
  <si>
    <t xml:space="preserve">5130</t>
  </si>
  <si>
    <t xml:space="preserve">510539</t>
  </si>
  <si>
    <t xml:space="preserve">520545</t>
  </si>
  <si>
    <t xml:space="preserve">AUXILIOS</t>
  </si>
  <si>
    <t xml:space="preserve">510572</t>
  </si>
  <si>
    <t xml:space="preserve">APORTES A CAJAS DE COMPENSACION</t>
  </si>
  <si>
    <t xml:space="preserve">512025</t>
  </si>
  <si>
    <t xml:space="preserve">EQUIPO DE COMPUTACION Y COMUNICACION</t>
  </si>
  <si>
    <t xml:space="preserve">514510</t>
  </si>
  <si>
    <t xml:space="preserve">5145</t>
  </si>
  <si>
    <t xml:space="preserve">511095</t>
  </si>
  <si>
    <t xml:space="preserve">5110</t>
  </si>
  <si>
    <t xml:space="preserve">523010</t>
  </si>
  <si>
    <t xml:space="preserve">5230</t>
  </si>
  <si>
    <t xml:space="preserve">515505</t>
  </si>
  <si>
    <t xml:space="preserve">ALOJAMIENTO Y ALIMENTACION</t>
  </si>
  <si>
    <t xml:space="preserve">510527</t>
  </si>
  <si>
    <t xml:space="preserve">AUXILIO DE TRANSPORTE</t>
  </si>
  <si>
    <t xml:space="preserve">522025</t>
  </si>
  <si>
    <t xml:space="preserve">5220</t>
  </si>
  <si>
    <t xml:space="preserve">520524</t>
  </si>
  <si>
    <t xml:space="preserve">INCAPACIODADES</t>
  </si>
  <si>
    <t xml:space="preserve">519545</t>
  </si>
  <si>
    <t xml:space="preserve">TAXIS Y BUSES</t>
  </si>
  <si>
    <t xml:space="preserve">510563</t>
  </si>
  <si>
    <t xml:space="preserve">CAPACITACION AL PERSONAL</t>
  </si>
  <si>
    <t xml:space="preserve">530520</t>
  </si>
  <si>
    <t xml:space="preserve">INTERESES</t>
  </si>
  <si>
    <t xml:space="preserve">5305</t>
  </si>
  <si>
    <t xml:space="preserve">513530</t>
  </si>
  <si>
    <t xml:space="preserve">ENERGIA ELECTRICA</t>
  </si>
  <si>
    <t xml:space="preserve">5135</t>
  </si>
  <si>
    <t xml:space="preserve">520527</t>
  </si>
  <si>
    <t xml:space="preserve">520563</t>
  </si>
  <si>
    <t xml:space="preserve">513525</t>
  </si>
  <si>
    <t xml:space="preserve">ACUEDUCTO Y ALCANTARILLADO</t>
  </si>
  <si>
    <t xml:space="preserve">510568</t>
  </si>
  <si>
    <t xml:space="preserve">APORTES ADMINISTRADORAS DE RIESGOS PROFE</t>
  </si>
  <si>
    <t xml:space="preserve">510548</t>
  </si>
  <si>
    <t xml:space="preserve">BONIFICACIONES</t>
  </si>
  <si>
    <t xml:space="preserve">513505</t>
  </si>
  <si>
    <t xml:space="preserve">ASEO Y VIGILANCIA</t>
  </si>
  <si>
    <t xml:space="preserve">520533</t>
  </si>
  <si>
    <t xml:space="preserve">INTERESES SOBRE CESANTIAS</t>
  </si>
  <si>
    <t xml:space="preserve">510533</t>
  </si>
  <si>
    <t xml:space="preserve">INTERESES SOBRE LAS CESANTIAS</t>
  </si>
  <si>
    <t xml:space="preserve">529540</t>
  </si>
  <si>
    <t xml:space="preserve">ENVASES Y EMPAQUES</t>
  </si>
  <si>
    <t xml:space="preserve">520569</t>
  </si>
  <si>
    <t xml:space="preserve">APORTES A ENTIDADES PROMOTORAS DE SALUD</t>
  </si>
  <si>
    <t xml:space="preserve">519510</t>
  </si>
  <si>
    <t xml:space="preserve">LIBROS, SUSCRIPCIONES, PERIODICOS</t>
  </si>
  <si>
    <t xml:space="preserve">519540</t>
  </si>
  <si>
    <t xml:space="preserve">514095</t>
  </si>
  <si>
    <t xml:space="preserve">5140</t>
  </si>
  <si>
    <t xml:space="preserve">520595</t>
  </si>
  <si>
    <t xml:space="preserve">520568</t>
  </si>
  <si>
    <t xml:space="preserve">515595</t>
  </si>
  <si>
    <t xml:space="preserve">514525</t>
  </si>
  <si>
    <t xml:space="preserve">524525</t>
  </si>
  <si>
    <t xml:space="preserve">5245</t>
  </si>
  <si>
    <t xml:space="preserve">531520</t>
  </si>
  <si>
    <t xml:space="preserve">IMPUESTOS ASUMIDOS</t>
  </si>
  <si>
    <t xml:space="preserve">5315</t>
  </si>
  <si>
    <t xml:space="preserve">514015</t>
  </si>
  <si>
    <t xml:space="preserve">TRAMITES Y LICENCIAS</t>
  </si>
  <si>
    <t xml:space="preserve">520575</t>
  </si>
  <si>
    <t xml:space="preserve">APORTES ICBF</t>
  </si>
  <si>
    <t xml:space="preserve">520548</t>
  </si>
  <si>
    <t xml:space="preserve">513550</t>
  </si>
  <si>
    <t xml:space="preserve">TRANSPORTE FLETES Y ACARREOS</t>
  </si>
  <si>
    <t xml:space="preserve">520578</t>
  </si>
  <si>
    <t xml:space="preserve">SENA</t>
  </si>
  <si>
    <t xml:space="preserve">522020</t>
  </si>
  <si>
    <t xml:space="preserve">EQUIPO DE OFICINA</t>
  </si>
  <si>
    <t xml:space="preserve">520584</t>
  </si>
  <si>
    <t xml:space="preserve">GASTOS MEDICOS Y OTROS</t>
  </si>
  <si>
    <t xml:space="preserve">514005</t>
  </si>
  <si>
    <t xml:space="preserve">NOTARIALES</t>
  </si>
  <si>
    <t xml:space="preserve">515010</t>
  </si>
  <si>
    <t xml:space="preserve">ARREGLOS ORNAMENTALES</t>
  </si>
  <si>
    <t xml:space="preserve">539581</t>
  </si>
  <si>
    <t xml:space="preserve">AJUSTES</t>
  </si>
  <si>
    <t xml:space="preserve">5395</t>
  </si>
  <si>
    <t xml:space="preserve">520515</t>
  </si>
  <si>
    <t xml:space="preserve">HORAS EXTRAS Y RECARGOS</t>
  </si>
  <si>
    <t xml:space="preserve">520566</t>
  </si>
  <si>
    <t xml:space="preserve">513510</t>
  </si>
  <si>
    <t xml:space="preserve">TEMPORALES</t>
  </si>
  <si>
    <t xml:space="preserve">510569</t>
  </si>
  <si>
    <t xml:space="preserve">515095</t>
  </si>
  <si>
    <t xml:space="preserve">511010</t>
  </si>
  <si>
    <t xml:space="preserve">REVISORIA FISCAL</t>
  </si>
  <si>
    <t xml:space="preserve">519910</t>
  </si>
  <si>
    <t xml:space="preserve">DEUDORES</t>
  </si>
  <si>
    <t xml:space="preserve">5199</t>
  </si>
  <si>
    <t xml:space="preserve">Total sin homologar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</si>
</sst>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Consolas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24" hidden="false" customHeight="tru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4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 t="s">
        <v>24</v>
      </c>
    </row>
    <row r="31" customFormat="false" ht="15" hidden="false" customHeight="false" outlineLevel="0" collapsed="false">
      <c r="B31" s="4" t="s">
        <v>25</v>
      </c>
    </row>
    <row r="32" customFormat="false" ht="15" hidden="false" customHeight="false" outlineLevel="0" collapsed="false">
      <c r="B32" s="4" t="s">
        <v>26</v>
      </c>
    </row>
    <row r="33" customFormat="false" ht="15" hidden="false" customHeight="false" outlineLevel="0" collapsed="false">
      <c r="B33" s="4" t="s">
        <v>27</v>
      </c>
    </row>
    <row r="34" customFormat="false" ht="15" hidden="false" customHeight="false" outlineLevel="0" collapsed="false">
      <c r="B34" s="4" t="s">
        <v>28</v>
      </c>
    </row>
    <row r="35" customFormat="false" ht="15" hidden="false" customHeight="false" outlineLevel="0" collapsed="false">
      <c r="B35" s="4" t="s">
        <v>29</v>
      </c>
    </row>
    <row r="36" customFormat="false" ht="15" hidden="false" customHeight="false" outlineLevel="0" collapsed="false">
      <c r="B36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</row>
    <row r="2" customFormat="false" ht="15" hidden="false" customHeight="false" outlineLevel="0" collapsed="false">
      <c r="A2" s="6" t="s">
        <v>37</v>
      </c>
      <c r="B2" s="6" t="s">
        <v>38</v>
      </c>
      <c r="C2" s="6" t="s">
        <v>39</v>
      </c>
      <c r="D2" s="7" t="n">
        <v>286815374</v>
      </c>
      <c r="E2" s="8"/>
      <c r="F2" s="8"/>
    </row>
    <row r="3" customFormat="false" ht="15" hidden="false" customHeight="false" outlineLevel="0" collapsed="false">
      <c r="A3" s="6" t="s">
        <v>40</v>
      </c>
      <c r="B3" s="6" t="s">
        <v>41</v>
      </c>
      <c r="C3" s="6" t="s">
        <v>42</v>
      </c>
      <c r="D3" s="7" t="n">
        <v>64980368.33</v>
      </c>
      <c r="E3" s="8"/>
      <c r="F3" s="8"/>
    </row>
    <row r="4" customFormat="false" ht="15" hidden="false" customHeight="false" outlineLevel="0" collapsed="false">
      <c r="A4" s="6" t="s">
        <v>43</v>
      </c>
      <c r="B4" s="6" t="s">
        <v>44</v>
      </c>
      <c r="C4" s="6" t="s">
        <v>45</v>
      </c>
      <c r="D4" s="7" t="n">
        <v>62169439.07</v>
      </c>
      <c r="E4" s="8"/>
      <c r="F4" s="8"/>
    </row>
    <row r="5" customFormat="false" ht="15" hidden="false" customHeight="false" outlineLevel="0" collapsed="false">
      <c r="A5" s="6" t="s">
        <v>46</v>
      </c>
      <c r="B5" s="6" t="s">
        <v>47</v>
      </c>
      <c r="C5" s="6" t="s">
        <v>39</v>
      </c>
      <c r="D5" s="7" t="n">
        <v>39204426</v>
      </c>
      <c r="E5" s="8"/>
      <c r="F5" s="8"/>
    </row>
    <row r="6" customFormat="false" ht="15" hidden="false" customHeight="false" outlineLevel="0" collapsed="false">
      <c r="A6" s="6" t="s">
        <v>48</v>
      </c>
      <c r="B6" s="6" t="s">
        <v>49</v>
      </c>
      <c r="C6" s="6" t="s">
        <v>39</v>
      </c>
      <c r="D6" s="7" t="n">
        <v>39062716</v>
      </c>
      <c r="E6" s="8"/>
      <c r="F6" s="8"/>
    </row>
    <row r="7" customFormat="false" ht="15" hidden="false" customHeight="false" outlineLevel="0" collapsed="false">
      <c r="A7" s="6" t="s">
        <v>50</v>
      </c>
      <c r="B7" s="6" t="s">
        <v>51</v>
      </c>
      <c r="C7" s="6" t="s">
        <v>52</v>
      </c>
      <c r="D7" s="7" t="n">
        <v>38179476.86</v>
      </c>
      <c r="E7" s="8"/>
      <c r="F7" s="8"/>
    </row>
    <row r="8" customFormat="false" ht="15" hidden="false" customHeight="false" outlineLevel="0" collapsed="false">
      <c r="A8" s="6" t="s">
        <v>53</v>
      </c>
      <c r="B8" s="6" t="s">
        <v>49</v>
      </c>
      <c r="C8" s="6" t="s">
        <v>54</v>
      </c>
      <c r="D8" s="7" t="n">
        <v>32847596</v>
      </c>
      <c r="E8" s="8"/>
      <c r="F8" s="8"/>
    </row>
    <row r="9" customFormat="false" ht="15" hidden="false" customHeight="false" outlineLevel="0" collapsed="false">
      <c r="A9" s="6" t="s">
        <v>55</v>
      </c>
      <c r="B9" s="6" t="s">
        <v>56</v>
      </c>
      <c r="C9" s="6" t="s">
        <v>57</v>
      </c>
      <c r="D9" s="7" t="n">
        <v>32514604.01</v>
      </c>
      <c r="E9" s="8"/>
      <c r="F9" s="8"/>
    </row>
    <row r="10" customFormat="false" ht="15" hidden="false" customHeight="false" outlineLevel="0" collapsed="false">
      <c r="A10" s="6" t="s">
        <v>58</v>
      </c>
      <c r="B10" s="6" t="s">
        <v>59</v>
      </c>
      <c r="C10" s="6" t="s">
        <v>60</v>
      </c>
      <c r="D10" s="7" t="n">
        <v>30824767.21</v>
      </c>
      <c r="E10" s="8"/>
      <c r="F10" s="8"/>
    </row>
    <row r="11" customFormat="false" ht="15" hidden="false" customHeight="false" outlineLevel="0" collapsed="false">
      <c r="A11" s="6" t="s">
        <v>61</v>
      </c>
      <c r="B11" s="6" t="s">
        <v>62</v>
      </c>
      <c r="C11" s="6" t="s">
        <v>39</v>
      </c>
      <c r="D11" s="7" t="n">
        <v>26015687</v>
      </c>
      <c r="E11" s="8"/>
      <c r="F11" s="8"/>
    </row>
    <row r="12" customFormat="false" ht="15" hidden="false" customHeight="false" outlineLevel="0" collapsed="false">
      <c r="A12" s="6" t="s">
        <v>63</v>
      </c>
      <c r="B12" s="6" t="s">
        <v>64</v>
      </c>
      <c r="C12" s="6" t="s">
        <v>39</v>
      </c>
      <c r="D12" s="7" t="n">
        <v>25974022</v>
      </c>
      <c r="E12" s="8"/>
      <c r="F12" s="8"/>
    </row>
    <row r="13" customFormat="false" ht="15" hidden="false" customHeight="false" outlineLevel="0" collapsed="false">
      <c r="A13" s="6" t="s">
        <v>65</v>
      </c>
      <c r="B13" s="6" t="s">
        <v>62</v>
      </c>
      <c r="C13" s="6" t="s">
        <v>54</v>
      </c>
      <c r="D13" s="7" t="n">
        <v>23455418</v>
      </c>
      <c r="E13" s="8"/>
      <c r="F13" s="8"/>
    </row>
    <row r="14" customFormat="false" ht="15" hidden="false" customHeight="false" outlineLevel="0" collapsed="false">
      <c r="A14" s="6" t="s">
        <v>66</v>
      </c>
      <c r="B14" s="6" t="s">
        <v>64</v>
      </c>
      <c r="C14" s="6" t="s">
        <v>54</v>
      </c>
      <c r="D14" s="7" t="n">
        <v>23450553</v>
      </c>
      <c r="E14" s="8"/>
      <c r="F14" s="8"/>
    </row>
    <row r="15" customFormat="false" ht="15" hidden="false" customHeight="false" outlineLevel="0" collapsed="false">
      <c r="A15" s="6" t="s">
        <v>67</v>
      </c>
      <c r="B15" s="6" t="s">
        <v>68</v>
      </c>
      <c r="C15" s="6" t="s">
        <v>69</v>
      </c>
      <c r="D15" s="7" t="n">
        <v>22303171</v>
      </c>
      <c r="E15" s="8"/>
      <c r="F15" s="8"/>
    </row>
    <row r="16" customFormat="false" ht="15" hidden="false" customHeight="false" outlineLevel="0" collapsed="false">
      <c r="A16" s="6" t="s">
        <v>70</v>
      </c>
      <c r="B16" s="6" t="s">
        <v>71</v>
      </c>
      <c r="C16" s="6" t="s">
        <v>54</v>
      </c>
      <c r="D16" s="7" t="n">
        <v>19674436.23</v>
      </c>
      <c r="E16" s="8"/>
      <c r="F16" s="8"/>
    </row>
    <row r="17" customFormat="false" ht="15" hidden="false" customHeight="false" outlineLevel="0" collapsed="false">
      <c r="A17" s="6" t="s">
        <v>72</v>
      </c>
      <c r="B17" s="6" t="s">
        <v>47</v>
      </c>
      <c r="C17" s="6" t="s">
        <v>45</v>
      </c>
      <c r="D17" s="7" t="n">
        <v>17934750.36</v>
      </c>
      <c r="E17" s="8"/>
      <c r="F17" s="8"/>
    </row>
    <row r="18" customFormat="false" ht="15" hidden="false" customHeight="false" outlineLevel="0" collapsed="false">
      <c r="A18" s="6" t="s">
        <v>73</v>
      </c>
      <c r="B18" s="6" t="s">
        <v>74</v>
      </c>
      <c r="C18" s="6" t="s">
        <v>39</v>
      </c>
      <c r="D18" s="7" t="n">
        <v>15327990</v>
      </c>
      <c r="E18" s="8"/>
      <c r="F18" s="8"/>
    </row>
    <row r="19" customFormat="false" ht="15" hidden="false" customHeight="false" outlineLevel="0" collapsed="false">
      <c r="A19" s="6" t="s">
        <v>75</v>
      </c>
      <c r="B19" s="6" t="s">
        <v>76</v>
      </c>
      <c r="C19" s="6" t="s">
        <v>39</v>
      </c>
      <c r="D19" s="7" t="n">
        <v>12959590</v>
      </c>
      <c r="E19" s="8"/>
      <c r="F19" s="8"/>
    </row>
    <row r="20" customFormat="false" ht="15" hidden="false" customHeight="false" outlineLevel="0" collapsed="false">
      <c r="A20" s="6" t="s">
        <v>77</v>
      </c>
      <c r="B20" s="6" t="s">
        <v>78</v>
      </c>
      <c r="C20" s="6" t="s">
        <v>79</v>
      </c>
      <c r="D20" s="7" t="n">
        <v>12694394.11</v>
      </c>
      <c r="E20" s="8"/>
      <c r="F20" s="8"/>
    </row>
    <row r="21" customFormat="false" ht="15" hidden="false" customHeight="false" outlineLevel="0" collapsed="false">
      <c r="A21" s="6" t="s">
        <v>80</v>
      </c>
      <c r="B21" s="6" t="s">
        <v>74</v>
      </c>
      <c r="C21" s="6" t="s">
        <v>54</v>
      </c>
      <c r="D21" s="7" t="n">
        <v>11874391</v>
      </c>
      <c r="E21" s="8"/>
      <c r="F21" s="8"/>
    </row>
    <row r="22" customFormat="false" ht="15" hidden="false" customHeight="false" outlineLevel="0" collapsed="false">
      <c r="A22" s="6" t="s">
        <v>81</v>
      </c>
      <c r="B22" s="6" t="s">
        <v>82</v>
      </c>
      <c r="C22" s="6" t="s">
        <v>39</v>
      </c>
      <c r="D22" s="7" t="n">
        <v>11367450</v>
      </c>
      <c r="E22" s="8"/>
      <c r="F22" s="8"/>
    </row>
    <row r="23" customFormat="false" ht="15" hidden="false" customHeight="false" outlineLevel="0" collapsed="false">
      <c r="A23" s="6" t="s">
        <v>83</v>
      </c>
      <c r="B23" s="6" t="s">
        <v>84</v>
      </c>
      <c r="C23" s="6" t="s">
        <v>54</v>
      </c>
      <c r="D23" s="7" t="n">
        <v>10977600</v>
      </c>
      <c r="E23" s="8"/>
      <c r="F23" s="8"/>
    </row>
    <row r="24" customFormat="false" ht="15" hidden="false" customHeight="false" outlineLevel="0" collapsed="false">
      <c r="A24" s="6" t="s">
        <v>85</v>
      </c>
      <c r="B24" s="6" t="s">
        <v>86</v>
      </c>
      <c r="C24" s="6" t="s">
        <v>42</v>
      </c>
      <c r="D24" s="7" t="n">
        <v>10202684</v>
      </c>
      <c r="E24" s="8"/>
      <c r="F24" s="8"/>
    </row>
    <row r="25" customFormat="false" ht="15" hidden="false" customHeight="false" outlineLevel="0" collapsed="false">
      <c r="A25" s="6" t="s">
        <v>87</v>
      </c>
      <c r="B25" s="6" t="s">
        <v>41</v>
      </c>
      <c r="C25" s="6" t="s">
        <v>88</v>
      </c>
      <c r="D25" s="7" t="n">
        <v>9828612.13</v>
      </c>
      <c r="E25" s="8"/>
      <c r="F25" s="8"/>
    </row>
    <row r="26" customFormat="false" ht="15" hidden="false" customHeight="false" outlineLevel="0" collapsed="false">
      <c r="A26" s="6" t="s">
        <v>89</v>
      </c>
      <c r="B26" s="6" t="s">
        <v>51</v>
      </c>
      <c r="C26" s="6" t="s">
        <v>90</v>
      </c>
      <c r="D26" s="7" t="n">
        <v>9313333.67</v>
      </c>
      <c r="E26" s="8"/>
      <c r="F26" s="8"/>
    </row>
    <row r="27" customFormat="false" ht="15" hidden="false" customHeight="false" outlineLevel="0" collapsed="false">
      <c r="A27" s="6" t="s">
        <v>91</v>
      </c>
      <c r="B27" s="6" t="s">
        <v>78</v>
      </c>
      <c r="C27" s="6" t="s">
        <v>92</v>
      </c>
      <c r="D27" s="7" t="n">
        <v>6632332.04</v>
      </c>
      <c r="E27" s="8"/>
      <c r="F27" s="8"/>
    </row>
    <row r="28" customFormat="false" ht="15" hidden="false" customHeight="false" outlineLevel="0" collapsed="false">
      <c r="A28" s="6" t="s">
        <v>93</v>
      </c>
      <c r="B28" s="6" t="s">
        <v>94</v>
      </c>
      <c r="C28" s="6" t="s">
        <v>69</v>
      </c>
      <c r="D28" s="7" t="n">
        <v>6550353.82</v>
      </c>
      <c r="E28" s="8"/>
      <c r="F28" s="8"/>
    </row>
    <row r="29" customFormat="false" ht="15" hidden="false" customHeight="false" outlineLevel="0" collapsed="false">
      <c r="A29" s="6" t="s">
        <v>95</v>
      </c>
      <c r="B29" s="6" t="s">
        <v>96</v>
      </c>
      <c r="C29" s="6" t="s">
        <v>54</v>
      </c>
      <c r="D29" s="7" t="n">
        <v>6243981</v>
      </c>
      <c r="E29" s="8"/>
      <c r="F29" s="8"/>
    </row>
    <row r="30" customFormat="false" ht="15" hidden="false" customHeight="false" outlineLevel="0" collapsed="false">
      <c r="A30" s="6" t="s">
        <v>97</v>
      </c>
      <c r="B30" s="6" t="s">
        <v>86</v>
      </c>
      <c r="C30" s="6" t="s">
        <v>98</v>
      </c>
      <c r="D30" s="7" t="n">
        <v>6144238.84</v>
      </c>
      <c r="E30" s="8"/>
      <c r="F30" s="8"/>
    </row>
    <row r="31" customFormat="false" ht="15" hidden="false" customHeight="false" outlineLevel="0" collapsed="false">
      <c r="A31" s="6" t="s">
        <v>99</v>
      </c>
      <c r="B31" s="6" t="s">
        <v>100</v>
      </c>
      <c r="C31" s="6" t="s">
        <v>39</v>
      </c>
      <c r="D31" s="7" t="n">
        <v>5675556</v>
      </c>
      <c r="E31" s="8"/>
      <c r="F31" s="8"/>
    </row>
    <row r="32" customFormat="false" ht="15" hidden="false" customHeight="false" outlineLevel="0" collapsed="false">
      <c r="A32" s="6" t="s">
        <v>101</v>
      </c>
      <c r="B32" s="6" t="s">
        <v>102</v>
      </c>
      <c r="C32" s="6" t="s">
        <v>52</v>
      </c>
      <c r="D32" s="7" t="n">
        <v>5505439.75</v>
      </c>
      <c r="E32" s="8"/>
      <c r="F32" s="8"/>
    </row>
    <row r="33" customFormat="false" ht="15" hidden="false" customHeight="false" outlineLevel="0" collapsed="false">
      <c r="A33" s="6" t="s">
        <v>103</v>
      </c>
      <c r="B33" s="6" t="s">
        <v>104</v>
      </c>
      <c r="C33" s="6" t="s">
        <v>54</v>
      </c>
      <c r="D33" s="7" t="n">
        <v>4238908</v>
      </c>
      <c r="E33" s="8"/>
      <c r="F33" s="8"/>
    </row>
    <row r="34" customFormat="false" ht="15" hidden="false" customHeight="false" outlineLevel="0" collapsed="false">
      <c r="A34" s="6" t="s">
        <v>105</v>
      </c>
      <c r="B34" s="6" t="s">
        <v>106</v>
      </c>
      <c r="C34" s="6" t="s">
        <v>107</v>
      </c>
      <c r="D34" s="7" t="n">
        <v>3986090.62</v>
      </c>
      <c r="E34" s="8"/>
      <c r="F34" s="8"/>
    </row>
    <row r="35" customFormat="false" ht="15" hidden="false" customHeight="false" outlineLevel="0" collapsed="false">
      <c r="A35" s="6" t="s">
        <v>108</v>
      </c>
      <c r="B35" s="6" t="s">
        <v>109</v>
      </c>
      <c r="C35" s="6" t="s">
        <v>110</v>
      </c>
      <c r="D35" s="7" t="n">
        <v>3531894.1</v>
      </c>
      <c r="E35" s="8"/>
      <c r="F35" s="8"/>
    </row>
    <row r="36" customFormat="false" ht="15" hidden="false" customHeight="false" outlineLevel="0" collapsed="false">
      <c r="A36" s="6" t="s">
        <v>111</v>
      </c>
      <c r="B36" s="6" t="s">
        <v>96</v>
      </c>
      <c r="C36" s="6" t="s">
        <v>39</v>
      </c>
      <c r="D36" s="7" t="n">
        <v>3429208</v>
      </c>
      <c r="E36" s="8"/>
      <c r="F36" s="8"/>
    </row>
    <row r="37" customFormat="false" ht="15" hidden="false" customHeight="false" outlineLevel="0" collapsed="false">
      <c r="A37" s="6" t="s">
        <v>112</v>
      </c>
      <c r="B37" s="6" t="s">
        <v>104</v>
      </c>
      <c r="C37" s="6" t="s">
        <v>39</v>
      </c>
      <c r="D37" s="7" t="n">
        <v>3082445.45</v>
      </c>
      <c r="E37" s="8"/>
      <c r="F37" s="8"/>
    </row>
    <row r="38" customFormat="false" ht="15" hidden="false" customHeight="false" outlineLevel="0" collapsed="false">
      <c r="A38" s="6" t="s">
        <v>113</v>
      </c>
      <c r="B38" s="6" t="s">
        <v>114</v>
      </c>
      <c r="C38" s="6" t="s">
        <v>110</v>
      </c>
      <c r="D38" s="7" t="n">
        <v>2943761.02</v>
      </c>
      <c r="E38" s="8"/>
      <c r="F38" s="8"/>
    </row>
    <row r="39" customFormat="false" ht="15" hidden="false" customHeight="false" outlineLevel="0" collapsed="false">
      <c r="A39" s="6" t="s">
        <v>115</v>
      </c>
      <c r="B39" s="6" t="s">
        <v>116</v>
      </c>
      <c r="C39" s="6" t="s">
        <v>54</v>
      </c>
      <c r="D39" s="7" t="n">
        <v>2106500</v>
      </c>
      <c r="E39" s="8"/>
      <c r="F39" s="8"/>
    </row>
    <row r="40" customFormat="false" ht="15" hidden="false" customHeight="false" outlineLevel="0" collapsed="false">
      <c r="A40" s="6" t="s">
        <v>117</v>
      </c>
      <c r="B40" s="6" t="s">
        <v>118</v>
      </c>
      <c r="C40" s="6" t="s">
        <v>54</v>
      </c>
      <c r="D40" s="7" t="n">
        <v>2000000</v>
      </c>
      <c r="E40" s="8"/>
      <c r="F40" s="8"/>
    </row>
    <row r="41" customFormat="false" ht="15" hidden="false" customHeight="false" outlineLevel="0" collapsed="false">
      <c r="A41" s="6" t="s">
        <v>119</v>
      </c>
      <c r="B41" s="6" t="s">
        <v>120</v>
      </c>
      <c r="C41" s="6" t="s">
        <v>110</v>
      </c>
      <c r="D41" s="7" t="n">
        <v>1562886</v>
      </c>
      <c r="E41" s="8"/>
      <c r="F41" s="8"/>
    </row>
    <row r="42" customFormat="false" ht="15" hidden="false" customHeight="false" outlineLevel="0" collapsed="false">
      <c r="A42" s="6" t="s">
        <v>121</v>
      </c>
      <c r="B42" s="6" t="s">
        <v>122</v>
      </c>
      <c r="C42" s="6" t="s">
        <v>39</v>
      </c>
      <c r="D42" s="7" t="n">
        <v>1540779</v>
      </c>
      <c r="E42" s="8"/>
      <c r="F42" s="8"/>
    </row>
    <row r="43" customFormat="false" ht="15" hidden="false" customHeight="false" outlineLevel="0" collapsed="false">
      <c r="A43" s="6" t="s">
        <v>123</v>
      </c>
      <c r="B43" s="6" t="s">
        <v>124</v>
      </c>
      <c r="C43" s="6" t="s">
        <v>54</v>
      </c>
      <c r="D43" s="7" t="n">
        <v>1535713</v>
      </c>
      <c r="E43" s="8"/>
      <c r="F43" s="8"/>
    </row>
    <row r="44" customFormat="false" ht="15" hidden="false" customHeight="false" outlineLevel="0" collapsed="false">
      <c r="A44" s="6" t="s">
        <v>125</v>
      </c>
      <c r="B44" s="6" t="s">
        <v>126</v>
      </c>
      <c r="C44" s="6" t="s">
        <v>45</v>
      </c>
      <c r="D44" s="7" t="n">
        <v>1187856</v>
      </c>
      <c r="E44" s="8"/>
      <c r="F44" s="8"/>
    </row>
    <row r="45" customFormat="false" ht="15" hidden="false" customHeight="false" outlineLevel="0" collapsed="false">
      <c r="A45" s="6" t="s">
        <v>127</v>
      </c>
      <c r="B45" s="6" t="s">
        <v>128</v>
      </c>
      <c r="C45" s="6" t="s">
        <v>39</v>
      </c>
      <c r="D45" s="7" t="n">
        <v>1139184</v>
      </c>
      <c r="E45" s="8"/>
      <c r="F45" s="8"/>
    </row>
    <row r="46" customFormat="false" ht="15" hidden="false" customHeight="false" outlineLevel="0" collapsed="false">
      <c r="A46" s="6" t="s">
        <v>129</v>
      </c>
      <c r="B46" s="6" t="s">
        <v>130</v>
      </c>
      <c r="C46" s="6" t="s">
        <v>52</v>
      </c>
      <c r="D46" s="7" t="n">
        <v>1026440.57</v>
      </c>
      <c r="E46" s="8"/>
      <c r="F46" s="8"/>
    </row>
    <row r="47" customFormat="false" ht="15" hidden="false" customHeight="false" outlineLevel="0" collapsed="false">
      <c r="A47" s="6" t="s">
        <v>131</v>
      </c>
      <c r="B47" s="6" t="s">
        <v>126</v>
      </c>
      <c r="C47" s="6" t="s">
        <v>52</v>
      </c>
      <c r="D47" s="7" t="n">
        <v>1008440</v>
      </c>
      <c r="E47" s="8"/>
      <c r="F47" s="8"/>
    </row>
    <row r="48" customFormat="false" ht="15" hidden="false" customHeight="false" outlineLevel="0" collapsed="false">
      <c r="A48" s="6" t="s">
        <v>132</v>
      </c>
      <c r="B48" s="6" t="s">
        <v>51</v>
      </c>
      <c r="C48" s="6" t="s">
        <v>133</v>
      </c>
      <c r="D48" s="7" t="n">
        <v>970000</v>
      </c>
      <c r="E48" s="8"/>
      <c r="F48" s="8"/>
    </row>
    <row r="49" customFormat="false" ht="15" hidden="false" customHeight="false" outlineLevel="0" collapsed="false">
      <c r="A49" s="6" t="s">
        <v>134</v>
      </c>
      <c r="B49" s="6" t="s">
        <v>51</v>
      </c>
      <c r="C49" s="6" t="s">
        <v>39</v>
      </c>
      <c r="D49" s="7" t="n">
        <v>885830.79</v>
      </c>
      <c r="E49" s="8"/>
      <c r="F49" s="8"/>
    </row>
    <row r="50" customFormat="false" ht="15" hidden="false" customHeight="false" outlineLevel="0" collapsed="false">
      <c r="A50" s="6" t="s">
        <v>135</v>
      </c>
      <c r="B50" s="6" t="s">
        <v>116</v>
      </c>
      <c r="C50" s="6" t="s">
        <v>39</v>
      </c>
      <c r="D50" s="7" t="n">
        <v>736500</v>
      </c>
      <c r="E50" s="8"/>
      <c r="F50" s="8"/>
    </row>
    <row r="51" customFormat="false" ht="15" hidden="false" customHeight="false" outlineLevel="0" collapsed="false">
      <c r="A51" s="6" t="s">
        <v>136</v>
      </c>
      <c r="B51" s="6" t="s">
        <v>51</v>
      </c>
      <c r="C51" s="6" t="s">
        <v>69</v>
      </c>
      <c r="D51" s="7" t="n">
        <v>717660</v>
      </c>
      <c r="E51" s="8"/>
      <c r="F51" s="8"/>
    </row>
    <row r="52" customFormat="false" ht="15" hidden="false" customHeight="false" outlineLevel="0" collapsed="false">
      <c r="A52" s="6" t="s">
        <v>137</v>
      </c>
      <c r="B52" s="6" t="s">
        <v>86</v>
      </c>
      <c r="C52" s="6" t="s">
        <v>88</v>
      </c>
      <c r="D52" s="7" t="n">
        <v>700000</v>
      </c>
      <c r="E52" s="8"/>
      <c r="F52" s="8"/>
    </row>
    <row r="53" customFormat="false" ht="15" hidden="false" customHeight="false" outlineLevel="0" collapsed="false">
      <c r="A53" s="6" t="s">
        <v>138</v>
      </c>
      <c r="B53" s="6" t="s">
        <v>86</v>
      </c>
      <c r="C53" s="6" t="s">
        <v>139</v>
      </c>
      <c r="D53" s="7" t="n">
        <v>649594</v>
      </c>
      <c r="E53" s="8"/>
      <c r="F53" s="8"/>
    </row>
    <row r="54" customFormat="false" ht="15" hidden="false" customHeight="false" outlineLevel="0" collapsed="false">
      <c r="A54" s="6" t="s">
        <v>140</v>
      </c>
      <c r="B54" s="6" t="s">
        <v>141</v>
      </c>
      <c r="C54" s="6" t="s">
        <v>142</v>
      </c>
      <c r="D54" s="7" t="n">
        <v>591552.93</v>
      </c>
      <c r="E54" s="8"/>
      <c r="F54" s="8"/>
    </row>
    <row r="55" customFormat="false" ht="15" hidden="false" customHeight="false" outlineLevel="0" collapsed="false">
      <c r="A55" s="6" t="s">
        <v>143</v>
      </c>
      <c r="B55" s="6" t="s">
        <v>144</v>
      </c>
      <c r="C55" s="6" t="s">
        <v>133</v>
      </c>
      <c r="D55" s="7" t="n">
        <v>571653</v>
      </c>
      <c r="E55" s="8"/>
      <c r="F55" s="8"/>
    </row>
    <row r="56" customFormat="false" ht="15" hidden="false" customHeight="false" outlineLevel="0" collapsed="false">
      <c r="A56" s="6" t="s">
        <v>145</v>
      </c>
      <c r="B56" s="6" t="s">
        <v>146</v>
      </c>
      <c r="C56" s="6" t="s">
        <v>39</v>
      </c>
      <c r="D56" s="7" t="n">
        <v>540873</v>
      </c>
      <c r="E56" s="8"/>
      <c r="F56" s="8"/>
    </row>
    <row r="57" customFormat="false" ht="15" hidden="false" customHeight="false" outlineLevel="0" collapsed="false">
      <c r="A57" s="6" t="s">
        <v>147</v>
      </c>
      <c r="B57" s="6" t="s">
        <v>118</v>
      </c>
      <c r="C57" s="6" t="s">
        <v>39</v>
      </c>
      <c r="D57" s="7" t="n">
        <v>500000</v>
      </c>
      <c r="E57" s="8"/>
      <c r="F57" s="8"/>
    </row>
    <row r="58" customFormat="false" ht="15" hidden="false" customHeight="false" outlineLevel="0" collapsed="false">
      <c r="A58" s="6" t="s">
        <v>148</v>
      </c>
      <c r="B58" s="6" t="s">
        <v>149</v>
      </c>
      <c r="C58" s="6" t="s">
        <v>110</v>
      </c>
      <c r="D58" s="7" t="n">
        <v>381000</v>
      </c>
      <c r="E58" s="8"/>
      <c r="F58" s="8"/>
    </row>
    <row r="59" customFormat="false" ht="15" hidden="false" customHeight="false" outlineLevel="0" collapsed="false">
      <c r="A59" s="6" t="s">
        <v>150</v>
      </c>
      <c r="B59" s="6" t="s">
        <v>151</v>
      </c>
      <c r="C59" s="6" t="s">
        <v>39</v>
      </c>
      <c r="D59" s="7" t="n">
        <v>365837</v>
      </c>
      <c r="E59" s="8"/>
      <c r="F59" s="8"/>
    </row>
    <row r="60" customFormat="false" ht="15" hidden="false" customHeight="false" outlineLevel="0" collapsed="false">
      <c r="A60" s="6" t="s">
        <v>152</v>
      </c>
      <c r="B60" s="6" t="s">
        <v>153</v>
      </c>
      <c r="C60" s="6" t="s">
        <v>98</v>
      </c>
      <c r="D60" s="7" t="n">
        <v>349900</v>
      </c>
      <c r="E60" s="8"/>
      <c r="F60" s="8"/>
    </row>
    <row r="61" customFormat="false" ht="15" hidden="false" customHeight="false" outlineLevel="0" collapsed="false">
      <c r="A61" s="6" t="s">
        <v>154</v>
      </c>
      <c r="B61" s="6" t="s">
        <v>155</v>
      </c>
      <c r="C61" s="6" t="s">
        <v>39</v>
      </c>
      <c r="D61" s="7" t="n">
        <v>200600</v>
      </c>
      <c r="E61" s="8"/>
      <c r="F61" s="8"/>
    </row>
    <row r="62" customFormat="false" ht="15" hidden="false" customHeight="false" outlineLevel="0" collapsed="false">
      <c r="A62" s="6" t="s">
        <v>156</v>
      </c>
      <c r="B62" s="6" t="s">
        <v>157</v>
      </c>
      <c r="C62" s="6" t="s">
        <v>133</v>
      </c>
      <c r="D62" s="7" t="n">
        <v>171649.37</v>
      </c>
      <c r="E62" s="8"/>
      <c r="F62" s="8"/>
    </row>
    <row r="63" customFormat="false" ht="15" hidden="false" customHeight="false" outlineLevel="0" collapsed="false">
      <c r="A63" s="6" t="s">
        <v>158</v>
      </c>
      <c r="B63" s="6" t="s">
        <v>159</v>
      </c>
      <c r="C63" s="6" t="s">
        <v>57</v>
      </c>
      <c r="D63" s="7" t="n">
        <v>100000</v>
      </c>
      <c r="E63" s="8"/>
      <c r="F63" s="8"/>
    </row>
    <row r="64" customFormat="false" ht="15" hidden="false" customHeight="false" outlineLevel="0" collapsed="false">
      <c r="A64" s="6" t="s">
        <v>160</v>
      </c>
      <c r="B64" s="6" t="s">
        <v>161</v>
      </c>
      <c r="C64" s="6" t="s">
        <v>162</v>
      </c>
      <c r="D64" s="7" t="n">
        <v>78601.77</v>
      </c>
      <c r="E64" s="8"/>
      <c r="F64" s="8"/>
    </row>
    <row r="65" customFormat="false" ht="15" hidden="false" customHeight="false" outlineLevel="0" collapsed="false">
      <c r="A65" s="6" t="s">
        <v>163</v>
      </c>
      <c r="B65" s="6" t="s">
        <v>164</v>
      </c>
      <c r="C65" s="6" t="s">
        <v>39</v>
      </c>
      <c r="D65" s="7" t="n">
        <v>62500</v>
      </c>
      <c r="E65" s="8"/>
      <c r="F65" s="8"/>
    </row>
    <row r="66" customFormat="false" ht="15" hidden="false" customHeight="false" outlineLevel="0" collapsed="false">
      <c r="A66" s="6" t="s">
        <v>165</v>
      </c>
      <c r="B66" s="6" t="s">
        <v>71</v>
      </c>
      <c r="C66" s="6" t="s">
        <v>39</v>
      </c>
      <c r="D66" s="7" t="n">
        <v>58400</v>
      </c>
      <c r="E66" s="8"/>
      <c r="F66" s="8"/>
    </row>
    <row r="67" customFormat="false" ht="15" hidden="false" customHeight="false" outlineLevel="0" collapsed="false">
      <c r="A67" s="6" t="s">
        <v>166</v>
      </c>
      <c r="B67" s="6" t="s">
        <v>167</v>
      </c>
      <c r="C67" s="6" t="s">
        <v>110</v>
      </c>
      <c r="D67" s="7" t="n">
        <v>50000</v>
      </c>
      <c r="E67" s="8"/>
      <c r="F67" s="8"/>
    </row>
    <row r="68" customFormat="false" ht="15" hidden="false" customHeight="false" outlineLevel="0" collapsed="false">
      <c r="A68" s="6" t="s">
        <v>168</v>
      </c>
      <c r="B68" s="6" t="s">
        <v>128</v>
      </c>
      <c r="C68" s="6" t="s">
        <v>54</v>
      </c>
      <c r="D68" s="7" t="n">
        <v>26496</v>
      </c>
      <c r="E68" s="8"/>
      <c r="F68" s="8"/>
    </row>
    <row r="69" customFormat="false" ht="15" hidden="false" customHeight="false" outlineLevel="0" collapsed="false">
      <c r="A69" s="6" t="s">
        <v>169</v>
      </c>
      <c r="B69" s="6" t="s">
        <v>51</v>
      </c>
      <c r="C69" s="6" t="s">
        <v>57</v>
      </c>
      <c r="D69" s="7" t="n">
        <v>10000</v>
      </c>
      <c r="E69" s="8"/>
      <c r="F69" s="8"/>
    </row>
    <row r="70" customFormat="false" ht="15" hidden="false" customHeight="false" outlineLevel="0" collapsed="false">
      <c r="A70" s="6" t="s">
        <v>170</v>
      </c>
      <c r="B70" s="6" t="s">
        <v>171</v>
      </c>
      <c r="C70" s="6" t="s">
        <v>90</v>
      </c>
      <c r="D70" s="7" t="n">
        <v>0</v>
      </c>
      <c r="E70" s="8"/>
      <c r="F70" s="8"/>
    </row>
    <row r="71" customFormat="false" ht="15" hidden="false" customHeight="false" outlineLevel="0" collapsed="false">
      <c r="A71" s="6" t="s">
        <v>172</v>
      </c>
      <c r="B71" s="6" t="s">
        <v>173</v>
      </c>
      <c r="C71" s="6" t="s">
        <v>174</v>
      </c>
      <c r="D71" s="7" t="n">
        <v>-67700</v>
      </c>
      <c r="E71" s="8"/>
      <c r="F71" s="8"/>
    </row>
    <row r="72" customFormat="false" ht="15" hidden="false" customHeight="false" outlineLevel="0" collapsed="false">
      <c r="B72" s="9" t="s">
        <v>175</v>
      </c>
      <c r="D72" s="10" t="n">
        <f aca="false">SUM(D2:D71)</f>
        <v>969675805.05</v>
      </c>
    </row>
  </sheetData>
  <dataValidations count="1">
    <dataValidation allowBlank="true" errorStyle="stop" operator="between" showDropDown="false" showErrorMessage="false" showInputMessage="false" sqref="E2:E71" type="list">
      <formula1>"PL-F-010,PL-O-010,PL-O-020,PL-O-030,PL-O-040,PL-O-050,PL-O-060,PL-O-070,PL-O-080,PL-O-090,PL-O-100,PL-O-110,PL-O-120,PL-O-130,PL-S-010,PL-S-020,PL-S-030,PL-S-040,PL-S-050,PL-S-060"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2026-09-03T22:29:55Z</dcterms:created>
  <dc:creator>openpyxl</dc:creator>
  <dc:description/>
  <dc:language>en-US</dc:language>
  <cp:lastModifiedBy/>
  <dcterms:modified xsi:type="dcterms:W3CDTF">2026-09-03T22:29:55Z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