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ABECERA" sheetId="2" state="visible" r:id="rId4"/>
    <sheet name="RESUMEN" sheetId="3" state="visible" r:id="rId5"/>
    <sheet name="MENSUAL" sheetId="4" state="visible" r:id="rId6"/>
    <sheet name="PRESUPUESTO" sheetId="5" state="visible" r:id="rId7"/>
    <sheet name="PROYECCION" sheetId="6" state="visible" r:id="rId8"/>
    <sheet name="PROYECCION_KPIS" sheetId="7" state="visible" r:id="rId9"/>
    <sheet name="INTERNACIONA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<sst xmlns="http://schemas.openxmlformats.org/spreadsheetml/2006/main" count="154" uniqueCount="126">
  <si>
    <t xml:space="preserve">COCO Tecnologías · Cockpit Financiero</t>
  </si>
  <si>
    <t xml:space="preserve">Plantilla de Burn &amp; Runway · alimenta burn_runway.json</t>
  </si>
  <si>
    <t xml:space="preserve">Instrucciones</t>
  </si>
  <si>
    <t xml:space="preserve">1. Diligencia solo las celdas en crema con texto azul. Lo gris está fijo y lo negro es fórmula.</t>
  </si>
  <si>
    <t xml:space="preserve">2. NO cambies el texto de la columna 'Indicador' en RESUMEN ni en PROYECCION_KPIS: el tablero busca sus</t>
  </si>
  <si>
    <t xml:space="preserve">   tarjetas por ese texto. Si lo reescribes, la tarjeta se queda vacía y nada avisa.</t>
  </si>
  <si>
    <t xml:space="preserve">3. Las cifras van en COP millones (1.162,6 = mil ciento sesenta y dos millones), salvo donde la columna</t>
  </si>
  <si>
    <t xml:space="preserve">   'unidad' diga otra cosa. Es la escala del informe del modelo, no la del resto del tablero.</t>
  </si>
  <si>
    <t xml:space="preserve">4. 'FCF' y 'Burn' son fórmula: FCF = CFO + CapEx, y Burn = el FCF cuando es negativo. No los escribas.</t>
  </si>
  <si>
    <t xml:space="preserve">5. Un mes sin quema deja el runway vacío. No escribas 999 ni 0: el tablero muestra '—' y lo explica.</t>
  </si>
  <si>
    <t xml:space="preserve">6. Esta pestaña convierte con SU PROPIA tasa, distinta a la del resto del tablero. El tablero lo advierte</t>
  </si>
  <si>
    <t xml:space="preserve">   solo si la diferencia pasa de 0,5%, así que la celda 'TRM del informe' tiene que ser la de verdad.</t>
  </si>
  <si>
    <t xml:space="preserve">7. Cuando termines:  python modelo/plantilla_a_burn_runway.py &lt;archivo&gt;   genera burn_runway.json.</t>
  </si>
  <si>
    <t xml:space="preserve">Qué hoja alimenta qué</t>
  </si>
  <si>
    <t xml:space="preserve">CABECERA          el corte, la tasa del informe y los dos párrafos de lectura</t>
  </si>
  <si>
    <t xml:space="preserve">RESUMEN           las 7 tarjetas de arriba (6 de caja/runway + la de déficit, que va en PROYECCION_KPIS)</t>
  </si>
  <si>
    <t xml:space="preserve">MENSUAL           el gráfico «FCF burn por mes»</t>
  </si>
  <si>
    <t xml:space="preserve">PRESUPUESTO       el gráfico y la tabla «Ingresos: presupuesto vs ejecutado»</t>
  </si>
  <si>
    <t xml:space="preserve">PROYECCION        los meses proyectados y su estado</t>
  </si>
  <si>
    <t xml:space="preserve">PROYECCION_KPIS   la tarjeta «Runway hasta primer déficit» y el pie de la conclusión</t>
  </si>
  <si>
    <t xml:space="preserve">INTERNACIONAL     cuatro filas que deciden si el título dice «Consolidado (4 países)» o «Colombia»</t>
  </si>
  <si>
    <t xml:space="preserve">Lo que esta plantilla NO trae: el puente de caja, la sensibilidad DSO y el flujo internacional. Se retiraron de la pestaña en agosto y siguen viviendo en el modelo.</t>
  </si>
  <si>
    <t xml:space="preserve">Cabecera del informe</t>
  </si>
  <si>
    <t xml:space="preserve">Corte</t>
  </si>
  <si>
    <t xml:space="preserve">Julio 2026</t>
  </si>
  <si>
    <t xml:space="preserve">Mes del informe, tal como debe leerse en el encabezado.</t>
  </si>
  <si>
    <t xml:space="preserve">Modelo de origen</t>
  </si>
  <si>
    <t xml:space="preserve">Modelo_COCO.xlsx</t>
  </si>
  <si>
    <t xml:space="preserve">Nombre del archivo del que salieron las cifras.</t>
  </si>
  <si>
    <t xml:space="preserve">TRM del informe</t>
  </si>
  <si>
    <t xml:space="preserve">La tasa con que ESTA pestaña convierte. El tablero avisa si difiere de la suya.</t>
  </si>
  <si>
    <t xml:space="preserve">TRM del presupuesto</t>
  </si>
  <si>
    <t xml:space="preserve">La que relaciona las columnas COP y USD de PRESUPUESTO.</t>
  </si>
  <si>
    <t xml:space="preserve">Lectura para accionistas</t>
  </si>
  <si>
    <t xml:space="preserve">Párrafo que abre la pestaña. Escríbelo como se lo dirías a la junta.</t>
  </si>
  <si>
    <t xml:space="preserve">Conclusión proyectada</t>
  </si>
  <si>
    <t xml:space="preserve">Cierra la pestaña, debajo de la tabla de presupuesto.</t>
  </si>
  <si>
    <t xml:space="preserve">Las tarjetas de caja y runway · NO cambies la columna Indicador</t>
  </si>
  <si>
    <t xml:space="preserve">Indicador (fijo)</t>
  </si>
  <si>
    <t xml:space="preserve">Valor</t>
  </si>
  <si>
    <t xml:space="preserve">Unidad</t>
  </si>
  <si>
    <t xml:space="preserve">Qué es</t>
  </si>
  <si>
    <t xml:space="preserve">Caja Colombia</t>
  </si>
  <si>
    <t xml:space="preserve">COP MM</t>
  </si>
  <si>
    <t xml:space="preserve">Efectivo y equivalentes del balance del mes.</t>
  </si>
  <si>
    <t xml:space="preserve">Caja EE.UU. (al cierre)</t>
  </si>
  <si>
    <t xml:space="preserve">USD k</t>
  </si>
  <si>
    <t xml:space="preserve">Saldo de caja en Estados Unidos, en miles de dólares.</t>
  </si>
  <si>
    <t xml:space="preserve">TRM aplicada (promedio del mes)</t>
  </si>
  <si>
    <t xml:space="preserve">COP / USD</t>
  </si>
  <si>
    <t xml:space="preserve">Tasa con que se convierte la caja de EE.UU.</t>
  </si>
  <si>
    <t xml:space="preserve">Caja total consolidada</t>
  </si>
  <si>
    <t xml:space="preserve">TARJETA 1. Colombia + EE.UU. convertida.</t>
  </si>
  <si>
    <t xml:space="preserve">FCF burn del mes</t>
  </si>
  <si>
    <t xml:space="preserve">COP MM/mes</t>
  </si>
  <si>
    <t xml:space="preserve">TARJETA 2. Flujo operativo + CapEx, en positivo si quema.</t>
  </si>
  <si>
    <t xml:space="preserve">Consumo neto de caja del mes</t>
  </si>
  <si>
    <t xml:space="preserve">TARJETA 3. Disminución real de bancos.</t>
  </si>
  <si>
    <t xml:space="preserve">Runway consolidado al burn del mes</t>
  </si>
  <si>
    <t xml:space="preserve">Meses</t>
  </si>
  <si>
    <t xml:space="preserve">TARJETA 4. Vacío o 'N/A' si el mes no tuvo quema.</t>
  </si>
  <si>
    <t xml:space="preserve">Runway promedio May-Jul</t>
  </si>
  <si>
    <t xml:space="preserve">TARJETA 5. Cambia el rango del rótulo cada cierre.</t>
  </si>
  <si>
    <t xml:space="preserve">Runway promedio Ene-Jul</t>
  </si>
  <si>
    <t xml:space="preserve">TARJETA 6. El rango largo del año.</t>
  </si>
  <si>
    <t xml:space="preserve">Los rótulos «Runway promedio May-Jul» y «Ene-Jul» llevan el rango dentro del texto: actualízalo cada cierre, el tablero lo lee de ahí.</t>
  </si>
  <si>
    <t xml:space="preserve">FCF y quema mes a mes · COP millones</t>
  </si>
  <si>
    <t xml:space="preserve">Mes</t>
  </si>
  <si>
    <t xml:space="preserve">CFO</t>
  </si>
  <si>
    <t xml:space="preserve">CapEx</t>
  </si>
  <si>
    <t xml:space="preserve">FCF</t>
  </si>
  <si>
    <t xml:space="preserve">Burn</t>
  </si>
  <si>
    <t xml:space="preserve">Cambio en caja</t>
  </si>
  <si>
    <t xml:space="preserve">Lectura del mes</t>
  </si>
  <si>
    <t xml:space="preserve">Ene-26</t>
  </si>
  <si>
    <t xml:space="preserve">Feb-26</t>
  </si>
  <si>
    <t xml:space="preserve">Mar-26</t>
  </si>
  <si>
    <t xml:space="preserve">Abr-26</t>
  </si>
  <si>
    <t xml:space="preserve">May-26</t>
  </si>
  <si>
    <t xml:space="preserve">Jun-26</t>
  </si>
  <si>
    <t xml:space="preserve">Jul-26</t>
  </si>
  <si>
    <t xml:space="preserve">CapEx va en negativo. FCF y Burn son fórmula: no los escribas. «Lectura del mes» es opcional y sale en el tooltip del gráfico.</t>
  </si>
  <si>
    <t xml:space="preserve">Ingresos: presupuesto vs ejecutado · COP millones</t>
  </si>
  <si>
    <t xml:space="preserve">Presupuesto COP</t>
  </si>
  <si>
    <t xml:space="preserve">Ejecutado COP</t>
  </si>
  <si>
    <t xml:space="preserve">Brecha COP</t>
  </si>
  <si>
    <t xml:space="preserve">Cumplimiento</t>
  </si>
  <si>
    <t xml:space="preserve">Ppto USD</t>
  </si>
  <si>
    <t xml:space="preserve">Ejec USD</t>
  </si>
  <si>
    <t xml:space="preserve">Brecha USD</t>
  </si>
  <si>
    <t xml:space="preserve">Total Ene-Jul</t>
  </si>
  <si>
    <t xml:space="preserve">Las columnas en dólares se derivan de la TRM del presupuesto (CABECERA!C8). Si el modelo usó otra tasa, cámbiala allá, no aquí.</t>
  </si>
  <si>
    <t xml:space="preserve">Proyección con el presupuesto · COP millones</t>
  </si>
  <si>
    <t xml:space="preserve">Ingresos</t>
  </si>
  <si>
    <t xml:space="preserve">Flujo del mes</t>
  </si>
  <si>
    <t xml:space="preserve">Caja al cierre</t>
  </si>
  <si>
    <t xml:space="preserve">Estado / explicación</t>
  </si>
  <si>
    <t xml:space="preserve">Ago-26</t>
  </si>
  <si>
    <t xml:space="preserve">Sep-26</t>
  </si>
  <si>
    <t xml:space="preserve">Oct-26</t>
  </si>
  <si>
    <t xml:space="preserve">Nov-26</t>
  </si>
  <si>
    <t xml:space="preserve">Dic-26</t>
  </si>
  <si>
    <t xml:space="preserve">«Estado» es la frase que el tablero muestra junto al mes. Di por qué, no solo «déficit»: en agosto 2026 el bache era el salto de capital de trabajo, no falta de caja.</t>
  </si>
  <si>
    <t xml:space="preserve">KPIs de la proyección · NO cambies la columna Indicador</t>
  </si>
  <si>
    <t xml:space="preserve">Presupuesto anual de ingresos</t>
  </si>
  <si>
    <t xml:space="preserve">USD MM</t>
  </si>
  <si>
    <t xml:space="preserve">Ingresos 2026 del Modelo Base.</t>
  </si>
  <si>
    <t xml:space="preserve">Ingresos presupuestados del semestre restante</t>
  </si>
  <si>
    <t xml:space="preserve">Lo que falta del año.</t>
  </si>
  <si>
    <t xml:space="preserve">Runway hasta primer déficit</t>
  </si>
  <si>
    <t xml:space="preserve">TARJETA 7. Meses de caja antes del primer mes en rojo.</t>
  </si>
  <si>
    <t xml:space="preserve">Déficit máximo proyectado</t>
  </si>
  <si>
    <t xml:space="preserve">El punto más bajo de la proyección.</t>
  </si>
  <si>
    <t xml:space="preserve">Caja proyectada a diciembre</t>
  </si>
  <si>
    <t xml:space="preserve">Cierre del año según el modelo.</t>
  </si>
  <si>
    <t xml:space="preserve">Flujo de las filiales del mes · USD</t>
  </si>
  <si>
    <t xml:space="preserve">País</t>
  </si>
  <si>
    <t xml:space="preserve">Ingresos USD</t>
  </si>
  <si>
    <t xml:space="preserve">Egresos USD</t>
  </si>
  <si>
    <t xml:space="preserve">Neto USD</t>
  </si>
  <si>
    <t xml:space="preserve">Neto COP MM</t>
  </si>
  <si>
    <t xml:space="preserve">USA</t>
  </si>
  <si>
    <t xml:space="preserve">Perú</t>
  </si>
  <si>
    <t xml:space="preserve">Costa Rica</t>
  </si>
  <si>
    <t xml:space="preserve">Colombia</t>
  </si>
  <si>
    <t xml:space="preserve">Egresos en NEGATIVO. Si esta hoja queda vacía, el título de la pestaña pasa a decir «Burn &amp; Runway · Colombia» en vez de «Consolidado (4 países)».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</si>
</sst>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.0;\(#,##0.0\);\-"/>
    <numFmt numFmtId="167" formatCode="0.0%"/>
    <numFmt numFmtId="168" formatCode="#,##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5" t="s">
        <v>15</v>
      </c>
    </row>
    <row r="21" customFormat="false" ht="15" hidden="false" customHeight="false" outlineLevel="0" collapsed="false">
      <c r="B21" s="5" t="s">
        <v>16</v>
      </c>
    </row>
    <row r="22" customFormat="false" ht="15" hidden="false" customHeight="false" outlineLevel="0" collapsed="false">
      <c r="B22" s="5" t="s">
        <v>17</v>
      </c>
    </row>
    <row r="23" customFormat="false" ht="15" hidden="false" customHeight="false" outlineLevel="0" collapsed="false">
      <c r="B23" s="5" t="s">
        <v>18</v>
      </c>
    </row>
    <row r="24" customFormat="false" ht="15" hidden="false" customHeight="false" outlineLevel="0" collapsed="false">
      <c r="B24" s="5" t="s">
        <v>19</v>
      </c>
    </row>
    <row r="25" customFormat="false" ht="15" hidden="false" customHeight="false" outlineLevel="0" collapsed="false">
      <c r="B25" s="5" t="s">
        <v>20</v>
      </c>
    </row>
    <row r="28" customFormat="false" ht="15" hidden="false" customHeight="false" outlineLevel="0" collapsed="false">
      <c r="B28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8"/>
    <col collapsed="false" customWidth="true" hidden="false" outlineLevel="0" max="4" min="4" style="0" width="58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22</v>
      </c>
    </row>
    <row r="5" customFormat="false" ht="15" hidden="false" customHeight="false" outlineLevel="0" collapsed="false">
      <c r="B5" s="7" t="s">
        <v>23</v>
      </c>
      <c r="C5" s="8" t="s">
        <v>24</v>
      </c>
      <c r="D5" s="9" t="s">
        <v>25</v>
      </c>
    </row>
    <row r="6" customFormat="false" ht="15" hidden="false" customHeight="false" outlineLevel="0" collapsed="false">
      <c r="B6" s="7" t="s">
        <v>26</v>
      </c>
      <c r="C6" s="8" t="s">
        <v>27</v>
      </c>
      <c r="D6" s="9" t="s">
        <v>28</v>
      </c>
    </row>
    <row r="7" customFormat="false" ht="15" hidden="false" customHeight="false" outlineLevel="0" collapsed="false">
      <c r="B7" s="7" t="s">
        <v>29</v>
      </c>
      <c r="C7" s="10" t="n">
        <v>3505.27</v>
      </c>
      <c r="D7" s="9" t="s">
        <v>30</v>
      </c>
    </row>
    <row r="8" customFormat="false" ht="15" hidden="false" customHeight="false" outlineLevel="0" collapsed="false">
      <c r="B8" s="7" t="s">
        <v>31</v>
      </c>
      <c r="C8" s="10" t="n">
        <v>3690</v>
      </c>
      <c r="D8" s="9" t="s">
        <v>32</v>
      </c>
    </row>
    <row r="10" customFormat="false" ht="61.5" hidden="false" customHeight="true" outlineLevel="0" collapsed="false">
      <c r="B10" s="11" t="s">
        <v>33</v>
      </c>
      <c r="C10" s="12"/>
      <c r="D10" s="9" t="s">
        <v>34</v>
      </c>
    </row>
    <row r="11" customFormat="false" ht="61.5" hidden="false" customHeight="true" outlineLevel="0" collapsed="false">
      <c r="B11" s="11" t="s">
        <v>35</v>
      </c>
      <c r="C11" s="12"/>
      <c r="D11" s="9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62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37</v>
      </c>
    </row>
    <row r="5" customFormat="false" ht="27.75" hidden="false" customHeight="true" outlineLevel="0" collapsed="false">
      <c r="B5" s="13" t="s">
        <v>38</v>
      </c>
      <c r="C5" s="13" t="s">
        <v>39</v>
      </c>
      <c r="D5" s="13" t="s">
        <v>40</v>
      </c>
      <c r="E5" s="13" t="s">
        <v>41</v>
      </c>
    </row>
    <row r="6" customFormat="false" ht="24" hidden="false" customHeight="true" outlineLevel="0" collapsed="false">
      <c r="B6" s="14" t="s">
        <v>42</v>
      </c>
      <c r="C6" s="15"/>
      <c r="D6" s="14" t="s">
        <v>43</v>
      </c>
      <c r="E6" s="16" t="s">
        <v>44</v>
      </c>
    </row>
    <row r="7" customFormat="false" ht="24" hidden="false" customHeight="true" outlineLevel="0" collapsed="false">
      <c r="B7" s="14" t="s">
        <v>45</v>
      </c>
      <c r="C7" s="15"/>
      <c r="D7" s="14" t="s">
        <v>46</v>
      </c>
      <c r="E7" s="16" t="s">
        <v>47</v>
      </c>
    </row>
    <row r="8" customFormat="false" ht="24" hidden="false" customHeight="true" outlineLevel="0" collapsed="false">
      <c r="B8" s="14" t="s">
        <v>48</v>
      </c>
      <c r="C8" s="15"/>
      <c r="D8" s="14" t="s">
        <v>49</v>
      </c>
      <c r="E8" s="16" t="s">
        <v>50</v>
      </c>
    </row>
    <row r="9" customFormat="false" ht="24" hidden="false" customHeight="true" outlineLevel="0" collapsed="false">
      <c r="B9" s="14" t="s">
        <v>51</v>
      </c>
      <c r="C9" s="15"/>
      <c r="D9" s="14" t="s">
        <v>43</v>
      </c>
      <c r="E9" s="16" t="s">
        <v>52</v>
      </c>
    </row>
    <row r="10" customFormat="false" ht="24" hidden="false" customHeight="true" outlineLevel="0" collapsed="false">
      <c r="B10" s="14" t="s">
        <v>53</v>
      </c>
      <c r="C10" s="15"/>
      <c r="D10" s="14" t="s">
        <v>54</v>
      </c>
      <c r="E10" s="16" t="s">
        <v>55</v>
      </c>
    </row>
    <row r="11" customFormat="false" ht="24" hidden="false" customHeight="true" outlineLevel="0" collapsed="false">
      <c r="B11" s="14" t="s">
        <v>56</v>
      </c>
      <c r="C11" s="15"/>
      <c r="D11" s="14" t="s">
        <v>43</v>
      </c>
      <c r="E11" s="16" t="s">
        <v>57</v>
      </c>
    </row>
    <row r="12" customFormat="false" ht="24" hidden="false" customHeight="true" outlineLevel="0" collapsed="false">
      <c r="B12" s="14" t="s">
        <v>58</v>
      </c>
      <c r="C12" s="15"/>
      <c r="D12" s="14" t="s">
        <v>59</v>
      </c>
      <c r="E12" s="16" t="s">
        <v>60</v>
      </c>
    </row>
    <row r="13" customFormat="false" ht="24" hidden="false" customHeight="true" outlineLevel="0" collapsed="false">
      <c r="B13" s="14" t="s">
        <v>61</v>
      </c>
      <c r="C13" s="15"/>
      <c r="D13" s="14" t="s">
        <v>59</v>
      </c>
      <c r="E13" s="16" t="s">
        <v>62</v>
      </c>
    </row>
    <row r="14" customFormat="false" ht="24" hidden="false" customHeight="true" outlineLevel="0" collapsed="false">
      <c r="B14" s="14" t="s">
        <v>63</v>
      </c>
      <c r="C14" s="15"/>
      <c r="D14" s="14" t="s">
        <v>59</v>
      </c>
      <c r="E14" s="16" t="s">
        <v>64</v>
      </c>
    </row>
    <row r="16" customFormat="false" ht="15" hidden="false" customHeight="false" outlineLevel="0" collapsed="false">
      <c r="B16" s="6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70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66</v>
      </c>
    </row>
    <row r="5" customFormat="false" ht="27.75" hidden="false" customHeight="true" outlineLevel="0" collapsed="false">
      <c r="B5" s="13" t="s">
        <v>67</v>
      </c>
      <c r="C5" s="13" t="s">
        <v>68</v>
      </c>
      <c r="D5" s="13" t="s">
        <v>69</v>
      </c>
      <c r="E5" s="13" t="s">
        <v>70</v>
      </c>
      <c r="F5" s="13" t="s">
        <v>71</v>
      </c>
      <c r="G5" s="13" t="s">
        <v>72</v>
      </c>
      <c r="H5" s="13" t="s">
        <v>73</v>
      </c>
    </row>
    <row r="6" customFormat="false" ht="15" hidden="false" customHeight="false" outlineLevel="0" collapsed="false">
      <c r="B6" s="8" t="s">
        <v>74</v>
      </c>
      <c r="C6" s="15"/>
      <c r="D6" s="15"/>
      <c r="E6" s="17" t="str">
        <f aca="false">IF(COUNT(C6:D6)=0,"",C6+D6)</f>
        <v/>
      </c>
      <c r="F6" s="17" t="str">
        <f aca="false">IF(E6="","",MAX(0,-E6))</f>
        <v/>
      </c>
      <c r="G6" s="15"/>
      <c r="H6" s="18"/>
    </row>
    <row r="7" customFormat="false" ht="15" hidden="false" customHeight="false" outlineLevel="0" collapsed="false">
      <c r="B7" s="8" t="s">
        <v>75</v>
      </c>
      <c r="C7" s="15"/>
      <c r="D7" s="15"/>
      <c r="E7" s="17" t="str">
        <f aca="false">IF(COUNT(C7:D7)=0,"",C7+D7)</f>
        <v/>
      </c>
      <c r="F7" s="17" t="str">
        <f aca="false">IF(E7="","",MAX(0,-E7))</f>
        <v/>
      </c>
      <c r="G7" s="15"/>
      <c r="H7" s="18"/>
    </row>
    <row r="8" customFormat="false" ht="15" hidden="false" customHeight="false" outlineLevel="0" collapsed="false">
      <c r="B8" s="8" t="s">
        <v>76</v>
      </c>
      <c r="C8" s="15"/>
      <c r="D8" s="15"/>
      <c r="E8" s="17" t="str">
        <f aca="false">IF(COUNT(C8:D8)=0,"",C8+D8)</f>
        <v/>
      </c>
      <c r="F8" s="17" t="str">
        <f aca="false">IF(E8="","",MAX(0,-E8))</f>
        <v/>
      </c>
      <c r="G8" s="15"/>
      <c r="H8" s="18"/>
    </row>
    <row r="9" customFormat="false" ht="15" hidden="false" customHeight="false" outlineLevel="0" collapsed="false">
      <c r="B9" s="8" t="s">
        <v>77</v>
      </c>
      <c r="C9" s="15"/>
      <c r="D9" s="15"/>
      <c r="E9" s="17" t="str">
        <f aca="false">IF(COUNT(C9:D9)=0,"",C9+D9)</f>
        <v/>
      </c>
      <c r="F9" s="17" t="str">
        <f aca="false">IF(E9="","",MAX(0,-E9))</f>
        <v/>
      </c>
      <c r="G9" s="15"/>
      <c r="H9" s="18"/>
    </row>
    <row r="10" customFormat="false" ht="15" hidden="false" customHeight="false" outlineLevel="0" collapsed="false">
      <c r="B10" s="8" t="s">
        <v>78</v>
      </c>
      <c r="C10" s="15"/>
      <c r="D10" s="15"/>
      <c r="E10" s="17" t="str">
        <f aca="false">IF(COUNT(C10:D10)=0,"",C10+D10)</f>
        <v/>
      </c>
      <c r="F10" s="17" t="str">
        <f aca="false">IF(E10="","",MAX(0,-E10))</f>
        <v/>
      </c>
      <c r="G10" s="15"/>
      <c r="H10" s="18"/>
    </row>
    <row r="11" customFormat="false" ht="15" hidden="false" customHeight="false" outlineLevel="0" collapsed="false">
      <c r="B11" s="8" t="s">
        <v>79</v>
      </c>
      <c r="C11" s="15"/>
      <c r="D11" s="15"/>
      <c r="E11" s="17" t="str">
        <f aca="false">IF(COUNT(C11:D11)=0,"",C11+D11)</f>
        <v/>
      </c>
      <c r="F11" s="17" t="str">
        <f aca="false">IF(E11="","",MAX(0,-E11))</f>
        <v/>
      </c>
      <c r="G11" s="15"/>
      <c r="H11" s="18"/>
    </row>
    <row r="12" customFormat="false" ht="15" hidden="false" customHeight="false" outlineLevel="0" collapsed="false">
      <c r="B12" s="8" t="s">
        <v>80</v>
      </c>
      <c r="C12" s="15"/>
      <c r="D12" s="15"/>
      <c r="E12" s="17" t="str">
        <f aca="false">IF(COUNT(C12:D12)=0,"",C12+D12)</f>
        <v/>
      </c>
      <c r="F12" s="17" t="str">
        <f aca="false">IF(E12="","",MAX(0,-E12))</f>
        <v/>
      </c>
      <c r="G12" s="15"/>
      <c r="H12" s="18"/>
    </row>
    <row r="14" customFormat="false" ht="15" hidden="false" customHeight="false" outlineLevel="0" collapsed="false">
      <c r="B14" s="6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4" min="3" style="0" width="17"/>
    <col collapsed="false" customWidth="true" hidden="false" outlineLevel="0" max="6" min="5" style="0" width="15"/>
    <col collapsed="false" customWidth="true" hidden="false" outlineLevel="0" max="9" min="7" style="0" width="13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82</v>
      </c>
    </row>
    <row r="5" customFormat="false" ht="27.75" hidden="false" customHeight="true" outlineLevel="0" collapsed="false">
      <c r="B5" s="13" t="s">
        <v>67</v>
      </c>
      <c r="C5" s="13" t="s">
        <v>83</v>
      </c>
      <c r="D5" s="13" t="s">
        <v>84</v>
      </c>
      <c r="E5" s="13" t="s">
        <v>85</v>
      </c>
      <c r="F5" s="13" t="s">
        <v>86</v>
      </c>
      <c r="G5" s="13" t="s">
        <v>87</v>
      </c>
      <c r="H5" s="13" t="s">
        <v>88</v>
      </c>
      <c r="I5" s="13" t="s">
        <v>89</v>
      </c>
    </row>
    <row r="6" customFormat="false" ht="15" hidden="false" customHeight="false" outlineLevel="0" collapsed="false">
      <c r="B6" s="8" t="s">
        <v>74</v>
      </c>
      <c r="C6" s="15"/>
      <c r="D6" s="15"/>
      <c r="E6" s="17" t="str">
        <f aca="false">IF(COUNT(C6:D6)&lt;2,"",D6-C6)</f>
        <v/>
      </c>
      <c r="F6" s="19" t="str">
        <f aca="false">IF(OR(C6="",C6=0,D6=""),"",D6/C6)</f>
        <v/>
      </c>
      <c r="G6" s="20" t="str">
        <f aca="false">IF(OR(C6="",CABECERA!$C$8=0),"",C6/CABECERA!$C$8)</f>
        <v/>
      </c>
      <c r="H6" s="20" t="str">
        <f aca="false">IF(OR(D6="",CABECERA!$C$8=0),"",D6/CABECERA!$C$8)</f>
        <v/>
      </c>
      <c r="I6" s="20" t="str">
        <f aca="false">IF(OR(G6="",H6=""),"",H6-G6)</f>
        <v/>
      </c>
    </row>
    <row r="7" customFormat="false" ht="15" hidden="false" customHeight="false" outlineLevel="0" collapsed="false">
      <c r="B7" s="8" t="s">
        <v>75</v>
      </c>
      <c r="C7" s="15"/>
      <c r="D7" s="15"/>
      <c r="E7" s="17" t="str">
        <f aca="false">IF(COUNT(C7:D7)&lt;2,"",D7-C7)</f>
        <v/>
      </c>
      <c r="F7" s="19" t="str">
        <f aca="false">IF(OR(C7="",C7=0,D7=""),"",D7/C7)</f>
        <v/>
      </c>
      <c r="G7" s="20" t="str">
        <f aca="false">IF(OR(C7="",CABECERA!$C$8=0),"",C7/CABECERA!$C$8)</f>
        <v/>
      </c>
      <c r="H7" s="20" t="str">
        <f aca="false">IF(OR(D7="",CABECERA!$C$8=0),"",D7/CABECERA!$C$8)</f>
        <v/>
      </c>
      <c r="I7" s="20" t="str">
        <f aca="false">IF(OR(G7="",H7=""),"",H7-G7)</f>
        <v/>
      </c>
    </row>
    <row r="8" customFormat="false" ht="15" hidden="false" customHeight="false" outlineLevel="0" collapsed="false">
      <c r="B8" s="8" t="s">
        <v>76</v>
      </c>
      <c r="C8" s="15"/>
      <c r="D8" s="15"/>
      <c r="E8" s="17" t="str">
        <f aca="false">IF(COUNT(C8:D8)&lt;2,"",D8-C8)</f>
        <v/>
      </c>
      <c r="F8" s="19" t="str">
        <f aca="false">IF(OR(C8="",C8=0,D8=""),"",D8/C8)</f>
        <v/>
      </c>
      <c r="G8" s="20" t="str">
        <f aca="false">IF(OR(C8="",CABECERA!$C$8=0),"",C8/CABECERA!$C$8)</f>
        <v/>
      </c>
      <c r="H8" s="20" t="str">
        <f aca="false">IF(OR(D8="",CABECERA!$C$8=0),"",D8/CABECERA!$C$8)</f>
        <v/>
      </c>
      <c r="I8" s="20" t="str">
        <f aca="false">IF(OR(G8="",H8=""),"",H8-G8)</f>
        <v/>
      </c>
    </row>
    <row r="9" customFormat="false" ht="15" hidden="false" customHeight="false" outlineLevel="0" collapsed="false">
      <c r="B9" s="8" t="s">
        <v>77</v>
      </c>
      <c r="C9" s="15"/>
      <c r="D9" s="15"/>
      <c r="E9" s="17" t="str">
        <f aca="false">IF(COUNT(C9:D9)&lt;2,"",D9-C9)</f>
        <v/>
      </c>
      <c r="F9" s="19" t="str">
        <f aca="false">IF(OR(C9="",C9=0,D9=""),"",D9/C9)</f>
        <v/>
      </c>
      <c r="G9" s="20" t="str">
        <f aca="false">IF(OR(C9="",CABECERA!$C$8=0),"",C9/CABECERA!$C$8)</f>
        <v/>
      </c>
      <c r="H9" s="20" t="str">
        <f aca="false">IF(OR(D9="",CABECERA!$C$8=0),"",D9/CABECERA!$C$8)</f>
        <v/>
      </c>
      <c r="I9" s="20" t="str">
        <f aca="false">IF(OR(G9="",H9=""),"",H9-G9)</f>
        <v/>
      </c>
    </row>
    <row r="10" customFormat="false" ht="15" hidden="false" customHeight="false" outlineLevel="0" collapsed="false">
      <c r="B10" s="8" t="s">
        <v>78</v>
      </c>
      <c r="C10" s="15"/>
      <c r="D10" s="15"/>
      <c r="E10" s="17" t="str">
        <f aca="false">IF(COUNT(C10:D10)&lt;2,"",D10-C10)</f>
        <v/>
      </c>
      <c r="F10" s="19" t="str">
        <f aca="false">IF(OR(C10="",C10=0,D10=""),"",D10/C10)</f>
        <v/>
      </c>
      <c r="G10" s="20" t="str">
        <f aca="false">IF(OR(C10="",CABECERA!$C$8=0),"",C10/CABECERA!$C$8)</f>
        <v/>
      </c>
      <c r="H10" s="20" t="str">
        <f aca="false">IF(OR(D10="",CABECERA!$C$8=0),"",D10/CABECERA!$C$8)</f>
        <v/>
      </c>
      <c r="I10" s="20" t="str">
        <f aca="false">IF(OR(G10="",H10=""),"",H10-G10)</f>
        <v/>
      </c>
    </row>
    <row r="11" customFormat="false" ht="15" hidden="false" customHeight="false" outlineLevel="0" collapsed="false">
      <c r="B11" s="8" t="s">
        <v>79</v>
      </c>
      <c r="C11" s="15"/>
      <c r="D11" s="15"/>
      <c r="E11" s="17" t="str">
        <f aca="false">IF(COUNT(C11:D11)&lt;2,"",D11-C11)</f>
        <v/>
      </c>
      <c r="F11" s="19" t="str">
        <f aca="false">IF(OR(C11="",C11=0,D11=""),"",D11/C11)</f>
        <v/>
      </c>
      <c r="G11" s="20" t="str">
        <f aca="false">IF(OR(C11="",CABECERA!$C$8=0),"",C11/CABECERA!$C$8)</f>
        <v/>
      </c>
      <c r="H11" s="20" t="str">
        <f aca="false">IF(OR(D11="",CABECERA!$C$8=0),"",D11/CABECERA!$C$8)</f>
        <v/>
      </c>
      <c r="I11" s="20" t="str">
        <f aca="false">IF(OR(G11="",H11=""),"",H11-G11)</f>
        <v/>
      </c>
    </row>
    <row r="12" customFormat="false" ht="15" hidden="false" customHeight="false" outlineLevel="0" collapsed="false">
      <c r="B12" s="8" t="s">
        <v>80</v>
      </c>
      <c r="C12" s="15"/>
      <c r="D12" s="15"/>
      <c r="E12" s="17" t="str">
        <f aca="false">IF(COUNT(C12:D12)&lt;2,"",D12-C12)</f>
        <v/>
      </c>
      <c r="F12" s="19" t="str">
        <f aca="false">IF(OR(C12="",C12=0,D12=""),"",D12/C12)</f>
        <v/>
      </c>
      <c r="G12" s="20" t="str">
        <f aca="false">IF(OR(C12="",CABECERA!$C$8=0),"",C12/CABECERA!$C$8)</f>
        <v/>
      </c>
      <c r="H12" s="20" t="str">
        <f aca="false">IF(OR(D12="",CABECERA!$C$8=0),"",D12/CABECERA!$C$8)</f>
        <v/>
      </c>
      <c r="I12" s="20" t="str">
        <f aca="false">IF(OR(G12="",H12=""),"",H12-G12)</f>
        <v/>
      </c>
    </row>
    <row r="13" customFormat="false" ht="15" hidden="false" customHeight="false" outlineLevel="0" collapsed="false">
      <c r="B13" s="11" t="s">
        <v>90</v>
      </c>
      <c r="C13" s="21" t="n">
        <f aca="false">SUM(C6:C12)</f>
        <v>0</v>
      </c>
      <c r="D13" s="21" t="n">
        <f aca="false">SUM(D6:D12)</f>
        <v>0</v>
      </c>
      <c r="E13" s="21" t="n">
        <f aca="false">SUM(E6:E12)</f>
        <v>0</v>
      </c>
      <c r="F13" s="22" t="str">
        <f aca="false">IF(C13=0,"",D13/C13)</f>
        <v/>
      </c>
      <c r="G13" s="23" t="n">
        <f aca="false">SUM(G6:G12)</f>
        <v>0</v>
      </c>
      <c r="H13" s="23" t="n">
        <f aca="false">SUM(H6:H12)</f>
        <v>0</v>
      </c>
      <c r="I13" s="23" t="n">
        <f aca="false">SUM(I6:I12)</f>
        <v>0</v>
      </c>
    </row>
    <row r="15" customFormat="false" ht="15" hidden="false" customHeight="false" outlineLevel="0" collapsed="false">
      <c r="B15" s="6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6" min="6" style="0" width="84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92</v>
      </c>
    </row>
    <row r="5" customFormat="false" ht="27.75" hidden="false" customHeight="true" outlineLevel="0" collapsed="false">
      <c r="B5" s="13" t="s">
        <v>67</v>
      </c>
      <c r="C5" s="13" t="s">
        <v>93</v>
      </c>
      <c r="D5" s="13" t="s">
        <v>94</v>
      </c>
      <c r="E5" s="13" t="s">
        <v>95</v>
      </c>
      <c r="F5" s="13" t="s">
        <v>96</v>
      </c>
    </row>
    <row r="6" customFormat="false" ht="25.5" hidden="false" customHeight="true" outlineLevel="0" collapsed="false">
      <c r="B6" s="8" t="s">
        <v>97</v>
      </c>
      <c r="C6" s="15"/>
      <c r="D6" s="15"/>
      <c r="E6" s="15"/>
      <c r="F6" s="18"/>
    </row>
    <row r="7" customFormat="false" ht="25.5" hidden="false" customHeight="true" outlineLevel="0" collapsed="false">
      <c r="B7" s="8" t="s">
        <v>98</v>
      </c>
      <c r="C7" s="15"/>
      <c r="D7" s="15"/>
      <c r="E7" s="15"/>
      <c r="F7" s="18"/>
    </row>
    <row r="8" customFormat="false" ht="25.5" hidden="false" customHeight="true" outlineLevel="0" collapsed="false">
      <c r="B8" s="8" t="s">
        <v>99</v>
      </c>
      <c r="C8" s="15"/>
      <c r="D8" s="15"/>
      <c r="E8" s="15"/>
      <c r="F8" s="18"/>
    </row>
    <row r="9" customFormat="false" ht="25.5" hidden="false" customHeight="true" outlineLevel="0" collapsed="false">
      <c r="B9" s="8" t="s">
        <v>100</v>
      </c>
      <c r="C9" s="15"/>
      <c r="D9" s="15"/>
      <c r="E9" s="15"/>
      <c r="F9" s="18"/>
    </row>
    <row r="10" customFormat="false" ht="25.5" hidden="false" customHeight="true" outlineLevel="0" collapsed="false">
      <c r="B10" s="8" t="s">
        <v>101</v>
      </c>
      <c r="C10" s="15"/>
      <c r="D10" s="15"/>
      <c r="E10" s="15"/>
      <c r="F10" s="18"/>
    </row>
    <row r="12" customFormat="false" ht="15" hidden="false" customHeight="false" outlineLevel="0" collapsed="false">
      <c r="B12" s="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60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103</v>
      </c>
    </row>
    <row r="5" customFormat="false" ht="27.75" hidden="false" customHeight="true" outlineLevel="0" collapsed="false">
      <c r="B5" s="13" t="s">
        <v>38</v>
      </c>
      <c r="C5" s="13" t="s">
        <v>39</v>
      </c>
      <c r="D5" s="13" t="s">
        <v>40</v>
      </c>
      <c r="E5" s="13" t="s">
        <v>41</v>
      </c>
    </row>
    <row r="6" customFormat="false" ht="24" hidden="false" customHeight="true" outlineLevel="0" collapsed="false">
      <c r="B6" s="14" t="s">
        <v>104</v>
      </c>
      <c r="C6" s="15"/>
      <c r="D6" s="14" t="s">
        <v>105</v>
      </c>
      <c r="E6" s="16" t="s">
        <v>106</v>
      </c>
    </row>
    <row r="7" customFormat="false" ht="24" hidden="false" customHeight="true" outlineLevel="0" collapsed="false">
      <c r="B7" s="14" t="s">
        <v>107</v>
      </c>
      <c r="C7" s="15"/>
      <c r="D7" s="14" t="s">
        <v>105</v>
      </c>
      <c r="E7" s="16" t="s">
        <v>108</v>
      </c>
    </row>
    <row r="8" customFormat="false" ht="24" hidden="false" customHeight="true" outlineLevel="0" collapsed="false">
      <c r="B8" s="14" t="s">
        <v>109</v>
      </c>
      <c r="C8" s="15"/>
      <c r="D8" s="14" t="s">
        <v>59</v>
      </c>
      <c r="E8" s="16" t="s">
        <v>110</v>
      </c>
    </row>
    <row r="9" customFormat="false" ht="24" hidden="false" customHeight="true" outlineLevel="0" collapsed="false">
      <c r="B9" s="14" t="s">
        <v>111</v>
      </c>
      <c r="C9" s="15"/>
      <c r="D9" s="14" t="s">
        <v>43</v>
      </c>
      <c r="E9" s="16" t="s">
        <v>112</v>
      </c>
    </row>
    <row r="10" customFormat="false" ht="24" hidden="false" customHeight="true" outlineLevel="0" collapsed="false">
      <c r="B10" s="14" t="s">
        <v>113</v>
      </c>
      <c r="C10" s="15"/>
      <c r="D10" s="14" t="s">
        <v>43</v>
      </c>
      <c r="E10" s="16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6"/>
    <col collapsed="false" customWidth="true" hidden="false" outlineLevel="0" max="6" min="6" style="0" width="18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115</v>
      </c>
    </row>
    <row r="5" customFormat="false" ht="27.75" hidden="false" customHeight="true" outlineLevel="0" collapsed="false">
      <c r="B5" s="13" t="s">
        <v>116</v>
      </c>
      <c r="C5" s="13" t="s">
        <v>117</v>
      </c>
      <c r="D5" s="13" t="s">
        <v>118</v>
      </c>
      <c r="E5" s="13" t="s">
        <v>119</v>
      </c>
      <c r="F5" s="13" t="s">
        <v>120</v>
      </c>
    </row>
    <row r="6" customFormat="false" ht="15" hidden="false" customHeight="false" outlineLevel="0" collapsed="false">
      <c r="B6" s="14" t="s">
        <v>121</v>
      </c>
      <c r="C6" s="10"/>
      <c r="D6" s="10"/>
      <c r="E6" s="24" t="str">
        <f aca="false">IF(COUNT(C6:D6)=0,"",C6+D6)</f>
        <v/>
      </c>
      <c r="F6" s="17" t="str">
        <f aca="false">IF(OR(E6="",CABECERA!$C$7=0),"",E6*CABECERA!$C$7/1000000)</f>
        <v/>
      </c>
    </row>
    <row r="7" customFormat="false" ht="15" hidden="false" customHeight="false" outlineLevel="0" collapsed="false">
      <c r="B7" s="14" t="s">
        <v>122</v>
      </c>
      <c r="C7" s="10"/>
      <c r="D7" s="10"/>
      <c r="E7" s="24" t="str">
        <f aca="false">IF(COUNT(C7:D7)=0,"",C7+D7)</f>
        <v/>
      </c>
      <c r="F7" s="17" t="str">
        <f aca="false">IF(OR(E7="",CABECERA!$C$7=0),"",E7*CABECERA!$C$7/1000000)</f>
        <v/>
      </c>
    </row>
    <row r="8" customFormat="false" ht="15" hidden="false" customHeight="false" outlineLevel="0" collapsed="false">
      <c r="B8" s="14" t="s">
        <v>123</v>
      </c>
      <c r="C8" s="10"/>
      <c r="D8" s="10"/>
      <c r="E8" s="24" t="str">
        <f aca="false">IF(COUNT(C8:D8)=0,"",C8+D8)</f>
        <v/>
      </c>
      <c r="F8" s="17" t="str">
        <f aca="false">IF(OR(E8="",CABECERA!$C$7=0),"",E8*CABECERA!$C$7/1000000)</f>
        <v/>
      </c>
    </row>
    <row r="9" customFormat="false" ht="15" hidden="false" customHeight="false" outlineLevel="0" collapsed="false">
      <c r="B9" s="14" t="s">
        <v>124</v>
      </c>
      <c r="C9" s="10"/>
      <c r="D9" s="10"/>
      <c r="E9" s="24" t="str">
        <f aca="false">IF(COUNT(C9:D9)=0,"",C9+D9)</f>
        <v/>
      </c>
      <c r="F9" s="17" t="str">
        <f aca="false">IF(OR(E9="",CABECERA!$C$7=0),"",E9*CABECERA!$C$7/1000000)</f>
        <v/>
      </c>
    </row>
    <row r="11" customFormat="false" ht="15" hidden="false" customHeight="false" outlineLevel="0" collapsed="false">
      <c r="B11" s="6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2026-09-03T22:20:36Z</dcterms:created>
  <dc:creator>openpyxl</dc:creator>
  <dc:description/>
  <dc:language>en-US</dc:language>
  <cp:lastModifiedBy/>
  <dcterms:modified xsi:type="dcterms:W3CDTF">2026-09-03T22:20:36Z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