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CHEQUEOS" sheetId="3" state="visible" r:id="rId3"/>
    <sheet xmlns:r="http://schemas.openxmlformats.org/officeDocument/2006/relationships" name="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sz val="11"/>
    </font>
    <font>
      <name val="Arial"/>
      <sz val="10"/>
    </font>
    <font>
      <name val="Consolas"/>
      <color rgb="001A1A1A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1A1A1A"/>
      <sz val="10"/>
    </font>
    <font>
      <name val="Arial"/>
      <b val="1"/>
      <color rgb="00FFFFFF"/>
      <sz val="14"/>
    </font>
    <font>
      <name val="Arial"/>
      <i val="1"/>
      <color rgb="007F7F7F"/>
      <sz val="9"/>
    </font>
    <font>
      <name val="Arial"/>
      <color rgb="00595959"/>
      <sz val="9"/>
    </font>
    <font>
      <name val="Arial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1" pivotButton="0" quotePrefix="0" xfId="0"/>
    <xf numFmtId="0" fontId="9" fillId="4" borderId="1" pivotButton="0" quotePrefix="0" xfId="0"/>
    <xf numFmtId="4" fontId="8" fillId="3" borderId="1" pivotButton="0" quotePrefix="0" xfId="0"/>
    <xf numFmtId="164" fontId="8" fillId="3" borderId="1" pivotButton="0" quotePrefix="0" xfId="0"/>
    <xf numFmtId="0" fontId="10" fillId="2" borderId="0" pivotButton="0" quotePrefix="0" xfId="0"/>
    <xf numFmtId="0" fontId="0" fillId="2" borderId="0" pivotButton="0" quotePrefix="0" xfId="0"/>
    <xf numFmtId="4" fontId="8" fillId="5" borderId="1" pivotButton="0" quotePrefix="0" xfId="0"/>
    <xf numFmtId="0" fontId="11" fillId="0" borderId="0" pivotButton="0" quotePrefix="0" xfId="0"/>
    <xf numFmtId="0" fontId="7" fillId="2" borderId="0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/>
    </xf>
    <xf numFmtId="0" fontId="12" fillId="0" borderId="1" applyAlignment="1" pivotButton="0" quotePrefix="0" xfId="0">
      <alignment vertical="center" wrapText="1"/>
    </xf>
    <xf numFmtId="0" fontId="13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9C0006"/>
        <sz val="10"/>
      </font>
      <fill>
        <patternFill patternType="solid">
          <fgColor rgb="00F8D7DA"/>
        </patternFill>
      </fill>
    </dxf>
    <dxf>
      <font>
        <name val="Arial"/>
        <b val="1"/>
        <color rgb="001E6B34"/>
        <sz val="10"/>
      </font>
      <fill>
        <patternFill patternType="solid">
          <fgColor rgb="00D5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6"/>
  <sheetViews>
    <sheetView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 ht="24" customHeight="1">
      <c r="B2" s="1" t="inlineStr">
        <is>
          <t>COCO Tecnologías · Cockpit Financiero</t>
        </is>
      </c>
    </row>
    <row r="3" ht="18" customHeight="1">
      <c r="B3" s="2" t="inlineStr">
        <is>
          <t>Plantilla de cierre mensual · MRR + Cartera y Liquidez</t>
        </is>
      </c>
    </row>
    <row r="5">
      <c r="B5" s="3" t="inlineStr">
        <is>
          <t>Instrucciones</t>
        </is>
      </c>
    </row>
    <row r="6" ht="14" customHeight="1">
      <c r="B6" s="4" t="inlineStr">
        <is>
          <t>1. Diligencia solo las celdas en crema con texto azul. Lo demás está fijo.</t>
        </is>
      </c>
    </row>
    <row r="7" ht="26" customHeight="1">
      <c r="B7" s="4" t="inlineStr">
        <is>
          <t>2. 'periodo' va en formato AAAA-MM (ej. 2026-08). Todas las filas del mismo cierre llevan el mismo periodo.</t>
        </is>
      </c>
    </row>
    <row r="8" ht="26" customHeight="1">
      <c r="B8" s="4" t="inlineStr">
        <is>
          <t>3. 'moneda' es la moneda EN QUE SE ORIGINA el dato, no la que quieres ver: Colombia COP, EE.UU. USD, Perú PEN, Costa Rica USD.</t>
        </is>
      </c>
    </row>
    <row r="9" ht="14" customHeight="1">
      <c r="B9" s="4" t="inlineStr">
        <is>
          <t xml:space="preserve">   El tablero convierte solo, con la tasa del mes. Si conviertes tú, la cifra queda convertida dos veces.</t>
        </is>
      </c>
    </row>
    <row r="10" ht="26" customHeight="1">
      <c r="B10" s="4" t="inlineStr">
        <is>
          <t>4. Un cero reportado se escribe 0. Una fila que no llegó se DEJA VACÍA y se borra: vacío es 's/d', cero es cero.</t>
        </is>
      </c>
    </row>
    <row r="11" ht="14" customHeight="1">
      <c r="B11" s="4" t="inlineStr">
        <is>
          <t>5. 'contraction_mrr' y 'churned_mrr' van en negativo. Los gastos y la cartera van en positivo.</t>
        </is>
      </c>
    </row>
    <row r="12" ht="14" customHeight="1">
      <c r="B12" s="4" t="inlineStr">
        <is>
          <t>6. 'liquidez_total' lleva una fila por país. Copia la fila y cambia el país.</t>
        </is>
      </c>
    </row>
    <row r="13" ht="26" customHeight="1">
      <c r="B13" s="4" t="inlineStr">
        <is>
          <t>7. 'cartera_vencida_cliente' y 'distribucion_ingresos' llevan varias filas: copia y diligencia la columna 'detalle'.</t>
        </is>
      </c>
    </row>
    <row r="14" ht="14" customHeight="1">
      <c r="B14" s="4" t="inlineStr">
        <is>
          <t>8. Antes de mandar el archivo, abre la hoja CHEQUEOS. Si algo sale en rojo, la carga se rechaza.</t>
        </is>
      </c>
    </row>
    <row r="15" ht="14" customHeight="1">
      <c r="B15" s="4" t="inlineStr">
        <is>
          <t>9. No borres ni renombres columnas, ni cambies el nombre de las hojas.</t>
        </is>
      </c>
    </row>
    <row r="17">
      <c r="B17" s="3" t="inlineStr">
        <is>
          <t>Qué lleva cada código</t>
        </is>
      </c>
    </row>
    <row r="18">
      <c r="B18" s="5" t="inlineStr">
        <is>
          <t>mrr_final                (COP/USD) MRR contratado al cierre del mes</t>
        </is>
      </c>
    </row>
    <row r="19">
      <c r="B19" s="5" t="inlineStr">
        <is>
          <t>retained_mrr             (COP/USD) MRR del mes anterior que se conserva (es saldo, NO movimiento)</t>
        </is>
      </c>
    </row>
    <row r="20">
      <c r="B20" s="5" t="inlineStr">
        <is>
          <t>new_mrr                  (COP/USD) clientes nuevos del mes</t>
        </is>
      </c>
    </row>
    <row r="21">
      <c r="B21" s="5" t="inlineStr">
        <is>
          <t>reactivacion_mrr         (COP/USD) clientes recuperados</t>
        </is>
      </c>
    </row>
    <row r="22">
      <c r="B22" s="5" t="inlineStr">
        <is>
          <t>expansion_mrr            (COP/USD) mayor consumo de clientes existentes</t>
        </is>
      </c>
    </row>
    <row r="23">
      <c r="B23" s="5" t="inlineStr">
        <is>
          <t>contraction_mrr          (COP/USD) menor consumo — va NEGATIVO</t>
        </is>
      </c>
    </row>
    <row r="24">
      <c r="B24" s="5" t="inlineStr">
        <is>
          <t>churned_mrr              (COP/USD) clientes perdidos — va NEGATIVO</t>
        </is>
      </c>
    </row>
    <row r="25">
      <c r="B25" s="5" t="inlineStr">
        <is>
          <t>churn_mrr_mensual        (%)       opcional: si no se carga, el tablero lo deriva</t>
        </is>
      </c>
    </row>
    <row r="26">
      <c r="B26" s="5" t="inlineStr">
        <is>
          <t>arr_mrr                  (COP/USD) ARR = MRR x 12. Es el ARR que muestra el tablero</t>
        </is>
      </c>
    </row>
    <row r="27">
      <c r="B27" s="5" t="inlineStr">
        <is>
          <t>arpa                     (COP/USD) ingreso promedio por cuenta</t>
        </is>
      </c>
    </row>
    <row r="28">
      <c r="B28" s="5" t="inlineStr">
        <is>
          <t>ingresos_recurrentes     (COP/USD) facturación recurrente del mes</t>
        </is>
      </c>
    </row>
    <row r="29">
      <c r="B29" s="5" t="inlineStr">
        <is>
          <t>ingresos_no_recurrentes  (COP/USD) implementaciones y one-off del mes</t>
        </is>
      </c>
    </row>
    <row r="30">
      <c r="B30" s="5" t="inlineStr">
        <is>
          <t>distribucion_ingresos    (COP/USD) una fila por tipo, con 'detalle' diligenciado</t>
        </is>
      </c>
    </row>
    <row r="31">
      <c r="B31" s="5" t="inlineStr">
        <is>
          <t>cartera_total            (COP/USD) saldo de cartera al cierre</t>
        </is>
      </c>
    </row>
    <row r="32">
      <c r="B32" s="5" t="inlineStr">
        <is>
          <t>cartera_vencida          (COP/USD) parte vencida del saldo</t>
        </is>
      </c>
    </row>
    <row r="33">
      <c r="B33" s="5" t="inlineStr">
        <is>
          <t>cartera_sana             (COP/USD) sana + vencida debe dar el total</t>
        </is>
      </c>
    </row>
    <row r="34">
      <c r="B34" s="5" t="inlineStr">
        <is>
          <t>cartera_vencida_cliente  (COP/USD) una fila por cliente, con 'detalle' = nombre</t>
        </is>
      </c>
    </row>
    <row r="35">
      <c r="B35" s="5" t="inlineStr">
        <is>
          <t>cartera_cobro_legal      (COP/USD) cartera en cobro jurídico</t>
        </is>
      </c>
    </row>
    <row r="36">
      <c r="B36" s="5" t="inlineStr">
        <is>
          <t>dso                      (días)    días de rotación de cartera</t>
        </is>
      </c>
    </row>
    <row r="37">
      <c r="B37" s="5" t="inlineStr">
        <is>
          <t>dpo                      (días)    opcional</t>
        </is>
      </c>
    </row>
    <row r="38">
      <c r="B38" s="5" t="inlineStr">
        <is>
          <t>ccc                      (días)    opcional</t>
        </is>
      </c>
    </row>
    <row r="39">
      <c r="B39" s="5" t="inlineStr">
        <is>
          <t>cartera_mayor_60_pct     (%)       porcentaje, no fracción: 7 = 7%</t>
        </is>
      </c>
    </row>
    <row r="40">
      <c r="B40" s="5" t="inlineStr">
        <is>
          <t>cartera_arr_pct          (%)       cartera sobre ARR</t>
        </is>
      </c>
    </row>
    <row r="41">
      <c r="B41" s="5" t="inlineStr">
        <is>
          <t>concentracion_cartera    (%)       peso del mayor deudor</t>
        </is>
      </c>
    </row>
    <row r="42">
      <c r="B42" s="5" t="inlineStr">
        <is>
          <t>write_off_ratio          (%)       castigo de cartera</t>
        </is>
      </c>
    </row>
    <row r="43">
      <c r="B43" s="5" t="inlineStr">
        <is>
          <t>indice_morosidad         (%)       el tablero NO lo usa: calcula vencida/total</t>
        </is>
      </c>
    </row>
    <row r="44">
      <c r="B44" s="5" t="inlineStr">
        <is>
          <t>liquidez_total           (COP/USD) una fila POR PAÍS, cada uno en su moneda</t>
        </is>
      </c>
    </row>
    <row r="46">
      <c r="B46" s="6" t="inlineStr">
        <is>
          <t>Cómo se carga:  python migracion/cargar_plantilla_mensual.py &lt;archivo&gt;   (muestra la propuesta en seco; se aplica con --escribir)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9" customWidth="1" min="4" max="4"/>
    <col width="12" customWidth="1" min="5" max="5"/>
    <col width="25" customWidth="1" min="6" max="6"/>
    <col width="13" customWidth="1" min="7" max="7"/>
    <col width="26" customWidth="1" min="8" max="8"/>
    <col width="16" customWidth="1" min="9" max="9"/>
    <col width="10" customWidth="1" min="10" max="10"/>
    <col width="40" customWidth="1" min="11" max="11"/>
  </cols>
  <sheetData>
    <row r="1">
      <c r="A1" s="7" t="inlineStr">
        <is>
          <t>periodo</t>
        </is>
      </c>
      <c r="B1" s="7" t="inlineStr">
        <is>
          <t>pais</t>
        </is>
      </c>
      <c r="C1" s="7" t="inlineStr">
        <is>
          <t>compania</t>
        </is>
      </c>
      <c r="D1" s="7" t="inlineStr">
        <is>
          <t>moneda</t>
        </is>
      </c>
      <c r="E1" s="7" t="inlineStr">
        <is>
          <t>escenario</t>
        </is>
      </c>
      <c r="F1" s="7" t="inlineStr">
        <is>
          <t>codigo_indicador</t>
        </is>
      </c>
      <c r="G1" s="7" t="inlineStr">
        <is>
          <t>segmento</t>
        </is>
      </c>
      <c r="H1" s="7" t="inlineStr">
        <is>
          <t>detalle</t>
        </is>
      </c>
      <c r="I1" s="7" t="inlineStr">
        <is>
          <t>valor</t>
        </is>
      </c>
      <c r="J1" s="7" t="inlineStr">
        <is>
          <t>unidad</t>
        </is>
      </c>
      <c r="K1" s="7" t="inlineStr">
        <is>
          <t>comentario</t>
        </is>
      </c>
    </row>
    <row r="2">
      <c r="A2" s="8" t="n"/>
      <c r="B2" s="8" t="inlineStr">
        <is>
          <t>Colombia</t>
        </is>
      </c>
      <c r="C2" s="9" t="inlineStr">
        <is>
          <t>Coco Colombia</t>
        </is>
      </c>
      <c r="D2" s="8" t="inlineStr">
        <is>
          <t>COP</t>
        </is>
      </c>
      <c r="E2" s="9" t="inlineStr">
        <is>
          <t>Real</t>
        </is>
      </c>
      <c r="F2" s="9" t="inlineStr">
        <is>
          <t>mrr_final</t>
        </is>
      </c>
      <c r="G2" s="9" t="n"/>
      <c r="H2" s="8" t="n"/>
      <c r="I2" s="10" t="n"/>
      <c r="J2" s="9" t="inlineStr">
        <is>
          <t>COP/USD</t>
        </is>
      </c>
      <c r="K2" s="8" t="n"/>
    </row>
    <row r="3">
      <c r="A3" s="8" t="n"/>
      <c r="B3" s="8" t="inlineStr">
        <is>
          <t>Colombia</t>
        </is>
      </c>
      <c r="C3" s="9" t="inlineStr">
        <is>
          <t>Coco Colombia</t>
        </is>
      </c>
      <c r="D3" s="8" t="inlineStr">
        <is>
          <t>COP</t>
        </is>
      </c>
      <c r="E3" s="9" t="inlineStr">
        <is>
          <t>Real</t>
        </is>
      </c>
      <c r="F3" s="9" t="inlineStr">
        <is>
          <t>retained_mrr</t>
        </is>
      </c>
      <c r="G3" s="9" t="n"/>
      <c r="H3" s="8" t="n"/>
      <c r="I3" s="10" t="n"/>
      <c r="J3" s="9" t="inlineStr">
        <is>
          <t>COP/USD</t>
        </is>
      </c>
      <c r="K3" s="8" t="n"/>
    </row>
    <row r="4">
      <c r="A4" s="8" t="n"/>
      <c r="B4" s="8" t="inlineStr">
        <is>
          <t>Colombia</t>
        </is>
      </c>
      <c r="C4" s="9" t="inlineStr">
        <is>
          <t>Coco Colombia</t>
        </is>
      </c>
      <c r="D4" s="8" t="inlineStr">
        <is>
          <t>COP</t>
        </is>
      </c>
      <c r="E4" s="9" t="inlineStr">
        <is>
          <t>Real</t>
        </is>
      </c>
      <c r="F4" s="9" t="inlineStr">
        <is>
          <t>new_mrr</t>
        </is>
      </c>
      <c r="G4" s="9" t="n"/>
      <c r="H4" s="8" t="n"/>
      <c r="I4" s="10" t="n"/>
      <c r="J4" s="9" t="inlineStr">
        <is>
          <t>COP/USD</t>
        </is>
      </c>
      <c r="K4" s="8" t="n"/>
    </row>
    <row r="5">
      <c r="A5" s="8" t="n"/>
      <c r="B5" s="8" t="inlineStr">
        <is>
          <t>Colombia</t>
        </is>
      </c>
      <c r="C5" s="9" t="inlineStr">
        <is>
          <t>Coco Colombia</t>
        </is>
      </c>
      <c r="D5" s="8" t="inlineStr">
        <is>
          <t>COP</t>
        </is>
      </c>
      <c r="E5" s="9" t="inlineStr">
        <is>
          <t>Real</t>
        </is>
      </c>
      <c r="F5" s="9" t="inlineStr">
        <is>
          <t>reactivacion_mrr</t>
        </is>
      </c>
      <c r="G5" s="9" t="n"/>
      <c r="H5" s="8" t="n"/>
      <c r="I5" s="10" t="n"/>
      <c r="J5" s="9" t="inlineStr">
        <is>
          <t>COP/USD</t>
        </is>
      </c>
      <c r="K5" s="8" t="n"/>
    </row>
    <row r="6">
      <c r="A6" s="8" t="n"/>
      <c r="B6" s="8" t="inlineStr">
        <is>
          <t>Colombia</t>
        </is>
      </c>
      <c r="C6" s="9" t="inlineStr">
        <is>
          <t>Coco Colombia</t>
        </is>
      </c>
      <c r="D6" s="8" t="inlineStr">
        <is>
          <t>COP</t>
        </is>
      </c>
      <c r="E6" s="9" t="inlineStr">
        <is>
          <t>Real</t>
        </is>
      </c>
      <c r="F6" s="9" t="inlineStr">
        <is>
          <t>expansion_mrr</t>
        </is>
      </c>
      <c r="G6" s="9" t="n"/>
      <c r="H6" s="8" t="n"/>
      <c r="I6" s="10" t="n"/>
      <c r="J6" s="9" t="inlineStr">
        <is>
          <t>COP/USD</t>
        </is>
      </c>
      <c r="K6" s="8" t="n"/>
    </row>
    <row r="7">
      <c r="A7" s="8" t="n"/>
      <c r="B7" s="8" t="inlineStr">
        <is>
          <t>Colombia</t>
        </is>
      </c>
      <c r="C7" s="9" t="inlineStr">
        <is>
          <t>Coco Colombia</t>
        </is>
      </c>
      <c r="D7" s="8" t="inlineStr">
        <is>
          <t>COP</t>
        </is>
      </c>
      <c r="E7" s="9" t="inlineStr">
        <is>
          <t>Real</t>
        </is>
      </c>
      <c r="F7" s="9" t="inlineStr">
        <is>
          <t>contraction_mrr</t>
        </is>
      </c>
      <c r="G7" s="9" t="n"/>
      <c r="H7" s="8" t="n"/>
      <c r="I7" s="10" t="n"/>
      <c r="J7" s="9" t="inlineStr">
        <is>
          <t>COP/USD</t>
        </is>
      </c>
      <c r="K7" s="8" t="n"/>
    </row>
    <row r="8">
      <c r="A8" s="8" t="n"/>
      <c r="B8" s="8" t="inlineStr">
        <is>
          <t>Colombia</t>
        </is>
      </c>
      <c r="C8" s="9" t="inlineStr">
        <is>
          <t>Coco Colombia</t>
        </is>
      </c>
      <c r="D8" s="8" t="inlineStr">
        <is>
          <t>COP</t>
        </is>
      </c>
      <c r="E8" s="9" t="inlineStr">
        <is>
          <t>Real</t>
        </is>
      </c>
      <c r="F8" s="9" t="inlineStr">
        <is>
          <t>churned_mrr</t>
        </is>
      </c>
      <c r="G8" s="9" t="n"/>
      <c r="H8" s="8" t="n"/>
      <c r="I8" s="10" t="n"/>
      <c r="J8" s="9" t="inlineStr">
        <is>
          <t>COP/USD</t>
        </is>
      </c>
      <c r="K8" s="8" t="n"/>
    </row>
    <row r="9">
      <c r="A9" s="8" t="n"/>
      <c r="B9" s="8" t="inlineStr">
        <is>
          <t>Colombia</t>
        </is>
      </c>
      <c r="C9" s="9" t="inlineStr">
        <is>
          <t>Coco Colombia</t>
        </is>
      </c>
      <c r="D9" s="8" t="inlineStr">
        <is>
          <t>COP</t>
        </is>
      </c>
      <c r="E9" s="9" t="inlineStr">
        <is>
          <t>Real</t>
        </is>
      </c>
      <c r="F9" s="9" t="inlineStr">
        <is>
          <t>churn_mrr_mensual</t>
        </is>
      </c>
      <c r="G9" s="9" t="n"/>
      <c r="H9" s="8" t="n"/>
      <c r="I9" s="11" t="n"/>
      <c r="J9" s="9" t="inlineStr">
        <is>
          <t>%</t>
        </is>
      </c>
      <c r="K9" s="8" t="n"/>
    </row>
    <row r="10">
      <c r="A10" s="8" t="n"/>
      <c r="B10" s="8" t="inlineStr">
        <is>
          <t>Colombia</t>
        </is>
      </c>
      <c r="C10" s="9" t="inlineStr">
        <is>
          <t>Coco Colombia</t>
        </is>
      </c>
      <c r="D10" s="8" t="inlineStr">
        <is>
          <t>COP</t>
        </is>
      </c>
      <c r="E10" s="9" t="inlineStr">
        <is>
          <t>Real</t>
        </is>
      </c>
      <c r="F10" s="9" t="inlineStr">
        <is>
          <t>arr_mrr</t>
        </is>
      </c>
      <c r="G10" s="9" t="n"/>
      <c r="H10" s="8" t="n"/>
      <c r="I10" s="10" t="n"/>
      <c r="J10" s="9" t="inlineStr">
        <is>
          <t>COP/USD</t>
        </is>
      </c>
      <c r="K10" s="8" t="n"/>
    </row>
    <row r="11">
      <c r="A11" s="8" t="n"/>
      <c r="B11" s="8" t="inlineStr">
        <is>
          <t>Colombia</t>
        </is>
      </c>
      <c r="C11" s="9" t="inlineStr">
        <is>
          <t>Coco Colombia</t>
        </is>
      </c>
      <c r="D11" s="8" t="inlineStr">
        <is>
          <t>COP</t>
        </is>
      </c>
      <c r="E11" s="9" t="inlineStr">
        <is>
          <t>Real</t>
        </is>
      </c>
      <c r="F11" s="9" t="inlineStr">
        <is>
          <t>arpa</t>
        </is>
      </c>
      <c r="G11" s="9" t="n"/>
      <c r="H11" s="8" t="n"/>
      <c r="I11" s="10" t="n"/>
      <c r="J11" s="9" t="inlineStr">
        <is>
          <t>COP/USD</t>
        </is>
      </c>
      <c r="K11" s="8" t="n"/>
    </row>
    <row r="12">
      <c r="A12" s="8" t="n"/>
      <c r="B12" s="8" t="inlineStr">
        <is>
          <t>Colombia</t>
        </is>
      </c>
      <c r="C12" s="9" t="inlineStr">
        <is>
          <t>Coco Colombia</t>
        </is>
      </c>
      <c r="D12" s="8" t="inlineStr">
        <is>
          <t>COP</t>
        </is>
      </c>
      <c r="E12" s="9" t="inlineStr">
        <is>
          <t>Real</t>
        </is>
      </c>
      <c r="F12" s="9" t="inlineStr">
        <is>
          <t>ingresos_recurrentes</t>
        </is>
      </c>
      <c r="G12" s="9" t="n"/>
      <c r="H12" s="8" t="n"/>
      <c r="I12" s="10" t="n"/>
      <c r="J12" s="9" t="inlineStr">
        <is>
          <t>COP/USD</t>
        </is>
      </c>
      <c r="K12" s="8" t="n"/>
    </row>
    <row r="13">
      <c r="A13" s="8" t="n"/>
      <c r="B13" s="8" t="inlineStr">
        <is>
          <t>Colombia</t>
        </is>
      </c>
      <c r="C13" s="9" t="inlineStr">
        <is>
          <t>Coco Colombia</t>
        </is>
      </c>
      <c r="D13" s="8" t="inlineStr">
        <is>
          <t>COP</t>
        </is>
      </c>
      <c r="E13" s="9" t="inlineStr">
        <is>
          <t>Real</t>
        </is>
      </c>
      <c r="F13" s="9" t="inlineStr">
        <is>
          <t>ingresos_no_recurrentes</t>
        </is>
      </c>
      <c r="G13" s="9" t="n"/>
      <c r="H13" s="8" t="n"/>
      <c r="I13" s="10" t="n"/>
      <c r="J13" s="9" t="inlineStr">
        <is>
          <t>COP/USD</t>
        </is>
      </c>
      <c r="K13" s="8" t="n"/>
    </row>
    <row r="14">
      <c r="A14" s="8" t="n"/>
      <c r="B14" s="8" t="inlineStr">
        <is>
          <t>Colombia</t>
        </is>
      </c>
      <c r="C14" s="9" t="inlineStr">
        <is>
          <t>Coco Colombia</t>
        </is>
      </c>
      <c r="D14" s="8" t="inlineStr">
        <is>
          <t>COP</t>
        </is>
      </c>
      <c r="E14" s="9" t="inlineStr">
        <is>
          <t>Real</t>
        </is>
      </c>
      <c r="F14" s="9" t="inlineStr">
        <is>
          <t>distribucion_ingresos</t>
        </is>
      </c>
      <c r="G14" s="9" t="n"/>
      <c r="H14" s="8" t="n"/>
      <c r="I14" s="10" t="n"/>
      <c r="J14" s="9" t="inlineStr">
        <is>
          <t>COP/USD</t>
        </is>
      </c>
      <c r="K14" s="8" t="n"/>
    </row>
    <row r="15">
      <c r="A15" s="8" t="n"/>
      <c r="B15" s="8" t="inlineStr">
        <is>
          <t>Colombia</t>
        </is>
      </c>
      <c r="C15" s="9" t="inlineStr">
        <is>
          <t>Coco Colombia</t>
        </is>
      </c>
      <c r="D15" s="8" t="inlineStr">
        <is>
          <t>COP</t>
        </is>
      </c>
      <c r="E15" s="9" t="inlineStr">
        <is>
          <t>Real</t>
        </is>
      </c>
      <c r="F15" s="9" t="inlineStr">
        <is>
          <t>cartera_total</t>
        </is>
      </c>
      <c r="G15" s="9" t="n"/>
      <c r="H15" s="8" t="n"/>
      <c r="I15" s="10" t="n"/>
      <c r="J15" s="9" t="inlineStr">
        <is>
          <t>COP/USD</t>
        </is>
      </c>
      <c r="K15" s="8" t="n"/>
    </row>
    <row r="16">
      <c r="A16" s="8" t="n"/>
      <c r="B16" s="8" t="inlineStr">
        <is>
          <t>Colombia</t>
        </is>
      </c>
      <c r="C16" s="9" t="inlineStr">
        <is>
          <t>Coco Colombia</t>
        </is>
      </c>
      <c r="D16" s="8" t="inlineStr">
        <is>
          <t>COP</t>
        </is>
      </c>
      <c r="E16" s="9" t="inlineStr">
        <is>
          <t>Real</t>
        </is>
      </c>
      <c r="F16" s="9" t="inlineStr">
        <is>
          <t>cartera_vencida</t>
        </is>
      </c>
      <c r="G16" s="9" t="n"/>
      <c r="H16" s="8" t="n"/>
      <c r="I16" s="10" t="n"/>
      <c r="J16" s="9" t="inlineStr">
        <is>
          <t>COP/USD</t>
        </is>
      </c>
      <c r="K16" s="8" t="n"/>
    </row>
    <row r="17">
      <c r="A17" s="8" t="n"/>
      <c r="B17" s="8" t="inlineStr">
        <is>
          <t>Colombia</t>
        </is>
      </c>
      <c r="C17" s="9" t="inlineStr">
        <is>
          <t>Coco Colombia</t>
        </is>
      </c>
      <c r="D17" s="8" t="inlineStr">
        <is>
          <t>COP</t>
        </is>
      </c>
      <c r="E17" s="9" t="inlineStr">
        <is>
          <t>Real</t>
        </is>
      </c>
      <c r="F17" s="9" t="inlineStr">
        <is>
          <t>cartera_sana</t>
        </is>
      </c>
      <c r="G17" s="9" t="n"/>
      <c r="H17" s="8" t="n"/>
      <c r="I17" s="10" t="n"/>
      <c r="J17" s="9" t="inlineStr">
        <is>
          <t>COP/USD</t>
        </is>
      </c>
      <c r="K17" s="8" t="n"/>
    </row>
    <row r="18">
      <c r="A18" s="8" t="n"/>
      <c r="B18" s="8" t="inlineStr">
        <is>
          <t>Colombia</t>
        </is>
      </c>
      <c r="C18" s="9" t="inlineStr">
        <is>
          <t>Coco Colombia</t>
        </is>
      </c>
      <c r="D18" s="8" t="inlineStr">
        <is>
          <t>COP</t>
        </is>
      </c>
      <c r="E18" s="9" t="inlineStr">
        <is>
          <t>Real</t>
        </is>
      </c>
      <c r="F18" s="9" t="inlineStr">
        <is>
          <t>cartera_vencida_cliente</t>
        </is>
      </c>
      <c r="G18" s="9" t="n"/>
      <c r="H18" s="8" t="n"/>
      <c r="I18" s="10" t="n"/>
      <c r="J18" s="9" t="inlineStr">
        <is>
          <t>COP/USD</t>
        </is>
      </c>
      <c r="K18" s="8" t="n"/>
    </row>
    <row r="19">
      <c r="A19" s="8" t="n"/>
      <c r="B19" s="8" t="inlineStr">
        <is>
          <t>Colombia</t>
        </is>
      </c>
      <c r="C19" s="9" t="inlineStr">
        <is>
          <t>Coco Colombia</t>
        </is>
      </c>
      <c r="D19" s="8" t="inlineStr">
        <is>
          <t>COP</t>
        </is>
      </c>
      <c r="E19" s="9" t="inlineStr">
        <is>
          <t>Real</t>
        </is>
      </c>
      <c r="F19" s="9" t="inlineStr">
        <is>
          <t>cartera_cobro_legal</t>
        </is>
      </c>
      <c r="G19" s="9" t="n"/>
      <c r="H19" s="8" t="n"/>
      <c r="I19" s="10" t="n"/>
      <c r="J19" s="9" t="inlineStr">
        <is>
          <t>COP/USD</t>
        </is>
      </c>
      <c r="K19" s="8" t="n"/>
    </row>
    <row r="20">
      <c r="A20" s="8" t="n"/>
      <c r="B20" s="8" t="inlineStr">
        <is>
          <t>Colombia</t>
        </is>
      </c>
      <c r="C20" s="9" t="inlineStr">
        <is>
          <t>Coco Colombia</t>
        </is>
      </c>
      <c r="D20" s="8" t="inlineStr">
        <is>
          <t>COP</t>
        </is>
      </c>
      <c r="E20" s="9" t="inlineStr">
        <is>
          <t>Real</t>
        </is>
      </c>
      <c r="F20" s="9" t="inlineStr">
        <is>
          <t>dso</t>
        </is>
      </c>
      <c r="G20" s="9" t="n"/>
      <c r="H20" s="8" t="n"/>
      <c r="I20" s="10" t="n"/>
      <c r="J20" s="9" t="inlineStr">
        <is>
          <t>días</t>
        </is>
      </c>
      <c r="K20" s="8" t="n"/>
    </row>
    <row r="21">
      <c r="A21" s="8" t="n"/>
      <c r="B21" s="8" t="inlineStr">
        <is>
          <t>Colombia</t>
        </is>
      </c>
      <c r="C21" s="9" t="inlineStr">
        <is>
          <t>Coco Colombia</t>
        </is>
      </c>
      <c r="D21" s="8" t="inlineStr">
        <is>
          <t>COP</t>
        </is>
      </c>
      <c r="E21" s="9" t="inlineStr">
        <is>
          <t>Real</t>
        </is>
      </c>
      <c r="F21" s="9" t="inlineStr">
        <is>
          <t>dpo</t>
        </is>
      </c>
      <c r="G21" s="9" t="n"/>
      <c r="H21" s="8" t="n"/>
      <c r="I21" s="10" t="n"/>
      <c r="J21" s="9" t="inlineStr">
        <is>
          <t>días</t>
        </is>
      </c>
      <c r="K21" s="8" t="n"/>
    </row>
    <row r="22">
      <c r="A22" s="8" t="n"/>
      <c r="B22" s="8" t="inlineStr">
        <is>
          <t>Colombia</t>
        </is>
      </c>
      <c r="C22" s="9" t="inlineStr">
        <is>
          <t>Coco Colombia</t>
        </is>
      </c>
      <c r="D22" s="8" t="inlineStr">
        <is>
          <t>COP</t>
        </is>
      </c>
      <c r="E22" s="9" t="inlineStr">
        <is>
          <t>Real</t>
        </is>
      </c>
      <c r="F22" s="9" t="inlineStr">
        <is>
          <t>ccc</t>
        </is>
      </c>
      <c r="G22" s="9" t="n"/>
      <c r="H22" s="8" t="n"/>
      <c r="I22" s="10" t="n"/>
      <c r="J22" s="9" t="inlineStr">
        <is>
          <t>días</t>
        </is>
      </c>
      <c r="K22" s="8" t="n"/>
    </row>
    <row r="23">
      <c r="A23" s="8" t="n"/>
      <c r="B23" s="8" t="inlineStr">
        <is>
          <t>Colombia</t>
        </is>
      </c>
      <c r="C23" s="9" t="inlineStr">
        <is>
          <t>Coco Colombia</t>
        </is>
      </c>
      <c r="D23" s="8" t="inlineStr">
        <is>
          <t>COP</t>
        </is>
      </c>
      <c r="E23" s="9" t="inlineStr">
        <is>
          <t>Real</t>
        </is>
      </c>
      <c r="F23" s="9" t="inlineStr">
        <is>
          <t>cartera_mayor_60_pct</t>
        </is>
      </c>
      <c r="G23" s="9" t="n"/>
      <c r="H23" s="8" t="n"/>
      <c r="I23" s="11" t="n"/>
      <c r="J23" s="9" t="inlineStr">
        <is>
          <t>%</t>
        </is>
      </c>
      <c r="K23" s="8" t="n"/>
    </row>
    <row r="24">
      <c r="A24" s="8" t="n"/>
      <c r="B24" s="8" t="inlineStr">
        <is>
          <t>Colombia</t>
        </is>
      </c>
      <c r="C24" s="9" t="inlineStr">
        <is>
          <t>Coco Colombia</t>
        </is>
      </c>
      <c r="D24" s="8" t="inlineStr">
        <is>
          <t>COP</t>
        </is>
      </c>
      <c r="E24" s="9" t="inlineStr">
        <is>
          <t>Real</t>
        </is>
      </c>
      <c r="F24" s="9" t="inlineStr">
        <is>
          <t>cartera_arr_pct</t>
        </is>
      </c>
      <c r="G24" s="9" t="n"/>
      <c r="H24" s="8" t="n"/>
      <c r="I24" s="11" t="n"/>
      <c r="J24" s="9" t="inlineStr">
        <is>
          <t>%</t>
        </is>
      </c>
      <c r="K24" s="8" t="n"/>
    </row>
    <row r="25">
      <c r="A25" s="8" t="n"/>
      <c r="B25" s="8" t="inlineStr">
        <is>
          <t>Colombia</t>
        </is>
      </c>
      <c r="C25" s="9" t="inlineStr">
        <is>
          <t>Coco Colombia</t>
        </is>
      </c>
      <c r="D25" s="8" t="inlineStr">
        <is>
          <t>COP</t>
        </is>
      </c>
      <c r="E25" s="9" t="inlineStr">
        <is>
          <t>Real</t>
        </is>
      </c>
      <c r="F25" s="9" t="inlineStr">
        <is>
          <t>concentracion_cartera</t>
        </is>
      </c>
      <c r="G25" s="9" t="n"/>
      <c r="H25" s="8" t="n"/>
      <c r="I25" s="11" t="n"/>
      <c r="J25" s="9" t="inlineStr">
        <is>
          <t>%</t>
        </is>
      </c>
      <c r="K25" s="8" t="n"/>
    </row>
    <row r="26">
      <c r="A26" s="8" t="n"/>
      <c r="B26" s="8" t="inlineStr">
        <is>
          <t>Colombia</t>
        </is>
      </c>
      <c r="C26" s="9" t="inlineStr">
        <is>
          <t>Coco Colombia</t>
        </is>
      </c>
      <c r="D26" s="8" t="inlineStr">
        <is>
          <t>COP</t>
        </is>
      </c>
      <c r="E26" s="9" t="inlineStr">
        <is>
          <t>Real</t>
        </is>
      </c>
      <c r="F26" s="9" t="inlineStr">
        <is>
          <t>write_off_ratio</t>
        </is>
      </c>
      <c r="G26" s="9" t="n"/>
      <c r="H26" s="8" t="n"/>
      <c r="I26" s="11" t="n"/>
      <c r="J26" s="9" t="inlineStr">
        <is>
          <t>%</t>
        </is>
      </c>
      <c r="K26" s="8" t="n"/>
    </row>
    <row r="27">
      <c r="A27" s="8" t="n"/>
      <c r="B27" s="8" t="inlineStr">
        <is>
          <t>Colombia</t>
        </is>
      </c>
      <c r="C27" s="9" t="inlineStr">
        <is>
          <t>Coco Colombia</t>
        </is>
      </c>
      <c r="D27" s="8" t="inlineStr">
        <is>
          <t>COP</t>
        </is>
      </c>
      <c r="E27" s="9" t="inlineStr">
        <is>
          <t>Real</t>
        </is>
      </c>
      <c r="F27" s="9" t="inlineStr">
        <is>
          <t>indice_morosidad</t>
        </is>
      </c>
      <c r="G27" s="9" t="n"/>
      <c r="H27" s="8" t="n"/>
      <c r="I27" s="11" t="n"/>
      <c r="J27" s="9" t="inlineStr">
        <is>
          <t>%</t>
        </is>
      </c>
      <c r="K27" s="8" t="n"/>
    </row>
    <row r="28">
      <c r="A28" s="8" t="n"/>
      <c r="B28" s="8" t="inlineStr">
        <is>
          <t>Colombia</t>
        </is>
      </c>
      <c r="C28" s="9" t="inlineStr">
        <is>
          <t>Coco Colombia</t>
        </is>
      </c>
      <c r="D28" s="8" t="inlineStr">
        <is>
          <t>COP</t>
        </is>
      </c>
      <c r="E28" s="9" t="inlineStr">
        <is>
          <t>Real</t>
        </is>
      </c>
      <c r="F28" s="9" t="inlineStr">
        <is>
          <t>liquidez_total</t>
        </is>
      </c>
      <c r="G28" s="9" t="n"/>
      <c r="H28" s="8" t="n"/>
      <c r="I28" s="10" t="n"/>
      <c r="J28" s="9" t="inlineStr">
        <is>
          <t>COP/USD</t>
        </is>
      </c>
      <c r="K28" s="8" t="n"/>
    </row>
  </sheetData>
  <dataValidations count="5">
    <dataValidation sqref="F2:F400" showDropDown="0" showInputMessage="0" showErrorMessage="0" allowBlank="1" type="list">
      <formula1>Listas!$A$1:$A$27</formula1>
    </dataValidation>
    <dataValidation sqref="B2:B400" showDropDown="0" showInputMessage="0" showErrorMessage="0" allowBlank="1" type="list">
      <formula1>Listas!$B$1:$B$4</formula1>
    </dataValidation>
    <dataValidation sqref="E2:E400" showDropDown="0" showInputMessage="0" showErrorMessage="0" allowBlank="1" type="list">
      <formula1>Listas!$C$1:$C$2</formula1>
    </dataValidation>
    <dataValidation sqref="D2:D400" showDropDown="0" showInputMessage="0" showErrorMessage="0" allowBlank="1" type="list">
      <formula1>Listas!$D$1:$D$4</formula1>
    </dataValidation>
    <dataValidation sqref="C2:C400" showDropDown="0" showInputMessage="0" showErrorMessage="0" allowBlank="1" type="list">
      <formula1>Listas!$E$1:$E$4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0" customWidth="1" min="3" max="3"/>
    <col width="20" customWidth="1" min="4" max="4"/>
    <col width="13" customWidth="1" min="5" max="5"/>
    <col width="62" customWidth="1" min="6" max="6"/>
  </cols>
  <sheetData>
    <row r="2">
      <c r="B2" s="12" t="inlineStr">
        <is>
          <t>CHEQUEOS · míralos antes de mandar el archivo</t>
        </is>
      </c>
      <c r="C2" s="13" t="n"/>
      <c r="D2" s="13" t="n"/>
      <c r="E2" s="13" t="n"/>
      <c r="F2" s="13" t="n"/>
    </row>
    <row r="4">
      <c r="B4" s="6" t="inlineStr">
        <is>
          <t>MRR final del mes ANTERIOR (cópialo de la base)</t>
        </is>
      </c>
      <c r="C4" s="14" t="n"/>
      <c r="F4" s="15" t="inlineStr">
        <is>
          <t>Único dato que hay que traer de afuera. Sin él, el puente de MRR no se puede comprobar.</t>
        </is>
      </c>
    </row>
    <row r="6">
      <c r="B6" s="16" t="inlineStr">
        <is>
          <t>Chequeo</t>
        </is>
      </c>
      <c r="C6" s="16" t="inlineStr">
        <is>
          <t>Debe dar</t>
        </is>
      </c>
      <c r="D6" s="16" t="inlineStr">
        <is>
          <t>Da</t>
        </is>
      </c>
      <c r="E6" s="16" t="inlineStr">
        <is>
          <t>Estado</t>
        </is>
      </c>
      <c r="F6" s="16" t="inlineStr">
        <is>
          <t>Qué significa</t>
        </is>
      </c>
    </row>
    <row r="7" ht="30" customHeight="1">
      <c r="B7" s="17" t="inlineStr">
        <is>
          <t>Puente de MRR</t>
        </is>
      </c>
      <c r="C7" s="18">
        <f>C4+SUMIFS(BD_Indicadores!$I$2:$I$28,BD_Indicadores!$F$2:$F$28,"new_mrr")+SUMIFS(BD_Indicadores!$I$2:$I$28,BD_Indicadores!$F$2:$F$28,"reactivacion_mrr")+SUMIFS(BD_Indicadores!$I$2:$I$28,BD_Indicadores!$F$2:$F$28,"expansion_mrr")+SUMIFS(BD_Indicadores!$I$2:$I$28,BD_Indicadores!$F$2:$F$28,"contraction_mrr")+SUMIFS(BD_Indicadores!$I$2:$I$28,BD_Indicadores!$F$2:$F$28,"churned_mrr")</f>
        <v/>
      </c>
      <c r="D7" s="18">
        <f>SUMIFS(BD_Indicadores!$I$2:$I$28,BD_Indicadores!$F$2:$F$28,"mrr_final")</f>
        <v/>
      </c>
      <c r="E7" s="19">
        <f>IF(C4=0,"falta base",IF(ABS(C7-D7)&lt;1,"OK","REVISAR"))</f>
        <v/>
      </c>
      <c r="F7" s="20" t="inlineStr">
        <is>
          <t>MRR anterior + nuevas + reactivación + expansión + contracción + churn = MRR final. Ojo: retained_mrr NO entra, es saldo, no movimiento.</t>
        </is>
      </c>
    </row>
    <row r="8" ht="30" customHeight="1">
      <c r="B8" s="17" t="inlineStr">
        <is>
          <t>Cartera: sana + vencida = total</t>
        </is>
      </c>
      <c r="C8" s="18">
        <f>SUMIFS(BD_Indicadores!$I$2:$I$28,BD_Indicadores!$F$2:$F$28,"cartera_sana")+SUMIFS(BD_Indicadores!$I$2:$I$28,BD_Indicadores!$F$2:$F$28,"cartera_vencida")</f>
        <v/>
      </c>
      <c r="D8" s="18">
        <f>SUMIFS(BD_Indicadores!$I$2:$I$28,BD_Indicadores!$F$2:$F$28,"cartera_total")</f>
        <v/>
      </c>
      <c r="E8" s="19">
        <f>IF(D8=0,"sin dato",IF(ABS(C8-D8)&lt;1,"OK","REVISAR"))</f>
        <v/>
      </c>
      <c r="F8" s="20" t="inlineStr">
        <is>
          <t>En junio 2026 no cuadró y la morosidad salía 27,8% o 32,2% según cuál se usara. El tablero usa cartera_total.</t>
        </is>
      </c>
    </row>
    <row r="9" ht="30" customHeight="1">
      <c r="B9" s="17" t="inlineStr">
        <is>
          <t>ARR = MRR × 12</t>
        </is>
      </c>
      <c r="C9" s="18">
        <f>SUMIFS(BD_Indicadores!$I$2:$I$28,BD_Indicadores!$F$2:$F$28,"mrr_final")*12</f>
        <v/>
      </c>
      <c r="D9" s="18">
        <f>SUMIFS(BD_Indicadores!$I$2:$I$28,BD_Indicadores!$F$2:$F$28,"arr_mrr")</f>
        <v/>
      </c>
      <c r="E9" s="19">
        <f>IF(D9=0,"sin dato",IF(ABS(C9-D9)/C9&lt;0.15,"OK","REVISAR"))</f>
        <v/>
      </c>
      <c r="F9" s="20" t="inlineStr">
        <is>
          <t>El tablero anualiza el ÚLTIMO MRR; la base guarda el promedio anualizado. Una brecha chica es normal; una grande significa que uno de los dos se quedó viejo.</t>
        </is>
      </c>
    </row>
    <row r="10" ht="30" customHeight="1">
      <c r="B10" s="17" t="inlineStr">
        <is>
          <t>MRR final vs ingresos recurrentes del mes</t>
        </is>
      </c>
      <c r="C10" s="18">
        <f>SUMIFS(BD_Indicadores!$I$2:$I$28,BD_Indicadores!$F$2:$F$28,"ingresos_recurrentes")</f>
        <v/>
      </c>
      <c r="D10" s="18">
        <f>SUMIFS(BD_Indicadores!$I$2:$I$28,BD_Indicadores!$F$2:$F$28,"mrr_final")</f>
        <v/>
      </c>
      <c r="E10" s="19">
        <f>IF(OR(C10=0,D10=0),"sin dato",IF(ABS(C10-D10)/D10&lt;0.25,"OK","REVISAR"))</f>
        <v/>
      </c>
      <c r="F10" s="20" t="inlineStr">
        <is>
          <t>No tienen que ser iguales, pero una brecha grande hay que poder explicarla: en julio 2026 el MRR fue mayor que toda la facturación del mes.</t>
        </is>
      </c>
    </row>
    <row r="11" ht="30" customHeight="1">
      <c r="B11" s="17" t="inlineStr">
        <is>
          <t>Contracción y churn en negativo</t>
        </is>
      </c>
      <c r="C11" s="18" t="inlineStr">
        <is>
          <t>menor o igual a 0</t>
        </is>
      </c>
      <c r="D11" s="18">
        <f>SUMIFS(BD_Indicadores!$I$2:$I$28,BD_Indicadores!$F$2:$F$28,"contraction_mrr")+SUMIFS(BD_Indicadores!$I$2:$I$28,BD_Indicadores!$F$2:$F$28,"churned_mrr")</f>
        <v/>
      </c>
      <c r="E11" s="19">
        <f>IF(D11&lt;=0,"OK","REVISAR")</f>
        <v/>
      </c>
      <c r="F11" s="20" t="inlineStr">
        <is>
          <t>Si van en positivo, el puente suma donde debía restar.</t>
        </is>
      </c>
    </row>
    <row r="12" ht="30" customHeight="1">
      <c r="B12" s="17" t="inlineStr">
        <is>
          <t>Un solo periodo en todo el archivo</t>
        </is>
      </c>
      <c r="C12" s="18" t="inlineStr">
        <is>
          <t>0 filas de otro mes</t>
        </is>
      </c>
      <c r="D12" s="18">
        <f>SUMPRODUCT((BD_Indicadores!$I$2:$I$28&lt;&gt;"")*(BD_Indicadores!$A$2:$A$28&lt;&gt;BD_Indicadores!$A$2))</f>
        <v/>
      </c>
      <c r="E12" s="19">
        <f>IF(D12=0,"OK","REVISAR")</f>
        <v/>
      </c>
      <c r="F12" s="20" t="inlineStr">
        <is>
          <t>Mezclar dos meses en una carga escribe cifras en el periodo equivocado.</t>
        </is>
      </c>
    </row>
    <row r="14">
      <c r="B14" s="21" t="inlineStr">
        <is>
          <t>El cargador vuelve a correr estos mismos chequeos y no escribe si alguno sale en REVISAR.</t>
        </is>
      </c>
    </row>
  </sheetData>
  <conditionalFormatting sqref="E7:E12">
    <cfRule type="cellIs" priority="1" operator="equal" dxfId="0">
      <formula>"REVISAR"</formula>
    </cfRule>
    <cfRule type="cellIs" priority="2" operator="equal" dxfId="1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mrr_final</t>
        </is>
      </c>
      <c r="B1" t="inlineStr">
        <is>
          <t>Colombia</t>
        </is>
      </c>
      <c r="C1" t="inlineStr">
        <is>
          <t>Real</t>
        </is>
      </c>
      <c r="D1" t="inlineStr">
        <is>
          <t>COP</t>
        </is>
      </c>
      <c r="E1" t="inlineStr">
        <is>
          <t>Coco Colombia</t>
        </is>
      </c>
    </row>
    <row r="2">
      <c r="A2" t="inlineStr">
        <is>
          <t>retained_mrr</t>
        </is>
      </c>
      <c r="B2" t="inlineStr">
        <is>
          <t>EE.UU.</t>
        </is>
      </c>
      <c r="C2" t="inlineStr">
        <is>
          <t>Presupuesto</t>
        </is>
      </c>
      <c r="D2" t="inlineStr">
        <is>
          <t>USD</t>
        </is>
      </c>
      <c r="E2" t="inlineStr">
        <is>
          <t>Coco LLC</t>
        </is>
      </c>
    </row>
    <row r="3">
      <c r="A3" t="inlineStr">
        <is>
          <t>new_mrr</t>
        </is>
      </c>
      <c r="B3" t="inlineStr">
        <is>
          <t>Perú</t>
        </is>
      </c>
      <c r="D3" t="inlineStr">
        <is>
          <t>PEN</t>
        </is>
      </c>
      <c r="E3" t="inlineStr">
        <is>
          <t>Coco Perú</t>
        </is>
      </c>
    </row>
    <row r="4">
      <c r="A4" t="inlineStr">
        <is>
          <t>reactivacion_mrr</t>
        </is>
      </c>
      <c r="B4" t="inlineStr">
        <is>
          <t>Costa Rica</t>
        </is>
      </c>
      <c r="D4" t="inlineStr">
        <is>
          <t>CRC</t>
        </is>
      </c>
      <c r="E4" t="inlineStr">
        <is>
          <t>Coco Costa Rica</t>
        </is>
      </c>
    </row>
    <row r="5">
      <c r="A5" t="inlineStr">
        <is>
          <t>expansion_mrr</t>
        </is>
      </c>
    </row>
    <row r="6">
      <c r="A6" t="inlineStr">
        <is>
          <t>contraction_mrr</t>
        </is>
      </c>
    </row>
    <row r="7">
      <c r="A7" t="inlineStr">
        <is>
          <t>churned_mrr</t>
        </is>
      </c>
    </row>
    <row r="8">
      <c r="A8" t="inlineStr">
        <is>
          <t>churn_mrr_mensual</t>
        </is>
      </c>
    </row>
    <row r="9">
      <c r="A9" t="inlineStr">
        <is>
          <t>arr_mrr</t>
        </is>
      </c>
    </row>
    <row r="10">
      <c r="A10" t="inlineStr">
        <is>
          <t>arpa</t>
        </is>
      </c>
    </row>
    <row r="11">
      <c r="A11" t="inlineStr">
        <is>
          <t>ingresos_recurrentes</t>
        </is>
      </c>
    </row>
    <row r="12">
      <c r="A12" t="inlineStr">
        <is>
          <t>ingresos_no_recurrentes</t>
        </is>
      </c>
    </row>
    <row r="13">
      <c r="A13" t="inlineStr">
        <is>
          <t>distribucion_ingresos</t>
        </is>
      </c>
    </row>
    <row r="14">
      <c r="A14" t="inlineStr">
        <is>
          <t>cartera_total</t>
        </is>
      </c>
    </row>
    <row r="15">
      <c r="A15" t="inlineStr">
        <is>
          <t>cartera_vencida</t>
        </is>
      </c>
    </row>
    <row r="16">
      <c r="A16" t="inlineStr">
        <is>
          <t>cartera_sana</t>
        </is>
      </c>
    </row>
    <row r="17">
      <c r="A17" t="inlineStr">
        <is>
          <t>cartera_vencida_cliente</t>
        </is>
      </c>
    </row>
    <row r="18">
      <c r="A18" t="inlineStr">
        <is>
          <t>cartera_cobro_legal</t>
        </is>
      </c>
    </row>
    <row r="19">
      <c r="A19" t="inlineStr">
        <is>
          <t>dso</t>
        </is>
      </c>
    </row>
    <row r="20">
      <c r="A20" t="inlineStr">
        <is>
          <t>dpo</t>
        </is>
      </c>
    </row>
    <row r="21">
      <c r="A21" t="inlineStr">
        <is>
          <t>ccc</t>
        </is>
      </c>
    </row>
    <row r="22">
      <c r="A22" t="inlineStr">
        <is>
          <t>cartera_mayor_60_pct</t>
        </is>
      </c>
    </row>
    <row r="23">
      <c r="A23" t="inlineStr">
        <is>
          <t>cartera_arr_pct</t>
        </is>
      </c>
    </row>
    <row r="24">
      <c r="A24" t="inlineStr">
        <is>
          <t>concentracion_cartera</t>
        </is>
      </c>
    </row>
    <row r="25">
      <c r="A25" t="inlineStr">
        <is>
          <t>write_off_ratio</t>
        </is>
      </c>
    </row>
    <row r="26">
      <c r="A26" t="inlineStr">
        <is>
          <t>indice_morosidad</t>
        </is>
      </c>
    </row>
    <row r="27">
      <c r="A27" t="inlineStr">
        <is>
          <t>liquidez_total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2026-09-03T22:18:22Z</dcterms:created>
  <dcterms:modified xmlns:dcterms="http://purl.org/dc/terms/" xmlns:xsi="http://www.w3.org/2001/XMLSchema-instance" xsi:type="dcterms:W3CDTF">2026-09-03T22:18:22Z</dcterms:modified>
</cp:coreProperties>
</file>