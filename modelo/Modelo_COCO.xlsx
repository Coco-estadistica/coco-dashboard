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comments8.xml" ContentType="application/vnd.openxmlformats-officedocument.spreadsheetml.comments+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1144" documentId="8_{7ABF9600-2D12-40BE-B3EF-7416494CD269}" xr6:coauthVersionLast="47" xr6:coauthVersionMax="47" xr10:uidLastSave="{2CBBC5A9-0A02-49D5-B922-CFF98979005C}"/>
  <bookViews>
    <workbookView xWindow="-108" yWindow="-108" windowWidth="23256" windowHeight="13176" firstSheet="4" activeTab="9" xr2:uid="{0D1D2E98-4417-484B-A8DD-603FBBA476EC}"/>
  </bookViews>
  <sheets>
    <sheet name="Auditoría" sheetId="64" r:id="rId1"/>
    <sheet name="Pack Junta Jul-26" sheetId="65" r:id="rId2"/>
    <sheet name="Burn &amp; RunW" sheetId="60" r:id="rId3"/>
    <sheet name="Ppto Ene. 2026" sheetId="52" r:id="rId4"/>
    <sheet name="Revenue" sheetId="8" r:id="rId5"/>
    <sheet name="Inputs" sheetId="7" r:id="rId6"/>
    <sheet name="Modelo Base" sheetId="25" r:id="rId7"/>
    <sheet name="Consol. Pptos" sheetId="43" r:id="rId8"/>
    <sheet name="Informe Accionista" sheetId="47" r:id="rId9"/>
    <sheet name="Consolidado " sheetId="59" r:id="rId10"/>
    <sheet name="Dashboard Gráficos" sheetId="57" r:id="rId11"/>
    <sheet name="Dashboard Consolidado" sheetId="63" r:id="rId12"/>
    <sheet name="Ppto Combinado 2026" sheetId="62" r:id="rId13"/>
  </sheets>
  <definedNames>
    <definedName name="CostoVentasBase">Inputs!$C$40</definedName>
    <definedName name="DeltaModQ2">Inputs!$D$75</definedName>
    <definedName name="DeltaModQ3">Inputs!$D$76</definedName>
    <definedName name="DeltaModQ4">Inputs!$D$77</definedName>
    <definedName name="DeltaVtasQ2">Inputs!$E$75</definedName>
    <definedName name="DeltaVtasQ3">Inputs!$E$76</definedName>
    <definedName name="DeltaVtasQ4">Inputs!$E$77</definedName>
    <definedName name="GtosAdminBase">Inputs!$C$44</definedName>
    <definedName name="GtosNoOpBase">Inputs!$C$54</definedName>
    <definedName name="GtosOpInflado">Inputs!$D$55</definedName>
    <definedName name="GtosVentasBase">Inputs!$C$48</definedName>
    <definedName name="InflacionAnual">Inputs!$C$11</definedName>
    <definedName name="IngNoOpBase">Inputs!$C$53</definedName>
    <definedName name="_xlnm.Print_Area" localSheetId="4">Revenue!$A$1:$Z$85</definedName>
    <definedName name="TasaDeudaLp">Inputs!$C$28</definedName>
    <definedName name="TasaImpuesto">Inputs!$C$25</definedName>
    <definedName name="TrmLargoPlazo">Inputs!$C$6</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65" l="1"/>
  <c r="B28" i="65"/>
  <c r="C28" i="65" s="1"/>
  <c r="B27" i="65"/>
  <c r="C27" i="65" s="1"/>
  <c r="B25" i="65"/>
  <c r="C25" i="65" s="1"/>
  <c r="B24" i="65"/>
  <c r="C24" i="65" s="1"/>
  <c r="C26" i="65" l="1"/>
  <c r="C30" i="65" s="1"/>
  <c r="B26" i="65"/>
  <c r="B30" i="65" s="1"/>
  <c r="E14" i="63"/>
  <c r="D14" i="63"/>
  <c r="C14" i="63"/>
  <c r="C31" i="65" l="1"/>
  <c r="B36" i="65"/>
  <c r="T33" i="25"/>
  <c r="T34" i="25" s="1"/>
  <c r="T28" i="25"/>
  <c r="T35" i="25" l="1"/>
  <c r="T29" i="25" s="1"/>
  <c r="C92" i="60"/>
  <c r="S4" i="59"/>
  <c r="S25" i="59" s="1"/>
  <c r="V25" i="59" s="1"/>
  <c r="C45" i="60"/>
  <c r="V22" i="59"/>
  <c r="V20" i="59"/>
  <c r="T17" i="59"/>
  <c r="S23" i="59"/>
  <c r="R17" i="59"/>
  <c r="I46" i="25"/>
  <c r="H46" i="25"/>
  <c r="G46" i="25"/>
  <c r="F46" i="25"/>
  <c r="I45" i="25"/>
  <c r="H45" i="25"/>
  <c r="G45" i="25"/>
  <c r="F45" i="25"/>
  <c r="I44" i="25"/>
  <c r="H44" i="25"/>
  <c r="G44" i="25"/>
  <c r="F44" i="25"/>
  <c r="I43" i="25"/>
  <c r="H43" i="25"/>
  <c r="G43" i="25"/>
  <c r="F43" i="25"/>
  <c r="I42" i="25"/>
  <c r="H42" i="25"/>
  <c r="G42" i="25"/>
  <c r="F42" i="25"/>
  <c r="I41" i="25"/>
  <c r="H41" i="25"/>
  <c r="G41" i="25"/>
  <c r="F41" i="25"/>
  <c r="I40" i="25"/>
  <c r="H40" i="25"/>
  <c r="G40" i="25"/>
  <c r="F40" i="25"/>
  <c r="I39" i="25"/>
  <c r="H39" i="25"/>
  <c r="G39" i="25"/>
  <c r="F39" i="25"/>
  <c r="I38" i="25"/>
  <c r="H38" i="25"/>
  <c r="G38" i="25"/>
  <c r="F38" i="25"/>
  <c r="I37" i="25"/>
  <c r="H37" i="25"/>
  <c r="G37" i="25"/>
  <c r="F37" i="25"/>
  <c r="I36" i="25"/>
  <c r="H36" i="25"/>
  <c r="G36" i="25"/>
  <c r="F36" i="25"/>
  <c r="I35" i="25"/>
  <c r="H35" i="25"/>
  <c r="G35" i="25"/>
  <c r="F35" i="25"/>
  <c r="I34" i="25"/>
  <c r="H34" i="25"/>
  <c r="G34" i="25"/>
  <c r="F34" i="25"/>
  <c r="G34" i="60"/>
  <c r="G35" i="60"/>
  <c r="G36" i="60"/>
  <c r="G37" i="60"/>
  <c r="G38" i="60"/>
  <c r="C9" i="47"/>
  <c r="C10" i="47" s="1"/>
  <c r="C11" i="47" s="1"/>
  <c r="C8" i="47"/>
  <c r="C10" i="60"/>
  <c r="B111" i="60"/>
  <c r="B110" i="60"/>
  <c r="B109" i="60"/>
  <c r="B108" i="60"/>
  <c r="B107" i="60"/>
  <c r="C91" i="60"/>
  <c r="C40" i="60"/>
  <c r="G40" i="60" s="1"/>
  <c r="L60" i="25"/>
  <c r="C68" i="60"/>
  <c r="C66" i="60"/>
  <c r="C58" i="60"/>
  <c r="C56" i="60"/>
  <c r="C55" i="60"/>
  <c r="C54" i="60"/>
  <c r="C53" i="60"/>
  <c r="C51" i="60"/>
  <c r="C50" i="60"/>
  <c r="C47" i="60"/>
  <c r="D28" i="60"/>
  <c r="D165" i="7"/>
  <c r="D164" i="7"/>
  <c r="D163" i="7"/>
  <c r="D162" i="7"/>
  <c r="D161" i="7"/>
  <c r="D160" i="7"/>
  <c r="I59" i="62"/>
  <c r="L46" i="25"/>
  <c r="L100" i="25" s="1"/>
  <c r="L45" i="25"/>
  <c r="L99" i="25" s="1"/>
  <c r="L44" i="25"/>
  <c r="L88" i="25" s="1"/>
  <c r="M131" i="25" s="1"/>
  <c r="L43" i="25"/>
  <c r="L91" i="25" s="1"/>
  <c r="M91" i="25" s="1"/>
  <c r="N91" i="25" s="1"/>
  <c r="O91" i="25" s="1"/>
  <c r="P91" i="25" s="1"/>
  <c r="Q91" i="25" s="1"/>
  <c r="L42" i="25"/>
  <c r="L90" i="25" s="1"/>
  <c r="L41" i="25"/>
  <c r="L94" i="25" s="1"/>
  <c r="M141" i="25" s="1"/>
  <c r="L39" i="25"/>
  <c r="L84" i="25" s="1"/>
  <c r="L38" i="25"/>
  <c r="L83" i="25" s="1"/>
  <c r="M123" i="25" s="1"/>
  <c r="L36" i="25"/>
  <c r="L80" i="25" s="1"/>
  <c r="L35" i="25"/>
  <c r="L79" i="25" s="1"/>
  <c r="L34" i="25"/>
  <c r="L78" i="25" s="1"/>
  <c r="L69" i="25"/>
  <c r="H16" i="65" s="1"/>
  <c r="L154" i="7"/>
  <c r="K154" i="7"/>
  <c r="L122" i="7"/>
  <c r="K122" i="7"/>
  <c r="L121" i="7"/>
  <c r="K121" i="7"/>
  <c r="L116" i="7"/>
  <c r="K116" i="7"/>
  <c r="L113" i="7"/>
  <c r="K113" i="7"/>
  <c r="L112" i="7"/>
  <c r="K112" i="7"/>
  <c r="L110" i="7"/>
  <c r="K110" i="7"/>
  <c r="L108" i="7"/>
  <c r="K108" i="7"/>
  <c r="L102" i="7"/>
  <c r="K102" i="7"/>
  <c r="L101" i="7"/>
  <c r="K101" i="7"/>
  <c r="L96" i="7"/>
  <c r="K96" i="7"/>
  <c r="L95" i="7"/>
  <c r="K95" i="7"/>
  <c r="L94" i="7"/>
  <c r="K94" i="7"/>
  <c r="L93" i="7"/>
  <c r="K93" i="7"/>
  <c r="N150" i="7"/>
  <c r="D167" i="7" s="1"/>
  <c r="N146" i="7"/>
  <c r="N132" i="7"/>
  <c r="N137" i="7" s="1"/>
  <c r="N144" i="7" s="1"/>
  <c r="J123" i="7"/>
  <c r="J117" i="7"/>
  <c r="J109" i="7"/>
  <c r="J114" i="7" s="1"/>
  <c r="J103" i="7"/>
  <c r="J98" i="7"/>
  <c r="J97" i="7"/>
  <c r="L37" i="25" s="1"/>
  <c r="L81" i="25" s="1"/>
  <c r="D166" i="7" l="1"/>
  <c r="C191" i="25"/>
  <c r="M80" i="25"/>
  <c r="N80" i="25" s="1"/>
  <c r="O80" i="25" s="1"/>
  <c r="P80" i="25" s="1"/>
  <c r="Q80" i="25" s="1"/>
  <c r="M81" i="25"/>
  <c r="S26" i="59"/>
  <c r="V26" i="59" s="1"/>
  <c r="S12" i="59"/>
  <c r="S15" i="59"/>
  <c r="S6" i="59"/>
  <c r="S11" i="59"/>
  <c r="V23" i="59"/>
  <c r="C18" i="60"/>
  <c r="E28" i="60" s="1"/>
  <c r="I28" i="60" s="1"/>
  <c r="C96" i="60" s="1"/>
  <c r="C81" i="60"/>
  <c r="C49" i="60"/>
  <c r="L40" i="25"/>
  <c r="L89" i="25" s="1"/>
  <c r="L109" i="7"/>
  <c r="K109" i="7"/>
  <c r="J118" i="7"/>
  <c r="N153" i="7"/>
  <c r="N155" i="7" s="1"/>
  <c r="J104" i="7"/>
  <c r="C170" i="7" s="1"/>
  <c r="M111" i="62"/>
  <c r="K111" i="62"/>
  <c r="I111" i="62"/>
  <c r="G111" i="62"/>
  <c r="E111" i="62"/>
  <c r="C111" i="62"/>
  <c r="M110" i="62"/>
  <c r="K110" i="62"/>
  <c r="I110" i="62"/>
  <c r="G110" i="62"/>
  <c r="E110" i="62"/>
  <c r="C110" i="62"/>
  <c r="M109" i="62"/>
  <c r="K109" i="62"/>
  <c r="I109" i="62"/>
  <c r="G109" i="62"/>
  <c r="E109" i="62"/>
  <c r="M108" i="62"/>
  <c r="K108" i="62"/>
  <c r="I108" i="62"/>
  <c r="G108" i="62"/>
  <c r="D108" i="62"/>
  <c r="E108" i="62" s="1"/>
  <c r="H59" i="62"/>
  <c r="I60" i="62" s="1"/>
  <c r="Q58" i="62" s="1"/>
  <c r="G59" i="62"/>
  <c r="F59" i="62"/>
  <c r="E59" i="62"/>
  <c r="D59" i="62"/>
  <c r="C59" i="62"/>
  <c r="C60" i="62" s="1"/>
  <c r="K58" i="62" s="1"/>
  <c r="J50" i="60"/>
  <c r="H47" i="60"/>
  <c r="G47" i="60"/>
  <c r="H45" i="60"/>
  <c r="G45" i="60"/>
  <c r="C39" i="60"/>
  <c r="D27" i="60"/>
  <c r="I26" i="60"/>
  <c r="D26" i="60"/>
  <c r="C94" i="60"/>
  <c r="D23" i="62"/>
  <c r="E23" i="62"/>
  <c r="E24" i="62" s="1"/>
  <c r="F23" i="62"/>
  <c r="F24" i="62" s="1"/>
  <c r="G23" i="62"/>
  <c r="G24" i="62" s="1"/>
  <c r="H23" i="62"/>
  <c r="H24" i="62" s="1"/>
  <c r="I23" i="62"/>
  <c r="I24" i="62" s="1"/>
  <c r="J23" i="62"/>
  <c r="J24" i="62" s="1"/>
  <c r="K23" i="62"/>
  <c r="K24" i="62" s="1"/>
  <c r="L23" i="62"/>
  <c r="L24" i="62" s="1"/>
  <c r="M23" i="62"/>
  <c r="M24" i="62" s="1"/>
  <c r="N23" i="62"/>
  <c r="N24" i="62" s="1"/>
  <c r="O23" i="62"/>
  <c r="O24" i="62" s="1"/>
  <c r="D12" i="62"/>
  <c r="D13" i="62" s="1"/>
  <c r="E12" i="62"/>
  <c r="E13" i="62" s="1"/>
  <c r="F12" i="62"/>
  <c r="F13" i="62" s="1"/>
  <c r="G12" i="62"/>
  <c r="G13" i="62" s="1"/>
  <c r="C68" i="59"/>
  <c r="C67" i="59"/>
  <c r="C66" i="59"/>
  <c r="C65" i="59"/>
  <c r="F32" i="59"/>
  <c r="D32" i="59"/>
  <c r="G48" i="59"/>
  <c r="E37" i="59"/>
  <c r="C37" i="59"/>
  <c r="O17" i="59"/>
  <c r="N22" i="59"/>
  <c r="N23" i="59" s="1"/>
  <c r="I22" i="59"/>
  <c r="D22" i="59"/>
  <c r="D20" i="59"/>
  <c r="Q20" i="59" s="1"/>
  <c r="M17" i="59"/>
  <c r="J17" i="59"/>
  <c r="H17" i="59"/>
  <c r="E17" i="59"/>
  <c r="C17" i="59"/>
  <c r="P15" i="59"/>
  <c r="N15" i="59"/>
  <c r="K15" i="59"/>
  <c r="I15" i="59"/>
  <c r="F15" i="59"/>
  <c r="D15" i="59"/>
  <c r="P13" i="59"/>
  <c r="Q13" i="59" s="1"/>
  <c r="E98" i="59" s="1"/>
  <c r="K13" i="59"/>
  <c r="L13" i="59" s="1"/>
  <c r="D98" i="59" s="1"/>
  <c r="F13" i="59"/>
  <c r="G13" i="59" s="1"/>
  <c r="C98" i="59" s="1"/>
  <c r="P12" i="59"/>
  <c r="Q12" i="59" s="1"/>
  <c r="E97" i="59" s="1"/>
  <c r="K12" i="59"/>
  <c r="L12" i="59" s="1"/>
  <c r="D97" i="59" s="1"/>
  <c r="F12" i="59"/>
  <c r="G12" i="59" s="1"/>
  <c r="C97" i="59" s="1"/>
  <c r="P11" i="59"/>
  <c r="K11" i="59"/>
  <c r="F11" i="59"/>
  <c r="P9" i="59"/>
  <c r="Q9" i="59" s="1"/>
  <c r="E93" i="59" s="1"/>
  <c r="K9" i="59"/>
  <c r="I9" i="59"/>
  <c r="F9" i="59"/>
  <c r="G9" i="59" s="1"/>
  <c r="C93" i="59" s="1"/>
  <c r="P7" i="59"/>
  <c r="K7" i="59"/>
  <c r="L7" i="59" s="1"/>
  <c r="F7" i="59"/>
  <c r="G7" i="59" s="1"/>
  <c r="P6" i="59"/>
  <c r="N6" i="59"/>
  <c r="K6" i="59"/>
  <c r="I6" i="59"/>
  <c r="F6" i="59"/>
  <c r="D6" i="59"/>
  <c r="E39" i="59" l="1"/>
  <c r="E43" i="59" s="1"/>
  <c r="E47" i="59" s="1"/>
  <c r="E49" i="59" s="1"/>
  <c r="E12" i="63"/>
  <c r="C39" i="59"/>
  <c r="C43" i="59" s="1"/>
  <c r="C47" i="59" s="1"/>
  <c r="C49" i="59" s="1"/>
  <c r="C13" i="63" s="1"/>
  <c r="C12" i="63"/>
  <c r="F44" i="59"/>
  <c r="G44" i="59" s="1"/>
  <c r="C84" i="59" s="1"/>
  <c r="F45" i="59"/>
  <c r="F41" i="59"/>
  <c r="G41" i="59" s="1"/>
  <c r="H97" i="59" s="1"/>
  <c r="D107" i="59" s="1"/>
  <c r="F42" i="59"/>
  <c r="F38" i="59"/>
  <c r="G38" i="59" s="1"/>
  <c r="F40" i="59"/>
  <c r="F35" i="59"/>
  <c r="F36" i="59"/>
  <c r="G36" i="59" s="1"/>
  <c r="N168" i="25"/>
  <c r="M168" i="25"/>
  <c r="M167" i="25"/>
  <c r="N81" i="25"/>
  <c r="O168" i="25"/>
  <c r="P168" i="25"/>
  <c r="Q168" i="25"/>
  <c r="S17" i="59"/>
  <c r="C8" i="60"/>
  <c r="G39" i="60"/>
  <c r="G41" i="60" s="1"/>
  <c r="C41" i="60"/>
  <c r="D30" i="60"/>
  <c r="J124" i="7"/>
  <c r="C171" i="7" s="1"/>
  <c r="H60" i="62"/>
  <c r="P58" i="62" s="1"/>
  <c r="D60" i="62"/>
  <c r="L58" i="62" s="1"/>
  <c r="G60" i="62"/>
  <c r="O58" i="62" s="1"/>
  <c r="F60" i="62"/>
  <c r="N58" i="62" s="1"/>
  <c r="E60" i="62"/>
  <c r="M58" i="62" s="1"/>
  <c r="I47" i="60"/>
  <c r="J47" i="60" s="1"/>
  <c r="H46" i="60"/>
  <c r="G46" i="60"/>
  <c r="I45" i="60"/>
  <c r="E26" i="60"/>
  <c r="E25" i="60"/>
  <c r="F53" i="62"/>
  <c r="E53" i="62"/>
  <c r="D53" i="62"/>
  <c r="C53" i="62"/>
  <c r="G30" i="62"/>
  <c r="F30" i="62"/>
  <c r="E30" i="62"/>
  <c r="D30" i="62"/>
  <c r="F31" i="62"/>
  <c r="E31" i="62"/>
  <c r="F35" i="62"/>
  <c r="G35" i="62"/>
  <c r="E35" i="62"/>
  <c r="G31" i="62"/>
  <c r="D35" i="62"/>
  <c r="P23" i="62"/>
  <c r="D24" i="62"/>
  <c r="P24" i="62" s="1"/>
  <c r="C69" i="59"/>
  <c r="F46" i="59"/>
  <c r="G46" i="59" s="1"/>
  <c r="D37" i="59"/>
  <c r="Q11" i="59"/>
  <c r="E96" i="59" s="1"/>
  <c r="G6" i="59"/>
  <c r="Q15" i="59"/>
  <c r="L9" i="59"/>
  <c r="D93" i="59" s="1"/>
  <c r="G15" i="59"/>
  <c r="Q6" i="59"/>
  <c r="L15" i="59"/>
  <c r="I17" i="59"/>
  <c r="C16" i="60" s="1"/>
  <c r="G11" i="59"/>
  <c r="C96" i="59" s="1"/>
  <c r="K17" i="59"/>
  <c r="P17" i="59"/>
  <c r="L11" i="59"/>
  <c r="D96" i="59" s="1"/>
  <c r="F17" i="59"/>
  <c r="N17" i="59"/>
  <c r="D17" i="59"/>
  <c r="C15" i="60" s="1"/>
  <c r="Q7" i="59"/>
  <c r="L6" i="59"/>
  <c r="Q22" i="59"/>
  <c r="D23" i="59"/>
  <c r="I23" i="59"/>
  <c r="C28" i="63" l="1"/>
  <c r="H93" i="59"/>
  <c r="D105" i="59" s="1"/>
  <c r="E19" i="63"/>
  <c r="E92" i="59"/>
  <c r="D19" i="63"/>
  <c r="D92" i="59"/>
  <c r="C19" i="63"/>
  <c r="C92" i="59"/>
  <c r="F14" i="63"/>
  <c r="C82" i="59"/>
  <c r="E82" i="59" s="1"/>
  <c r="C26" i="63"/>
  <c r="I6" i="63"/>
  <c r="E13" i="63"/>
  <c r="D39" i="59"/>
  <c r="D43" i="59" s="1"/>
  <c r="D47" i="59" s="1"/>
  <c r="D49" i="59" s="1"/>
  <c r="D13" i="63" s="1"/>
  <c r="D12" i="63"/>
  <c r="N167" i="25"/>
  <c r="O81" i="25"/>
  <c r="P81" i="25" s="1"/>
  <c r="D84" i="59"/>
  <c r="E84" i="59"/>
  <c r="J125" i="7"/>
  <c r="I46" i="60"/>
  <c r="J46" i="60" s="1"/>
  <c r="J45" i="60"/>
  <c r="D31" i="62"/>
  <c r="G40" i="59"/>
  <c r="H96" i="59" s="1"/>
  <c r="D106" i="59" s="1"/>
  <c r="G42" i="59"/>
  <c r="H98" i="59" s="1"/>
  <c r="D108" i="59" s="1"/>
  <c r="G45" i="59"/>
  <c r="C85" i="59" s="1"/>
  <c r="F37" i="59"/>
  <c r="G35" i="59"/>
  <c r="G37" i="59" s="1"/>
  <c r="H92" i="59" s="1"/>
  <c r="D104" i="59" s="1"/>
  <c r="C17" i="60"/>
  <c r="Q17" i="59"/>
  <c r="E20" i="63" s="1"/>
  <c r="G17" i="59"/>
  <c r="C20" i="63" s="1"/>
  <c r="L17" i="59"/>
  <c r="D20" i="63" s="1"/>
  <c r="Q23" i="59"/>
  <c r="AJ87" i="57"/>
  <c r="AI87" i="57"/>
  <c r="AH87" i="57"/>
  <c r="AG87" i="57"/>
  <c r="AF87" i="57"/>
  <c r="AE87" i="57"/>
  <c r="AD87" i="57"/>
  <c r="AC87" i="57"/>
  <c r="AB87" i="57"/>
  <c r="AA87" i="57"/>
  <c r="Z87" i="57"/>
  <c r="Y87" i="57"/>
  <c r="AJ82" i="57"/>
  <c r="AI82" i="57"/>
  <c r="AH82" i="57"/>
  <c r="AG82" i="57"/>
  <c r="AF82" i="57"/>
  <c r="AE82" i="57"/>
  <c r="AD82" i="57"/>
  <c r="AC82" i="57"/>
  <c r="AB82" i="57"/>
  <c r="AA82" i="57"/>
  <c r="Z82" i="57"/>
  <c r="AJ78" i="57"/>
  <c r="AI78" i="57"/>
  <c r="AH78" i="57"/>
  <c r="AG78" i="57"/>
  <c r="AF78" i="57"/>
  <c r="AE78" i="57"/>
  <c r="AD78" i="57"/>
  <c r="AC78" i="57"/>
  <c r="AB78" i="57"/>
  <c r="AA78" i="57"/>
  <c r="Z78" i="57"/>
  <c r="AJ74" i="57"/>
  <c r="AI74" i="57"/>
  <c r="AH74" i="57"/>
  <c r="AG74" i="57"/>
  <c r="AF74" i="57"/>
  <c r="AE74" i="57"/>
  <c r="AD74" i="57"/>
  <c r="AC74" i="57"/>
  <c r="AB74" i="57"/>
  <c r="AA74" i="57"/>
  <c r="Z74" i="57"/>
  <c r="AJ70" i="57"/>
  <c r="AI70" i="57"/>
  <c r="AH70" i="57"/>
  <c r="AG70" i="57"/>
  <c r="AF70" i="57"/>
  <c r="AE70" i="57"/>
  <c r="AD70" i="57"/>
  <c r="AC70" i="57"/>
  <c r="AB70" i="57"/>
  <c r="AA70" i="57"/>
  <c r="Z70" i="57"/>
  <c r="AJ66" i="57"/>
  <c r="AI66" i="57"/>
  <c r="AH66" i="57"/>
  <c r="AG66" i="57"/>
  <c r="AF66" i="57"/>
  <c r="AE66" i="57"/>
  <c r="AD66" i="57"/>
  <c r="AC66" i="57"/>
  <c r="AB66" i="57"/>
  <c r="AA66" i="57"/>
  <c r="Z66" i="57"/>
  <c r="AJ61" i="57"/>
  <c r="AI61" i="57"/>
  <c r="AH61" i="57"/>
  <c r="AG61" i="57"/>
  <c r="AF61" i="57"/>
  <c r="AE61" i="57"/>
  <c r="AD61" i="57"/>
  <c r="AC61" i="57"/>
  <c r="AB61" i="57"/>
  <c r="AA61" i="57"/>
  <c r="Z61" i="57"/>
  <c r="AJ56" i="57"/>
  <c r="AI56" i="57"/>
  <c r="AH56" i="57"/>
  <c r="AG56" i="57"/>
  <c r="AF56" i="57"/>
  <c r="AE56" i="57"/>
  <c r="AD56" i="57"/>
  <c r="AC56" i="57"/>
  <c r="AB56" i="57"/>
  <c r="AA56" i="57"/>
  <c r="Z56" i="57"/>
  <c r="AJ51" i="57"/>
  <c r="AI51" i="57"/>
  <c r="AH51" i="57"/>
  <c r="AG51" i="57"/>
  <c r="AF51" i="57"/>
  <c r="AE51" i="57"/>
  <c r="AD51" i="57"/>
  <c r="AC51" i="57"/>
  <c r="AB51" i="57"/>
  <c r="AA51" i="57"/>
  <c r="Z51" i="57"/>
  <c r="Y82" i="57"/>
  <c r="Y78" i="57"/>
  <c r="Y74" i="57"/>
  <c r="Y70" i="57"/>
  <c r="Y66" i="57"/>
  <c r="Y61" i="57"/>
  <c r="Y56" i="57"/>
  <c r="Y51" i="57"/>
  <c r="AJ44" i="57"/>
  <c r="AI44" i="57"/>
  <c r="AH44" i="57"/>
  <c r="AG44" i="57"/>
  <c r="AF44" i="57"/>
  <c r="AE44" i="57"/>
  <c r="AD44" i="57"/>
  <c r="AC44" i="57"/>
  <c r="AB44" i="57"/>
  <c r="AA44" i="57"/>
  <c r="Z44" i="57"/>
  <c r="AJ38" i="57"/>
  <c r="AI38" i="57"/>
  <c r="AH38" i="57"/>
  <c r="AG38" i="57"/>
  <c r="AF38" i="57"/>
  <c r="AE38" i="57"/>
  <c r="AD38" i="57"/>
  <c r="AC38" i="57"/>
  <c r="AB38" i="57"/>
  <c r="AA38" i="57"/>
  <c r="Z38" i="57"/>
  <c r="AJ32" i="57"/>
  <c r="AI32" i="57"/>
  <c r="AH32" i="57"/>
  <c r="AG32" i="57"/>
  <c r="AF32" i="57"/>
  <c r="AE32" i="57"/>
  <c r="AD32" i="57"/>
  <c r="AC32" i="57"/>
  <c r="AB32" i="57"/>
  <c r="AA32" i="57"/>
  <c r="Z32" i="57"/>
  <c r="AJ26" i="57"/>
  <c r="AI26" i="57"/>
  <c r="AH26" i="57"/>
  <c r="AG26" i="57"/>
  <c r="AF26" i="57"/>
  <c r="AE26" i="57"/>
  <c r="AD26" i="57"/>
  <c r="AC26" i="57"/>
  <c r="AB26" i="57"/>
  <c r="AA26" i="57"/>
  <c r="Z26" i="57"/>
  <c r="Y44" i="57"/>
  <c r="Y38" i="57"/>
  <c r="Y32" i="57"/>
  <c r="Y26" i="57"/>
  <c r="AJ21" i="57"/>
  <c r="AI21" i="57"/>
  <c r="AH21" i="57"/>
  <c r="AG21" i="57"/>
  <c r="AF21" i="57"/>
  <c r="AE21" i="57"/>
  <c r="AD21" i="57"/>
  <c r="AC21" i="57"/>
  <c r="AB21" i="57"/>
  <c r="AA21" i="57"/>
  <c r="Z21" i="57"/>
  <c r="Y21" i="57"/>
  <c r="AJ14" i="57"/>
  <c r="AI14" i="57"/>
  <c r="AH14" i="57"/>
  <c r="AG14" i="57"/>
  <c r="AF14" i="57"/>
  <c r="AE14" i="57"/>
  <c r="AD14" i="57"/>
  <c r="AC14" i="57"/>
  <c r="AB14" i="57"/>
  <c r="AA14" i="57"/>
  <c r="Z14" i="57"/>
  <c r="Y14" i="57"/>
  <c r="AJ8" i="57"/>
  <c r="AI8" i="57"/>
  <c r="AH8" i="57"/>
  <c r="AG8" i="57"/>
  <c r="AF8" i="57"/>
  <c r="AE8" i="57"/>
  <c r="AD8" i="57"/>
  <c r="AC8" i="57"/>
  <c r="AB8" i="57"/>
  <c r="AA8" i="57"/>
  <c r="Z8" i="57"/>
  <c r="Y8" i="57"/>
  <c r="AJ2" i="57"/>
  <c r="AJ92" i="57" s="1"/>
  <c r="AI2" i="57"/>
  <c r="AI92" i="57" s="1"/>
  <c r="AH2" i="57"/>
  <c r="AH92" i="57" s="1"/>
  <c r="AG2" i="57"/>
  <c r="AG92" i="57" s="1"/>
  <c r="AF2" i="57"/>
  <c r="AF92" i="57" s="1"/>
  <c r="AE2" i="57"/>
  <c r="AE92" i="57" s="1"/>
  <c r="AD2" i="57"/>
  <c r="AD92" i="57" s="1"/>
  <c r="AC2" i="57"/>
  <c r="AC92" i="57" s="1"/>
  <c r="AB2" i="57"/>
  <c r="AB92" i="57" s="1"/>
  <c r="AA2" i="57"/>
  <c r="AA92" i="57" s="1"/>
  <c r="Z2" i="57"/>
  <c r="Z92" i="57" s="1"/>
  <c r="Y2" i="57"/>
  <c r="Y92" i="57" s="1"/>
  <c r="K295" i="25"/>
  <c r="J295" i="25"/>
  <c r="B305" i="25"/>
  <c r="B304" i="25"/>
  <c r="B299" i="25"/>
  <c r="B294" i="25"/>
  <c r="B289" i="25"/>
  <c r="A306" i="25"/>
  <c r="B306" i="25" s="1"/>
  <c r="A305" i="25"/>
  <c r="A304" i="25"/>
  <c r="A302" i="25"/>
  <c r="B302" i="25" s="1"/>
  <c r="A300" i="25"/>
  <c r="B300" i="25" s="1"/>
  <c r="A299" i="25"/>
  <c r="A297" i="25"/>
  <c r="B297" i="25" s="1"/>
  <c r="A296" i="25"/>
  <c r="B296" i="25" s="1"/>
  <c r="A295" i="25"/>
  <c r="B295" i="25" s="1"/>
  <c r="A294" i="25"/>
  <c r="A293" i="25"/>
  <c r="B293" i="25" s="1"/>
  <c r="A292" i="25"/>
  <c r="B292" i="25" s="1"/>
  <c r="A291" i="25"/>
  <c r="B291" i="25" s="1"/>
  <c r="A289" i="25"/>
  <c r="A288" i="25"/>
  <c r="B288" i="25" s="1"/>
  <c r="A287" i="25"/>
  <c r="B287" i="25" s="1"/>
  <c r="A286" i="25"/>
  <c r="B286" i="25" s="1"/>
  <c r="F18" i="25"/>
  <c r="E18" i="25"/>
  <c r="E94" i="59" l="1"/>
  <c r="D94" i="59"/>
  <c r="C94" i="59"/>
  <c r="C99" i="59" s="1"/>
  <c r="C100" i="59" s="1"/>
  <c r="D82" i="59"/>
  <c r="C83" i="59"/>
  <c r="D83" i="59" s="1"/>
  <c r="C27" i="63"/>
  <c r="C81" i="59"/>
  <c r="E81" i="59" s="1"/>
  <c r="C25" i="63"/>
  <c r="F39" i="59"/>
  <c r="F43" i="59" s="1"/>
  <c r="F47" i="59" s="1"/>
  <c r="F49" i="59" s="1"/>
  <c r="F13" i="63" s="1"/>
  <c r="F12" i="63"/>
  <c r="H48" i="59"/>
  <c r="C6" i="63"/>
  <c r="Q81" i="25"/>
  <c r="Q167" i="25" s="1"/>
  <c r="P167" i="25"/>
  <c r="O167" i="25"/>
  <c r="D85" i="59"/>
  <c r="E85" i="59"/>
  <c r="C11" i="60"/>
  <c r="C12" i="60" s="1"/>
  <c r="I48" i="60"/>
  <c r="J48" i="60"/>
  <c r="E27" i="60" s="1"/>
  <c r="E30" i="60" s="1"/>
  <c r="H45" i="59"/>
  <c r="H42" i="59"/>
  <c r="H40" i="59"/>
  <c r="H44" i="59"/>
  <c r="H38" i="59"/>
  <c r="H46" i="59"/>
  <c r="H41" i="59"/>
  <c r="G39" i="59"/>
  <c r="H94" i="59" s="1"/>
  <c r="H95" i="59" s="1"/>
  <c r="H37" i="59"/>
  <c r="AJ111" i="57"/>
  <c r="AI111" i="57"/>
  <c r="AH111" i="57"/>
  <c r="AG111" i="57"/>
  <c r="AF111" i="57"/>
  <c r="AE111" i="57"/>
  <c r="AD111" i="57"/>
  <c r="AC111" i="57"/>
  <c r="AB111" i="57"/>
  <c r="AA111" i="57"/>
  <c r="Z111" i="57"/>
  <c r="Y111" i="57"/>
  <c r="AJ106" i="57"/>
  <c r="AI106" i="57"/>
  <c r="AH106" i="57"/>
  <c r="AG106" i="57"/>
  <c r="AF106" i="57"/>
  <c r="AE106" i="57"/>
  <c r="AD106" i="57"/>
  <c r="AC106" i="57"/>
  <c r="AB106" i="57"/>
  <c r="AA106" i="57"/>
  <c r="Z106" i="57"/>
  <c r="Y106" i="57"/>
  <c r="AJ102" i="57"/>
  <c r="AI102" i="57"/>
  <c r="AH102" i="57"/>
  <c r="AG102" i="57"/>
  <c r="AF102" i="57"/>
  <c r="AE102" i="57"/>
  <c r="AD102" i="57"/>
  <c r="AC102" i="57"/>
  <c r="AB102" i="57"/>
  <c r="AA102" i="57"/>
  <c r="Z102" i="57"/>
  <c r="Y102" i="57"/>
  <c r="AJ96" i="57"/>
  <c r="AI96" i="57"/>
  <c r="AH96" i="57"/>
  <c r="AG96" i="57"/>
  <c r="AF96" i="57"/>
  <c r="AE96" i="57"/>
  <c r="AD96" i="57"/>
  <c r="AC96" i="57"/>
  <c r="AB96" i="57"/>
  <c r="AA96" i="57"/>
  <c r="Z96" i="57"/>
  <c r="Y96" i="57"/>
  <c r="E95" i="59" l="1"/>
  <c r="E99" i="59"/>
  <c r="E100" i="59" s="1"/>
  <c r="D95" i="59"/>
  <c r="D99" i="59"/>
  <c r="D100" i="59" s="1"/>
  <c r="C95" i="59"/>
  <c r="E83" i="59"/>
  <c r="D81" i="59"/>
  <c r="C80" i="59"/>
  <c r="F80" i="59" s="1"/>
  <c r="G6" i="63"/>
  <c r="E29" i="60"/>
  <c r="I27" i="60"/>
  <c r="I30" i="60" s="1"/>
  <c r="H39" i="59"/>
  <c r="G43" i="59"/>
  <c r="K178" i="25"/>
  <c r="K143" i="25"/>
  <c r="K142" i="25"/>
  <c r="K136" i="25"/>
  <c r="K135" i="25"/>
  <c r="K69" i="25"/>
  <c r="G16" i="65" s="1"/>
  <c r="K50" i="25"/>
  <c r="K46" i="25"/>
  <c r="K100" i="25" s="1"/>
  <c r="K155" i="25" s="1"/>
  <c r="K45" i="25"/>
  <c r="K99" i="25" s="1"/>
  <c r="K149" i="25" s="1"/>
  <c r="K44" i="25"/>
  <c r="K88" i="25" s="1"/>
  <c r="K133" i="25" s="1"/>
  <c r="K43" i="25"/>
  <c r="K91" i="25" s="1"/>
  <c r="K42" i="25"/>
  <c r="K90" i="25" s="1"/>
  <c r="K41" i="25"/>
  <c r="K94" i="25" s="1"/>
  <c r="K95" i="25" s="1"/>
  <c r="K40" i="25"/>
  <c r="K89" i="25" s="1"/>
  <c r="K39" i="25"/>
  <c r="K84" i="25" s="1"/>
  <c r="K38" i="25"/>
  <c r="K83" i="25" s="1"/>
  <c r="K36" i="25"/>
  <c r="K80" i="25" s="1"/>
  <c r="K35" i="25"/>
  <c r="K79" i="25" s="1"/>
  <c r="K34" i="25"/>
  <c r="K78" i="25" s="1"/>
  <c r="K189" i="25" s="1"/>
  <c r="K20" i="25"/>
  <c r="I123" i="7"/>
  <c r="L123" i="7" s="1"/>
  <c r="I117" i="7"/>
  <c r="I114" i="7"/>
  <c r="I111" i="7"/>
  <c r="I103" i="7"/>
  <c r="I98" i="7"/>
  <c r="I97" i="7"/>
  <c r="I151" i="7"/>
  <c r="I148" i="7"/>
  <c r="L148" i="7" s="1"/>
  <c r="I147" i="7"/>
  <c r="I142" i="7"/>
  <c r="I141" i="7"/>
  <c r="I139" i="7"/>
  <c r="I135" i="7"/>
  <c r="I134" i="7"/>
  <c r="I133" i="7"/>
  <c r="M150" i="7"/>
  <c r="M146" i="7"/>
  <c r="M132" i="7"/>
  <c r="M137" i="7" s="1"/>
  <c r="M144" i="7" s="1"/>
  <c r="J143" i="25"/>
  <c r="J142" i="25"/>
  <c r="J46" i="25"/>
  <c r="J100" i="25" s="1"/>
  <c r="J155" i="25" s="1"/>
  <c r="K152" i="25" s="1"/>
  <c r="J45" i="25"/>
  <c r="J99" i="25" s="1"/>
  <c r="J149" i="25" s="1"/>
  <c r="K147" i="25" s="1"/>
  <c r="J44" i="25"/>
  <c r="J88" i="25" s="1"/>
  <c r="J133" i="25" s="1"/>
  <c r="J43" i="25"/>
  <c r="J91" i="25" s="1"/>
  <c r="J42" i="25"/>
  <c r="J90" i="25" s="1"/>
  <c r="J117" i="25" s="1"/>
  <c r="J41" i="25"/>
  <c r="J94" i="25" s="1"/>
  <c r="J95" i="25" s="1"/>
  <c r="J40" i="25"/>
  <c r="J89" i="25" s="1"/>
  <c r="J116" i="25" s="1"/>
  <c r="J39" i="25"/>
  <c r="J84" i="25" s="1"/>
  <c r="J38" i="25"/>
  <c r="J83" i="25" s="1"/>
  <c r="J36" i="25"/>
  <c r="J80" i="25" s="1"/>
  <c r="J35" i="25"/>
  <c r="J79" i="25" s="1"/>
  <c r="J110" i="25" s="1"/>
  <c r="J34" i="25"/>
  <c r="J78" i="25" s="1"/>
  <c r="J189" i="25" s="1"/>
  <c r="AC22" i="57" s="1"/>
  <c r="J69" i="25"/>
  <c r="F16" i="65" s="1"/>
  <c r="J14" i="25"/>
  <c r="J13" i="25"/>
  <c r="J12" i="25"/>
  <c r="J11" i="25"/>
  <c r="H123" i="7"/>
  <c r="G123" i="7"/>
  <c r="F123" i="7"/>
  <c r="E123" i="7"/>
  <c r="D123" i="7"/>
  <c r="H117" i="7"/>
  <c r="G117" i="7"/>
  <c r="F117" i="7"/>
  <c r="E117" i="7"/>
  <c r="D117" i="7"/>
  <c r="H114" i="7"/>
  <c r="G114" i="7"/>
  <c r="F114" i="7"/>
  <c r="E114" i="7"/>
  <c r="D114" i="7"/>
  <c r="H111" i="7"/>
  <c r="G111" i="7"/>
  <c r="F111" i="7"/>
  <c r="E111" i="7"/>
  <c r="D111" i="7"/>
  <c r="H103" i="7"/>
  <c r="G103" i="7"/>
  <c r="F103" i="7"/>
  <c r="E103" i="7"/>
  <c r="D103" i="7"/>
  <c r="H98" i="7"/>
  <c r="G98" i="7"/>
  <c r="F98" i="7"/>
  <c r="E98" i="7"/>
  <c r="D98" i="7"/>
  <c r="H97" i="7"/>
  <c r="H150" i="7"/>
  <c r="H146" i="7"/>
  <c r="J15" i="25" s="1"/>
  <c r="H132" i="7"/>
  <c r="A92" i="52"/>
  <c r="AB90" i="52" s="1"/>
  <c r="AH68" i="52" s="1"/>
  <c r="AB91" i="52"/>
  <c r="A90" i="52"/>
  <c r="AB88" i="52" s="1"/>
  <c r="AH67" i="52" s="1"/>
  <c r="AB86" i="52"/>
  <c r="A86" i="52"/>
  <c r="AB84" i="52" s="1"/>
  <c r="AH66" i="52" s="1"/>
  <c r="A85" i="52"/>
  <c r="AB83" i="52" s="1"/>
  <c r="AH65" i="52" s="1"/>
  <c r="AB81" i="52"/>
  <c r="AB80" i="52"/>
  <c r="A80" i="52"/>
  <c r="AB78" i="52" s="1"/>
  <c r="A79" i="52"/>
  <c r="AB77" i="52" s="1"/>
  <c r="A78" i="52"/>
  <c r="AB76" i="52" s="1"/>
  <c r="A77" i="52"/>
  <c r="AB75" i="52" s="1"/>
  <c r="AH64" i="52" s="1"/>
  <c r="A75" i="52"/>
  <c r="AB73" i="52" s="1"/>
  <c r="A74" i="52"/>
  <c r="AB72" i="52" s="1"/>
  <c r="A73" i="52"/>
  <c r="AB71" i="52" s="1"/>
  <c r="AH63" i="52" s="1"/>
  <c r="A70" i="52"/>
  <c r="AB68" i="52" s="1"/>
  <c r="AB69" i="52"/>
  <c r="S69" i="52"/>
  <c r="A67" i="52"/>
  <c r="AB66" i="52" s="1"/>
  <c r="A66" i="52"/>
  <c r="AB65" i="52" s="1"/>
  <c r="A65" i="52"/>
  <c r="AB64" i="52" s="1"/>
  <c r="AH62" i="52" s="1"/>
  <c r="AB61" i="52"/>
  <c r="AH61" i="52" s="1"/>
  <c r="S61" i="52"/>
  <c r="S60" i="52"/>
  <c r="S52" i="52"/>
  <c r="S50" i="52"/>
  <c r="S43" i="52"/>
  <c r="S41" i="52"/>
  <c r="S36" i="52"/>
  <c r="S35" i="52"/>
  <c r="S19" i="52"/>
  <c r="S59" i="52" s="1"/>
  <c r="Q19" i="52"/>
  <c r="Q59" i="52" s="1"/>
  <c r="P19" i="52"/>
  <c r="P59" i="52" s="1"/>
  <c r="O19" i="52"/>
  <c r="O59" i="52" s="1"/>
  <c r="N19" i="52"/>
  <c r="N59" i="52" s="1"/>
  <c r="M19" i="52"/>
  <c r="M59" i="52" s="1"/>
  <c r="L19" i="52"/>
  <c r="L59" i="52" s="1"/>
  <c r="K19" i="52"/>
  <c r="K59" i="52" s="1"/>
  <c r="J19" i="52"/>
  <c r="J59" i="52" s="1"/>
  <c r="I19" i="52"/>
  <c r="I59" i="52" s="1"/>
  <c r="H19" i="52"/>
  <c r="H59" i="52" s="1"/>
  <c r="G19" i="52"/>
  <c r="G59" i="52" s="1"/>
  <c r="F19" i="52"/>
  <c r="F59" i="52" s="1"/>
  <c r="F17" i="52"/>
  <c r="H43" i="59" l="1"/>
  <c r="H99" i="59"/>
  <c r="K194" i="25"/>
  <c r="G5" i="65"/>
  <c r="G47" i="65" s="1"/>
  <c r="K126" i="25"/>
  <c r="J126" i="25"/>
  <c r="K123" i="25" s="1"/>
  <c r="K125" i="25" s="1"/>
  <c r="K170" i="25" s="1"/>
  <c r="K174" i="25" s="1"/>
  <c r="K169" i="25"/>
  <c r="L169" i="25"/>
  <c r="J111" i="25"/>
  <c r="K168" i="25"/>
  <c r="L168" i="25"/>
  <c r="L97" i="7"/>
  <c r="C48" i="60"/>
  <c r="J151" i="7"/>
  <c r="J142" i="7"/>
  <c r="U12" i="59" s="1"/>
  <c r="V12" i="59" s="1"/>
  <c r="F97" i="59" s="1"/>
  <c r="G97" i="59" s="1"/>
  <c r="C107" i="59" s="1"/>
  <c r="E107" i="59" s="1"/>
  <c r="J141" i="7"/>
  <c r="U13" i="59" s="1"/>
  <c r="V13" i="59" s="1"/>
  <c r="F98" i="59" s="1"/>
  <c r="G98" i="59" s="1"/>
  <c r="C108" i="59" s="1"/>
  <c r="E108" i="59" s="1"/>
  <c r="J139" i="7"/>
  <c r="U11" i="59" s="1"/>
  <c r="V11" i="59" s="1"/>
  <c r="F96" i="59" s="1"/>
  <c r="G96" i="59" s="1"/>
  <c r="C106" i="59" s="1"/>
  <c r="E106" i="59" s="1"/>
  <c r="J135" i="7"/>
  <c r="U9" i="59" s="1"/>
  <c r="V9" i="59" s="1"/>
  <c r="F93" i="59" s="1"/>
  <c r="G93" i="59" s="1"/>
  <c r="C105" i="59" s="1"/>
  <c r="E105" i="59" s="1"/>
  <c r="J134" i="7"/>
  <c r="K134" i="7" s="1"/>
  <c r="J133" i="7"/>
  <c r="K133" i="7" s="1"/>
  <c r="K123" i="7"/>
  <c r="K117" i="7"/>
  <c r="L117" i="7"/>
  <c r="K114" i="7"/>
  <c r="L114" i="7"/>
  <c r="K111" i="7"/>
  <c r="L111" i="7"/>
  <c r="K103" i="7"/>
  <c r="L103" i="7"/>
  <c r="K98" i="7"/>
  <c r="L98" i="7"/>
  <c r="C85" i="60"/>
  <c r="K97" i="7"/>
  <c r="J148" i="7"/>
  <c r="K148" i="7" s="1"/>
  <c r="J147" i="7"/>
  <c r="K147" i="7" s="1"/>
  <c r="I150" i="7"/>
  <c r="C61" i="60"/>
  <c r="C95" i="60"/>
  <c r="K6" i="63" s="1"/>
  <c r="K304" i="25"/>
  <c r="G47" i="59"/>
  <c r="G49" i="59" s="1"/>
  <c r="K131" i="25"/>
  <c r="K137" i="25" s="1"/>
  <c r="K138" i="25" s="1"/>
  <c r="AD88" i="57" s="1"/>
  <c r="AC39" i="57"/>
  <c r="AD39" i="57"/>
  <c r="AD22" i="57"/>
  <c r="G132" i="47"/>
  <c r="J304" i="25"/>
  <c r="J16" i="25"/>
  <c r="J65" i="25" s="1"/>
  <c r="H137" i="7"/>
  <c r="H144" i="7" s="1"/>
  <c r="H153" i="7" s="1"/>
  <c r="J10" i="25"/>
  <c r="H132" i="47"/>
  <c r="K177" i="25"/>
  <c r="K181" i="25"/>
  <c r="K148" i="25"/>
  <c r="K179" i="25" s="1"/>
  <c r="K144" i="25"/>
  <c r="AD40" i="57" s="1"/>
  <c r="K101" i="25"/>
  <c r="K92" i="25"/>
  <c r="K96" i="25" s="1"/>
  <c r="K37" i="25"/>
  <c r="K81" i="25" s="1"/>
  <c r="K11" i="25"/>
  <c r="K52" i="25" s="1"/>
  <c r="G7" i="65" s="1"/>
  <c r="K12" i="25"/>
  <c r="K56" i="25" s="1"/>
  <c r="G10" i="65" s="1"/>
  <c r="K13" i="25"/>
  <c r="K57" i="25" s="1"/>
  <c r="G11" i="65" s="1"/>
  <c r="K14" i="25"/>
  <c r="K58" i="25" s="1"/>
  <c r="G12" i="65" s="1"/>
  <c r="I118" i="7"/>
  <c r="L118" i="7" s="1"/>
  <c r="I104" i="7"/>
  <c r="I146" i="7"/>
  <c r="M153" i="7"/>
  <c r="M155" i="7" s="1"/>
  <c r="I132" i="7"/>
  <c r="J458" i="25"/>
  <c r="J217" i="25"/>
  <c r="J216" i="25"/>
  <c r="AC46" i="57" s="1"/>
  <c r="J215" i="25"/>
  <c r="AC45" i="57" s="1"/>
  <c r="J101" i="25"/>
  <c r="J144" i="25"/>
  <c r="AC71" i="57" s="1"/>
  <c r="J118" i="25"/>
  <c r="AC108" i="57" s="1"/>
  <c r="J92" i="25"/>
  <c r="J96" i="25" s="1"/>
  <c r="J37" i="25"/>
  <c r="J81" i="25" s="1"/>
  <c r="J23" i="25"/>
  <c r="G118" i="7"/>
  <c r="F118" i="7"/>
  <c r="E118" i="7"/>
  <c r="D118" i="7"/>
  <c r="H118" i="7"/>
  <c r="H104" i="7"/>
  <c r="G104" i="7"/>
  <c r="E104" i="7"/>
  <c r="D104" i="7"/>
  <c r="F104" i="7"/>
  <c r="C40" i="52"/>
  <c r="N40" i="52" s="1"/>
  <c r="N80" i="52" s="1"/>
  <c r="C34" i="52"/>
  <c r="P34" i="52" s="1"/>
  <c r="P75" i="52" s="1"/>
  <c r="C37" i="52"/>
  <c r="L37" i="52" s="1"/>
  <c r="L77" i="52" s="1"/>
  <c r="H315" i="52" s="1"/>
  <c r="C38" i="52"/>
  <c r="I38" i="52" s="1"/>
  <c r="I78" i="52" s="1"/>
  <c r="C39" i="52"/>
  <c r="F39" i="52" s="1"/>
  <c r="C44" i="52"/>
  <c r="P44" i="52" s="1"/>
  <c r="P85" i="52" s="1"/>
  <c r="L316" i="52" s="1"/>
  <c r="C26" i="52"/>
  <c r="G26" i="52" s="1"/>
  <c r="G66" i="52" s="1"/>
  <c r="C27" i="52"/>
  <c r="O27" i="52" s="1"/>
  <c r="O67" i="52" s="1"/>
  <c r="C32" i="52"/>
  <c r="J32" i="52" s="1"/>
  <c r="C33" i="52"/>
  <c r="I33" i="52" s="1"/>
  <c r="I74" i="52" s="1"/>
  <c r="C45" i="52"/>
  <c r="N45" i="52" s="1"/>
  <c r="N86" i="52" s="1"/>
  <c r="J317" i="52" s="1"/>
  <c r="C25" i="52"/>
  <c r="M25" i="52" s="1"/>
  <c r="M65" i="52" s="1"/>
  <c r="I313" i="52" s="1"/>
  <c r="H100" i="59" l="1"/>
  <c r="D109" i="59"/>
  <c r="C86" i="59"/>
  <c r="F86" i="59" s="1"/>
  <c r="E6" i="63"/>
  <c r="K124" i="25"/>
  <c r="K206" i="25"/>
  <c r="AD16" i="57" s="1"/>
  <c r="K82" i="25"/>
  <c r="K85" i="25" s="1"/>
  <c r="K167" i="25"/>
  <c r="L167" i="25"/>
  <c r="L151" i="7"/>
  <c r="U15" i="59"/>
  <c r="V15" i="59" s="1"/>
  <c r="K141" i="7"/>
  <c r="L14" i="25"/>
  <c r="K142" i="7"/>
  <c r="L13" i="25"/>
  <c r="K139" i="7"/>
  <c r="L12" i="25"/>
  <c r="K135" i="7"/>
  <c r="L11" i="25"/>
  <c r="C165" i="7"/>
  <c r="E165" i="7" s="1"/>
  <c r="F165" i="7" s="1"/>
  <c r="C164" i="7"/>
  <c r="E164" i="7" s="1"/>
  <c r="F164" i="7" s="1"/>
  <c r="C163" i="7"/>
  <c r="E163" i="7" s="1"/>
  <c r="F163" i="7" s="1"/>
  <c r="C162" i="7"/>
  <c r="E162" i="7" s="1"/>
  <c r="F162" i="7" s="1"/>
  <c r="C161" i="7"/>
  <c r="E161" i="7" s="1"/>
  <c r="F161" i="7" s="1"/>
  <c r="C160" i="7"/>
  <c r="E160" i="7" s="1"/>
  <c r="F160" i="7" s="1"/>
  <c r="K151" i="7"/>
  <c r="J150" i="7"/>
  <c r="L134" i="7"/>
  <c r="L141" i="7"/>
  <c r="J132" i="7"/>
  <c r="U6" i="59" s="1"/>
  <c r="V6" i="59" s="1"/>
  <c r="L133" i="7"/>
  <c r="L135" i="7"/>
  <c r="L147" i="7"/>
  <c r="L142" i="7"/>
  <c r="L139" i="7"/>
  <c r="K10" i="25"/>
  <c r="K118" i="7"/>
  <c r="K104" i="7"/>
  <c r="L104" i="7"/>
  <c r="J146" i="7"/>
  <c r="U7" i="59" s="1"/>
  <c r="V7" i="59" s="1"/>
  <c r="D85" i="60"/>
  <c r="C83" i="60"/>
  <c r="D83" i="60" s="1"/>
  <c r="C84" i="60"/>
  <c r="D84" i="60" s="1"/>
  <c r="E95" i="60"/>
  <c r="K16" i="25"/>
  <c r="K65" i="25" s="1"/>
  <c r="H49" i="59"/>
  <c r="K292" i="25"/>
  <c r="H47" i="59"/>
  <c r="E170" i="7"/>
  <c r="F170" i="7" s="1"/>
  <c r="AD98" i="57"/>
  <c r="K132" i="25"/>
  <c r="K287" i="25"/>
  <c r="AD97" i="57"/>
  <c r="AC47" i="57"/>
  <c r="AC75" i="57"/>
  <c r="AD71" i="57"/>
  <c r="AD41" i="57"/>
  <c r="K141" i="25"/>
  <c r="AC40" i="57"/>
  <c r="AC41" i="57"/>
  <c r="AC29" i="57"/>
  <c r="J300" i="25"/>
  <c r="H128" i="47"/>
  <c r="K293" i="25"/>
  <c r="H126" i="47"/>
  <c r="K291" i="25"/>
  <c r="H127" i="47"/>
  <c r="H123" i="47"/>
  <c r="K103" i="25"/>
  <c r="K207" i="25"/>
  <c r="K182" i="25"/>
  <c r="K183" i="25" s="1"/>
  <c r="K23" i="25"/>
  <c r="AD29" i="57" s="1"/>
  <c r="K15" i="25"/>
  <c r="K64" i="25" s="1"/>
  <c r="I137" i="7"/>
  <c r="I124" i="7"/>
  <c r="L124" i="7" s="1"/>
  <c r="J218" i="25"/>
  <c r="J103" i="25"/>
  <c r="J82" i="25"/>
  <c r="J85" i="25" s="1"/>
  <c r="J112" i="25"/>
  <c r="J113" i="25" s="1"/>
  <c r="J73" i="52"/>
  <c r="F314" i="52" s="1"/>
  <c r="F124" i="7"/>
  <c r="F125" i="7" s="1"/>
  <c r="E124" i="7"/>
  <c r="E125" i="7" s="1"/>
  <c r="D124" i="7"/>
  <c r="D125" i="7" s="1"/>
  <c r="G124" i="7"/>
  <c r="G125" i="7" s="1"/>
  <c r="H124" i="7"/>
  <c r="H155" i="7"/>
  <c r="M26" i="52"/>
  <c r="M66" i="52" s="1"/>
  <c r="Q40" i="52"/>
  <c r="Q80" i="52" s="1"/>
  <c r="P40" i="52"/>
  <c r="P80" i="52" s="1"/>
  <c r="G40" i="52"/>
  <c r="G80" i="52" s="1"/>
  <c r="O40" i="52"/>
  <c r="O80" i="52" s="1"/>
  <c r="F40" i="52"/>
  <c r="F80" i="52" s="1"/>
  <c r="O37" i="52"/>
  <c r="O77" i="52" s="1"/>
  <c r="K315" i="52" s="1"/>
  <c r="H40" i="52"/>
  <c r="H80" i="52" s="1"/>
  <c r="I40" i="52"/>
  <c r="I80" i="52" s="1"/>
  <c r="J40" i="52"/>
  <c r="J80" i="52" s="1"/>
  <c r="K40" i="52"/>
  <c r="K80" i="52" s="1"/>
  <c r="L40" i="52"/>
  <c r="L80" i="52" s="1"/>
  <c r="M40" i="52"/>
  <c r="M80" i="52" s="1"/>
  <c r="O26" i="52"/>
  <c r="O66" i="52" s="1"/>
  <c r="Q34" i="52"/>
  <c r="Q75" i="52" s="1"/>
  <c r="O34" i="52"/>
  <c r="O75" i="52" s="1"/>
  <c r="H34" i="52"/>
  <c r="H75" i="52" s="1"/>
  <c r="Q26" i="52"/>
  <c r="Q66" i="52" s="1"/>
  <c r="H37" i="52"/>
  <c r="L26" i="52"/>
  <c r="L66" i="52" s="1"/>
  <c r="L34" i="52"/>
  <c r="L75" i="52" s="1"/>
  <c r="I34" i="52"/>
  <c r="I75" i="52" s="1"/>
  <c r="P37" i="52"/>
  <c r="P77" i="52" s="1"/>
  <c r="L315" i="52" s="1"/>
  <c r="K34" i="52"/>
  <c r="K75" i="52" s="1"/>
  <c r="N37" i="52"/>
  <c r="N77" i="52" s="1"/>
  <c r="J315" i="52" s="1"/>
  <c r="K37" i="52"/>
  <c r="K38" i="52"/>
  <c r="K78" i="52" s="1"/>
  <c r="J38" i="52"/>
  <c r="J78" i="52" s="1"/>
  <c r="G34" i="52"/>
  <c r="G75" i="52" s="1"/>
  <c r="J37" i="52"/>
  <c r="G37" i="52"/>
  <c r="Q38" i="52"/>
  <c r="Q78" i="52" s="1"/>
  <c r="F34" i="52"/>
  <c r="F75" i="52" s="1"/>
  <c r="I37" i="52"/>
  <c r="M34" i="52"/>
  <c r="M75" i="52" s="1"/>
  <c r="M38" i="52"/>
  <c r="M78" i="52" s="1"/>
  <c r="N38" i="52"/>
  <c r="N78" i="52" s="1"/>
  <c r="P38" i="52"/>
  <c r="P78" i="52" s="1"/>
  <c r="J34" i="52"/>
  <c r="J75" i="52" s="1"/>
  <c r="N34" i="52"/>
  <c r="N75" i="52" s="1"/>
  <c r="I39" i="52"/>
  <c r="I79" i="52" s="1"/>
  <c r="F44" i="52"/>
  <c r="Q37" i="52"/>
  <c r="Q77" i="52" s="1"/>
  <c r="M315" i="52" s="1"/>
  <c r="I44" i="52"/>
  <c r="H39" i="52"/>
  <c r="H79" i="52" s="1"/>
  <c r="O38" i="52"/>
  <c r="O78" i="52" s="1"/>
  <c r="M37" i="52"/>
  <c r="M77" i="52" s="1"/>
  <c r="I315" i="52" s="1"/>
  <c r="P26" i="52"/>
  <c r="P66" i="52" s="1"/>
  <c r="F37" i="52"/>
  <c r="L38" i="52"/>
  <c r="L78" i="52" s="1"/>
  <c r="N26" i="52"/>
  <c r="N66" i="52" s="1"/>
  <c r="H38" i="52"/>
  <c r="H78" i="52" s="1"/>
  <c r="G38" i="52"/>
  <c r="G78" i="52" s="1"/>
  <c r="N44" i="52"/>
  <c r="N85" i="52" s="1"/>
  <c r="J316" i="52" s="1"/>
  <c r="F38" i="52"/>
  <c r="F78" i="52" s="1"/>
  <c r="J44" i="52"/>
  <c r="L44" i="52"/>
  <c r="L85" i="52" s="1"/>
  <c r="H316" i="52" s="1"/>
  <c r="J26" i="52"/>
  <c r="J66" i="52" s="1"/>
  <c r="Q44" i="52"/>
  <c r="Q85" i="52" s="1"/>
  <c r="M316" i="52" s="1"/>
  <c r="M44" i="52"/>
  <c r="M85" i="52" s="1"/>
  <c r="I316" i="52" s="1"/>
  <c r="H44" i="52"/>
  <c r="G44" i="52"/>
  <c r="H26" i="52"/>
  <c r="H66" i="52" s="1"/>
  <c r="P39" i="52"/>
  <c r="P79" i="52" s="1"/>
  <c r="K44" i="52"/>
  <c r="J39" i="52"/>
  <c r="J79" i="52" s="1"/>
  <c r="N39" i="52"/>
  <c r="N79" i="52" s="1"/>
  <c r="K39" i="52"/>
  <c r="K79" i="52" s="1"/>
  <c r="L39" i="52"/>
  <c r="L79" i="52" s="1"/>
  <c r="M39" i="52"/>
  <c r="M79" i="52" s="1"/>
  <c r="F26" i="52"/>
  <c r="F66" i="52" s="1"/>
  <c r="I26" i="52"/>
  <c r="I66" i="52" s="1"/>
  <c r="G39" i="52"/>
  <c r="G79" i="52" s="1"/>
  <c r="G33" i="52"/>
  <c r="G74" i="52" s="1"/>
  <c r="Q32" i="52"/>
  <c r="Q73" i="52" s="1"/>
  <c r="M314" i="52" s="1"/>
  <c r="Q27" i="52"/>
  <c r="Q67" i="52" s="1"/>
  <c r="O39" i="52"/>
  <c r="O79" i="52" s="1"/>
  <c r="I32" i="52"/>
  <c r="P33" i="52"/>
  <c r="P74" i="52" s="1"/>
  <c r="M32" i="52"/>
  <c r="M73" i="52" s="1"/>
  <c r="I314" i="52" s="1"/>
  <c r="F27" i="52"/>
  <c r="F67" i="52" s="1"/>
  <c r="K33" i="52"/>
  <c r="K74" i="52" s="1"/>
  <c r="K26" i="52"/>
  <c r="K66" i="52" s="1"/>
  <c r="Q39" i="52"/>
  <c r="Q79" i="52" s="1"/>
  <c r="O44" i="52"/>
  <c r="O85" i="52" s="1"/>
  <c r="K316" i="52" s="1"/>
  <c r="O32" i="52"/>
  <c r="O73" i="52" s="1"/>
  <c r="K314" i="52" s="1"/>
  <c r="Q33" i="52"/>
  <c r="Q74" i="52" s="1"/>
  <c r="F32" i="52"/>
  <c r="G32" i="52"/>
  <c r="K32" i="52"/>
  <c r="H27" i="52"/>
  <c r="H67" i="52" s="1"/>
  <c r="N32" i="52"/>
  <c r="N73" i="52" s="1"/>
  <c r="J314" i="52" s="1"/>
  <c r="I27" i="52"/>
  <c r="I67" i="52" s="1"/>
  <c r="K45" i="52"/>
  <c r="M27" i="52"/>
  <c r="M67" i="52" s="1"/>
  <c r="N27" i="52"/>
  <c r="N67" i="52" s="1"/>
  <c r="O33" i="52"/>
  <c r="O74" i="52" s="1"/>
  <c r="K27" i="52"/>
  <c r="K67" i="52" s="1"/>
  <c r="L27" i="52"/>
  <c r="L67" i="52" s="1"/>
  <c r="J33" i="52"/>
  <c r="J74" i="52" s="1"/>
  <c r="J45" i="52"/>
  <c r="G27" i="52"/>
  <c r="G67" i="52" s="1"/>
  <c r="P27" i="52"/>
  <c r="P67" i="52" s="1"/>
  <c r="P32" i="52"/>
  <c r="P73" i="52" s="1"/>
  <c r="L314" i="52" s="1"/>
  <c r="J27" i="52"/>
  <c r="J67" i="52" s="1"/>
  <c r="H33" i="52"/>
  <c r="H74" i="52" s="1"/>
  <c r="G45" i="52"/>
  <c r="H32" i="52"/>
  <c r="L33" i="52"/>
  <c r="L74" i="52" s="1"/>
  <c r="L32" i="52"/>
  <c r="L73" i="52" s="1"/>
  <c r="H314" i="52" s="1"/>
  <c r="M33" i="52"/>
  <c r="M74" i="52" s="1"/>
  <c r="N33" i="52"/>
  <c r="N74" i="52" s="1"/>
  <c r="F45" i="52"/>
  <c r="F33" i="52"/>
  <c r="F74" i="52" s="1"/>
  <c r="O45" i="52"/>
  <c r="O86" i="52" s="1"/>
  <c r="K317" i="52" s="1"/>
  <c r="L45" i="52"/>
  <c r="L86" i="52" s="1"/>
  <c r="H317" i="52" s="1"/>
  <c r="H45" i="52"/>
  <c r="M45" i="52"/>
  <c r="M86" i="52" s="1"/>
  <c r="I317" i="52" s="1"/>
  <c r="I45" i="52"/>
  <c r="N25" i="52"/>
  <c r="N65" i="52" s="1"/>
  <c r="J313" i="52" s="1"/>
  <c r="H25" i="52"/>
  <c r="P45" i="52"/>
  <c r="P86" i="52" s="1"/>
  <c r="L317" i="52" s="1"/>
  <c r="Q45" i="52"/>
  <c r="Q86" i="52" s="1"/>
  <c r="M317" i="52" s="1"/>
  <c r="L25" i="52"/>
  <c r="L65" i="52" s="1"/>
  <c r="H313" i="52" s="1"/>
  <c r="G25" i="52"/>
  <c r="K25" i="52"/>
  <c r="J25" i="52"/>
  <c r="I25" i="52"/>
  <c r="F25" i="52"/>
  <c r="O25" i="52"/>
  <c r="O65" i="52" s="1"/>
  <c r="K313" i="52" s="1"/>
  <c r="Q25" i="52"/>
  <c r="Q65" i="52" s="1"/>
  <c r="M313" i="52" s="1"/>
  <c r="P25" i="52"/>
  <c r="P65" i="52" s="1"/>
  <c r="L313" i="52" s="1"/>
  <c r="F79" i="52"/>
  <c r="F19" i="63" l="1"/>
  <c r="F92" i="59"/>
  <c r="F87" i="59"/>
  <c r="AD62" i="57"/>
  <c r="K105" i="25"/>
  <c r="U17" i="59"/>
  <c r="V17" i="59" s="1"/>
  <c r="F20" i="63" s="1"/>
  <c r="K150" i="7"/>
  <c r="L16" i="25"/>
  <c r="L65" i="25" s="1"/>
  <c r="K146" i="7"/>
  <c r="L15" i="25"/>
  <c r="L150" i="7"/>
  <c r="J137" i="7"/>
  <c r="L137" i="7" s="1"/>
  <c r="L10" i="25"/>
  <c r="L51" i="25" s="1"/>
  <c r="H6" i="65" s="1"/>
  <c r="L132" i="7"/>
  <c r="K132" i="7"/>
  <c r="L146" i="7"/>
  <c r="E171" i="7"/>
  <c r="F171" i="7" s="1"/>
  <c r="K124" i="7"/>
  <c r="C26" i="60"/>
  <c r="K300" i="25"/>
  <c r="K299" i="25"/>
  <c r="J119" i="25"/>
  <c r="AC107" i="57"/>
  <c r="AC48" i="57"/>
  <c r="AC79" i="57"/>
  <c r="AD17" i="57"/>
  <c r="AD63" i="57"/>
  <c r="K51" i="25"/>
  <c r="G6" i="65" s="1"/>
  <c r="K86" i="52"/>
  <c r="G317" i="52" s="1"/>
  <c r="K85" i="52"/>
  <c r="G316" i="52" s="1"/>
  <c r="K77" i="52"/>
  <c r="G315" i="52" s="1"/>
  <c r="K73" i="52"/>
  <c r="G314" i="52" s="1"/>
  <c r="K65" i="52"/>
  <c r="G313" i="52" s="1"/>
  <c r="I77" i="52"/>
  <c r="E315" i="52" s="1"/>
  <c r="G77" i="52"/>
  <c r="C315" i="52" s="1"/>
  <c r="H77" i="52"/>
  <c r="D315" i="52" s="1"/>
  <c r="I144" i="7"/>
  <c r="H125" i="7"/>
  <c r="I125" i="7"/>
  <c r="J105" i="25"/>
  <c r="J86" i="52"/>
  <c r="F317" i="52" s="1"/>
  <c r="J85" i="52"/>
  <c r="F316" i="52" s="1"/>
  <c r="J77" i="52"/>
  <c r="F315" i="52" s="1"/>
  <c r="J65" i="52"/>
  <c r="F313" i="52" s="1"/>
  <c r="S40" i="52"/>
  <c r="S80" i="52"/>
  <c r="AC78" i="52" s="1"/>
  <c r="I86" i="52"/>
  <c r="E317" i="52" s="1"/>
  <c r="H86" i="52"/>
  <c r="D317" i="52" s="1"/>
  <c r="F86" i="52"/>
  <c r="B317" i="52" s="1"/>
  <c r="G86" i="52"/>
  <c r="C317" i="52" s="1"/>
  <c r="G85" i="52"/>
  <c r="C316" i="52" s="1"/>
  <c r="H85" i="52"/>
  <c r="D316" i="52" s="1"/>
  <c r="F85" i="52"/>
  <c r="B316" i="52" s="1"/>
  <c r="I85" i="52"/>
  <c r="E316" i="52" s="1"/>
  <c r="S75" i="52"/>
  <c r="AC73" i="52" s="1"/>
  <c r="S37" i="52"/>
  <c r="H73" i="52"/>
  <c r="D314" i="52" s="1"/>
  <c r="G73" i="52"/>
  <c r="C314" i="52" s="1"/>
  <c r="F73" i="52"/>
  <c r="B314" i="52" s="1"/>
  <c r="I73" i="52"/>
  <c r="E314" i="52" s="1"/>
  <c r="S34" i="52"/>
  <c r="F65" i="52"/>
  <c r="B313" i="52" s="1"/>
  <c r="G65" i="52"/>
  <c r="C313" i="52" s="1"/>
  <c r="I65" i="52"/>
  <c r="E313" i="52" s="1"/>
  <c r="H65" i="52"/>
  <c r="D313" i="52" s="1"/>
  <c r="S78" i="52"/>
  <c r="AC76" i="52" s="1"/>
  <c r="F77" i="52"/>
  <c r="B315" i="52" s="1"/>
  <c r="S38" i="52"/>
  <c r="S44" i="52"/>
  <c r="S39" i="52"/>
  <c r="S26" i="52"/>
  <c r="S79" i="52"/>
  <c r="AC77" i="52" s="1"/>
  <c r="S27" i="52"/>
  <c r="S74" i="52"/>
  <c r="AC72" i="52" s="1"/>
  <c r="S33" i="52"/>
  <c r="S32" i="52"/>
  <c r="S45" i="52"/>
  <c r="S25" i="52"/>
  <c r="S66" i="52"/>
  <c r="AC65" i="52" s="1"/>
  <c r="F295" i="52"/>
  <c r="D295" i="52"/>
  <c r="S67" i="52"/>
  <c r="AC66" i="52" s="1"/>
  <c r="G92" i="59" l="1"/>
  <c r="C104" i="59" s="1"/>
  <c r="E104" i="59" s="1"/>
  <c r="F94" i="59"/>
  <c r="G50" i="65"/>
  <c r="G48" i="65"/>
  <c r="G49" i="65"/>
  <c r="G51" i="65"/>
  <c r="D24" i="65"/>
  <c r="F24" i="65" s="1"/>
  <c r="D33" i="65"/>
  <c r="G8" i="65"/>
  <c r="G13" i="65" s="1"/>
  <c r="G14" i="65" s="1"/>
  <c r="H40" i="60"/>
  <c r="I40" i="60" s="1"/>
  <c r="D40" i="60"/>
  <c r="J18" i="62"/>
  <c r="J17" i="62"/>
  <c r="K137" i="7"/>
  <c r="J144" i="7"/>
  <c r="L144" i="7" s="1"/>
  <c r="F26" i="60"/>
  <c r="K53" i="25"/>
  <c r="K197" i="25"/>
  <c r="AD3" i="57" s="1"/>
  <c r="H122" i="47"/>
  <c r="K286" i="25"/>
  <c r="I153" i="7"/>
  <c r="S86" i="52"/>
  <c r="AC84" i="52" s="1"/>
  <c r="AI66" i="52" s="1"/>
  <c r="S85" i="52"/>
  <c r="AC83" i="52" s="1"/>
  <c r="AI65" i="52" s="1"/>
  <c r="S77" i="52"/>
  <c r="AC75" i="52" s="1"/>
  <c r="AI64" i="52" s="1"/>
  <c r="S73" i="52"/>
  <c r="AC71" i="52" s="1"/>
  <c r="AI63" i="52" s="1"/>
  <c r="S65" i="52"/>
  <c r="AC64" i="52" s="1"/>
  <c r="AI62" i="52" s="1"/>
  <c r="N317" i="52"/>
  <c r="N313" i="52"/>
  <c r="N315" i="52"/>
  <c r="N316" i="52"/>
  <c r="N308" i="52"/>
  <c r="N314" i="52"/>
  <c r="F95" i="59" l="1"/>
  <c r="F99" i="59"/>
  <c r="F100" i="59" s="1"/>
  <c r="G94" i="59"/>
  <c r="G52" i="65"/>
  <c r="G53" i="65" s="1"/>
  <c r="E24" i="65"/>
  <c r="B37" i="65" s="1"/>
  <c r="G9" i="65"/>
  <c r="K144" i="7"/>
  <c r="J153" i="7"/>
  <c r="L153" i="7" s="1"/>
  <c r="I18" i="62"/>
  <c r="H39" i="60"/>
  <c r="I39" i="60" s="1"/>
  <c r="D39" i="60"/>
  <c r="E40" i="60"/>
  <c r="F40" i="60"/>
  <c r="G26" i="60"/>
  <c r="K288" i="25"/>
  <c r="K54" i="25"/>
  <c r="AD93" i="57" s="1"/>
  <c r="K59" i="25"/>
  <c r="K61" i="25" s="1"/>
  <c r="H124" i="47"/>
  <c r="I155" i="7"/>
  <c r="N306" i="52"/>
  <c r="D293" i="52"/>
  <c r="F293" i="52"/>
  <c r="F294" i="52"/>
  <c r="D294" i="52"/>
  <c r="N307" i="52"/>
  <c r="G95" i="59" l="1"/>
  <c r="G99" i="59"/>
  <c r="J155" i="7"/>
  <c r="C28" i="60" s="1"/>
  <c r="F28" i="60" s="1"/>
  <c r="G28" i="60" s="1"/>
  <c r="C97" i="60" s="1"/>
  <c r="K153" i="7"/>
  <c r="E39" i="60"/>
  <c r="F39" i="60"/>
  <c r="C27" i="60"/>
  <c r="K294" i="25"/>
  <c r="AD9" i="57"/>
  <c r="H129" i="47"/>
  <c r="H27" i="60" s="1"/>
  <c r="K198" i="25"/>
  <c r="AD83" i="57" s="1"/>
  <c r="K67" i="25"/>
  <c r="G15" i="65" s="1"/>
  <c r="G17" i="65" s="1"/>
  <c r="K296" i="25"/>
  <c r="K62" i="25"/>
  <c r="B311" i="52"/>
  <c r="F311" i="52"/>
  <c r="E311" i="52"/>
  <c r="D311" i="52"/>
  <c r="G100" i="59" l="1"/>
  <c r="C109" i="59"/>
  <c r="E109" i="59" s="1"/>
  <c r="G18" i="65"/>
  <c r="K155" i="7"/>
  <c r="L155" i="7"/>
  <c r="C46" i="60"/>
  <c r="C52" i="60" s="1"/>
  <c r="C57" i="60" s="1"/>
  <c r="C59" i="60" s="1"/>
  <c r="D59" i="60" s="1"/>
  <c r="F27" i="60"/>
  <c r="C30" i="60"/>
  <c r="AD4" i="57"/>
  <c r="K199" i="25"/>
  <c r="AD52" i="57" s="1"/>
  <c r="K70" i="25"/>
  <c r="H131" i="47"/>
  <c r="K302" i="25"/>
  <c r="N310" i="52"/>
  <c r="N309" i="52"/>
  <c r="G62" i="52"/>
  <c r="G22" i="52"/>
  <c r="C311" i="52"/>
  <c r="G311" i="52"/>
  <c r="I62" i="52"/>
  <c r="I22" i="52"/>
  <c r="H311" i="52"/>
  <c r="F296" i="52"/>
  <c r="D296" i="52"/>
  <c r="J62" i="52"/>
  <c r="J22" i="52"/>
  <c r="K22" i="52"/>
  <c r="K62" i="52"/>
  <c r="I311" i="52"/>
  <c r="F297" i="52"/>
  <c r="D297" i="52"/>
  <c r="L22" i="52"/>
  <c r="L29" i="52" s="1"/>
  <c r="L62" i="52"/>
  <c r="H62" i="52"/>
  <c r="H22" i="52"/>
  <c r="G27" i="60" l="1"/>
  <c r="C99" i="60" s="1"/>
  <c r="F30" i="60"/>
  <c r="K305" i="25"/>
  <c r="AD10" i="57"/>
  <c r="K162" i="25"/>
  <c r="K153" i="25"/>
  <c r="K201" i="25"/>
  <c r="AD84" i="57" s="1"/>
  <c r="K71" i="25"/>
  <c r="H133" i="47"/>
  <c r="K29" i="52"/>
  <c r="J29" i="52"/>
  <c r="I29" i="52"/>
  <c r="H29" i="52"/>
  <c r="G29" i="52"/>
  <c r="F22" i="52"/>
  <c r="F62" i="52"/>
  <c r="J311" i="52"/>
  <c r="M62" i="52"/>
  <c r="M22" i="52"/>
  <c r="M29" i="52" s="1"/>
  <c r="L70" i="52"/>
  <c r="L71" i="52" s="1"/>
  <c r="L42" i="52"/>
  <c r="N22" i="52"/>
  <c r="N29" i="52" s="1"/>
  <c r="N62" i="52"/>
  <c r="G30" i="60" l="1"/>
  <c r="M6" i="63" s="1"/>
  <c r="AD5" i="57"/>
  <c r="K202" i="25"/>
  <c r="AD11" i="57" s="1"/>
  <c r="K42" i="52"/>
  <c r="K70" i="52"/>
  <c r="K71" i="52" s="1"/>
  <c r="J42" i="52"/>
  <c r="J70" i="52"/>
  <c r="J71" i="52" s="1"/>
  <c r="I42" i="52"/>
  <c r="I70" i="52"/>
  <c r="I71" i="52" s="1"/>
  <c r="G42" i="52"/>
  <c r="G70" i="52"/>
  <c r="G71" i="52" s="1"/>
  <c r="H42" i="52"/>
  <c r="H70" i="52"/>
  <c r="H71" i="52" s="1"/>
  <c r="L311" i="52"/>
  <c r="N70" i="52"/>
  <c r="N71" i="52" s="1"/>
  <c r="N42" i="52"/>
  <c r="O62" i="52"/>
  <c r="O22" i="52"/>
  <c r="O29" i="52" s="1"/>
  <c r="F29" i="52"/>
  <c r="L82" i="52"/>
  <c r="L83" i="52" s="1"/>
  <c r="L47" i="52"/>
  <c r="M70" i="52"/>
  <c r="M71" i="52" s="1"/>
  <c r="M42" i="52"/>
  <c r="K311" i="52"/>
  <c r="C102" i="60" l="1"/>
  <c r="C98" i="60"/>
  <c r="K82" i="52"/>
  <c r="K83" i="52" s="1"/>
  <c r="AD53" i="57"/>
  <c r="K47" i="52"/>
  <c r="H47" i="52"/>
  <c r="I82" i="52"/>
  <c r="I83" i="52" s="1"/>
  <c r="J47" i="52"/>
  <c r="J82" i="52"/>
  <c r="J83" i="52" s="1"/>
  <c r="G47" i="52"/>
  <c r="I47" i="52"/>
  <c r="G82" i="52"/>
  <c r="G83" i="52" s="1"/>
  <c r="H82" i="52"/>
  <c r="H83" i="52" s="1"/>
  <c r="L49" i="52"/>
  <c r="L90" i="52" s="1"/>
  <c r="H318" i="52" s="1"/>
  <c r="L88" i="52"/>
  <c r="P62" i="52"/>
  <c r="N82" i="52"/>
  <c r="N83" i="52" s="1"/>
  <c r="N47" i="52"/>
  <c r="M82" i="52"/>
  <c r="M83" i="52" s="1"/>
  <c r="M47" i="52"/>
  <c r="F42" i="52"/>
  <c r="F70" i="52"/>
  <c r="O70" i="52"/>
  <c r="O71" i="52" s="1"/>
  <c r="O42" i="52"/>
  <c r="H49" i="52" l="1"/>
  <c r="H51" i="52" s="1"/>
  <c r="J88" i="52"/>
  <c r="K88" i="52"/>
  <c r="K49" i="52"/>
  <c r="J49" i="52"/>
  <c r="H88" i="52"/>
  <c r="G49" i="52"/>
  <c r="I49" i="52"/>
  <c r="I88" i="52"/>
  <c r="G88" i="52"/>
  <c r="M311" i="52"/>
  <c r="N305" i="52"/>
  <c r="N49" i="52"/>
  <c r="N90" i="52" s="1"/>
  <c r="J318" i="52" s="1"/>
  <c r="N88" i="52"/>
  <c r="F292" i="52"/>
  <c r="F298" i="52" s="1"/>
  <c r="D292" i="52"/>
  <c r="D298" i="52" s="1"/>
  <c r="B298" i="52"/>
  <c r="P22" i="52"/>
  <c r="L51" i="52"/>
  <c r="L92" i="52" s="1"/>
  <c r="L93" i="52" s="1"/>
  <c r="M88" i="52"/>
  <c r="M49" i="52"/>
  <c r="M90" i="52" s="1"/>
  <c r="I318" i="52" s="1"/>
  <c r="O82" i="52"/>
  <c r="O83" i="52" s="1"/>
  <c r="O47" i="52"/>
  <c r="F71" i="52"/>
  <c r="F82" i="52"/>
  <c r="F47" i="52"/>
  <c r="Q62" i="52"/>
  <c r="S62" i="52" s="1"/>
  <c r="AC61" i="52" s="1"/>
  <c r="Q22" i="52"/>
  <c r="Q29" i="52" s="1"/>
  <c r="H90" i="52" l="1"/>
  <c r="D318" i="52" s="1"/>
  <c r="K90" i="52"/>
  <c r="G318" i="52" s="1"/>
  <c r="K51" i="52"/>
  <c r="J90" i="52"/>
  <c r="F318" i="52" s="1"/>
  <c r="J51" i="52"/>
  <c r="G51" i="52"/>
  <c r="G90" i="52"/>
  <c r="C318" i="52" s="1"/>
  <c r="I51" i="52"/>
  <c r="I90" i="52"/>
  <c r="E318" i="52" s="1"/>
  <c r="H92" i="52"/>
  <c r="H93" i="52" s="1"/>
  <c r="M51" i="52"/>
  <c r="M92" i="52" s="1"/>
  <c r="M93" i="52" s="1"/>
  <c r="U13" i="52"/>
  <c r="AE74" i="52"/>
  <c r="AE89" i="52"/>
  <c r="AE87" i="52"/>
  <c r="AE85" i="52"/>
  <c r="AE82" i="52"/>
  <c r="AE63" i="52"/>
  <c r="AE70" i="52"/>
  <c r="AE62" i="52"/>
  <c r="AE67" i="52"/>
  <c r="AE79" i="52"/>
  <c r="AI61" i="52"/>
  <c r="AE61" i="52"/>
  <c r="AE73" i="52"/>
  <c r="AE72" i="52"/>
  <c r="AE78" i="52"/>
  <c r="AE77" i="52"/>
  <c r="AE76" i="52"/>
  <c r="AE84" i="52"/>
  <c r="AE71" i="52"/>
  <c r="AE83" i="52"/>
  <c r="AE66" i="52"/>
  <c r="AE75" i="52"/>
  <c r="AE65" i="52"/>
  <c r="AE64" i="52"/>
  <c r="C298" i="52"/>
  <c r="E298" i="52"/>
  <c r="N311" i="52"/>
  <c r="N51" i="52"/>
  <c r="N92" i="52" s="1"/>
  <c r="N93" i="52" s="1"/>
  <c r="F83" i="52"/>
  <c r="O88" i="52"/>
  <c r="O49" i="52"/>
  <c r="O90" i="52" s="1"/>
  <c r="K318" i="52" s="1"/>
  <c r="U11" i="52"/>
  <c r="Q70" i="52"/>
  <c r="Q71" i="52" s="1"/>
  <c r="Q42" i="52"/>
  <c r="P29" i="52"/>
  <c r="S22" i="52"/>
  <c r="F88" i="52"/>
  <c r="F49" i="52"/>
  <c r="K92" i="52" l="1"/>
  <c r="K93" i="52" s="1"/>
  <c r="J92" i="52"/>
  <c r="J93" i="52" s="1"/>
  <c r="G92" i="52"/>
  <c r="G93" i="52" s="1"/>
  <c r="I92" i="52"/>
  <c r="I93" i="52" s="1"/>
  <c r="P70" i="52"/>
  <c r="P42" i="52"/>
  <c r="S29" i="52"/>
  <c r="F90" i="52"/>
  <c r="Q47" i="52"/>
  <c r="Q82" i="52"/>
  <c r="Q83" i="52" s="1"/>
  <c r="O51" i="52"/>
  <c r="O92" i="52" s="1"/>
  <c r="O93" i="52" s="1"/>
  <c r="F51" i="52"/>
  <c r="F92" i="52" l="1"/>
  <c r="B318" i="52"/>
  <c r="P47" i="52"/>
  <c r="P82" i="52"/>
  <c r="S42" i="52"/>
  <c r="Q88" i="52"/>
  <c r="Q49" i="52"/>
  <c r="Q90" i="52" s="1"/>
  <c r="M318" i="52" s="1"/>
  <c r="P71" i="52"/>
  <c r="S70" i="52"/>
  <c r="Q51" i="52" l="1"/>
  <c r="Q92" i="52" s="1"/>
  <c r="Q93" i="52" s="1"/>
  <c r="F93" i="52"/>
  <c r="S71" i="52"/>
  <c r="AC69" i="52" s="1"/>
  <c r="AE69" i="52" s="1"/>
  <c r="AC68" i="52"/>
  <c r="AE68" i="52" s="1"/>
  <c r="P49" i="52"/>
  <c r="P51" i="52" s="1"/>
  <c r="P88" i="52"/>
  <c r="S88" i="52" s="1"/>
  <c r="AC86" i="52" s="1"/>
  <c r="AE86" i="52" s="1"/>
  <c r="S47" i="52"/>
  <c r="P83" i="52"/>
  <c r="S82" i="52"/>
  <c r="P92" i="52" l="1"/>
  <c r="S51" i="52"/>
  <c r="P90" i="52"/>
  <c r="S49" i="52"/>
  <c r="AC80" i="52"/>
  <c r="AE80" i="52" s="1"/>
  <c r="S83" i="52"/>
  <c r="AC81" i="52" s="1"/>
  <c r="AE81" i="52" s="1"/>
  <c r="P93" i="52" l="1"/>
  <c r="S92" i="52"/>
  <c r="L318" i="52"/>
  <c r="S90" i="52"/>
  <c r="AC88" i="52" s="1"/>
  <c r="AC90" i="52" l="1"/>
  <c r="S93" i="52"/>
  <c r="AC91" i="52" s="1"/>
  <c r="AE91" i="52" s="1"/>
  <c r="AE88" i="52"/>
  <c r="AI67" i="52"/>
  <c r="N318" i="52"/>
  <c r="AI68" i="52" l="1"/>
  <c r="AE90" i="52"/>
  <c r="Q136" i="25" l="1"/>
  <c r="P136" i="25"/>
  <c r="O136" i="25"/>
  <c r="N136" i="25"/>
  <c r="M136" i="25"/>
  <c r="L136" i="25"/>
  <c r="J136" i="25"/>
  <c r="E143" i="25"/>
  <c r="F143" i="25"/>
  <c r="F476" i="25" s="1"/>
  <c r="G143" i="25"/>
  <c r="G476" i="25" s="1"/>
  <c r="H143" i="25"/>
  <c r="H476" i="25" s="1"/>
  <c r="I143" i="25"/>
  <c r="I476" i="25" s="1"/>
  <c r="E142" i="25"/>
  <c r="F142" i="25"/>
  <c r="F475" i="25" s="1"/>
  <c r="G142" i="25"/>
  <c r="G475" i="25" s="1"/>
  <c r="H142" i="25"/>
  <c r="H475" i="25" s="1"/>
  <c r="I142" i="25"/>
  <c r="I475" i="25" s="1"/>
  <c r="M94" i="47"/>
  <c r="M95" i="47"/>
  <c r="E141" i="25"/>
  <c r="K472" i="25"/>
  <c r="L124" i="25"/>
  <c r="M124" i="25"/>
  <c r="M174" i="25" s="1"/>
  <c r="M472" i="25" s="1"/>
  <c r="N124" i="25"/>
  <c r="N174" i="25" s="1"/>
  <c r="N472" i="25" s="1"/>
  <c r="O124" i="25"/>
  <c r="O174" i="25" s="1"/>
  <c r="O472" i="25" s="1"/>
  <c r="P124" i="25"/>
  <c r="P174" i="25" s="1"/>
  <c r="P472" i="25" s="1"/>
  <c r="Q124" i="25"/>
  <c r="Q174" i="25" s="1"/>
  <c r="Q472" i="25" s="1"/>
  <c r="C69" i="60"/>
  <c r="E94" i="25"/>
  <c r="E95" i="25" s="1"/>
  <c r="E88" i="25"/>
  <c r="E131" i="25" s="1"/>
  <c r="E89" i="25"/>
  <c r="E116" i="25" s="1"/>
  <c r="E90" i="25"/>
  <c r="E117" i="25" s="1"/>
  <c r="E91" i="25"/>
  <c r="F78" i="25"/>
  <c r="G78" i="25"/>
  <c r="H78" i="25"/>
  <c r="I78" i="25"/>
  <c r="I189" i="25" s="1"/>
  <c r="F79" i="25"/>
  <c r="G79" i="25"/>
  <c r="H79" i="25"/>
  <c r="I79" i="25"/>
  <c r="F80" i="25"/>
  <c r="G80" i="25"/>
  <c r="H80" i="25"/>
  <c r="I80" i="25"/>
  <c r="F81" i="25"/>
  <c r="G81" i="25"/>
  <c r="H81" i="25"/>
  <c r="I81" i="25"/>
  <c r="F83" i="25"/>
  <c r="G83" i="25"/>
  <c r="H83" i="25"/>
  <c r="I83" i="25"/>
  <c r="F84" i="25"/>
  <c r="G84" i="25"/>
  <c r="H84" i="25"/>
  <c r="I84" i="25"/>
  <c r="F89" i="25"/>
  <c r="G89" i="25"/>
  <c r="H89" i="25"/>
  <c r="I89" i="25"/>
  <c r="F94" i="25"/>
  <c r="F95" i="25" s="1"/>
  <c r="G94" i="25"/>
  <c r="G95" i="25" s="1"/>
  <c r="H94" i="25"/>
  <c r="H95" i="25" s="1"/>
  <c r="I94" i="25"/>
  <c r="F90" i="25"/>
  <c r="F117" i="25" s="1"/>
  <c r="G90" i="25"/>
  <c r="G117" i="25" s="1"/>
  <c r="H90" i="25"/>
  <c r="H117" i="25" s="1"/>
  <c r="I90" i="25"/>
  <c r="I117" i="25" s="1"/>
  <c r="F91" i="25"/>
  <c r="G91" i="25"/>
  <c r="H91" i="25"/>
  <c r="I91" i="25"/>
  <c r="F88" i="25"/>
  <c r="F133" i="25" s="1"/>
  <c r="G88" i="25"/>
  <c r="G133" i="25" s="1"/>
  <c r="H88" i="25"/>
  <c r="H133" i="25" s="1"/>
  <c r="I88" i="25"/>
  <c r="F99" i="25"/>
  <c r="G99" i="25"/>
  <c r="H99" i="25"/>
  <c r="I99" i="25"/>
  <c r="I149" i="25" s="1"/>
  <c r="F100" i="25"/>
  <c r="G100" i="25"/>
  <c r="H100" i="25"/>
  <c r="I100" i="25"/>
  <c r="I155" i="25" s="1"/>
  <c r="G167" i="25" l="1"/>
  <c r="H164" i="25"/>
  <c r="G164" i="25"/>
  <c r="H167" i="25"/>
  <c r="H169" i="25"/>
  <c r="G169" i="25"/>
  <c r="I164" i="25"/>
  <c r="H168" i="25"/>
  <c r="I116" i="25"/>
  <c r="I165" i="25"/>
  <c r="H116" i="25"/>
  <c r="H118" i="25" s="1"/>
  <c r="AA108" i="57" s="1"/>
  <c r="H165" i="25"/>
  <c r="G116" i="25"/>
  <c r="G118" i="25" s="1"/>
  <c r="Z108" i="57" s="1"/>
  <c r="G165" i="25"/>
  <c r="F116" i="25"/>
  <c r="F118" i="25" s="1"/>
  <c r="Y108" i="57" s="1"/>
  <c r="F165" i="25"/>
  <c r="F469" i="25" s="1"/>
  <c r="F169" i="25"/>
  <c r="G168" i="25"/>
  <c r="I168" i="25"/>
  <c r="J168" i="25"/>
  <c r="I169" i="25"/>
  <c r="J169" i="25"/>
  <c r="I167" i="25"/>
  <c r="J167" i="25"/>
  <c r="E84" i="60"/>
  <c r="E83" i="60"/>
  <c r="E85" i="60"/>
  <c r="Z39" i="57"/>
  <c r="AA39" i="57"/>
  <c r="Y39" i="57"/>
  <c r="J181" i="25"/>
  <c r="J182" i="25" s="1"/>
  <c r="J183" i="25" s="1"/>
  <c r="AB22" i="57"/>
  <c r="N137" i="47"/>
  <c r="K188" i="25"/>
  <c r="K186" i="25"/>
  <c r="AD23" i="57" s="1"/>
  <c r="K187" i="25"/>
  <c r="J186" i="25"/>
  <c r="I133" i="25"/>
  <c r="J177" i="25"/>
  <c r="I478" i="25"/>
  <c r="I458" i="25"/>
  <c r="E144" i="25"/>
  <c r="I186" i="25"/>
  <c r="AB23" i="57" s="1"/>
  <c r="H186" i="25"/>
  <c r="AA23" i="57" s="1"/>
  <c r="G186" i="25"/>
  <c r="Z23" i="57" s="1"/>
  <c r="F186" i="25"/>
  <c r="Y23" i="57" s="1"/>
  <c r="E186" i="25"/>
  <c r="I118" i="25"/>
  <c r="AB108" i="57" s="1"/>
  <c r="I217" i="25"/>
  <c r="AB75" i="57" s="1"/>
  <c r="H217" i="25"/>
  <c r="G217" i="25"/>
  <c r="E118" i="25"/>
  <c r="F217" i="25"/>
  <c r="E217" i="25"/>
  <c r="I216" i="25"/>
  <c r="H216" i="25"/>
  <c r="AA46" i="57" s="1"/>
  <c r="G216" i="25"/>
  <c r="Z46" i="57" s="1"/>
  <c r="F216" i="25"/>
  <c r="Y46" i="57" s="1"/>
  <c r="E216" i="25"/>
  <c r="S186" i="25"/>
  <c r="N186" i="25"/>
  <c r="AG23" i="57" s="1"/>
  <c r="O186" i="25"/>
  <c r="AH23" i="57" s="1"/>
  <c r="L186" i="25"/>
  <c r="AE23" i="57" s="1"/>
  <c r="Q186" i="25"/>
  <c r="AJ23" i="57" s="1"/>
  <c r="P186" i="25"/>
  <c r="AI23" i="57" s="1"/>
  <c r="M186" i="25"/>
  <c r="AF23" i="57" s="1"/>
  <c r="I177" i="25"/>
  <c r="H177" i="25"/>
  <c r="G177" i="25"/>
  <c r="F177" i="25"/>
  <c r="E133" i="25"/>
  <c r="I95" i="25"/>
  <c r="E92" i="25"/>
  <c r="H131" i="25"/>
  <c r="G92" i="25"/>
  <c r="I131" i="25"/>
  <c r="H92" i="25"/>
  <c r="F92" i="25"/>
  <c r="G131" i="25"/>
  <c r="I92" i="25"/>
  <c r="M169" i="25" l="1"/>
  <c r="AC23" i="57"/>
  <c r="Z47" i="57"/>
  <c r="Z75" i="57"/>
  <c r="AA47" i="57"/>
  <c r="AA75" i="57"/>
  <c r="Y47" i="57"/>
  <c r="Y75" i="57"/>
  <c r="J223" i="25"/>
  <c r="AB47" i="57"/>
  <c r="J222" i="25"/>
  <c r="AB46" i="57"/>
  <c r="J131" i="25"/>
  <c r="J137" i="25" s="1"/>
  <c r="J138" i="25" s="1"/>
  <c r="AC88" i="57" s="1"/>
  <c r="AB39" i="57"/>
  <c r="J187" i="25"/>
  <c r="J460" i="25"/>
  <c r="J188" i="25"/>
  <c r="J457" i="25"/>
  <c r="AC103" i="57" s="1"/>
  <c r="J461" i="25"/>
  <c r="J455" i="25"/>
  <c r="J456" i="25"/>
  <c r="F131" i="25"/>
  <c r="S131" i="25" s="1"/>
  <c r="G468" i="25"/>
  <c r="I461" i="25"/>
  <c r="I456" i="25"/>
  <c r="I457" i="25"/>
  <c r="AB103" i="57" s="1"/>
  <c r="I455" i="25"/>
  <c r="F141" i="25"/>
  <c r="F144" i="25" s="1"/>
  <c r="I223" i="25"/>
  <c r="I222" i="25"/>
  <c r="H223" i="25"/>
  <c r="H222" i="25"/>
  <c r="G223" i="25"/>
  <c r="G222" i="25"/>
  <c r="F223" i="25"/>
  <c r="F222" i="25"/>
  <c r="F96" i="25"/>
  <c r="E96" i="25"/>
  <c r="G96" i="25"/>
  <c r="H96" i="25"/>
  <c r="I96" i="25"/>
  <c r="N169" i="25" l="1"/>
  <c r="Y41" i="57"/>
  <c r="Y71" i="57"/>
  <c r="Y40" i="57"/>
  <c r="F136" i="25"/>
  <c r="G141" i="25"/>
  <c r="G144" i="25" s="1"/>
  <c r="Z71" i="57" s="1"/>
  <c r="O169" i="25" l="1"/>
  <c r="Z40" i="57"/>
  <c r="Z41" i="57"/>
  <c r="G136" i="25"/>
  <c r="H141" i="25"/>
  <c r="H144" i="25" s="1"/>
  <c r="AA71" i="57" s="1"/>
  <c r="L95" i="25"/>
  <c r="P169" i="25" l="1"/>
  <c r="AA40" i="57"/>
  <c r="AA41" i="57"/>
  <c r="H136" i="25"/>
  <c r="I141" i="25"/>
  <c r="I144" i="25" s="1"/>
  <c r="AB71" i="57" s="1"/>
  <c r="S91" i="25" l="1"/>
  <c r="Q169" i="25"/>
  <c r="AB40" i="57"/>
  <c r="AB41" i="57"/>
  <c r="J141" i="25"/>
  <c r="I136" i="25"/>
  <c r="F69" i="25" l="1"/>
  <c r="B16" i="65" s="1"/>
  <c r="C132" i="47" l="1"/>
  <c r="F304" i="25"/>
  <c r="C101" i="47"/>
  <c r="C81" i="47"/>
  <c r="C80" i="47"/>
  <c r="O73" i="47"/>
  <c r="O72" i="47"/>
  <c r="O71" i="47"/>
  <c r="O69" i="47"/>
  <c r="O68" i="47"/>
  <c r="O66" i="47"/>
  <c r="O65" i="47"/>
  <c r="N67" i="47"/>
  <c r="M67" i="47"/>
  <c r="L67" i="47"/>
  <c r="K67" i="47"/>
  <c r="J67" i="47"/>
  <c r="I67" i="47"/>
  <c r="H67" i="47"/>
  <c r="G67" i="47"/>
  <c r="F67" i="47"/>
  <c r="E67" i="47"/>
  <c r="D67" i="47"/>
  <c r="C67" i="47"/>
  <c r="G180" i="43"/>
  <c r="C56" i="47"/>
  <c r="D56" i="47"/>
  <c r="E56" i="47"/>
  <c r="F56" i="47"/>
  <c r="F148" i="47" s="1"/>
  <c r="G56" i="47"/>
  <c r="G148" i="47" s="1"/>
  <c r="H56" i="47"/>
  <c r="H148" i="47" s="1"/>
  <c r="I56" i="47"/>
  <c r="I148" i="47" s="1"/>
  <c r="J56" i="47"/>
  <c r="J148" i="47" s="1"/>
  <c r="K56" i="47"/>
  <c r="K148" i="47" s="1"/>
  <c r="L56" i="47"/>
  <c r="L148" i="47" s="1"/>
  <c r="C57" i="47"/>
  <c r="D57" i="47"/>
  <c r="E57" i="47"/>
  <c r="F57" i="47"/>
  <c r="F149" i="47" s="1"/>
  <c r="G57" i="47"/>
  <c r="G149" i="47" s="1"/>
  <c r="H57" i="47"/>
  <c r="H149" i="47" s="1"/>
  <c r="I57" i="47"/>
  <c r="I149" i="47" s="1"/>
  <c r="J57" i="47"/>
  <c r="J149" i="47" s="1"/>
  <c r="K57" i="47"/>
  <c r="K149" i="47" s="1"/>
  <c r="L57" i="47"/>
  <c r="L149" i="47" s="1"/>
  <c r="M45" i="47"/>
  <c r="M137" i="47" s="1"/>
  <c r="C148" i="43"/>
  <c r="C95" i="43"/>
  <c r="C10" i="43"/>
  <c r="D148" i="47" l="1"/>
  <c r="C149" i="47"/>
  <c r="E148" i="47"/>
  <c r="C148" i="47"/>
  <c r="D149" i="47"/>
  <c r="E149" i="47"/>
  <c r="C100" i="47"/>
  <c r="N70" i="47"/>
  <c r="F70" i="47"/>
  <c r="G70" i="47"/>
  <c r="J70" i="47"/>
  <c r="D80" i="47"/>
  <c r="H70" i="47"/>
  <c r="K70" i="47"/>
  <c r="L70" i="47"/>
  <c r="C70" i="47"/>
  <c r="C82" i="47"/>
  <c r="I70" i="47"/>
  <c r="M70" i="47"/>
  <c r="D70" i="47"/>
  <c r="E70" i="47"/>
  <c r="C102" i="47"/>
  <c r="D81" i="47"/>
  <c r="O67" i="47"/>
  <c r="C104" i="47" l="1"/>
  <c r="C12" i="47"/>
  <c r="O70" i="47"/>
  <c r="H74" i="47"/>
  <c r="E80" i="47"/>
  <c r="I74" i="47"/>
  <c r="B32" i="65" s="1"/>
  <c r="C32" i="65" s="1"/>
  <c r="L74" i="47"/>
  <c r="E74" i="47"/>
  <c r="C83" i="47"/>
  <c r="F74" i="47"/>
  <c r="K74" i="47"/>
  <c r="E81" i="47"/>
  <c r="M74" i="47"/>
  <c r="D74" i="47"/>
  <c r="J74" i="47"/>
  <c r="G74" i="47"/>
  <c r="C74" i="47"/>
  <c r="N74" i="47"/>
  <c r="C103" i="47"/>
  <c r="D82" i="47"/>
  <c r="F81" i="47" l="1"/>
  <c r="F80" i="47"/>
  <c r="C105" i="47"/>
  <c r="O74" i="47"/>
  <c r="E82" i="47"/>
  <c r="C13" i="47"/>
  <c r="D83" i="47"/>
  <c r="F82" i="47" l="1"/>
  <c r="E83" i="47"/>
  <c r="I126" i="25"/>
  <c r="J123" i="25" s="1"/>
  <c r="J147" i="25"/>
  <c r="J152" i="25" l="1"/>
  <c r="F83" i="47"/>
  <c r="H215" i="25" l="1"/>
  <c r="G215" i="25"/>
  <c r="G69" i="25"/>
  <c r="C16" i="65" s="1"/>
  <c r="H69" i="25"/>
  <c r="D16" i="65" s="1"/>
  <c r="I69" i="25"/>
  <c r="E16" i="65" s="1"/>
  <c r="F60" i="25"/>
  <c r="G60" i="25"/>
  <c r="G295" i="25" s="1"/>
  <c r="H60" i="25"/>
  <c r="H295" i="25" s="1"/>
  <c r="I60" i="25"/>
  <c r="I295" i="25" s="1"/>
  <c r="F11" i="25"/>
  <c r="G11" i="25"/>
  <c r="H11" i="25"/>
  <c r="I11" i="25"/>
  <c r="F12" i="25"/>
  <c r="G12" i="25"/>
  <c r="H12" i="25"/>
  <c r="I12" i="25"/>
  <c r="F13" i="25"/>
  <c r="G13" i="25"/>
  <c r="H13" i="25"/>
  <c r="I13" i="25"/>
  <c r="F14" i="25"/>
  <c r="G14" i="25"/>
  <c r="H14" i="25"/>
  <c r="I14" i="25"/>
  <c r="C132" i="7"/>
  <c r="D132" i="7"/>
  <c r="E132" i="7"/>
  <c r="F132" i="7"/>
  <c r="F137" i="7" s="1"/>
  <c r="F144" i="7" s="1"/>
  <c r="G132" i="7"/>
  <c r="C146" i="7"/>
  <c r="D146" i="7"/>
  <c r="E146" i="7"/>
  <c r="F146" i="7"/>
  <c r="H15" i="25" s="1"/>
  <c r="G146" i="7"/>
  <c r="C150" i="7"/>
  <c r="D150" i="7"/>
  <c r="E150" i="7"/>
  <c r="F150" i="7"/>
  <c r="G150" i="7"/>
  <c r="B23" i="25"/>
  <c r="B22" i="25"/>
  <c r="B21" i="25"/>
  <c r="G20" i="25"/>
  <c r="H20" i="25"/>
  <c r="I20" i="25"/>
  <c r="J20" i="25"/>
  <c r="L20" i="25"/>
  <c r="M20" i="25"/>
  <c r="N20" i="25"/>
  <c r="O20" i="25"/>
  <c r="P20" i="25"/>
  <c r="Q20" i="25"/>
  <c r="F20" i="25"/>
  <c r="B206" i="43"/>
  <c r="C206" i="43"/>
  <c r="G206" i="43"/>
  <c r="H206" i="43"/>
  <c r="I206" i="43"/>
  <c r="J206" i="43"/>
  <c r="K206" i="43"/>
  <c r="L206" i="43"/>
  <c r="M206" i="43"/>
  <c r="N206" i="43"/>
  <c r="O206" i="43"/>
  <c r="B207" i="43"/>
  <c r="C207" i="43"/>
  <c r="D207" i="43"/>
  <c r="E207" i="43"/>
  <c r="F207" i="43"/>
  <c r="B208" i="43"/>
  <c r="C208" i="43"/>
  <c r="B209" i="43"/>
  <c r="C209" i="43"/>
  <c r="D209" i="43"/>
  <c r="E209" i="43"/>
  <c r="F209" i="43"/>
  <c r="B210" i="43"/>
  <c r="C210" i="43"/>
  <c r="D210" i="43"/>
  <c r="E210" i="43"/>
  <c r="F210" i="43"/>
  <c r="B211" i="43"/>
  <c r="C211" i="43"/>
  <c r="D211" i="43"/>
  <c r="E211" i="43"/>
  <c r="F211" i="43"/>
  <c r="B212" i="43"/>
  <c r="C212" i="43"/>
  <c r="D212" i="43"/>
  <c r="E212" i="43"/>
  <c r="F212" i="43"/>
  <c r="B213" i="43"/>
  <c r="C213" i="43"/>
  <c r="D213" i="43"/>
  <c r="E213" i="43"/>
  <c r="F213" i="43"/>
  <c r="B214" i="43"/>
  <c r="C214" i="43"/>
  <c r="D214" i="43"/>
  <c r="E214" i="43"/>
  <c r="F214" i="43"/>
  <c r="B215" i="43"/>
  <c r="C215" i="43"/>
  <c r="B216" i="43"/>
  <c r="C216" i="43"/>
  <c r="D216" i="43"/>
  <c r="E216" i="43"/>
  <c r="F216" i="43"/>
  <c r="G216" i="43"/>
  <c r="H216" i="43"/>
  <c r="B217" i="43"/>
  <c r="C217" i="43"/>
  <c r="D217" i="43"/>
  <c r="E217" i="43"/>
  <c r="F217" i="43"/>
  <c r="G217" i="43"/>
  <c r="H217" i="43"/>
  <c r="B218" i="43"/>
  <c r="C218" i="43"/>
  <c r="D218" i="43"/>
  <c r="E218" i="43"/>
  <c r="F218" i="43"/>
  <c r="G218" i="43"/>
  <c r="H218" i="43"/>
  <c r="B219" i="43"/>
  <c r="C219" i="43"/>
  <c r="D219" i="43"/>
  <c r="E219" i="43"/>
  <c r="F219" i="43"/>
  <c r="G219" i="43"/>
  <c r="H219" i="43"/>
  <c r="B220" i="43"/>
  <c r="C220" i="43"/>
  <c r="B221" i="43"/>
  <c r="C221" i="43"/>
  <c r="D221" i="43"/>
  <c r="E221" i="43"/>
  <c r="F221" i="43"/>
  <c r="B222" i="43"/>
  <c r="C222" i="43"/>
  <c r="D222" i="43"/>
  <c r="E222" i="43"/>
  <c r="F222" i="43"/>
  <c r="B223" i="43"/>
  <c r="C223" i="43"/>
  <c r="D223" i="43"/>
  <c r="E223" i="43"/>
  <c r="F223" i="43"/>
  <c r="B224" i="43"/>
  <c r="C224" i="43"/>
  <c r="B225" i="43"/>
  <c r="C225" i="43"/>
  <c r="B226" i="43"/>
  <c r="C226" i="43"/>
  <c r="D226" i="43"/>
  <c r="E226" i="43"/>
  <c r="F226" i="43"/>
  <c r="B227" i="43"/>
  <c r="C227" i="43"/>
  <c r="D227" i="43"/>
  <c r="E227" i="43"/>
  <c r="F227" i="43"/>
  <c r="B228" i="43"/>
  <c r="C228" i="43"/>
  <c r="D180" i="43"/>
  <c r="E180" i="43"/>
  <c r="E206" i="43" s="1"/>
  <c r="F180" i="43"/>
  <c r="F206" i="43" s="1"/>
  <c r="H181" i="43"/>
  <c r="H207" i="43" s="1"/>
  <c r="I181" i="43"/>
  <c r="I207" i="43" s="1"/>
  <c r="J181" i="43"/>
  <c r="J207" i="43" s="1"/>
  <c r="B66" i="65" s="1"/>
  <c r="K181" i="43"/>
  <c r="K207" i="43" s="1"/>
  <c r="L181" i="43"/>
  <c r="L207" i="43" s="1"/>
  <c r="M181" i="43"/>
  <c r="M207" i="43" s="1"/>
  <c r="N181" i="43"/>
  <c r="N207" i="43" s="1"/>
  <c r="O181" i="43"/>
  <c r="O207" i="43" s="1"/>
  <c r="D182" i="43"/>
  <c r="D208" i="43" s="1"/>
  <c r="E182" i="43"/>
  <c r="E208" i="43" s="1"/>
  <c r="F182" i="43"/>
  <c r="F208" i="43" s="1"/>
  <c r="H183" i="43"/>
  <c r="H209" i="43" s="1"/>
  <c r="I183" i="43"/>
  <c r="I209" i="43" s="1"/>
  <c r="J183" i="43"/>
  <c r="J209" i="43" s="1"/>
  <c r="K183" i="43"/>
  <c r="K209" i="43" s="1"/>
  <c r="L183" i="43"/>
  <c r="L209" i="43" s="1"/>
  <c r="M183" i="43"/>
  <c r="M209" i="43" s="1"/>
  <c r="N183" i="43"/>
  <c r="N209" i="43" s="1"/>
  <c r="O183" i="43"/>
  <c r="O209" i="43" s="1"/>
  <c r="H184" i="43"/>
  <c r="H210" i="43" s="1"/>
  <c r="I184" i="43"/>
  <c r="I210" i="43" s="1"/>
  <c r="J184" i="43"/>
  <c r="J210" i="43" s="1"/>
  <c r="K184" i="43"/>
  <c r="K210" i="43" s="1"/>
  <c r="L184" i="43"/>
  <c r="L210" i="43" s="1"/>
  <c r="M184" i="43"/>
  <c r="M210" i="43" s="1"/>
  <c r="N184" i="43"/>
  <c r="N210" i="43" s="1"/>
  <c r="O184" i="43"/>
  <c r="O210" i="43" s="1"/>
  <c r="H185" i="43"/>
  <c r="H211" i="43" s="1"/>
  <c r="I185" i="43"/>
  <c r="I211" i="43" s="1"/>
  <c r="J185" i="43"/>
  <c r="J211" i="43" s="1"/>
  <c r="K185" i="43"/>
  <c r="K211" i="43" s="1"/>
  <c r="L185" i="43"/>
  <c r="L211" i="43" s="1"/>
  <c r="M185" i="43"/>
  <c r="M211" i="43" s="1"/>
  <c r="N185" i="43"/>
  <c r="N211" i="43" s="1"/>
  <c r="O185" i="43"/>
  <c r="O211" i="43" s="1"/>
  <c r="G212" i="43"/>
  <c r="H186" i="43"/>
  <c r="H212" i="43" s="1"/>
  <c r="I186" i="43"/>
  <c r="I212" i="43" s="1"/>
  <c r="J186" i="43"/>
  <c r="J212" i="43" s="1"/>
  <c r="K186" i="43"/>
  <c r="K212" i="43" s="1"/>
  <c r="L186" i="43"/>
  <c r="L212" i="43" s="1"/>
  <c r="M186" i="43"/>
  <c r="M212" i="43" s="1"/>
  <c r="N186" i="43"/>
  <c r="N212" i="43" s="1"/>
  <c r="O186" i="43"/>
  <c r="O212" i="43" s="1"/>
  <c r="H187" i="43"/>
  <c r="H213" i="43" s="1"/>
  <c r="I187" i="43"/>
  <c r="I213" i="43" s="1"/>
  <c r="J187" i="43"/>
  <c r="J213" i="43" s="1"/>
  <c r="K187" i="43"/>
  <c r="K213" i="43" s="1"/>
  <c r="L187" i="43"/>
  <c r="L213" i="43" s="1"/>
  <c r="M187" i="43"/>
  <c r="M213" i="43" s="1"/>
  <c r="N187" i="43"/>
  <c r="N213" i="43" s="1"/>
  <c r="O187" i="43"/>
  <c r="O213" i="43" s="1"/>
  <c r="G214" i="43"/>
  <c r="H188" i="43"/>
  <c r="H214" i="43" s="1"/>
  <c r="I188" i="43"/>
  <c r="I214" i="43" s="1"/>
  <c r="J188" i="43"/>
  <c r="J214" i="43" s="1"/>
  <c r="B68" i="65" s="1"/>
  <c r="K188" i="43"/>
  <c r="K214" i="43" s="1"/>
  <c r="L188" i="43"/>
  <c r="L214" i="43" s="1"/>
  <c r="M188" i="43"/>
  <c r="M214" i="43" s="1"/>
  <c r="N188" i="43"/>
  <c r="N214" i="43" s="1"/>
  <c r="O188" i="43"/>
  <c r="O214" i="43" s="1"/>
  <c r="D189" i="43"/>
  <c r="D215" i="43" s="1"/>
  <c r="E189" i="43"/>
  <c r="E215" i="43" s="1"/>
  <c r="F189" i="43"/>
  <c r="F215" i="43" s="1"/>
  <c r="G189" i="43"/>
  <c r="G215" i="43" s="1"/>
  <c r="H189" i="43"/>
  <c r="H215" i="43" s="1"/>
  <c r="I190" i="43"/>
  <c r="I216" i="43" s="1"/>
  <c r="J190" i="43"/>
  <c r="J216" i="43" s="1"/>
  <c r="K190" i="43"/>
  <c r="K216" i="43" s="1"/>
  <c r="L190" i="43"/>
  <c r="L216" i="43" s="1"/>
  <c r="M190" i="43"/>
  <c r="M216" i="43" s="1"/>
  <c r="N190" i="43"/>
  <c r="N216" i="43" s="1"/>
  <c r="O190" i="43"/>
  <c r="O216" i="43" s="1"/>
  <c r="I191" i="43"/>
  <c r="I217" i="43" s="1"/>
  <c r="J191" i="43"/>
  <c r="J217" i="43" s="1"/>
  <c r="K191" i="43"/>
  <c r="L191" i="43"/>
  <c r="L217" i="43" s="1"/>
  <c r="M191" i="43"/>
  <c r="M217" i="43" s="1"/>
  <c r="N191" i="43"/>
  <c r="N217" i="43" s="1"/>
  <c r="O191" i="43"/>
  <c r="I192" i="43"/>
  <c r="I218" i="43" s="1"/>
  <c r="J192" i="43"/>
  <c r="J218" i="43" s="1"/>
  <c r="K192" i="43"/>
  <c r="K218" i="43" s="1"/>
  <c r="L192" i="43"/>
  <c r="L218" i="43" s="1"/>
  <c r="M192" i="43"/>
  <c r="M218" i="43" s="1"/>
  <c r="N192" i="43"/>
  <c r="N218" i="43" s="1"/>
  <c r="O192" i="43"/>
  <c r="O218" i="43" s="1"/>
  <c r="I193" i="43"/>
  <c r="I219" i="43" s="1"/>
  <c r="J193" i="43"/>
  <c r="K193" i="43"/>
  <c r="K219" i="43" s="1"/>
  <c r="L193" i="43"/>
  <c r="L219" i="43" s="1"/>
  <c r="M193" i="43"/>
  <c r="M219" i="43" s="1"/>
  <c r="N193" i="43"/>
  <c r="N219" i="43" s="1"/>
  <c r="O193" i="43"/>
  <c r="O219" i="43" s="1"/>
  <c r="D194" i="43"/>
  <c r="D220" i="43" s="1"/>
  <c r="E194" i="43"/>
  <c r="E220" i="43" s="1"/>
  <c r="F194" i="43"/>
  <c r="F220" i="43" s="1"/>
  <c r="G221" i="43"/>
  <c r="H195" i="43"/>
  <c r="H221" i="43" s="1"/>
  <c r="I195" i="43"/>
  <c r="I221" i="43" s="1"/>
  <c r="J195" i="43"/>
  <c r="J221" i="43" s="1"/>
  <c r="K195" i="43"/>
  <c r="K221" i="43" s="1"/>
  <c r="L195" i="43"/>
  <c r="L221" i="43" s="1"/>
  <c r="M195" i="43"/>
  <c r="M221" i="43" s="1"/>
  <c r="N195" i="43"/>
  <c r="N221" i="43" s="1"/>
  <c r="O195" i="43"/>
  <c r="O221" i="43" s="1"/>
  <c r="H196" i="43"/>
  <c r="H222" i="43" s="1"/>
  <c r="I196" i="43"/>
  <c r="I222" i="43" s="1"/>
  <c r="J196" i="43"/>
  <c r="J222" i="43" s="1"/>
  <c r="K196" i="43"/>
  <c r="K222" i="43" s="1"/>
  <c r="L196" i="43"/>
  <c r="L222" i="43" s="1"/>
  <c r="M196" i="43"/>
  <c r="M222" i="43" s="1"/>
  <c r="N196" i="43"/>
  <c r="N222" i="43" s="1"/>
  <c r="O196" i="43"/>
  <c r="O222" i="43" s="1"/>
  <c r="H197" i="43"/>
  <c r="H223" i="43" s="1"/>
  <c r="I197" i="43"/>
  <c r="I223" i="43" s="1"/>
  <c r="J197" i="43"/>
  <c r="J223" i="43" s="1"/>
  <c r="K197" i="43"/>
  <c r="K223" i="43" s="1"/>
  <c r="L197" i="43"/>
  <c r="L223" i="43" s="1"/>
  <c r="M197" i="43"/>
  <c r="M223" i="43" s="1"/>
  <c r="N197" i="43"/>
  <c r="N223" i="43" s="1"/>
  <c r="O197" i="43"/>
  <c r="O223" i="43" s="1"/>
  <c r="D198" i="43"/>
  <c r="D224" i="43" s="1"/>
  <c r="E198" i="43"/>
  <c r="E224" i="43" s="1"/>
  <c r="F198" i="43"/>
  <c r="F224" i="43" s="1"/>
  <c r="G198" i="43"/>
  <c r="G224" i="43" s="1"/>
  <c r="H198" i="43"/>
  <c r="H224" i="43" s="1"/>
  <c r="D199" i="43"/>
  <c r="D225" i="43" s="1"/>
  <c r="E199" i="43"/>
  <c r="E225" i="43" s="1"/>
  <c r="F199" i="43"/>
  <c r="F225" i="43" s="1"/>
  <c r="G199" i="43"/>
  <c r="G225" i="43" s="1"/>
  <c r="I199" i="43"/>
  <c r="I225" i="43" s="1"/>
  <c r="J199" i="43"/>
  <c r="J225" i="43" s="1"/>
  <c r="B72" i="65" s="1"/>
  <c r="K199" i="43"/>
  <c r="K225" i="43" s="1"/>
  <c r="L199" i="43"/>
  <c r="L225" i="43" s="1"/>
  <c r="M199" i="43"/>
  <c r="M225" i="43" s="1"/>
  <c r="N199" i="43"/>
  <c r="N225" i="43" s="1"/>
  <c r="O199" i="43"/>
  <c r="O225" i="43" s="1"/>
  <c r="H200" i="43"/>
  <c r="H226" i="43" s="1"/>
  <c r="I200" i="43"/>
  <c r="I226" i="43" s="1"/>
  <c r="J200" i="43"/>
  <c r="J226" i="43" s="1"/>
  <c r="B74" i="65" s="1"/>
  <c r="K200" i="43"/>
  <c r="K226" i="43" s="1"/>
  <c r="L200" i="43"/>
  <c r="L226" i="43" s="1"/>
  <c r="M200" i="43"/>
  <c r="M226" i="43" s="1"/>
  <c r="N200" i="43"/>
  <c r="N226" i="43" s="1"/>
  <c r="O200" i="43"/>
  <c r="O226" i="43" s="1"/>
  <c r="H201" i="43"/>
  <c r="H227" i="43" s="1"/>
  <c r="I201" i="43"/>
  <c r="I227" i="43" s="1"/>
  <c r="J201" i="43"/>
  <c r="J227" i="43" s="1"/>
  <c r="B75" i="65" s="1"/>
  <c r="K201" i="43"/>
  <c r="K227" i="43" s="1"/>
  <c r="L201" i="43"/>
  <c r="L227" i="43" s="1"/>
  <c r="M201" i="43"/>
  <c r="M227" i="43" s="1"/>
  <c r="N201" i="43"/>
  <c r="N227" i="43" s="1"/>
  <c r="O201" i="43"/>
  <c r="O227" i="43" s="1"/>
  <c r="P118" i="43"/>
  <c r="P119" i="43"/>
  <c r="D110" i="43"/>
  <c r="E110" i="43"/>
  <c r="E122" i="43" s="1"/>
  <c r="F110" i="43"/>
  <c r="G111" i="43"/>
  <c r="H111" i="43"/>
  <c r="I111" i="43"/>
  <c r="J111" i="43"/>
  <c r="K111" i="43"/>
  <c r="L111" i="43"/>
  <c r="M111" i="43"/>
  <c r="N111" i="43"/>
  <c r="O111" i="43"/>
  <c r="I112" i="43"/>
  <c r="I198" i="43" s="1"/>
  <c r="I224" i="43" s="1"/>
  <c r="J112" i="43"/>
  <c r="K112" i="43"/>
  <c r="L112" i="43"/>
  <c r="M112" i="43"/>
  <c r="N112" i="43"/>
  <c r="N198" i="43" s="1"/>
  <c r="N224" i="43" s="1"/>
  <c r="O112" i="43"/>
  <c r="O198" i="43" s="1"/>
  <c r="O224" i="43" s="1"/>
  <c r="H113" i="43"/>
  <c r="G114" i="43"/>
  <c r="H114" i="43"/>
  <c r="I114" i="43"/>
  <c r="J114" i="43"/>
  <c r="K114" i="43"/>
  <c r="L114" i="43"/>
  <c r="M114" i="43"/>
  <c r="N114" i="43"/>
  <c r="O114" i="43"/>
  <c r="G115" i="43"/>
  <c r="H115" i="43"/>
  <c r="I115" i="43"/>
  <c r="J115" i="43"/>
  <c r="K115" i="43"/>
  <c r="L115" i="43"/>
  <c r="M115" i="43"/>
  <c r="N115" i="43"/>
  <c r="O115" i="43"/>
  <c r="G116" i="43"/>
  <c r="H116" i="43"/>
  <c r="I116" i="43"/>
  <c r="J116" i="43"/>
  <c r="K116" i="43"/>
  <c r="L116" i="43"/>
  <c r="G117" i="43"/>
  <c r="H117" i="43"/>
  <c r="I117" i="43"/>
  <c r="J117" i="43"/>
  <c r="K117" i="43"/>
  <c r="L117" i="43"/>
  <c r="H120" i="43"/>
  <c r="I120" i="43"/>
  <c r="J120" i="43"/>
  <c r="K120" i="43"/>
  <c r="L120" i="43"/>
  <c r="M120" i="43"/>
  <c r="N120" i="43"/>
  <c r="O120" i="43"/>
  <c r="J121" i="43"/>
  <c r="K121" i="43"/>
  <c r="L121" i="43"/>
  <c r="M121" i="43"/>
  <c r="N121" i="43"/>
  <c r="O121" i="43"/>
  <c r="C171" i="43"/>
  <c r="C166" i="43"/>
  <c r="C160" i="43"/>
  <c r="C32" i="43"/>
  <c r="C27" i="43"/>
  <c r="C21" i="43"/>
  <c r="G62" i="43"/>
  <c r="H62" i="43"/>
  <c r="I62" i="43"/>
  <c r="J62" i="43"/>
  <c r="K62" i="43"/>
  <c r="L62" i="43"/>
  <c r="M62" i="43"/>
  <c r="N62" i="43"/>
  <c r="O62" i="43"/>
  <c r="G61" i="43"/>
  <c r="H61" i="43"/>
  <c r="I61" i="43"/>
  <c r="J61" i="43"/>
  <c r="K61" i="43"/>
  <c r="L61" i="43"/>
  <c r="M61" i="43"/>
  <c r="N61" i="43"/>
  <c r="O61" i="43"/>
  <c r="G60" i="43"/>
  <c r="H60" i="43"/>
  <c r="I60" i="43"/>
  <c r="J60" i="43"/>
  <c r="K60" i="43"/>
  <c r="L60" i="43"/>
  <c r="M60" i="43"/>
  <c r="N60" i="43"/>
  <c r="O60" i="43"/>
  <c r="G59" i="43"/>
  <c r="H59" i="43"/>
  <c r="I59" i="43"/>
  <c r="J59" i="43"/>
  <c r="K59" i="43"/>
  <c r="L59" i="43"/>
  <c r="M59" i="43"/>
  <c r="N59" i="43"/>
  <c r="O59" i="43"/>
  <c r="G58" i="43"/>
  <c r="H58" i="43"/>
  <c r="I58" i="43"/>
  <c r="J58" i="43"/>
  <c r="K58" i="43"/>
  <c r="L58" i="43"/>
  <c r="M58" i="43"/>
  <c r="N58" i="43"/>
  <c r="O58" i="43"/>
  <c r="G57" i="43"/>
  <c r="H57" i="43"/>
  <c r="I57" i="43"/>
  <c r="J57" i="43"/>
  <c r="K57" i="43"/>
  <c r="L57" i="43"/>
  <c r="M57" i="43"/>
  <c r="N57" i="43"/>
  <c r="O57" i="43"/>
  <c r="D56" i="43"/>
  <c r="E56" i="43"/>
  <c r="F56" i="43"/>
  <c r="I55" i="43"/>
  <c r="J55" i="43"/>
  <c r="K55" i="43"/>
  <c r="L55" i="43"/>
  <c r="M55" i="43"/>
  <c r="N55" i="43"/>
  <c r="O55" i="43"/>
  <c r="I54" i="43"/>
  <c r="J54" i="43"/>
  <c r="K54" i="43"/>
  <c r="L54" i="43"/>
  <c r="M54" i="43"/>
  <c r="N54" i="43"/>
  <c r="O54" i="43"/>
  <c r="I53" i="43"/>
  <c r="J53" i="43"/>
  <c r="K53" i="43"/>
  <c r="L53" i="43"/>
  <c r="M53" i="43"/>
  <c r="N53" i="43"/>
  <c r="O53" i="43"/>
  <c r="I52" i="43"/>
  <c r="J52" i="43"/>
  <c r="K52" i="43"/>
  <c r="L52" i="43"/>
  <c r="M52" i="43"/>
  <c r="N52" i="43"/>
  <c r="O52" i="43"/>
  <c r="D51" i="43"/>
  <c r="E51" i="43"/>
  <c r="F51" i="43"/>
  <c r="G51" i="43"/>
  <c r="H51" i="43"/>
  <c r="G50" i="43"/>
  <c r="H50" i="43"/>
  <c r="I50" i="43"/>
  <c r="J50" i="43"/>
  <c r="K50" i="43"/>
  <c r="L50" i="43"/>
  <c r="M50" i="43"/>
  <c r="N50" i="43"/>
  <c r="O50" i="43"/>
  <c r="G49" i="43"/>
  <c r="H49" i="43"/>
  <c r="I49" i="43"/>
  <c r="J49" i="43"/>
  <c r="K49" i="43"/>
  <c r="L49" i="43"/>
  <c r="M49" i="43"/>
  <c r="N49" i="43"/>
  <c r="O49" i="43"/>
  <c r="G48" i="43"/>
  <c r="H48" i="43"/>
  <c r="I48" i="43"/>
  <c r="J48" i="43"/>
  <c r="K48" i="43"/>
  <c r="L48" i="43"/>
  <c r="M48" i="43"/>
  <c r="N48" i="43"/>
  <c r="O48" i="43"/>
  <c r="G47" i="43"/>
  <c r="H47" i="43"/>
  <c r="I47" i="43"/>
  <c r="J47" i="43"/>
  <c r="K47" i="43"/>
  <c r="L47" i="43"/>
  <c r="M47" i="43"/>
  <c r="N47" i="43"/>
  <c r="O47" i="43"/>
  <c r="G46" i="43"/>
  <c r="H46" i="43"/>
  <c r="I46" i="43"/>
  <c r="J46" i="43"/>
  <c r="K46" i="43"/>
  <c r="L46" i="43"/>
  <c r="M46" i="43"/>
  <c r="N46" i="43"/>
  <c r="O46" i="43"/>
  <c r="G45" i="43"/>
  <c r="H45" i="43"/>
  <c r="I45" i="43"/>
  <c r="J45" i="43"/>
  <c r="K45" i="43"/>
  <c r="L45" i="43"/>
  <c r="M45" i="43"/>
  <c r="N45" i="43"/>
  <c r="O45" i="43"/>
  <c r="D44" i="43"/>
  <c r="E44" i="43"/>
  <c r="F44" i="43"/>
  <c r="G43" i="43"/>
  <c r="H43" i="43"/>
  <c r="I43" i="43"/>
  <c r="J43" i="43"/>
  <c r="K43" i="43"/>
  <c r="L43" i="43"/>
  <c r="M43" i="43"/>
  <c r="N43" i="43"/>
  <c r="O43" i="43"/>
  <c r="D42" i="43"/>
  <c r="E42" i="43"/>
  <c r="F42" i="43"/>
  <c r="G214" i="25"/>
  <c r="H214" i="25"/>
  <c r="I214" i="25"/>
  <c r="J214" i="25"/>
  <c r="K214" i="25"/>
  <c r="L214" i="25"/>
  <c r="M214" i="25"/>
  <c r="N214" i="25"/>
  <c r="O214" i="25"/>
  <c r="P214" i="25"/>
  <c r="Q214" i="25"/>
  <c r="F214" i="25"/>
  <c r="E214" i="25"/>
  <c r="I16" i="65" l="1"/>
  <c r="C166" i="7"/>
  <c r="E166" i="7" s="1"/>
  <c r="F166" i="7" s="1"/>
  <c r="C167" i="7"/>
  <c r="I304" i="25"/>
  <c r="H304" i="25"/>
  <c r="G218" i="25"/>
  <c r="Z45" i="57"/>
  <c r="H218" i="25"/>
  <c r="AA45" i="57"/>
  <c r="D132" i="47"/>
  <c r="G304" i="25"/>
  <c r="F170" i="25"/>
  <c r="F467" i="25" s="1"/>
  <c r="F295" i="25"/>
  <c r="F132" i="47"/>
  <c r="E132" i="47"/>
  <c r="I15" i="25"/>
  <c r="G137" i="7"/>
  <c r="G144" i="7" s="1"/>
  <c r="I16" i="25"/>
  <c r="H16" i="25"/>
  <c r="G16" i="25"/>
  <c r="G15" i="25"/>
  <c r="F15" i="25"/>
  <c r="G10" i="25"/>
  <c r="G23" i="25" s="1"/>
  <c r="Z29" i="57" s="1"/>
  <c r="F16" i="25"/>
  <c r="F65" i="25" s="1"/>
  <c r="C137" i="7"/>
  <c r="F215" i="25"/>
  <c r="E54" i="47"/>
  <c r="E146" i="47" s="1"/>
  <c r="N51" i="47"/>
  <c r="N143" i="47" s="1"/>
  <c r="D51" i="47"/>
  <c r="D143" i="47" s="1"/>
  <c r="D49" i="47"/>
  <c r="D141" i="47" s="1"/>
  <c r="D54" i="47"/>
  <c r="D146" i="47" s="1"/>
  <c r="M51" i="47"/>
  <c r="M143" i="47" s="1"/>
  <c r="C51" i="47"/>
  <c r="C143" i="47" s="1"/>
  <c r="C49" i="47"/>
  <c r="C141" i="47" s="1"/>
  <c r="F40" i="47"/>
  <c r="C54" i="47"/>
  <c r="C146" i="47" s="1"/>
  <c r="L51" i="47"/>
  <c r="L143" i="47" s="1"/>
  <c r="E50" i="47"/>
  <c r="E142" i="47" s="1"/>
  <c r="E40" i="47"/>
  <c r="N54" i="47"/>
  <c r="N146" i="47" s="1"/>
  <c r="M57" i="47"/>
  <c r="M149" i="47" s="1"/>
  <c r="M55" i="47"/>
  <c r="M147" i="47" s="1"/>
  <c r="J51" i="47"/>
  <c r="J143" i="47" s="1"/>
  <c r="C50" i="47"/>
  <c r="C142" i="47" s="1"/>
  <c r="N48" i="47"/>
  <c r="N140" i="47" s="1"/>
  <c r="C40" i="47"/>
  <c r="N57" i="47"/>
  <c r="N149" i="47" s="1"/>
  <c r="M54" i="47"/>
  <c r="M146" i="47" s="1"/>
  <c r="L55" i="47"/>
  <c r="L147" i="47" s="1"/>
  <c r="I51" i="47"/>
  <c r="I143" i="47" s="1"/>
  <c r="N49" i="47"/>
  <c r="N141" i="47" s="1"/>
  <c r="M48" i="47"/>
  <c r="M140" i="47" s="1"/>
  <c r="K55" i="47"/>
  <c r="K147" i="47" s="1"/>
  <c r="H51" i="47"/>
  <c r="H143" i="47" s="1"/>
  <c r="M49" i="47"/>
  <c r="M141" i="47" s="1"/>
  <c r="L48" i="47"/>
  <c r="L140" i="47" s="1"/>
  <c r="N55" i="47"/>
  <c r="N147" i="47" s="1"/>
  <c r="J55" i="47"/>
  <c r="J147" i="47" s="1"/>
  <c r="G51" i="47"/>
  <c r="G143" i="47" s="1"/>
  <c r="L49" i="47"/>
  <c r="L141" i="47" s="1"/>
  <c r="K48" i="47"/>
  <c r="K140" i="47" s="1"/>
  <c r="D40" i="47"/>
  <c r="I55" i="47"/>
  <c r="I147" i="47" s="1"/>
  <c r="F51" i="47"/>
  <c r="F143" i="47" s="1"/>
  <c r="K49" i="47"/>
  <c r="K141" i="47" s="1"/>
  <c r="J48" i="47"/>
  <c r="J140" i="47" s="1"/>
  <c r="H55" i="47"/>
  <c r="H147" i="47" s="1"/>
  <c r="J49" i="47"/>
  <c r="J141" i="47" s="1"/>
  <c r="I48" i="47"/>
  <c r="I140" i="47" s="1"/>
  <c r="H54" i="47"/>
  <c r="H146" i="47" s="1"/>
  <c r="F55" i="47"/>
  <c r="F147" i="47" s="1"/>
  <c r="I49" i="47"/>
  <c r="I141" i="47" s="1"/>
  <c r="H48" i="47"/>
  <c r="H140" i="47" s="1"/>
  <c r="N56" i="47"/>
  <c r="N148" i="47" s="1"/>
  <c r="E55" i="47"/>
  <c r="G52" i="47"/>
  <c r="G144" i="47" s="1"/>
  <c r="H49" i="47"/>
  <c r="H141" i="47" s="1"/>
  <c r="G48" i="47"/>
  <c r="G140" i="47" s="1"/>
  <c r="D50" i="47"/>
  <c r="D142" i="47" s="1"/>
  <c r="M56" i="47"/>
  <c r="M148" i="47" s="1"/>
  <c r="D55" i="47"/>
  <c r="E53" i="47"/>
  <c r="E145" i="47" s="1"/>
  <c r="F52" i="47"/>
  <c r="F144" i="47" s="1"/>
  <c r="G49" i="47"/>
  <c r="G141" i="47" s="1"/>
  <c r="F48" i="47"/>
  <c r="F140" i="47" s="1"/>
  <c r="C55" i="47"/>
  <c r="D53" i="47"/>
  <c r="D145" i="47" s="1"/>
  <c r="E52" i="47"/>
  <c r="E144" i="47" s="1"/>
  <c r="E48" i="47"/>
  <c r="E140" i="47" s="1"/>
  <c r="K51" i="47"/>
  <c r="K143" i="47" s="1"/>
  <c r="G54" i="47"/>
  <c r="G146" i="47" s="1"/>
  <c r="C53" i="47"/>
  <c r="C145" i="47" s="1"/>
  <c r="D52" i="47"/>
  <c r="D144" i="47" s="1"/>
  <c r="D48" i="47"/>
  <c r="D140" i="47" s="1"/>
  <c r="F54" i="47"/>
  <c r="F146" i="47" s="1"/>
  <c r="C52" i="47"/>
  <c r="C144" i="47" s="1"/>
  <c r="E51" i="47"/>
  <c r="E143" i="47" s="1"/>
  <c r="E49" i="47"/>
  <c r="E141" i="47" s="1"/>
  <c r="F10" i="25"/>
  <c r="F21" i="25" s="1"/>
  <c r="Y27" i="57" s="1"/>
  <c r="P84" i="25"/>
  <c r="Q84" i="25"/>
  <c r="M84" i="25"/>
  <c r="N84" i="25"/>
  <c r="O84" i="25"/>
  <c r="I101" i="25"/>
  <c r="I82" i="25"/>
  <c r="I85" i="25" s="1"/>
  <c r="H101" i="25"/>
  <c r="H82" i="25"/>
  <c r="H85" i="25" s="1"/>
  <c r="G101" i="25"/>
  <c r="G82" i="25"/>
  <c r="G85" i="25" s="1"/>
  <c r="F101" i="25"/>
  <c r="F82" i="25"/>
  <c r="F85" i="25" s="1"/>
  <c r="E137" i="7"/>
  <c r="D137" i="7"/>
  <c r="I10" i="25"/>
  <c r="H10" i="25"/>
  <c r="F153" i="7"/>
  <c r="H199" i="43"/>
  <c r="H225" i="43" s="1"/>
  <c r="G55" i="47" s="1"/>
  <c r="G147" i="47" s="1"/>
  <c r="G194" i="43"/>
  <c r="G220" i="43" s="1"/>
  <c r="P191" i="43"/>
  <c r="P217" i="43" s="1"/>
  <c r="P187" i="43"/>
  <c r="P213" i="43" s="1"/>
  <c r="P181" i="43"/>
  <c r="P207" i="43" s="1"/>
  <c r="P180" i="43"/>
  <c r="P206" i="43" s="1"/>
  <c r="J194" i="43"/>
  <c r="J220" i="43" s="1"/>
  <c r="B70" i="65" s="1"/>
  <c r="N194" i="43"/>
  <c r="N220" i="43" s="1"/>
  <c r="M194" i="43"/>
  <c r="M220" i="43" s="1"/>
  <c r="P183" i="43"/>
  <c r="P209" i="43" s="1"/>
  <c r="P197" i="43"/>
  <c r="P223" i="43" s="1"/>
  <c r="P185" i="43"/>
  <c r="P211" i="43" s="1"/>
  <c r="P195" i="43"/>
  <c r="P221" i="43" s="1"/>
  <c r="P192" i="43"/>
  <c r="P218" i="43" s="1"/>
  <c r="P186" i="43"/>
  <c r="P212" i="43" s="1"/>
  <c r="P193" i="43"/>
  <c r="P219" i="43" s="1"/>
  <c r="P201" i="43"/>
  <c r="P227" i="43" s="1"/>
  <c r="G222" i="43"/>
  <c r="J219" i="43"/>
  <c r="P190" i="43"/>
  <c r="P216" i="43" s="1"/>
  <c r="P184" i="43"/>
  <c r="P210" i="43" s="1"/>
  <c r="G223" i="43"/>
  <c r="G207" i="43"/>
  <c r="L194" i="43"/>
  <c r="L220" i="43" s="1"/>
  <c r="O189" i="43"/>
  <c r="O215" i="43" s="1"/>
  <c r="K217" i="43"/>
  <c r="N182" i="43"/>
  <c r="N208" i="43" s="1"/>
  <c r="O217" i="43"/>
  <c r="G209" i="43"/>
  <c r="D206" i="43"/>
  <c r="O194" i="43"/>
  <c r="O220" i="43" s="1"/>
  <c r="P200" i="43"/>
  <c r="P226" i="43" s="1"/>
  <c r="G226" i="43"/>
  <c r="G210" i="43"/>
  <c r="G213" i="43"/>
  <c r="P188" i="43"/>
  <c r="P214" i="43" s="1"/>
  <c r="I194" i="43"/>
  <c r="I220" i="43" s="1"/>
  <c r="L182" i="43"/>
  <c r="L208" i="43" s="1"/>
  <c r="G227" i="43"/>
  <c r="G211" i="43"/>
  <c r="F122" i="43"/>
  <c r="P110" i="43"/>
  <c r="M182" i="43"/>
  <c r="M208" i="43" s="1"/>
  <c r="H182" i="43"/>
  <c r="N189" i="43"/>
  <c r="N215" i="43" s="1"/>
  <c r="O182" i="43"/>
  <c r="O208" i="43" s="1"/>
  <c r="M189" i="43"/>
  <c r="M215" i="43" s="1"/>
  <c r="G182" i="43"/>
  <c r="H194" i="43"/>
  <c r="L189" i="43"/>
  <c r="L215" i="43" s="1"/>
  <c r="F202" i="43"/>
  <c r="F228" i="43" s="1"/>
  <c r="J198" i="43"/>
  <c r="K189" i="43"/>
  <c r="K215" i="43" s="1"/>
  <c r="E202" i="43"/>
  <c r="E228" i="43" s="1"/>
  <c r="K182" i="43"/>
  <c r="K208" i="43" s="1"/>
  <c r="I182" i="43"/>
  <c r="J189" i="43"/>
  <c r="J215" i="43" s="1"/>
  <c r="B69" i="65" s="1"/>
  <c r="D202" i="43"/>
  <c r="D228" i="43" s="1"/>
  <c r="J182" i="43"/>
  <c r="I189" i="43"/>
  <c r="K194" i="43"/>
  <c r="K220" i="43" s="1"/>
  <c r="C175" i="43"/>
  <c r="P196" i="43"/>
  <c r="P222" i="43" s="1"/>
  <c r="M198" i="43"/>
  <c r="M224" i="43" s="1"/>
  <c r="L198" i="43"/>
  <c r="L224" i="43" s="1"/>
  <c r="P113" i="43"/>
  <c r="K198" i="43"/>
  <c r="K224" i="43" s="1"/>
  <c r="P116" i="43"/>
  <c r="P114" i="43"/>
  <c r="P111" i="43"/>
  <c r="P120" i="43"/>
  <c r="P121" i="43"/>
  <c r="P115" i="43"/>
  <c r="P117" i="43"/>
  <c r="O122" i="43"/>
  <c r="H122" i="43"/>
  <c r="K122" i="43"/>
  <c r="J122" i="43"/>
  <c r="I122" i="43"/>
  <c r="K22" i="25" s="1"/>
  <c r="AD28" i="57" s="1"/>
  <c r="N122" i="43"/>
  <c r="M122" i="43"/>
  <c r="L122" i="43"/>
  <c r="P112" i="43"/>
  <c r="G122" i="43"/>
  <c r="D122" i="43"/>
  <c r="C37" i="43"/>
  <c r="P42" i="43"/>
  <c r="P50" i="43"/>
  <c r="P45" i="43"/>
  <c r="M51" i="43"/>
  <c r="P47" i="43"/>
  <c r="L51" i="43"/>
  <c r="P58" i="43"/>
  <c r="H56" i="43"/>
  <c r="K51" i="43"/>
  <c r="I56" i="43"/>
  <c r="P59" i="43"/>
  <c r="P55" i="43"/>
  <c r="P60" i="43"/>
  <c r="P53" i="43"/>
  <c r="K56" i="43"/>
  <c r="J56" i="43"/>
  <c r="P46" i="43"/>
  <c r="E63" i="43"/>
  <c r="L44" i="43"/>
  <c r="G56" i="43"/>
  <c r="D63" i="43"/>
  <c r="P61" i="43"/>
  <c r="K44" i="43"/>
  <c r="P48" i="43"/>
  <c r="O56" i="43"/>
  <c r="J44" i="43"/>
  <c r="J51" i="43"/>
  <c r="N56" i="43"/>
  <c r="P49" i="43"/>
  <c r="O51" i="43"/>
  <c r="M44" i="43"/>
  <c r="P54" i="43"/>
  <c r="I44" i="43"/>
  <c r="I51" i="43"/>
  <c r="M56" i="43"/>
  <c r="N44" i="43"/>
  <c r="L56" i="43"/>
  <c r="O44" i="43"/>
  <c r="H44" i="43"/>
  <c r="G44" i="43"/>
  <c r="N51" i="43"/>
  <c r="F63" i="43"/>
  <c r="P43" i="43"/>
  <c r="P62" i="43"/>
  <c r="P57" i="43"/>
  <c r="P52" i="43"/>
  <c r="H221" i="25"/>
  <c r="N16" i="7"/>
  <c r="O8" i="7"/>
  <c r="P8" i="7" s="1"/>
  <c r="Q8" i="7" s="1"/>
  <c r="O7" i="7"/>
  <c r="P7" i="7" s="1"/>
  <c r="Q7" i="7" s="1"/>
  <c r="O9" i="7"/>
  <c r="P9" i="7" s="1"/>
  <c r="Q9" i="7" s="1"/>
  <c r="Q16" i="7" s="1"/>
  <c r="H6" i="7"/>
  <c r="C75" i="8"/>
  <c r="C70" i="8"/>
  <c r="C65" i="8"/>
  <c r="C57" i="8"/>
  <c r="C52" i="8"/>
  <c r="C47" i="8"/>
  <c r="N15" i="7"/>
  <c r="N14" i="7"/>
  <c r="C55" i="7"/>
  <c r="C40" i="7"/>
  <c r="C48" i="7"/>
  <c r="C44" i="7"/>
  <c r="Y45" i="57" l="1"/>
  <c r="F300" i="25"/>
  <c r="E167" i="7"/>
  <c r="F167" i="7" s="1"/>
  <c r="AA48" i="57"/>
  <c r="AA79" i="57"/>
  <c r="Z48" i="57"/>
  <c r="Z79" i="57"/>
  <c r="G51" i="25"/>
  <c r="C6" i="65" s="1"/>
  <c r="G21" i="25"/>
  <c r="Z27" i="57" s="1"/>
  <c r="E144" i="7"/>
  <c r="G22" i="25"/>
  <c r="Z28" i="57" s="1"/>
  <c r="C144" i="7"/>
  <c r="E147" i="47"/>
  <c r="D147" i="47"/>
  <c r="C147" i="47"/>
  <c r="H224" i="25"/>
  <c r="H228" i="25" s="1"/>
  <c r="G221" i="25"/>
  <c r="F218" i="25"/>
  <c r="L54" i="47"/>
  <c r="L146" i="47" s="1"/>
  <c r="F53" i="47"/>
  <c r="F145" i="47" s="1"/>
  <c r="J53" i="47"/>
  <c r="J145" i="47" s="1"/>
  <c r="N50" i="47"/>
  <c r="N142" i="47" s="1"/>
  <c r="O56" i="47"/>
  <c r="O148" i="47" s="1"/>
  <c r="M52" i="47"/>
  <c r="M144" i="47" s="1"/>
  <c r="N53" i="47"/>
  <c r="N145" i="47" s="1"/>
  <c r="C48" i="47"/>
  <c r="C140" i="47" s="1"/>
  <c r="C58" i="47"/>
  <c r="D26" i="62" s="1"/>
  <c r="D27" i="62" s="1"/>
  <c r="L50" i="47"/>
  <c r="L142" i="47" s="1"/>
  <c r="I52" i="47"/>
  <c r="I144" i="47" s="1"/>
  <c r="M50" i="47"/>
  <c r="M142" i="47" s="1"/>
  <c r="J50" i="47"/>
  <c r="J142" i="47" s="1"/>
  <c r="D58" i="47"/>
  <c r="E26" i="62" s="1"/>
  <c r="E27" i="62" s="1"/>
  <c r="N52" i="47"/>
  <c r="N144" i="47" s="1"/>
  <c r="L53" i="47"/>
  <c r="L145" i="47" s="1"/>
  <c r="J52" i="47"/>
  <c r="J144" i="47" s="1"/>
  <c r="K53" i="47"/>
  <c r="K145" i="47" s="1"/>
  <c r="M53" i="47"/>
  <c r="M145" i="47" s="1"/>
  <c r="L52" i="47"/>
  <c r="L144" i="47" s="1"/>
  <c r="F49" i="47"/>
  <c r="F141" i="47" s="1"/>
  <c r="I53" i="47"/>
  <c r="I145" i="47" s="1"/>
  <c r="J54" i="47"/>
  <c r="J146" i="47" s="1"/>
  <c r="E58" i="47"/>
  <c r="F26" i="62" s="1"/>
  <c r="F27" i="62" s="1"/>
  <c r="K50" i="47"/>
  <c r="K142" i="47" s="1"/>
  <c r="O48" i="47"/>
  <c r="O140" i="47" s="1"/>
  <c r="O57" i="47"/>
  <c r="O149" i="47" s="1"/>
  <c r="K52" i="47"/>
  <c r="K144" i="47" s="1"/>
  <c r="H53" i="47"/>
  <c r="H145" i="47" s="1"/>
  <c r="O49" i="47"/>
  <c r="O141" i="47" s="1"/>
  <c r="K54" i="47"/>
  <c r="K146" i="47" s="1"/>
  <c r="O51" i="47"/>
  <c r="O143" i="47" s="1"/>
  <c r="F22" i="25"/>
  <c r="Y28" i="57" s="1"/>
  <c r="F23" i="25"/>
  <c r="Y29" i="57" s="1"/>
  <c r="D144" i="7"/>
  <c r="I22" i="25"/>
  <c r="AB28" i="57" s="1"/>
  <c r="I23" i="25"/>
  <c r="AB29" i="57" s="1"/>
  <c r="I21" i="25"/>
  <c r="AB27" i="57" s="1"/>
  <c r="H23" i="25"/>
  <c r="AA29" i="57" s="1"/>
  <c r="H22" i="25"/>
  <c r="AA28" i="57" s="1"/>
  <c r="H21" i="25"/>
  <c r="AA27" i="57" s="1"/>
  <c r="F155" i="7"/>
  <c r="G153" i="7"/>
  <c r="O22" i="25"/>
  <c r="P22" i="25"/>
  <c r="L22" i="25"/>
  <c r="N22" i="25"/>
  <c r="M22" i="25"/>
  <c r="Q22" i="25"/>
  <c r="J22" i="25"/>
  <c r="AC28" i="57" s="1"/>
  <c r="P199" i="43"/>
  <c r="P225" i="43" s="1"/>
  <c r="O202" i="43"/>
  <c r="P194" i="43"/>
  <c r="P220" i="43" s="1"/>
  <c r="H220" i="43"/>
  <c r="N202" i="43"/>
  <c r="G202" i="43"/>
  <c r="G228" i="43" s="1"/>
  <c r="G208" i="43"/>
  <c r="J202" i="43"/>
  <c r="J208" i="43"/>
  <c r="B67" i="65" s="1"/>
  <c r="H202" i="43"/>
  <c r="H208" i="43"/>
  <c r="P189" i="43"/>
  <c r="P215" i="43" s="1"/>
  <c r="I215" i="43"/>
  <c r="I202" i="43"/>
  <c r="I208" i="43"/>
  <c r="P198" i="43"/>
  <c r="P224" i="43" s="1"/>
  <c r="J224" i="43"/>
  <c r="B71" i="65" s="1"/>
  <c r="P182" i="43"/>
  <c r="K202" i="43"/>
  <c r="M23" i="25" s="1"/>
  <c r="L202" i="43"/>
  <c r="M202" i="43"/>
  <c r="P122" i="43"/>
  <c r="J63" i="43"/>
  <c r="I63" i="43"/>
  <c r="K21" i="25" s="1"/>
  <c r="AD27" i="57" s="1"/>
  <c r="M63" i="43"/>
  <c r="P56" i="43"/>
  <c r="P51" i="43"/>
  <c r="P44" i="43"/>
  <c r="H63" i="43"/>
  <c r="K63" i="43"/>
  <c r="L63" i="43"/>
  <c r="O63" i="43"/>
  <c r="G63" i="43"/>
  <c r="N63" i="43"/>
  <c r="O16" i="7"/>
  <c r="P16" i="7"/>
  <c r="O14" i="7"/>
  <c r="H170" i="25"/>
  <c r="G170" i="25"/>
  <c r="H166" i="25"/>
  <c r="H470" i="25" s="1"/>
  <c r="G166" i="25"/>
  <c r="G470" i="25" s="1"/>
  <c r="H469" i="25"/>
  <c r="B73" i="65" l="1"/>
  <c r="B76" i="65" s="1"/>
  <c r="C66" i="65" s="1"/>
  <c r="H467" i="25"/>
  <c r="H174" i="25"/>
  <c r="G467" i="25"/>
  <c r="G174" i="25"/>
  <c r="C168" i="7"/>
  <c r="E168" i="7" s="1"/>
  <c r="F168" i="7" s="1"/>
  <c r="Y48" i="57"/>
  <c r="Y79" i="57"/>
  <c r="AJ28" i="57"/>
  <c r="AF29" i="57"/>
  <c r="AE28" i="57"/>
  <c r="AF28" i="57"/>
  <c r="AI28" i="57"/>
  <c r="AG28" i="57"/>
  <c r="AH28" i="57"/>
  <c r="D122" i="47"/>
  <c r="G286" i="25"/>
  <c r="G233" i="25"/>
  <c r="Z33" i="57" s="1"/>
  <c r="D30" i="47"/>
  <c r="E17" i="62" s="1"/>
  <c r="F51" i="25"/>
  <c r="B6" i="65" s="1"/>
  <c r="H51" i="25"/>
  <c r="D6" i="65" s="1"/>
  <c r="I51" i="25"/>
  <c r="E6" i="65" s="1"/>
  <c r="C153" i="7"/>
  <c r="E153" i="7"/>
  <c r="D150" i="47"/>
  <c r="C150" i="47"/>
  <c r="E150" i="47"/>
  <c r="G469" i="25"/>
  <c r="G224" i="25"/>
  <c r="G228" i="25" s="1"/>
  <c r="H50" i="47"/>
  <c r="H142" i="47" s="1"/>
  <c r="O52" i="47"/>
  <c r="O144" i="47" s="1"/>
  <c r="G50" i="47"/>
  <c r="G142" i="47" s="1"/>
  <c r="I50" i="47"/>
  <c r="I142" i="47" s="1"/>
  <c r="F50" i="47"/>
  <c r="F142" i="47" s="1"/>
  <c r="F58" i="47"/>
  <c r="H52" i="47"/>
  <c r="H144" i="47" s="1"/>
  <c r="G53" i="47"/>
  <c r="G145" i="47" s="1"/>
  <c r="O53" i="47"/>
  <c r="O145" i="47" s="1"/>
  <c r="I54" i="47"/>
  <c r="I146" i="47" s="1"/>
  <c r="O55" i="47"/>
  <c r="O147" i="47" s="1"/>
  <c r="O54" i="47"/>
  <c r="O146" i="47" s="1"/>
  <c r="D153" i="7"/>
  <c r="G155" i="7"/>
  <c r="S22" i="25"/>
  <c r="T22" i="25" s="1"/>
  <c r="O21" i="25"/>
  <c r="P21" i="25"/>
  <c r="Q21" i="25"/>
  <c r="L21" i="25"/>
  <c r="N21" i="25"/>
  <c r="M228" i="43"/>
  <c r="O23" i="25"/>
  <c r="N228" i="43"/>
  <c r="P23" i="25"/>
  <c r="AI29" i="57" s="1"/>
  <c r="L228" i="43"/>
  <c r="N23" i="25"/>
  <c r="AG29" i="57" s="1"/>
  <c r="J228" i="43"/>
  <c r="B77" i="65" s="1"/>
  <c r="L23" i="25"/>
  <c r="M21" i="25"/>
  <c r="AF27" i="57" s="1"/>
  <c r="O228" i="43"/>
  <c r="Q23" i="25"/>
  <c r="I228" i="43"/>
  <c r="H228" i="43"/>
  <c r="J51" i="25"/>
  <c r="F6" i="65" s="1"/>
  <c r="J21" i="25"/>
  <c r="AC27" i="57" s="1"/>
  <c r="P208" i="43"/>
  <c r="P202" i="43"/>
  <c r="K228" i="43"/>
  <c r="P63" i="43"/>
  <c r="C76" i="65" l="1"/>
  <c r="C75" i="65"/>
  <c r="C74" i="65"/>
  <c r="C73" i="65"/>
  <c r="C72" i="65"/>
  <c r="C71" i="65"/>
  <c r="C70" i="65"/>
  <c r="C69" i="65"/>
  <c r="C68" i="65"/>
  <c r="C67" i="65"/>
  <c r="I6" i="65"/>
  <c r="E18" i="62"/>
  <c r="H35" i="60"/>
  <c r="I35" i="60" s="1"/>
  <c r="D35" i="60"/>
  <c r="D8" i="47"/>
  <c r="D100" i="47" s="1"/>
  <c r="D54" i="62"/>
  <c r="F150" i="47"/>
  <c r="G26" i="62"/>
  <c r="G27" i="62" s="1"/>
  <c r="J286" i="25"/>
  <c r="AJ29" i="57"/>
  <c r="AH27" i="57"/>
  <c r="AE29" i="57"/>
  <c r="AH29" i="57"/>
  <c r="AG27" i="57"/>
  <c r="AE27" i="57"/>
  <c r="AJ27" i="57"/>
  <c r="AI27" i="57"/>
  <c r="F122" i="47"/>
  <c r="I286" i="25"/>
  <c r="E122" i="47"/>
  <c r="H286" i="25"/>
  <c r="C122" i="47"/>
  <c r="F286" i="25"/>
  <c r="E30" i="47"/>
  <c r="F17" i="62" s="1"/>
  <c r="H233" i="25"/>
  <c r="AA33" i="57" s="1"/>
  <c r="M51" i="25" a="1"/>
  <c r="M51" i="25" s="1"/>
  <c r="D10" i="64" s="1"/>
  <c r="F30" i="47"/>
  <c r="G17" i="62" s="1"/>
  <c r="N51" i="25" a="1"/>
  <c r="N51" i="25" s="1"/>
  <c r="P51" i="25" a="1"/>
  <c r="P51" i="25" s="1"/>
  <c r="C30" i="47"/>
  <c r="I233" i="25"/>
  <c r="AB33" i="57" s="1"/>
  <c r="O51" i="25" a="1"/>
  <c r="O51" i="25" s="1"/>
  <c r="Q51" i="25" a="1"/>
  <c r="Q51" i="25" s="1"/>
  <c r="G122" i="47"/>
  <c r="E155" i="7"/>
  <c r="C155" i="7"/>
  <c r="G459" i="25"/>
  <c r="F103" i="25"/>
  <c r="F105" i="25" s="1"/>
  <c r="G103" i="25"/>
  <c r="G105" i="25" s="1"/>
  <c r="I103" i="25"/>
  <c r="I105" i="25" s="1"/>
  <c r="H103" i="25"/>
  <c r="H105" i="25" s="1"/>
  <c r="N58" i="47"/>
  <c r="O26" i="62" s="1"/>
  <c r="O27" i="62" s="1"/>
  <c r="I58" i="47"/>
  <c r="J26" i="62" s="1"/>
  <c r="J27" i="62" s="1"/>
  <c r="J58" i="47"/>
  <c r="K26" i="62" s="1"/>
  <c r="K27" i="62" s="1"/>
  <c r="K58" i="47"/>
  <c r="L26" i="62" s="1"/>
  <c r="L27" i="62" s="1"/>
  <c r="O50" i="47"/>
  <c r="O142" i="47" s="1"/>
  <c r="M58" i="47"/>
  <c r="N26" i="62" s="1"/>
  <c r="N27" i="62" s="1"/>
  <c r="G58" i="47"/>
  <c r="L58" i="47"/>
  <c r="M26" i="62" s="1"/>
  <c r="M27" i="62" s="1"/>
  <c r="G30" i="47"/>
  <c r="H17" i="62" s="1"/>
  <c r="H30" i="47"/>
  <c r="I17" i="62" s="1"/>
  <c r="H54" i="62" s="1"/>
  <c r="H58" i="47"/>
  <c r="I26" i="62" s="1"/>
  <c r="I27" i="62" s="1"/>
  <c r="D155" i="7"/>
  <c r="S23" i="25"/>
  <c r="T23" i="25" s="1"/>
  <c r="S21" i="25"/>
  <c r="T21" i="25" s="1"/>
  <c r="P228" i="43"/>
  <c r="D17" i="62" l="1"/>
  <c r="C54" i="62" s="1"/>
  <c r="D18" i="62"/>
  <c r="D34" i="60"/>
  <c r="H34" i="60"/>
  <c r="H18" i="62"/>
  <c r="D38" i="60"/>
  <c r="H38" i="60"/>
  <c r="I38" i="60" s="1"/>
  <c r="E35" i="60"/>
  <c r="F35" i="60"/>
  <c r="F18" i="62"/>
  <c r="H36" i="60"/>
  <c r="I36" i="60" s="1"/>
  <c r="D36" i="60"/>
  <c r="G18" i="62"/>
  <c r="D37" i="60"/>
  <c r="H37" i="60"/>
  <c r="I37" i="60" s="1"/>
  <c r="G54" i="62"/>
  <c r="C110" i="47"/>
  <c r="D110" i="47"/>
  <c r="E110" i="47"/>
  <c r="F110" i="47"/>
  <c r="G110" i="47"/>
  <c r="H110" i="47"/>
  <c r="C18" i="47"/>
  <c r="E18" i="47"/>
  <c r="F18" i="47"/>
  <c r="G18" i="47"/>
  <c r="D18" i="47"/>
  <c r="H18" i="47"/>
  <c r="C9" i="60"/>
  <c r="C65" i="60"/>
  <c r="C73" i="60" s="1"/>
  <c r="D73" i="60" s="1"/>
  <c r="E73" i="60" s="1"/>
  <c r="F73" i="60" s="1"/>
  <c r="C67" i="60"/>
  <c r="B74" i="60" s="1"/>
  <c r="C169" i="7"/>
  <c r="E169" i="7" s="1"/>
  <c r="F169" i="7" s="1"/>
  <c r="E19" i="62"/>
  <c r="E20" i="62"/>
  <c r="F54" i="62"/>
  <c r="E54" i="62"/>
  <c r="H12" i="62"/>
  <c r="H26" i="62"/>
  <c r="K150" i="47"/>
  <c r="L12" i="62"/>
  <c r="N150" i="47"/>
  <c r="O12" i="62"/>
  <c r="J150" i="47"/>
  <c r="K12" i="62"/>
  <c r="I150" i="47"/>
  <c r="J12" i="62"/>
  <c r="B33" i="65" s="1"/>
  <c r="M150" i="47"/>
  <c r="N12" i="62"/>
  <c r="H150" i="47"/>
  <c r="I12" i="62"/>
  <c r="L150" i="47"/>
  <c r="M12" i="62"/>
  <c r="G150" i="47"/>
  <c r="Q79" i="25"/>
  <c r="Q286" i="25"/>
  <c r="L286" i="25"/>
  <c r="K122" i="47"/>
  <c r="N286" i="25"/>
  <c r="P286" i="25"/>
  <c r="O286" i="25"/>
  <c r="M79" i="25"/>
  <c r="M286" i="25"/>
  <c r="J122" i="47"/>
  <c r="J30" i="47"/>
  <c r="N79" i="25"/>
  <c r="O79" i="25"/>
  <c r="M30" i="47"/>
  <c r="M122" i="47"/>
  <c r="P79" i="25"/>
  <c r="K30" i="47"/>
  <c r="N122" i="47"/>
  <c r="L122" i="47"/>
  <c r="L30" i="47"/>
  <c r="N30" i="47"/>
  <c r="I30" i="47"/>
  <c r="I18" i="47" s="1"/>
  <c r="I122" i="47"/>
  <c r="I110" i="47" s="1"/>
  <c r="F8" i="47"/>
  <c r="E8" i="47"/>
  <c r="E100" i="47"/>
  <c r="F100" i="47"/>
  <c r="O58" i="47"/>
  <c r="H126" i="25"/>
  <c r="Q7" i="25"/>
  <c r="P7" i="25"/>
  <c r="O7" i="25"/>
  <c r="N7" i="25"/>
  <c r="M7" i="25"/>
  <c r="L7" i="25"/>
  <c r="K7" i="25"/>
  <c r="K72" i="25" s="1"/>
  <c r="J7" i="25"/>
  <c r="I7" i="25"/>
  <c r="I248" i="25" s="1"/>
  <c r="H7" i="25"/>
  <c r="H248" i="25" s="1"/>
  <c r="G7" i="25"/>
  <c r="G248" i="25" s="1"/>
  <c r="F7" i="25"/>
  <c r="F248" i="25" s="1"/>
  <c r="E7" i="25"/>
  <c r="E248" i="25" s="1"/>
  <c r="Q135" i="25"/>
  <c r="Q367" i="25" s="1"/>
  <c r="P135" i="25"/>
  <c r="P367" i="25" s="1"/>
  <c r="O135" i="25"/>
  <c r="O367" i="25" s="1"/>
  <c r="N135" i="25"/>
  <c r="N367" i="25" s="1"/>
  <c r="M135" i="25"/>
  <c r="M367" i="25" s="1"/>
  <c r="L135" i="25"/>
  <c r="L367" i="25" s="1"/>
  <c r="K367" i="25"/>
  <c r="J135" i="25"/>
  <c r="I135" i="25"/>
  <c r="I367" i="25" s="1"/>
  <c r="H135" i="25"/>
  <c r="H367" i="25" s="1"/>
  <c r="G135" i="25"/>
  <c r="G367" i="25" s="1"/>
  <c r="F135" i="25"/>
  <c r="I374" i="25"/>
  <c r="H374" i="25"/>
  <c r="G374" i="25"/>
  <c r="F374" i="25"/>
  <c r="E6" i="25"/>
  <c r="Q12" i="25"/>
  <c r="P12" i="25"/>
  <c r="O12" i="25"/>
  <c r="N12" i="25"/>
  <c r="M12" i="25"/>
  <c r="S141" i="25"/>
  <c r="G50" i="25"/>
  <c r="C5" i="65" s="1"/>
  <c r="C47" i="65" s="1"/>
  <c r="H50" i="25"/>
  <c r="D5" i="65" s="1"/>
  <c r="D47" i="65" s="1"/>
  <c r="I50" i="25"/>
  <c r="E5" i="65" s="1"/>
  <c r="E47" i="65" s="1"/>
  <c r="J50" i="25"/>
  <c r="F5" i="65" s="1"/>
  <c r="F47" i="65" s="1"/>
  <c r="L50" i="25"/>
  <c r="H5" i="65" s="1"/>
  <c r="H47" i="65" s="1"/>
  <c r="M50" i="25"/>
  <c r="N50" i="25"/>
  <c r="O50" i="25"/>
  <c r="P50" i="25"/>
  <c r="Q50" i="25"/>
  <c r="F50" i="25"/>
  <c r="B5" i="65" s="1"/>
  <c r="B47" i="65" s="1"/>
  <c r="Q419" i="25"/>
  <c r="P419" i="25"/>
  <c r="O419" i="25"/>
  <c r="N419" i="25"/>
  <c r="M419" i="25"/>
  <c r="L419" i="25"/>
  <c r="K419" i="25"/>
  <c r="J419" i="25"/>
  <c r="I419" i="25"/>
  <c r="H419" i="25"/>
  <c r="G419" i="25"/>
  <c r="F419" i="25"/>
  <c r="Q179" i="25"/>
  <c r="P179" i="25"/>
  <c r="O179" i="25"/>
  <c r="N179" i="25"/>
  <c r="M179" i="25"/>
  <c r="L179" i="25"/>
  <c r="H179" i="25"/>
  <c r="Q178" i="25"/>
  <c r="P178" i="25"/>
  <c r="O178" i="25"/>
  <c r="N178" i="25"/>
  <c r="M178" i="25"/>
  <c r="L178" i="25"/>
  <c r="J178" i="25"/>
  <c r="H178" i="25"/>
  <c r="G178" i="25"/>
  <c r="F178" i="25"/>
  <c r="F451" i="25"/>
  <c r="F450" i="25"/>
  <c r="F449" i="25"/>
  <c r="F448" i="25"/>
  <c r="F447" i="25"/>
  <c r="F445" i="25"/>
  <c r="E264" i="25"/>
  <c r="E263" i="25"/>
  <c r="E262" i="25"/>
  <c r="E261" i="25"/>
  <c r="E260" i="25"/>
  <c r="K73" i="25" l="1"/>
  <c r="G19" i="65"/>
  <c r="G20" i="65" s="1"/>
  <c r="P122" i="47"/>
  <c r="P30" i="47"/>
  <c r="E37" i="60"/>
  <c r="F37" i="60"/>
  <c r="E36" i="60"/>
  <c r="F36" i="60"/>
  <c r="F38" i="60"/>
  <c r="E38" i="60"/>
  <c r="I34" i="60"/>
  <c r="H41" i="60"/>
  <c r="I41" i="60" s="1"/>
  <c r="E34" i="60"/>
  <c r="D41" i="60"/>
  <c r="F34" i="60"/>
  <c r="J19" i="62"/>
  <c r="J20" i="62"/>
  <c r="C111" i="60"/>
  <c r="C110" i="60"/>
  <c r="C109" i="60"/>
  <c r="C108" i="60"/>
  <c r="C107" i="60"/>
  <c r="C74" i="60"/>
  <c r="D74" i="60" s="1"/>
  <c r="E74" i="60" s="1"/>
  <c r="F74" i="60" s="1"/>
  <c r="C76" i="60"/>
  <c r="D76" i="60" s="1"/>
  <c r="E76" i="60" s="1"/>
  <c r="F76" i="60" s="1"/>
  <c r="C75" i="60"/>
  <c r="D75" i="60" s="1"/>
  <c r="E75" i="60" s="1"/>
  <c r="F75" i="60" s="1"/>
  <c r="C72" i="60"/>
  <c r="D72" i="60" s="1"/>
  <c r="E72" i="60" s="1"/>
  <c r="F72" i="60" s="1"/>
  <c r="C77" i="60"/>
  <c r="D77" i="60" s="1"/>
  <c r="E77" i="60" s="1"/>
  <c r="F77" i="60" s="1"/>
  <c r="C114" i="60"/>
  <c r="B104" i="60"/>
  <c r="O35" i="62"/>
  <c r="N53" i="62"/>
  <c r="N35" i="62"/>
  <c r="M53" i="62"/>
  <c r="M35" i="62"/>
  <c r="L53" i="62"/>
  <c r="L35" i="62"/>
  <c r="K53" i="62"/>
  <c r="K35" i="62"/>
  <c r="J53" i="62"/>
  <c r="J35" i="62"/>
  <c r="I53" i="62"/>
  <c r="I30" i="62"/>
  <c r="H53" i="62"/>
  <c r="H30" i="62"/>
  <c r="G53" i="62"/>
  <c r="H35" i="62"/>
  <c r="D20" i="62"/>
  <c r="P20" i="62"/>
  <c r="I19" i="62"/>
  <c r="I20" i="62"/>
  <c r="H20" i="62"/>
  <c r="G19" i="62"/>
  <c r="G20" i="62"/>
  <c r="F19" i="62"/>
  <c r="F20" i="62"/>
  <c r="P19" i="62"/>
  <c r="H19" i="62"/>
  <c r="P17" i="62"/>
  <c r="D19" i="62"/>
  <c r="I35" i="62"/>
  <c r="K13" i="62"/>
  <c r="K31" i="62" s="1"/>
  <c r="K30" i="62"/>
  <c r="M13" i="62"/>
  <c r="M31" i="62" s="1"/>
  <c r="M30" i="62"/>
  <c r="O13" i="62"/>
  <c r="O31" i="62" s="1"/>
  <c r="O30" i="62"/>
  <c r="N13" i="62"/>
  <c r="N31" i="62" s="1"/>
  <c r="N30" i="62"/>
  <c r="L13" i="62"/>
  <c r="L31" i="62" s="1"/>
  <c r="L30" i="62"/>
  <c r="J13" i="62"/>
  <c r="J30" i="62"/>
  <c r="H13" i="62"/>
  <c r="H31" i="62" s="1"/>
  <c r="P26" i="62"/>
  <c r="H27" i="62"/>
  <c r="P27" i="62" s="1"/>
  <c r="P12" i="62"/>
  <c r="P30" i="62" s="1"/>
  <c r="I13" i="62"/>
  <c r="I31" i="62" s="1"/>
  <c r="O150" i="47"/>
  <c r="O122" i="47"/>
  <c r="O30" i="47"/>
  <c r="E374" i="25"/>
  <c r="I326" i="25"/>
  <c r="I328" i="25"/>
  <c r="I323" i="25"/>
  <c r="I325" i="25"/>
  <c r="I324" i="25"/>
  <c r="I327" i="25"/>
  <c r="I329" i="25"/>
  <c r="K326" i="25"/>
  <c r="K328" i="25"/>
  <c r="O326" i="25"/>
  <c r="M326" i="25"/>
  <c r="P326" i="25"/>
  <c r="S326" i="25"/>
  <c r="Q326" i="25"/>
  <c r="J326" i="25"/>
  <c r="J328" i="25"/>
  <c r="L326" i="25"/>
  <c r="L328" i="25"/>
  <c r="N326" i="25"/>
  <c r="E324" i="25"/>
  <c r="E325" i="25"/>
  <c r="E328" i="25"/>
  <c r="E326" i="25"/>
  <c r="E323" i="25"/>
  <c r="E327" i="25"/>
  <c r="E329" i="25"/>
  <c r="F326" i="25"/>
  <c r="F324" i="25"/>
  <c r="F325" i="25"/>
  <c r="F323" i="25"/>
  <c r="F328" i="25"/>
  <c r="F327" i="25"/>
  <c r="F329" i="25"/>
  <c r="H326" i="25"/>
  <c r="H325" i="25"/>
  <c r="H328" i="25"/>
  <c r="H323" i="25"/>
  <c r="H324" i="25"/>
  <c r="H327" i="25"/>
  <c r="H329" i="25"/>
  <c r="G325" i="25"/>
  <c r="G326" i="25"/>
  <c r="G328" i="25"/>
  <c r="G324" i="25"/>
  <c r="G323" i="25"/>
  <c r="G327" i="25"/>
  <c r="G329" i="25"/>
  <c r="J248" i="25"/>
  <c r="K248" i="25"/>
  <c r="L248" i="25"/>
  <c r="Q248" i="25"/>
  <c r="M248" i="25"/>
  <c r="N248" i="25"/>
  <c r="P248" i="25"/>
  <c r="O248" i="25"/>
  <c r="G442" i="25"/>
  <c r="P194" i="25"/>
  <c r="O194" i="25"/>
  <c r="O206" i="25"/>
  <c r="H194" i="25"/>
  <c r="Q194" i="25"/>
  <c r="M206" i="25"/>
  <c r="N206" i="25"/>
  <c r="N194" i="25"/>
  <c r="M194" i="25"/>
  <c r="P206" i="25"/>
  <c r="L194" i="25"/>
  <c r="Q206" i="25"/>
  <c r="G194" i="25"/>
  <c r="J194" i="25"/>
  <c r="I194" i="25"/>
  <c r="F194" i="25"/>
  <c r="J367" i="25"/>
  <c r="O247" i="25"/>
  <c r="E294" i="25"/>
  <c r="Q247" i="25"/>
  <c r="S414" i="25"/>
  <c r="G247" i="25"/>
  <c r="F247" i="25"/>
  <c r="K247" i="25"/>
  <c r="J247" i="25"/>
  <c r="L247" i="25"/>
  <c r="H247" i="25"/>
  <c r="M247" i="25"/>
  <c r="N247" i="25"/>
  <c r="C54" i="7"/>
  <c r="C53" i="7"/>
  <c r="S12" i="25"/>
  <c r="T12" i="25" s="1"/>
  <c r="G110" i="25"/>
  <c r="F110" i="25"/>
  <c r="G149" i="25"/>
  <c r="G155" i="25"/>
  <c r="F149" i="25"/>
  <c r="F155" i="25"/>
  <c r="E100" i="25"/>
  <c r="E99" i="25"/>
  <c r="E276" i="25"/>
  <c r="E275" i="25"/>
  <c r="E79" i="25"/>
  <c r="F164" i="25" s="1"/>
  <c r="L406" i="25"/>
  <c r="S135" i="25"/>
  <c r="H406" i="25"/>
  <c r="H207" i="25"/>
  <c r="F367" i="25"/>
  <c r="S367" i="25" s="1"/>
  <c r="K406" i="25"/>
  <c r="N378" i="25"/>
  <c r="O378" i="25"/>
  <c r="N384" i="25"/>
  <c r="L378" i="25"/>
  <c r="M378" i="25"/>
  <c r="L384" i="25"/>
  <c r="M384" i="25"/>
  <c r="O384" i="25"/>
  <c r="P365" i="25"/>
  <c r="H378" i="25"/>
  <c r="P384" i="25"/>
  <c r="Q384" i="25"/>
  <c r="Q365" i="25"/>
  <c r="H373" i="25"/>
  <c r="K378" i="25"/>
  <c r="H365" i="25"/>
  <c r="K365" i="25"/>
  <c r="H372" i="25"/>
  <c r="P378" i="25"/>
  <c r="M365" i="25"/>
  <c r="Q378" i="25"/>
  <c r="H384" i="25"/>
  <c r="N365" i="25"/>
  <c r="J384" i="25"/>
  <c r="L365" i="25"/>
  <c r="O365" i="25"/>
  <c r="K384" i="25"/>
  <c r="G384" i="25"/>
  <c r="G373" i="25"/>
  <c r="G372" i="25"/>
  <c r="F384" i="25"/>
  <c r="F373" i="25"/>
  <c r="F372" i="25"/>
  <c r="S372" i="25" s="1"/>
  <c r="E384" i="25"/>
  <c r="E383" i="25"/>
  <c r="E378" i="25"/>
  <c r="E373" i="25"/>
  <c r="E372" i="25"/>
  <c r="E365" i="25"/>
  <c r="N357" i="25"/>
  <c r="O357" i="25"/>
  <c r="P357" i="25"/>
  <c r="Q357" i="25"/>
  <c r="L357" i="25"/>
  <c r="M357" i="25"/>
  <c r="K357" i="25"/>
  <c r="H357" i="25"/>
  <c r="E358" i="25"/>
  <c r="E357" i="25"/>
  <c r="P247" i="25"/>
  <c r="E247" i="25"/>
  <c r="I247" i="25"/>
  <c r="E295" i="25"/>
  <c r="E273" i="25"/>
  <c r="E409" i="25"/>
  <c r="E394" i="25"/>
  <c r="E277" i="25"/>
  <c r="E274" i="25"/>
  <c r="J31" i="62" l="1"/>
  <c r="C33" i="65"/>
  <c r="E41" i="60"/>
  <c r="F41" i="60"/>
  <c r="C115" i="60"/>
  <c r="P18" i="62"/>
  <c r="O53" i="62"/>
  <c r="P13" i="62"/>
  <c r="P31" i="62" s="1"/>
  <c r="C14" i="60"/>
  <c r="AA17" i="57"/>
  <c r="AA63" i="57"/>
  <c r="AH16" i="57"/>
  <c r="AH62" i="57"/>
  <c r="AI16" i="57"/>
  <c r="AI62" i="57"/>
  <c r="AF16" i="57"/>
  <c r="AF62" i="57"/>
  <c r="AG16" i="57"/>
  <c r="AG62" i="57"/>
  <c r="AJ16" i="57"/>
  <c r="AJ62" i="57"/>
  <c r="E152" i="25"/>
  <c r="F233" i="25"/>
  <c r="Y33" i="57" s="1"/>
  <c r="E215" i="25"/>
  <c r="I372" i="25"/>
  <c r="Q16" i="25"/>
  <c r="E110" i="25"/>
  <c r="O16" i="25"/>
  <c r="M16" i="25"/>
  <c r="N16" i="25"/>
  <c r="D24" i="60"/>
  <c r="D23" i="60"/>
  <c r="P16" i="25"/>
  <c r="Q15" i="25"/>
  <c r="P15" i="25"/>
  <c r="O15" i="25"/>
  <c r="N15" i="25"/>
  <c r="M15" i="25"/>
  <c r="E268" i="25"/>
  <c r="E278" i="25"/>
  <c r="E279" i="25"/>
  <c r="E155" i="25"/>
  <c r="E147" i="25"/>
  <c r="E149" i="25"/>
  <c r="E364" i="25"/>
  <c r="E404" i="25"/>
  <c r="E314" i="25"/>
  <c r="E343" i="25" s="1"/>
  <c r="E408" i="25"/>
  <c r="E395" i="25"/>
  <c r="E401" i="25"/>
  <c r="E392" i="25"/>
  <c r="E333" i="25"/>
  <c r="E349" i="25"/>
  <c r="E405" i="25"/>
  <c r="E398" i="25"/>
  <c r="E397" i="25"/>
  <c r="E396" i="25"/>
  <c r="F332" i="25"/>
  <c r="G332" i="25"/>
  <c r="E101" i="25"/>
  <c r="E332" i="25"/>
  <c r="E33" i="65" l="1"/>
  <c r="F33" i="65"/>
  <c r="E385" i="25"/>
  <c r="E377" i="25"/>
  <c r="E382" i="25"/>
  <c r="H459" i="25"/>
  <c r="H468" i="25"/>
  <c r="F441" i="25"/>
  <c r="G472" i="25"/>
  <c r="F442" i="25"/>
  <c r="H472" i="25"/>
  <c r="F221" i="25"/>
  <c r="E218" i="25"/>
  <c r="J372" i="25"/>
  <c r="E334" i="25"/>
  <c r="H206" i="25"/>
  <c r="F166" i="25"/>
  <c r="F470" i="25" s="1"/>
  <c r="S16" i="25"/>
  <c r="T16" i="25" s="1"/>
  <c r="S15" i="25"/>
  <c r="T15" i="25" s="1"/>
  <c r="F152" i="25"/>
  <c r="S152" i="25" s="1"/>
  <c r="E350" i="25"/>
  <c r="E351" i="25" s="1"/>
  <c r="F147" i="25"/>
  <c r="E379" i="25"/>
  <c r="E366" i="25"/>
  <c r="AA16" i="57" l="1"/>
  <c r="AA62" i="57"/>
  <c r="F224" i="25"/>
  <c r="F228" i="25" s="1"/>
  <c r="F137" i="25"/>
  <c r="F138" i="25" s="1"/>
  <c r="Y88" i="57" s="1"/>
  <c r="F382" i="25"/>
  <c r="S382" i="25" s="1"/>
  <c r="S147" i="25"/>
  <c r="F132" i="25"/>
  <c r="F377" i="25"/>
  <c r="S377" i="25" s="1"/>
  <c r="F148" i="25"/>
  <c r="G147" i="25"/>
  <c r="G148" i="25" s="1"/>
  <c r="F379" i="25"/>
  <c r="F364" i="25"/>
  <c r="S364" i="25" s="1"/>
  <c r="E103" i="25"/>
  <c r="E336" i="25" l="1"/>
  <c r="F369" i="25"/>
  <c r="F370" i="25" s="1"/>
  <c r="F365" i="25"/>
  <c r="F179" i="25"/>
  <c r="G440" i="25" s="1"/>
  <c r="G405" i="25"/>
  <c r="G179" i="25"/>
  <c r="G441" i="25" s="1"/>
  <c r="G378" i="25"/>
  <c r="F378" i="25"/>
  <c r="G377" i="25"/>
  <c r="G137" i="25"/>
  <c r="G138" i="25" s="1"/>
  <c r="Z88" i="57" s="1"/>
  <c r="F366" i="25"/>
  <c r="G406" i="25" l="1"/>
  <c r="F207" i="25"/>
  <c r="F406" i="25"/>
  <c r="G132" i="25"/>
  <c r="F405" i="25"/>
  <c r="H147" i="25"/>
  <c r="G379" i="25"/>
  <c r="G364" i="25"/>
  <c r="Y17" i="57" l="1"/>
  <c r="Y63" i="57"/>
  <c r="G365" i="25"/>
  <c r="G369" i="25"/>
  <c r="H405" i="25"/>
  <c r="H149" i="25"/>
  <c r="H377" i="25"/>
  <c r="H137" i="25"/>
  <c r="H138" i="25" s="1"/>
  <c r="AA88" i="57" s="1"/>
  <c r="G366" i="25"/>
  <c r="H332" i="25" l="1"/>
  <c r="G370" i="25"/>
  <c r="G207" i="25"/>
  <c r="H364" i="25"/>
  <c r="I147" i="25"/>
  <c r="I148" i="25" s="1"/>
  <c r="H379" i="25"/>
  <c r="Z17" i="57" l="1"/>
  <c r="Z63" i="57"/>
  <c r="I179" i="25"/>
  <c r="I378" i="25"/>
  <c r="I332" i="25"/>
  <c r="I377" i="25"/>
  <c r="I132" i="25"/>
  <c r="H366" i="25"/>
  <c r="I406" i="25" l="1"/>
  <c r="I365" i="25"/>
  <c r="H369" i="25"/>
  <c r="I137" i="25"/>
  <c r="I138" i="25" s="1"/>
  <c r="AB88" i="57" s="1"/>
  <c r="I364" i="25"/>
  <c r="I379" i="25"/>
  <c r="H370" i="25" l="1"/>
  <c r="J405" i="25"/>
  <c r="J377" i="25"/>
  <c r="I366" i="25"/>
  <c r="I369" i="25" l="1"/>
  <c r="J364" i="25"/>
  <c r="I370" i="25" l="1"/>
  <c r="K405" i="25"/>
  <c r="J369" i="25" l="1"/>
  <c r="J370" i="25" l="1"/>
  <c r="L405" i="25"/>
  <c r="G126" i="25" l="1"/>
  <c r="G112" i="25"/>
  <c r="G111" i="25"/>
  <c r="F126" i="25"/>
  <c r="F112" i="25"/>
  <c r="F111" i="25"/>
  <c r="G113" i="25" l="1"/>
  <c r="P319" i="25"/>
  <c r="N319" i="25"/>
  <c r="S84" i="25"/>
  <c r="L319" i="25"/>
  <c r="O319" i="25"/>
  <c r="I319" i="25"/>
  <c r="H319" i="25"/>
  <c r="K319" i="25"/>
  <c r="J319" i="25"/>
  <c r="Q111" i="25"/>
  <c r="S111" i="25" s="1"/>
  <c r="N111" i="25"/>
  <c r="I112" i="25"/>
  <c r="P111" i="25"/>
  <c r="H112" i="25"/>
  <c r="K112" i="25"/>
  <c r="M112" i="25"/>
  <c r="L112" i="25"/>
  <c r="O112" i="25"/>
  <c r="N112" i="25"/>
  <c r="S81" i="25"/>
  <c r="P112" i="25"/>
  <c r="L111" i="25"/>
  <c r="O111" i="25"/>
  <c r="M111" i="25"/>
  <c r="F113" i="25"/>
  <c r="I111" i="25"/>
  <c r="H111" i="25"/>
  <c r="K111" i="25"/>
  <c r="M405" i="25"/>
  <c r="E271" i="25"/>
  <c r="E83" i="25"/>
  <c r="F174" i="25" s="1"/>
  <c r="F316" i="25"/>
  <c r="F345" i="25" s="1"/>
  <c r="G316" i="25"/>
  <c r="G345" i="25" s="1"/>
  <c r="E270" i="25"/>
  <c r="E81" i="25"/>
  <c r="F167" i="25" s="1"/>
  <c r="E269" i="25"/>
  <c r="G315" i="25"/>
  <c r="G344" i="25" s="1"/>
  <c r="F315" i="25"/>
  <c r="F344" i="25" s="1"/>
  <c r="E80" i="25"/>
  <c r="F168" i="25" s="1"/>
  <c r="F319" i="25"/>
  <c r="E84" i="25"/>
  <c r="G319" i="25"/>
  <c r="M319" i="25"/>
  <c r="E272" i="25"/>
  <c r="E78" i="25"/>
  <c r="E267" i="25"/>
  <c r="G119" i="25" l="1"/>
  <c r="Z107" i="57"/>
  <c r="F119" i="25"/>
  <c r="Y107" i="57"/>
  <c r="E319" i="25"/>
  <c r="F459" i="25"/>
  <c r="D22" i="60"/>
  <c r="I316" i="25"/>
  <c r="I345" i="25" s="1"/>
  <c r="J316" i="25"/>
  <c r="J345" i="25" s="1"/>
  <c r="S80" i="25"/>
  <c r="H316" i="25"/>
  <c r="H345" i="25" s="1"/>
  <c r="P315" i="25"/>
  <c r="P344" i="25" s="1"/>
  <c r="M316" i="25"/>
  <c r="M345" i="25" s="1"/>
  <c r="N315" i="25"/>
  <c r="N344" i="25" s="1"/>
  <c r="K316" i="25"/>
  <c r="K345" i="25" s="1"/>
  <c r="N316" i="25"/>
  <c r="N345" i="25" s="1"/>
  <c r="O316" i="25"/>
  <c r="O345" i="25" s="1"/>
  <c r="L316" i="25"/>
  <c r="L345" i="25" s="1"/>
  <c r="M315" i="25"/>
  <c r="M344" i="25" s="1"/>
  <c r="Q112" i="25"/>
  <c r="S112" i="25" s="1"/>
  <c r="O315" i="25"/>
  <c r="O344" i="25" s="1"/>
  <c r="L315" i="25"/>
  <c r="L344" i="25" s="1"/>
  <c r="P316" i="25"/>
  <c r="P345" i="25" s="1"/>
  <c r="J315" i="25"/>
  <c r="J344" i="25" s="1"/>
  <c r="K315" i="25"/>
  <c r="K344" i="25" s="1"/>
  <c r="H315" i="25"/>
  <c r="H344" i="25" s="1"/>
  <c r="I315" i="25"/>
  <c r="I344" i="25" s="1"/>
  <c r="E123" i="25"/>
  <c r="E126" i="25"/>
  <c r="E316" i="25"/>
  <c r="E345" i="25" s="1"/>
  <c r="E112" i="25"/>
  <c r="E315" i="25"/>
  <c r="E344" i="25" s="1"/>
  <c r="E111" i="25"/>
  <c r="E318" i="25"/>
  <c r="Q316" i="25"/>
  <c r="S316" i="25" s="1"/>
  <c r="Q315" i="25"/>
  <c r="S315" i="25" s="1"/>
  <c r="E183" i="25"/>
  <c r="E313" i="25"/>
  <c r="F181" i="25"/>
  <c r="E82" i="25"/>
  <c r="Q319" i="25"/>
  <c r="S319" i="25" s="1"/>
  <c r="C36" i="8"/>
  <c r="D81" i="7" a="1"/>
  <c r="D81" i="7" s="1"/>
  <c r="D80" i="7" a="1"/>
  <c r="D80" i="7" s="1"/>
  <c r="C64" i="7"/>
  <c r="D55" i="7"/>
  <c r="D54" i="7"/>
  <c r="D53" i="7"/>
  <c r="D48" i="7"/>
  <c r="D44" i="7"/>
  <c r="D40" i="7"/>
  <c r="Q31" i="7"/>
  <c r="P31" i="7"/>
  <c r="O31" i="7"/>
  <c r="N31" i="7"/>
  <c r="K31" i="7"/>
  <c r="J31" i="7"/>
  <c r="I31" i="7"/>
  <c r="H31" i="7"/>
  <c r="G31" i="7"/>
  <c r="F31" i="7"/>
  <c r="E31" i="7"/>
  <c r="D31" i="7"/>
  <c r="C20" i="7"/>
  <c r="C12" i="7"/>
  <c r="C17" i="7" s="1"/>
  <c r="C18" i="8"/>
  <c r="C119" i="25" l="1"/>
  <c r="F468" i="25"/>
  <c r="E356" i="25"/>
  <c r="F440" i="25"/>
  <c r="F472" i="25"/>
  <c r="E188" i="25"/>
  <c r="E189" i="25"/>
  <c r="E413" i="25"/>
  <c r="E415" i="25" s="1"/>
  <c r="E187" i="25"/>
  <c r="E85" i="25"/>
  <c r="S181" i="25"/>
  <c r="D57" i="8"/>
  <c r="D75" i="8" s="1"/>
  <c r="C33" i="7"/>
  <c r="O52" i="8"/>
  <c r="O57" i="8"/>
  <c r="N52" i="8"/>
  <c r="P10" i="25" s="1" a="1"/>
  <c r="P10" i="25" s="1"/>
  <c r="N57" i="8"/>
  <c r="M52" i="8"/>
  <c r="M57" i="8"/>
  <c r="L52" i="8"/>
  <c r="L57" i="8"/>
  <c r="K52" i="8"/>
  <c r="K57" i="8"/>
  <c r="J52" i="8"/>
  <c r="J57" i="8"/>
  <c r="I52" i="8"/>
  <c r="I57" i="8"/>
  <c r="H52" i="8"/>
  <c r="H57" i="8"/>
  <c r="G52" i="8"/>
  <c r="G57" i="8"/>
  <c r="F52" i="8"/>
  <c r="F57" i="8"/>
  <c r="E52" i="8"/>
  <c r="E57" i="8"/>
  <c r="D47" i="8"/>
  <c r="D52" i="8"/>
  <c r="O47" i="8"/>
  <c r="N47" i="8"/>
  <c r="M47" i="8"/>
  <c r="L47" i="8"/>
  <c r="K47" i="8"/>
  <c r="J47" i="8"/>
  <c r="I47" i="8"/>
  <c r="H47" i="8"/>
  <c r="G47" i="8"/>
  <c r="F47" i="8"/>
  <c r="E47" i="8"/>
  <c r="O15" i="7"/>
  <c r="Q14" i="7"/>
  <c r="P14" i="7"/>
  <c r="Q14" i="25"/>
  <c r="C28" i="8"/>
  <c r="R31" i="7"/>
  <c r="O14" i="25"/>
  <c r="P14" i="25"/>
  <c r="M14" i="25"/>
  <c r="N14" i="25"/>
  <c r="N405" i="25"/>
  <c r="F123" i="25"/>
  <c r="E359" i="25"/>
  <c r="G152" i="25"/>
  <c r="E346" i="25"/>
  <c r="E352" i="25" s="1"/>
  <c r="E113" i="25"/>
  <c r="Q344" i="25"/>
  <c r="S344" i="25" s="1"/>
  <c r="Q345" i="25"/>
  <c r="S345" i="25" s="1"/>
  <c r="E410" i="25"/>
  <c r="F404" i="25"/>
  <c r="F408" i="25"/>
  <c r="S408" i="25" s="1"/>
  <c r="E317" i="25"/>
  <c r="G404" i="25"/>
  <c r="D75" i="7"/>
  <c r="D77" i="7"/>
  <c r="D76" i="7"/>
  <c r="E77" i="7"/>
  <c r="E76" i="7"/>
  <c r="E75" i="7"/>
  <c r="C20" i="8"/>
  <c r="C13" i="7"/>
  <c r="Q10" i="25" l="1" a="1"/>
  <c r="Q10" i="25" s="1"/>
  <c r="N10" i="25" a="1"/>
  <c r="N10" i="25" s="1"/>
  <c r="O10" i="25" a="1"/>
  <c r="O10" i="25" s="1"/>
  <c r="M10" i="25" a="1"/>
  <c r="M10" i="25" s="1"/>
  <c r="E105" i="25"/>
  <c r="E119" i="25"/>
  <c r="G432" i="25"/>
  <c r="I75" i="8"/>
  <c r="K75" i="8"/>
  <c r="L75" i="8"/>
  <c r="E75" i="8"/>
  <c r="M75" i="8"/>
  <c r="F75" i="8"/>
  <c r="N75" i="8"/>
  <c r="G75" i="8"/>
  <c r="O75" i="8"/>
  <c r="J75" i="8"/>
  <c r="H75" i="8"/>
  <c r="L65" i="8"/>
  <c r="F65" i="8"/>
  <c r="N65" i="8"/>
  <c r="M65" i="8"/>
  <c r="G65" i="8"/>
  <c r="O65" i="8"/>
  <c r="E65" i="8"/>
  <c r="D65" i="8"/>
  <c r="I65" i="8"/>
  <c r="J65" i="8"/>
  <c r="H65" i="8"/>
  <c r="K65" i="8"/>
  <c r="J70" i="8"/>
  <c r="K70" i="8"/>
  <c r="D70" i="8"/>
  <c r="L70" i="8"/>
  <c r="E70" i="8"/>
  <c r="M70" i="8"/>
  <c r="H70" i="8"/>
  <c r="I70" i="8"/>
  <c r="F70" i="8"/>
  <c r="N70" i="8"/>
  <c r="G70" i="8"/>
  <c r="O70" i="8"/>
  <c r="C58" i="8"/>
  <c r="D58" i="8" s="1"/>
  <c r="P57" i="8"/>
  <c r="P52" i="8"/>
  <c r="C53" i="8"/>
  <c r="D53" i="8" s="1"/>
  <c r="C48" i="8"/>
  <c r="D48" i="8" s="1"/>
  <c r="P47" i="8"/>
  <c r="Q15" i="7"/>
  <c r="P15" i="7"/>
  <c r="S14" i="25"/>
  <c r="T14" i="25" s="1"/>
  <c r="P13" i="25"/>
  <c r="Q13" i="25"/>
  <c r="N13" i="25"/>
  <c r="O13" i="25"/>
  <c r="M13" i="25"/>
  <c r="P11" i="25"/>
  <c r="Q11" i="25"/>
  <c r="N11" i="25"/>
  <c r="O11" i="25"/>
  <c r="M11" i="25"/>
  <c r="F432" i="25"/>
  <c r="S123" i="25"/>
  <c r="F125" i="25"/>
  <c r="G382" i="25"/>
  <c r="G123" i="25"/>
  <c r="G125" i="25" s="1"/>
  <c r="F359" i="25"/>
  <c r="F356" i="25"/>
  <c r="S356" i="25" s="1"/>
  <c r="N255" i="25"/>
  <c r="H255" i="25"/>
  <c r="H404" i="25"/>
  <c r="K255" i="25"/>
  <c r="P255" i="25"/>
  <c r="I255" i="25"/>
  <c r="E320" i="25"/>
  <c r="G255" i="25"/>
  <c r="J255" i="25"/>
  <c r="L255" i="25"/>
  <c r="O255" i="25"/>
  <c r="F255" i="25"/>
  <c r="M255" i="25"/>
  <c r="Q255" i="25"/>
  <c r="K257" i="25"/>
  <c r="O257" i="25"/>
  <c r="G257" i="25"/>
  <c r="M257" i="25"/>
  <c r="Q257" i="25"/>
  <c r="I252" i="25"/>
  <c r="C15" i="7"/>
  <c r="C11" i="8"/>
  <c r="C10" i="8"/>
  <c r="S255" i="25" l="1"/>
  <c r="H5" i="7"/>
  <c r="C9" i="8" s="1"/>
  <c r="C16" i="7"/>
  <c r="H432" i="25"/>
  <c r="E338" i="25"/>
  <c r="D10" i="8"/>
  <c r="E10" i="8"/>
  <c r="G10" i="8"/>
  <c r="K10" i="8"/>
  <c r="O10" i="8"/>
  <c r="F10" i="8"/>
  <c r="H10" i="8"/>
  <c r="I10" i="8"/>
  <c r="M10" i="8"/>
  <c r="J10" i="8"/>
  <c r="L10" i="8"/>
  <c r="N10" i="8"/>
  <c r="H11" i="8"/>
  <c r="M11" i="8"/>
  <c r="I11" i="8"/>
  <c r="J11" i="8"/>
  <c r="K11" i="8"/>
  <c r="L11" i="8"/>
  <c r="D11" i="8"/>
  <c r="E11" i="8"/>
  <c r="N11" i="8"/>
  <c r="O11" i="8"/>
  <c r="G11" i="8"/>
  <c r="F11" i="8"/>
  <c r="S13" i="25"/>
  <c r="T13" i="25" s="1"/>
  <c r="S11" i="25"/>
  <c r="T11" i="25" s="1"/>
  <c r="H252" i="25"/>
  <c r="F252" i="25"/>
  <c r="L252" i="25"/>
  <c r="K252" i="25"/>
  <c r="O405" i="25"/>
  <c r="G356" i="25"/>
  <c r="H152" i="25"/>
  <c r="H382" i="25" s="1"/>
  <c r="G385" i="25"/>
  <c r="P254" i="25"/>
  <c r="I52" i="25"/>
  <c r="E7" i="65" s="1"/>
  <c r="O252" i="25"/>
  <c r="Q256" i="25"/>
  <c r="Q252" i="25"/>
  <c r="P252" i="25"/>
  <c r="O254" i="25"/>
  <c r="I253" i="25"/>
  <c r="J253" i="25"/>
  <c r="H254" i="25"/>
  <c r="M253" i="25"/>
  <c r="N257" i="25"/>
  <c r="K253" i="25"/>
  <c r="L253" i="25"/>
  <c r="P257" i="25"/>
  <c r="J256" i="25"/>
  <c r="P253" i="25"/>
  <c r="M252" i="25"/>
  <c r="I58" i="25"/>
  <c r="Q254" i="25"/>
  <c r="H253" i="25"/>
  <c r="P58" i="25"/>
  <c r="F256" i="25"/>
  <c r="G65" i="25"/>
  <c r="N253" i="25"/>
  <c r="J58" i="25"/>
  <c r="F12" i="65" s="1"/>
  <c r="F51" i="65" s="1"/>
  <c r="G254" i="25"/>
  <c r="J257" i="25"/>
  <c r="L52" i="25"/>
  <c r="H7" i="65" s="1"/>
  <c r="H48" i="65" s="1"/>
  <c r="M256" i="25"/>
  <c r="H58" i="25"/>
  <c r="M58" i="25"/>
  <c r="J252" i="25"/>
  <c r="K256" i="25"/>
  <c r="N252" i="25"/>
  <c r="L58" i="25"/>
  <c r="H12" i="65" s="1"/>
  <c r="O253" i="25"/>
  <c r="I257" i="25"/>
  <c r="H257" i="25"/>
  <c r="K254" i="25"/>
  <c r="F253" i="25"/>
  <c r="L254" i="25"/>
  <c r="N256" i="25"/>
  <c r="G253" i="25"/>
  <c r="F52" i="25"/>
  <c r="B7" i="65" s="1"/>
  <c r="B48" i="65" s="1"/>
  <c r="G58" i="25"/>
  <c r="L257" i="25"/>
  <c r="F254" i="25"/>
  <c r="F58" i="25"/>
  <c r="B12" i="65" s="1"/>
  <c r="B51" i="65" s="1"/>
  <c r="G256" i="25"/>
  <c r="H256" i="25"/>
  <c r="I256" i="25"/>
  <c r="F257" i="25"/>
  <c r="I254" i="25"/>
  <c r="L256" i="25"/>
  <c r="M254" i="25"/>
  <c r="O256" i="25"/>
  <c r="G252" i="25"/>
  <c r="N58" i="25"/>
  <c r="O58" i="25"/>
  <c r="J254" i="25"/>
  <c r="Q253" i="25"/>
  <c r="H52" i="25"/>
  <c r="D7" i="65" s="1"/>
  <c r="N254" i="25"/>
  <c r="P256" i="25"/>
  <c r="Q58" i="25"/>
  <c r="C33" i="8"/>
  <c r="D8" i="65" l="1"/>
  <c r="D9" i="65" s="1"/>
  <c r="D48" i="65"/>
  <c r="D29" i="65"/>
  <c r="E29" i="65" s="1"/>
  <c r="B41" i="65" s="1"/>
  <c r="H51" i="65"/>
  <c r="E8" i="65"/>
  <c r="E48" i="65"/>
  <c r="H8" i="65"/>
  <c r="D25" i="65"/>
  <c r="D26" i="65" s="1"/>
  <c r="B8" i="65"/>
  <c r="B9" i="65" s="1"/>
  <c r="I293" i="25"/>
  <c r="E12" i="65"/>
  <c r="E51" i="65" s="1"/>
  <c r="G293" i="25"/>
  <c r="C12" i="65"/>
  <c r="C51" i="65" s="1"/>
  <c r="E9" i="65"/>
  <c r="H9" i="65"/>
  <c r="H293" i="25"/>
  <c r="D12" i="65"/>
  <c r="D51" i="65" s="1"/>
  <c r="G300" i="25"/>
  <c r="Y97" i="57"/>
  <c r="L287" i="25"/>
  <c r="AE97" i="57"/>
  <c r="I287" i="25"/>
  <c r="AB97" i="57"/>
  <c r="H287" i="25"/>
  <c r="AA97" i="57"/>
  <c r="N128" i="47"/>
  <c r="Q293" i="25"/>
  <c r="L128" i="47"/>
  <c r="O293" i="25"/>
  <c r="K128" i="47"/>
  <c r="N293" i="25"/>
  <c r="I128" i="47"/>
  <c r="L293" i="25"/>
  <c r="J128" i="47"/>
  <c r="M293" i="25"/>
  <c r="G128" i="47"/>
  <c r="J293" i="25"/>
  <c r="M128" i="47"/>
  <c r="P293" i="25"/>
  <c r="C128" i="47"/>
  <c r="F293" i="25"/>
  <c r="C123" i="47"/>
  <c r="F287" i="25"/>
  <c r="F128" i="47"/>
  <c r="E128" i="47"/>
  <c r="D128" i="47"/>
  <c r="L324" i="25"/>
  <c r="I123" i="47"/>
  <c r="F123" i="47"/>
  <c r="E123" i="47"/>
  <c r="I234" i="25"/>
  <c r="H234" i="25"/>
  <c r="K216" i="25"/>
  <c r="AD46" i="57" s="1"/>
  <c r="K116" i="25"/>
  <c r="K324" i="25"/>
  <c r="F234" i="25"/>
  <c r="G36" i="47"/>
  <c r="N36" i="47"/>
  <c r="M36" i="47"/>
  <c r="H36" i="47"/>
  <c r="I36" i="47"/>
  <c r="L36" i="47"/>
  <c r="J36" i="47"/>
  <c r="K36" i="47"/>
  <c r="H31" i="47"/>
  <c r="I31" i="47"/>
  <c r="C36" i="47"/>
  <c r="E31" i="47"/>
  <c r="F36" i="47"/>
  <c r="E36" i="47"/>
  <c r="D36" i="47"/>
  <c r="C31" i="47"/>
  <c r="F31" i="47"/>
  <c r="S256" i="25"/>
  <c r="S252" i="25"/>
  <c r="S254" i="25"/>
  <c r="S253" i="25"/>
  <c r="S257" i="25"/>
  <c r="P11" i="8"/>
  <c r="P10" i="8"/>
  <c r="H9" i="8"/>
  <c r="D9" i="8"/>
  <c r="E9" i="8"/>
  <c r="G9" i="8"/>
  <c r="J9" i="8"/>
  <c r="N9" i="8"/>
  <c r="L9" i="8"/>
  <c r="F9" i="8"/>
  <c r="I9" i="8"/>
  <c r="K9" i="8"/>
  <c r="M9" i="8"/>
  <c r="O9" i="8"/>
  <c r="S58" i="25"/>
  <c r="H123" i="25"/>
  <c r="G359" i="25"/>
  <c r="H56" i="25"/>
  <c r="D10" i="65" s="1"/>
  <c r="D49" i="65" s="1"/>
  <c r="P52" i="25"/>
  <c r="AI97" i="57" s="1"/>
  <c r="N52" i="25"/>
  <c r="L57" i="25"/>
  <c r="H11" i="65" s="1"/>
  <c r="I57" i="25"/>
  <c r="E11" i="65" s="1"/>
  <c r="E50" i="65" s="1"/>
  <c r="I64" i="25"/>
  <c r="I65" i="25"/>
  <c r="P56" i="25"/>
  <c r="M56" i="25"/>
  <c r="O52" i="25"/>
  <c r="AH97" i="57" s="1"/>
  <c r="L56" i="25"/>
  <c r="H10" i="65" s="1"/>
  <c r="M57" i="25"/>
  <c r="L64" i="25"/>
  <c r="L299" i="25" s="1"/>
  <c r="F56" i="25"/>
  <c r="B10" i="65" s="1"/>
  <c r="B49" i="65" s="1"/>
  <c r="H65" i="25"/>
  <c r="H64" i="25"/>
  <c r="I56" i="25"/>
  <c r="E10" i="65" s="1"/>
  <c r="E49" i="65" s="1"/>
  <c r="J52" i="25"/>
  <c r="F7" i="65" s="1"/>
  <c r="Q52" i="25"/>
  <c r="M52" i="25"/>
  <c r="O56" i="25"/>
  <c r="F64" i="25"/>
  <c r="J64" i="25"/>
  <c r="H57" i="25"/>
  <c r="D11" i="65" s="1"/>
  <c r="D50" i="65" s="1"/>
  <c r="F57" i="25"/>
  <c r="B11" i="65" s="1"/>
  <c r="B50" i="65" s="1"/>
  <c r="G57" i="25"/>
  <c r="C11" i="65" s="1"/>
  <c r="C50" i="65" s="1"/>
  <c r="Q64" i="25"/>
  <c r="Q299" i="25" s="1"/>
  <c r="P64" i="25"/>
  <c r="P299" i="25" s="1"/>
  <c r="G52" i="25"/>
  <c r="C7" i="65" s="1"/>
  <c r="G56" i="25"/>
  <c r="C10" i="65" s="1"/>
  <c r="C49" i="65" s="1"/>
  <c r="Q57" i="25"/>
  <c r="Q56" i="25"/>
  <c r="M64" i="25"/>
  <c r="M299" i="25" s="1"/>
  <c r="J56" i="25"/>
  <c r="F10" i="65" s="1"/>
  <c r="F49" i="65" s="1"/>
  <c r="P57" i="25"/>
  <c r="O57" i="25"/>
  <c r="J57" i="25"/>
  <c r="F11" i="65" s="1"/>
  <c r="F50" i="65" s="1"/>
  <c r="N56" i="25"/>
  <c r="N57" i="25"/>
  <c r="O64" i="25"/>
  <c r="O299" i="25" s="1"/>
  <c r="G64" i="25"/>
  <c r="N64" i="25"/>
  <c r="N299" i="25" s="1"/>
  <c r="C7" i="8"/>
  <c r="C8" i="8"/>
  <c r="C6" i="8"/>
  <c r="B52" i="65" l="1"/>
  <c r="B53" i="65" s="1"/>
  <c r="D27" i="65"/>
  <c r="H49" i="65"/>
  <c r="E52" i="65"/>
  <c r="E53" i="65" s="1"/>
  <c r="D28" i="65"/>
  <c r="H50" i="65"/>
  <c r="C8" i="65"/>
  <c r="C48" i="65"/>
  <c r="C52" i="65" s="1"/>
  <c r="C53" i="65" s="1"/>
  <c r="F8" i="65"/>
  <c r="F48" i="65"/>
  <c r="F52" i="65" s="1"/>
  <c r="F53" i="65" s="1"/>
  <c r="D52" i="65"/>
  <c r="D53" i="65" s="1"/>
  <c r="E28" i="65"/>
  <c r="B40" i="65" s="1"/>
  <c r="F28" i="65"/>
  <c r="E27" i="65"/>
  <c r="B39" i="65" s="1"/>
  <c r="F27" i="65"/>
  <c r="E26" i="65"/>
  <c r="F26" i="65"/>
  <c r="E25" i="65"/>
  <c r="B38" i="65" s="1"/>
  <c r="F25" i="65"/>
  <c r="I12" i="65"/>
  <c r="I51" i="65" s="1"/>
  <c r="I11" i="65"/>
  <c r="I50" i="65" s="1"/>
  <c r="I10" i="65"/>
  <c r="I49" i="65" s="1"/>
  <c r="I7" i="65"/>
  <c r="I48" i="65" s="1"/>
  <c r="D13" i="65"/>
  <c r="D14" i="65" s="1"/>
  <c r="E13" i="65"/>
  <c r="E14" i="65" s="1"/>
  <c r="B13" i="65"/>
  <c r="H13" i="65"/>
  <c r="H14" i="65" s="1"/>
  <c r="C13" i="65"/>
  <c r="C14" i="65" s="1"/>
  <c r="C9" i="65"/>
  <c r="P128" i="47"/>
  <c r="P36" i="47"/>
  <c r="I292" i="25"/>
  <c r="G292" i="25"/>
  <c r="H292" i="25"/>
  <c r="F299" i="25"/>
  <c r="AI98" i="57"/>
  <c r="Y98" i="57"/>
  <c r="AE98" i="57"/>
  <c r="AH98" i="57"/>
  <c r="AJ98" i="57"/>
  <c r="AG98" i="57"/>
  <c r="AF98" i="57"/>
  <c r="AC98" i="57"/>
  <c r="I291" i="25"/>
  <c r="AB98" i="57"/>
  <c r="H291" i="25"/>
  <c r="AA98" i="57"/>
  <c r="G291" i="25"/>
  <c r="Z98" i="57"/>
  <c r="Q287" i="25"/>
  <c r="AJ97" i="57"/>
  <c r="N287" i="25"/>
  <c r="AG97" i="57"/>
  <c r="M287" i="25"/>
  <c r="AF97" i="57"/>
  <c r="J287" i="25"/>
  <c r="AC97" i="57"/>
  <c r="G287" i="25"/>
  <c r="Z97" i="57"/>
  <c r="H235" i="25"/>
  <c r="AA34" i="57"/>
  <c r="I235" i="25"/>
  <c r="AB34" i="57"/>
  <c r="F235" i="25"/>
  <c r="Y34" i="57"/>
  <c r="H299" i="25"/>
  <c r="H300" i="25"/>
  <c r="I299" i="25"/>
  <c r="G299" i="25"/>
  <c r="J299" i="25"/>
  <c r="I300" i="25"/>
  <c r="N126" i="47"/>
  <c r="Q291" i="25"/>
  <c r="I127" i="47"/>
  <c r="L292" i="25"/>
  <c r="G126" i="47"/>
  <c r="J291" i="25"/>
  <c r="N127" i="47"/>
  <c r="Q292" i="25"/>
  <c r="J127" i="47"/>
  <c r="M292" i="25"/>
  <c r="J126" i="47"/>
  <c r="M291" i="25"/>
  <c r="I126" i="47"/>
  <c r="L291" i="25"/>
  <c r="M126" i="47"/>
  <c r="P291" i="25"/>
  <c r="G127" i="47"/>
  <c r="J292" i="25"/>
  <c r="L126" i="47"/>
  <c r="O291" i="25"/>
  <c r="L127" i="47"/>
  <c r="O292" i="25"/>
  <c r="M127" i="47"/>
  <c r="P292" i="25"/>
  <c r="K127" i="47"/>
  <c r="N292" i="25"/>
  <c r="K126" i="47"/>
  <c r="N291" i="25"/>
  <c r="M123" i="47"/>
  <c r="P287" i="25"/>
  <c r="L123" i="47"/>
  <c r="O287" i="25"/>
  <c r="C127" i="47"/>
  <c r="F292" i="25"/>
  <c r="C126" i="47"/>
  <c r="F291" i="25"/>
  <c r="L116" i="25"/>
  <c r="O128" i="47"/>
  <c r="L216" i="25"/>
  <c r="F127" i="47"/>
  <c r="E127" i="47"/>
  <c r="D127" i="47"/>
  <c r="F126" i="47"/>
  <c r="E126" i="47"/>
  <c r="D126" i="47"/>
  <c r="Q89" i="25"/>
  <c r="Q216" i="25" s="1"/>
  <c r="AJ46" i="57" s="1"/>
  <c r="N123" i="47"/>
  <c r="N89" i="25"/>
  <c r="N216" i="25" s="1"/>
  <c r="AG46" i="57" s="1"/>
  <c r="K123" i="47"/>
  <c r="M89" i="25"/>
  <c r="M116" i="25" s="1"/>
  <c r="J123" i="47"/>
  <c r="G123" i="47"/>
  <c r="D123" i="47"/>
  <c r="J324" i="25"/>
  <c r="G234" i="25"/>
  <c r="O89" i="25"/>
  <c r="P89" i="25"/>
  <c r="N35" i="47"/>
  <c r="G31" i="47"/>
  <c r="K35" i="47"/>
  <c r="K34" i="47"/>
  <c r="I35" i="47"/>
  <c r="H34" i="47"/>
  <c r="M31" i="47"/>
  <c r="N31" i="47"/>
  <c r="G35" i="47"/>
  <c r="H35" i="47"/>
  <c r="N34" i="47"/>
  <c r="J31" i="47"/>
  <c r="M35" i="47"/>
  <c r="I34" i="47"/>
  <c r="J35" i="47"/>
  <c r="G34" i="47"/>
  <c r="L31" i="47"/>
  <c r="J34" i="47"/>
  <c r="K31" i="47"/>
  <c r="L35" i="47"/>
  <c r="L34" i="47"/>
  <c r="M34" i="47"/>
  <c r="F34" i="47"/>
  <c r="C34" i="47"/>
  <c r="D35" i="47"/>
  <c r="E34" i="47"/>
  <c r="C35" i="47"/>
  <c r="D34" i="47"/>
  <c r="F35" i="47"/>
  <c r="D31" i="47"/>
  <c r="E35" i="47"/>
  <c r="O36" i="47"/>
  <c r="S293" i="25"/>
  <c r="P9" i="8"/>
  <c r="D6" i="8"/>
  <c r="N6" i="8"/>
  <c r="E6" i="8"/>
  <c r="F6" i="8"/>
  <c r="G6" i="8"/>
  <c r="H6" i="8"/>
  <c r="I6" i="8"/>
  <c r="J6" i="8"/>
  <c r="M6" i="8"/>
  <c r="O6" i="8"/>
  <c r="K6" i="8"/>
  <c r="L6" i="8"/>
  <c r="L8" i="8"/>
  <c r="O8" i="8"/>
  <c r="I8" i="8"/>
  <c r="M8" i="8"/>
  <c r="D8" i="8"/>
  <c r="F8" i="8"/>
  <c r="N8" i="8"/>
  <c r="G8" i="8"/>
  <c r="H8" i="8"/>
  <c r="K8" i="8"/>
  <c r="J8" i="8"/>
  <c r="E8" i="8"/>
  <c r="H7" i="8"/>
  <c r="L7" i="8"/>
  <c r="M7" i="8"/>
  <c r="I7" i="8"/>
  <c r="K7" i="8"/>
  <c r="O7" i="8"/>
  <c r="J7" i="8"/>
  <c r="F7" i="8"/>
  <c r="N7" i="8"/>
  <c r="D7" i="8"/>
  <c r="G7" i="8"/>
  <c r="E7" i="8"/>
  <c r="S64" i="25"/>
  <c r="S57" i="25"/>
  <c r="S56" i="25"/>
  <c r="S52" i="25"/>
  <c r="P405" i="25"/>
  <c r="H356" i="25"/>
  <c r="H125" i="25"/>
  <c r="H395" i="25"/>
  <c r="F349" i="25"/>
  <c r="H349" i="25"/>
  <c r="I469" i="25"/>
  <c r="I349" i="25"/>
  <c r="C12" i="8"/>
  <c r="I52" i="65" l="1"/>
  <c r="I53" i="65" s="1"/>
  <c r="D30" i="65"/>
  <c r="D31" i="65" s="1"/>
  <c r="I8" i="65"/>
  <c r="I9" i="65" s="1"/>
  <c r="F9" i="65"/>
  <c r="F13" i="65"/>
  <c r="F14" i="65" s="1"/>
  <c r="B42" i="65"/>
  <c r="B43" i="65" s="1"/>
  <c r="H52" i="65"/>
  <c r="H53" i="65" s="1"/>
  <c r="E30" i="65"/>
  <c r="F30" i="65"/>
  <c r="B14" i="65"/>
  <c r="P127" i="47"/>
  <c r="P126" i="47"/>
  <c r="P123" i="47"/>
  <c r="P35" i="47"/>
  <c r="P34" i="47"/>
  <c r="P31" i="47"/>
  <c r="AB35" i="57"/>
  <c r="AB67" i="57"/>
  <c r="AA35" i="57"/>
  <c r="AA67" i="57"/>
  <c r="Y35" i="57"/>
  <c r="Y67" i="57"/>
  <c r="L222" i="25"/>
  <c r="L165" i="25" s="1"/>
  <c r="L469" i="25" s="1"/>
  <c r="AE46" i="57"/>
  <c r="G235" i="25"/>
  <c r="Z34" i="57"/>
  <c r="O127" i="47"/>
  <c r="S324" i="25"/>
  <c r="O126" i="47"/>
  <c r="Q324" i="25"/>
  <c r="N324" i="25"/>
  <c r="M324" i="25"/>
  <c r="N116" i="25"/>
  <c r="Q116" i="25"/>
  <c r="S116" i="25" s="1"/>
  <c r="S89" i="25"/>
  <c r="O123" i="47"/>
  <c r="M216" i="25"/>
  <c r="P216" i="25"/>
  <c r="I395" i="25"/>
  <c r="O216" i="25"/>
  <c r="P324" i="25"/>
  <c r="P116" i="25"/>
  <c r="O324" i="25"/>
  <c r="O116" i="25"/>
  <c r="O31" i="47"/>
  <c r="O35" i="47"/>
  <c r="O34" i="47"/>
  <c r="O12" i="8"/>
  <c r="K12" i="8"/>
  <c r="M12" i="8"/>
  <c r="J12" i="8"/>
  <c r="I12" i="8"/>
  <c r="H12" i="8"/>
  <c r="G12" i="8"/>
  <c r="F12" i="8"/>
  <c r="L12" i="8"/>
  <c r="E12" i="8"/>
  <c r="N12" i="8"/>
  <c r="D12" i="8"/>
  <c r="P8" i="8"/>
  <c r="P6" i="8"/>
  <c r="P7" i="8"/>
  <c r="C19" i="8"/>
  <c r="S292" i="25"/>
  <c r="S299" i="25"/>
  <c r="S291" i="25"/>
  <c r="S287" i="25"/>
  <c r="F395" i="25"/>
  <c r="G349" i="25"/>
  <c r="G395" i="25"/>
  <c r="H19" i="8"/>
  <c r="I19" i="8"/>
  <c r="F19" i="8"/>
  <c r="E19" i="8"/>
  <c r="G19" i="8"/>
  <c r="D19" i="8"/>
  <c r="J19" i="8"/>
  <c r="I13" i="65" l="1"/>
  <c r="I14" i="65" s="1"/>
  <c r="Z35" i="57"/>
  <c r="Z67" i="57"/>
  <c r="Q222" i="25"/>
  <c r="Q165" i="25" s="1"/>
  <c r="Q469" i="25" s="1"/>
  <c r="AI46" i="57"/>
  <c r="O222" i="25"/>
  <c r="O165" i="25" s="1"/>
  <c r="O469" i="25" s="1"/>
  <c r="AH46" i="57"/>
  <c r="M222" i="25"/>
  <c r="M165" i="25" s="1"/>
  <c r="M469" i="25" s="1"/>
  <c r="AF46" i="57"/>
  <c r="N222" i="25"/>
  <c r="N165" i="25" s="1"/>
  <c r="N469" i="25" s="1"/>
  <c r="J165" i="25"/>
  <c r="J469" i="25" s="1"/>
  <c r="K222" i="25"/>
  <c r="P222" i="25"/>
  <c r="P165" i="25" s="1"/>
  <c r="C21" i="8"/>
  <c r="C23" i="8" s="1"/>
  <c r="P12" i="8"/>
  <c r="G251" i="25"/>
  <c r="Q405" i="25"/>
  <c r="F251" i="25"/>
  <c r="K19" i="8"/>
  <c r="K165" i="25" l="1"/>
  <c r="K469" i="25" s="1"/>
  <c r="P469" i="25"/>
  <c r="M251" i="25"/>
  <c r="K251" i="25"/>
  <c r="J251" i="25"/>
  <c r="L251" i="25"/>
  <c r="D18" i="8"/>
  <c r="D20" i="8" s="1"/>
  <c r="I251" i="25"/>
  <c r="H251" i="25"/>
  <c r="G197" i="25"/>
  <c r="Z3" i="57" s="1"/>
  <c r="G53" i="25"/>
  <c r="G422" i="25"/>
  <c r="L19" i="8"/>
  <c r="G288" i="25" l="1"/>
  <c r="D124" i="47"/>
  <c r="S165" i="25"/>
  <c r="S469" i="25"/>
  <c r="K233" i="25"/>
  <c r="AD33" i="57" s="1"/>
  <c r="M233" i="25"/>
  <c r="AF33" i="57" s="1"/>
  <c r="J233" i="25"/>
  <c r="AC33" i="57" s="1"/>
  <c r="L233" i="25"/>
  <c r="AE33" i="57" s="1"/>
  <c r="D32" i="47"/>
  <c r="D21" i="8"/>
  <c r="J197" i="25"/>
  <c r="AC3" i="57" s="1"/>
  <c r="H197" i="25"/>
  <c r="AA3" i="57" s="1"/>
  <c r="M197" i="25"/>
  <c r="AF3" i="57" s="1"/>
  <c r="I197" i="25"/>
  <c r="AB3" i="57" s="1"/>
  <c r="L197" i="25"/>
  <c r="AE3" i="57" s="1"/>
  <c r="F197" i="25"/>
  <c r="Y3" i="57" s="1"/>
  <c r="G54" i="25"/>
  <c r="G59" i="25"/>
  <c r="M53" i="25"/>
  <c r="I53" i="25"/>
  <c r="F53" i="25"/>
  <c r="J53" i="25"/>
  <c r="L53" i="25"/>
  <c r="H53" i="25"/>
  <c r="I422" i="25"/>
  <c r="K422" i="25"/>
  <c r="L422" i="25"/>
  <c r="G314" i="25"/>
  <c r="G343" i="25" s="1"/>
  <c r="G346" i="25" s="1"/>
  <c r="H110" i="25"/>
  <c r="H113" i="25" s="1"/>
  <c r="AA107" i="57" s="1"/>
  <c r="H422" i="25"/>
  <c r="M422" i="25"/>
  <c r="G318" i="25"/>
  <c r="J422" i="25"/>
  <c r="N251" i="25"/>
  <c r="M19" i="8"/>
  <c r="O251" i="25"/>
  <c r="D9" i="47" l="1"/>
  <c r="D101" i="47" s="1"/>
  <c r="H288" i="25"/>
  <c r="J288" i="25"/>
  <c r="I288" i="25"/>
  <c r="Z9" i="57"/>
  <c r="Z93" i="57"/>
  <c r="D129" i="47"/>
  <c r="H23" i="60" s="1"/>
  <c r="G294" i="25"/>
  <c r="G423" i="25" s="1"/>
  <c r="G424" i="25" s="1"/>
  <c r="J124" i="47"/>
  <c r="M288" i="25"/>
  <c r="I124" i="47"/>
  <c r="L288" i="25"/>
  <c r="C124" i="47"/>
  <c r="F288" i="25"/>
  <c r="G124" i="47"/>
  <c r="F124" i="47"/>
  <c r="E124" i="47"/>
  <c r="D125" i="47"/>
  <c r="D33" i="47"/>
  <c r="I32" i="47"/>
  <c r="G32" i="47"/>
  <c r="J32" i="47"/>
  <c r="H32" i="47"/>
  <c r="H125" i="47" s="1"/>
  <c r="D37" i="47"/>
  <c r="E32" i="47"/>
  <c r="C32" i="47"/>
  <c r="F32" i="47"/>
  <c r="G289" i="25"/>
  <c r="J59" i="25"/>
  <c r="L110" i="25"/>
  <c r="L113" i="25" s="1"/>
  <c r="AE107" i="57" s="1"/>
  <c r="L215" i="25"/>
  <c r="AE45" i="57" s="1"/>
  <c r="K110" i="25"/>
  <c r="K113" i="25" s="1"/>
  <c r="AD107" i="57" s="1"/>
  <c r="K215" i="25"/>
  <c r="AD45" i="57" s="1"/>
  <c r="I110" i="25"/>
  <c r="I113" i="25" s="1"/>
  <c r="AB107" i="57" s="1"/>
  <c r="I215" i="25"/>
  <c r="M110" i="25"/>
  <c r="M113" i="25" s="1"/>
  <c r="AF107" i="57" s="1"/>
  <c r="M215" i="25"/>
  <c r="AF45" i="57" s="1"/>
  <c r="D23" i="8"/>
  <c r="G198" i="25"/>
  <c r="Z83" i="57" s="1"/>
  <c r="E18" i="8"/>
  <c r="E20" i="8" s="1"/>
  <c r="F422" i="25"/>
  <c r="J54" i="25"/>
  <c r="H54" i="25"/>
  <c r="H59" i="25"/>
  <c r="L54" i="25"/>
  <c r="D9" i="64" s="1"/>
  <c r="L59" i="25"/>
  <c r="M54" i="25"/>
  <c r="M59" i="25"/>
  <c r="I54" i="25"/>
  <c r="I59" i="25"/>
  <c r="F54" i="25"/>
  <c r="F59" i="25"/>
  <c r="I314" i="25"/>
  <c r="I343" i="25" s="1"/>
  <c r="I346" i="25" s="1"/>
  <c r="L314" i="25"/>
  <c r="L343" i="25" s="1"/>
  <c r="L346" i="25" s="1"/>
  <c r="F318" i="25"/>
  <c r="M314" i="25"/>
  <c r="M343" i="25" s="1"/>
  <c r="M346" i="25" s="1"/>
  <c r="F314" i="25"/>
  <c r="F343" i="25" s="1"/>
  <c r="F346" i="25" s="1"/>
  <c r="H394" i="25"/>
  <c r="H314" i="25"/>
  <c r="H343" i="25" s="1"/>
  <c r="H346" i="25" s="1"/>
  <c r="G394" i="25"/>
  <c r="K314" i="25"/>
  <c r="K343" i="25" s="1"/>
  <c r="K346" i="25" s="1"/>
  <c r="J314" i="25"/>
  <c r="J343" i="25" s="1"/>
  <c r="J346" i="25" s="1"/>
  <c r="S10" i="25"/>
  <c r="T10" i="25" s="1"/>
  <c r="N19" i="8"/>
  <c r="O19" i="8" s="1"/>
  <c r="P124" i="47" l="1"/>
  <c r="P125" i="47" s="1"/>
  <c r="P32" i="47"/>
  <c r="P33" i="47" s="1"/>
  <c r="D111" i="47"/>
  <c r="H111" i="47"/>
  <c r="F111" i="47"/>
  <c r="E111" i="47"/>
  <c r="I111" i="47"/>
  <c r="G111" i="47"/>
  <c r="C111" i="47"/>
  <c r="C19" i="47"/>
  <c r="D19" i="47"/>
  <c r="E19" i="47"/>
  <c r="F19" i="47"/>
  <c r="H19" i="47"/>
  <c r="G19" i="47"/>
  <c r="I19" i="47"/>
  <c r="D10" i="47"/>
  <c r="D102" i="47" s="1"/>
  <c r="J125" i="47"/>
  <c r="AF9" i="57"/>
  <c r="AF93" i="57"/>
  <c r="AE9" i="57"/>
  <c r="AE93" i="57"/>
  <c r="AC9" i="57"/>
  <c r="AC93" i="57"/>
  <c r="AB9" i="57"/>
  <c r="AB93" i="57"/>
  <c r="AA9" i="57"/>
  <c r="AA93" i="57"/>
  <c r="Y9" i="57"/>
  <c r="Y93" i="57"/>
  <c r="J221" i="25"/>
  <c r="J224" i="25" s="1"/>
  <c r="AB45" i="57"/>
  <c r="G199" i="25"/>
  <c r="Z4" i="57"/>
  <c r="I125" i="47"/>
  <c r="G129" i="47"/>
  <c r="H26" i="60" s="1"/>
  <c r="J294" i="25"/>
  <c r="J423" i="25" s="1"/>
  <c r="J424" i="25" s="1"/>
  <c r="F129" i="47"/>
  <c r="I294" i="25"/>
  <c r="I423" i="25" s="1"/>
  <c r="I424" i="25" s="1"/>
  <c r="I129" i="47"/>
  <c r="H28" i="60" s="1"/>
  <c r="L294" i="25"/>
  <c r="L423" i="25" s="1"/>
  <c r="L424" i="25" s="1"/>
  <c r="E129" i="47"/>
  <c r="H24" i="60" s="1"/>
  <c r="H294" i="25"/>
  <c r="H423" i="25" s="1"/>
  <c r="H424" i="25" s="1"/>
  <c r="J129" i="47"/>
  <c r="M294" i="25"/>
  <c r="M423" i="25" s="1"/>
  <c r="M424" i="25" s="1"/>
  <c r="G125" i="47"/>
  <c r="F125" i="47"/>
  <c r="C129" i="47"/>
  <c r="F294" i="25"/>
  <c r="D130" i="47"/>
  <c r="E125" i="47"/>
  <c r="C125" i="47"/>
  <c r="I468" i="25"/>
  <c r="E101" i="47"/>
  <c r="F101" i="47"/>
  <c r="E33" i="47"/>
  <c r="H33" i="47"/>
  <c r="F33" i="47"/>
  <c r="D38" i="47"/>
  <c r="J33" i="47"/>
  <c r="G33" i="47"/>
  <c r="I33" i="47"/>
  <c r="I221" i="25"/>
  <c r="I218" i="25"/>
  <c r="I394" i="25"/>
  <c r="O233" i="25"/>
  <c r="AH33" i="57" s="1"/>
  <c r="N233" i="25"/>
  <c r="AG33" i="57" s="1"/>
  <c r="G37" i="47"/>
  <c r="H37" i="47"/>
  <c r="H130" i="47" s="1"/>
  <c r="I37" i="47"/>
  <c r="J37" i="47"/>
  <c r="E37" i="47"/>
  <c r="C33" i="47"/>
  <c r="E9" i="47"/>
  <c r="F9" i="47"/>
  <c r="C37" i="47"/>
  <c r="F37" i="47"/>
  <c r="K423" i="25"/>
  <c r="K424" i="25" s="1"/>
  <c r="J198" i="25"/>
  <c r="AC83" i="57" s="1"/>
  <c r="M289" i="25"/>
  <c r="L289" i="25"/>
  <c r="K289" i="25"/>
  <c r="J289" i="25"/>
  <c r="I289" i="25"/>
  <c r="H289" i="25"/>
  <c r="F289" i="25"/>
  <c r="M221" i="25"/>
  <c r="K221" i="25"/>
  <c r="K164" i="25" s="1"/>
  <c r="L221" i="25"/>
  <c r="M198" i="25"/>
  <c r="AF83" i="57" s="1"/>
  <c r="L198" i="25"/>
  <c r="AE83" i="57" s="1"/>
  <c r="I198" i="25"/>
  <c r="AB83" i="57" s="1"/>
  <c r="H198" i="25"/>
  <c r="AA83" i="57" s="1"/>
  <c r="E21" i="8"/>
  <c r="O215" i="25"/>
  <c r="AH45" i="57" s="1"/>
  <c r="N197" i="25"/>
  <c r="AG3" i="57" s="1"/>
  <c r="O197" i="25"/>
  <c r="AH3" i="57" s="1"/>
  <c r="F198" i="25"/>
  <c r="N53" i="25"/>
  <c r="O53" i="25"/>
  <c r="F394" i="25"/>
  <c r="O422" i="25"/>
  <c r="C38" i="8"/>
  <c r="C39" i="8" s="1"/>
  <c r="C40" i="8" s="1"/>
  <c r="Q251" i="25"/>
  <c r="H22" i="60" l="1"/>
  <c r="P129" i="47"/>
  <c r="P130" i="47" s="1"/>
  <c r="P37" i="47"/>
  <c r="P38" i="47" s="1"/>
  <c r="E112" i="47"/>
  <c r="G112" i="47"/>
  <c r="I112" i="47"/>
  <c r="D112" i="47"/>
  <c r="C112" i="47"/>
  <c r="H112" i="47"/>
  <c r="F112" i="47"/>
  <c r="E20" i="47"/>
  <c r="F20" i="47"/>
  <c r="C20" i="47"/>
  <c r="D20" i="47"/>
  <c r="H20" i="47"/>
  <c r="I20" i="47"/>
  <c r="G20" i="47"/>
  <c r="G130" i="47"/>
  <c r="J164" i="25"/>
  <c r="J468" i="25" s="1"/>
  <c r="AB48" i="57"/>
  <c r="AB79" i="57"/>
  <c r="Z10" i="57"/>
  <c r="Z52" i="57"/>
  <c r="Y4" i="57"/>
  <c r="Y83" i="57"/>
  <c r="H199" i="25"/>
  <c r="AA4" i="57"/>
  <c r="J199" i="25"/>
  <c r="AC4" i="57"/>
  <c r="L199" i="25"/>
  <c r="AE4" i="57"/>
  <c r="M199" i="25"/>
  <c r="AF4" i="57"/>
  <c r="I199" i="25"/>
  <c r="AB4" i="57"/>
  <c r="F130" i="47"/>
  <c r="J130" i="47"/>
  <c r="I130" i="47"/>
  <c r="K124" i="47"/>
  <c r="N288" i="25"/>
  <c r="L124" i="47"/>
  <c r="O288" i="25"/>
  <c r="C130" i="47"/>
  <c r="E130" i="47"/>
  <c r="M164" i="25"/>
  <c r="M468" i="25" s="1"/>
  <c r="L164" i="25"/>
  <c r="L468" i="25" s="1"/>
  <c r="K468" i="25"/>
  <c r="I224" i="25"/>
  <c r="I228" i="25" s="1"/>
  <c r="E102" i="47"/>
  <c r="F102" i="47"/>
  <c r="D104" i="47"/>
  <c r="H38" i="47"/>
  <c r="G38" i="47"/>
  <c r="E38" i="47"/>
  <c r="F38" i="47"/>
  <c r="J38" i="47"/>
  <c r="I38" i="47"/>
  <c r="L32" i="47"/>
  <c r="K32" i="47"/>
  <c r="H30" i="60"/>
  <c r="E10" i="47"/>
  <c r="F10" i="47"/>
  <c r="D12" i="47"/>
  <c r="E12" i="47" s="1"/>
  <c r="C38" i="47"/>
  <c r="N110" i="25"/>
  <c r="N113" i="25" s="1"/>
  <c r="AG107" i="57" s="1"/>
  <c r="N215" i="25"/>
  <c r="AG45" i="57" s="1"/>
  <c r="E23" i="8"/>
  <c r="F18" i="8"/>
  <c r="F20" i="8" s="1"/>
  <c r="F199" i="25"/>
  <c r="C29" i="8"/>
  <c r="C30" i="8" s="1"/>
  <c r="D30" i="8" s="1"/>
  <c r="F423" i="25"/>
  <c r="F424" i="25" s="1"/>
  <c r="N422" i="25"/>
  <c r="N59" i="25"/>
  <c r="O54" i="25"/>
  <c r="O59" i="25"/>
  <c r="N54" i="25"/>
  <c r="P251" i="25"/>
  <c r="S251" i="25" s="1"/>
  <c r="N314" i="25"/>
  <c r="N343" i="25" s="1"/>
  <c r="N346" i="25" s="1"/>
  <c r="AH9" i="57" l="1"/>
  <c r="AH93" i="57"/>
  <c r="AG9" i="57"/>
  <c r="AG93" i="57"/>
  <c r="AB10" i="57"/>
  <c r="AB52" i="57"/>
  <c r="AF10" i="57"/>
  <c r="AF52" i="57"/>
  <c r="AE10" i="57"/>
  <c r="AE52" i="57"/>
  <c r="AC10" i="57"/>
  <c r="AC52" i="57"/>
  <c r="AA10" i="57"/>
  <c r="AA52" i="57"/>
  <c r="Y10" i="57"/>
  <c r="Y52" i="57"/>
  <c r="K125" i="47"/>
  <c r="L125" i="47"/>
  <c r="L129" i="47"/>
  <c r="O294" i="25"/>
  <c r="O423" i="25" s="1"/>
  <c r="O424" i="25" s="1"/>
  <c r="K129" i="47"/>
  <c r="N294" i="25"/>
  <c r="N423" i="25" s="1"/>
  <c r="N424" i="25" s="1"/>
  <c r="E104" i="47"/>
  <c r="L394" i="25"/>
  <c r="K394" i="25"/>
  <c r="J394" i="25"/>
  <c r="M394" i="25"/>
  <c r="K33" i="47"/>
  <c r="L33" i="47"/>
  <c r="N221" i="25"/>
  <c r="K37" i="47"/>
  <c r="L37" i="47"/>
  <c r="O289" i="25"/>
  <c r="N289" i="25"/>
  <c r="O221" i="25"/>
  <c r="O198" i="25"/>
  <c r="AH83" i="57" s="1"/>
  <c r="F21" i="8"/>
  <c r="N198" i="25"/>
  <c r="Q197" i="25"/>
  <c r="AJ3" i="57" s="1"/>
  <c r="Q53" i="25"/>
  <c r="S233" i="25"/>
  <c r="Q422" i="25"/>
  <c r="G350" i="25"/>
  <c r="G351" i="25" s="1"/>
  <c r="G352" i="25" s="1"/>
  <c r="G396" i="25"/>
  <c r="AG4" i="57" l="1"/>
  <c r="AG83" i="57"/>
  <c r="O199" i="25"/>
  <c r="AH4" i="57"/>
  <c r="L130" i="47"/>
  <c r="K130" i="47"/>
  <c r="N124" i="47"/>
  <c r="Q288" i="25"/>
  <c r="O164" i="25"/>
  <c r="O468" i="25" s="1"/>
  <c r="N164" i="25"/>
  <c r="N468" i="25" s="1"/>
  <c r="L38" i="47"/>
  <c r="K38" i="47"/>
  <c r="P233" i="25"/>
  <c r="AI33" i="57" s="1"/>
  <c r="Q233" i="25"/>
  <c r="AJ33" i="57" s="1"/>
  <c r="N32" i="47"/>
  <c r="Q215" i="25"/>
  <c r="AJ45" i="57" s="1"/>
  <c r="F23" i="8"/>
  <c r="G18" i="8"/>
  <c r="N199" i="25"/>
  <c r="S51" i="25"/>
  <c r="P215" i="25"/>
  <c r="AI45" i="57" s="1"/>
  <c r="S79" i="25"/>
  <c r="P197" i="25"/>
  <c r="Q110" i="25"/>
  <c r="Q54" i="25"/>
  <c r="Q59" i="25"/>
  <c r="P53" i="25"/>
  <c r="Q314" i="25"/>
  <c r="S314" i="25" s="1"/>
  <c r="F333" i="25"/>
  <c r="F350" i="25"/>
  <c r="F351" i="25" s="1"/>
  <c r="F352" i="25" s="1"/>
  <c r="AJ9" i="57" l="1"/>
  <c r="AJ93" i="57"/>
  <c r="AG10" i="57"/>
  <c r="AG52" i="57"/>
  <c r="AH10" i="57"/>
  <c r="AH52" i="57"/>
  <c r="S197" i="25"/>
  <c r="A5" i="57" s="1"/>
  <c r="AI3" i="57"/>
  <c r="N125" i="47"/>
  <c r="N129" i="47"/>
  <c r="Q294" i="25"/>
  <c r="Q423" i="25" s="1"/>
  <c r="Q424" i="25" s="1"/>
  <c r="M124" i="47"/>
  <c r="O124" i="47" s="1"/>
  <c r="P288" i="25"/>
  <c r="S288" i="25" s="1"/>
  <c r="N394" i="25"/>
  <c r="N33" i="47"/>
  <c r="P221" i="25"/>
  <c r="N37" i="47"/>
  <c r="M32" i="47"/>
  <c r="Q289" i="25"/>
  <c r="S53" i="25"/>
  <c r="Q221" i="25"/>
  <c r="S286" i="25"/>
  <c r="Q198" i="25"/>
  <c r="AJ83" i="57" s="1"/>
  <c r="G20" i="8"/>
  <c r="F334" i="25"/>
  <c r="Q113" i="25"/>
  <c r="S110" i="25"/>
  <c r="P422" i="25"/>
  <c r="Q343" i="25"/>
  <c r="S343" i="25" s="1"/>
  <c r="P110" i="25"/>
  <c r="P113" i="25" s="1"/>
  <c r="AI107" i="57" s="1"/>
  <c r="P59" i="25"/>
  <c r="P54" i="25"/>
  <c r="F396" i="25"/>
  <c r="G333" i="25"/>
  <c r="P314" i="25"/>
  <c r="P343" i="25" s="1"/>
  <c r="P346" i="25" s="1"/>
  <c r="S113" i="25" l="1"/>
  <c r="AJ107" i="57"/>
  <c r="N130" i="47"/>
  <c r="AI9" i="57"/>
  <c r="AI93" i="57"/>
  <c r="Q199" i="25"/>
  <c r="AJ4" i="57"/>
  <c r="M125" i="47"/>
  <c r="M129" i="47"/>
  <c r="O129" i="47" s="1"/>
  <c r="P294" i="25"/>
  <c r="S294" i="25" s="1"/>
  <c r="T294" i="25" s="1"/>
  <c r="T288" i="25"/>
  <c r="T286" i="25"/>
  <c r="T303" i="25"/>
  <c r="T290" i="25"/>
  <c r="T298" i="25"/>
  <c r="T301" i="25"/>
  <c r="T293" i="25"/>
  <c r="T291" i="25"/>
  <c r="T287" i="25"/>
  <c r="T299" i="25"/>
  <c r="T292" i="25"/>
  <c r="Q164" i="25"/>
  <c r="Q468" i="25" s="1"/>
  <c r="P164" i="25"/>
  <c r="P468" i="25" s="1"/>
  <c r="N38" i="47"/>
  <c r="M33" i="47"/>
  <c r="O32" i="47"/>
  <c r="O125" i="47" s="1"/>
  <c r="M37" i="47"/>
  <c r="S54" i="25"/>
  <c r="P289" i="25"/>
  <c r="S289" i="25"/>
  <c r="T289" i="25" s="1"/>
  <c r="G21" i="8"/>
  <c r="H18" i="8" s="1"/>
  <c r="G334" i="25"/>
  <c r="P198" i="25"/>
  <c r="S59" i="25"/>
  <c r="Q346" i="25"/>
  <c r="S346" i="25" s="1"/>
  <c r="M130" i="47" l="1"/>
  <c r="AI4" i="57"/>
  <c r="AI83" i="57"/>
  <c r="AJ10" i="57"/>
  <c r="AJ52" i="57"/>
  <c r="S164" i="25"/>
  <c r="Q394" i="25"/>
  <c r="S468" i="25"/>
  <c r="O33" i="47"/>
  <c r="M38" i="47"/>
  <c r="O37" i="47"/>
  <c r="O130" i="47" s="1"/>
  <c r="G23" i="8"/>
  <c r="H20" i="8"/>
  <c r="P199" i="25"/>
  <c r="S198" i="25"/>
  <c r="P423" i="25"/>
  <c r="P424" i="25" s="1"/>
  <c r="F336" i="25"/>
  <c r="G336" i="25"/>
  <c r="AC112" i="57" l="1"/>
  <c r="AD112" i="57"/>
  <c r="AA112" i="57"/>
  <c r="AB112" i="57"/>
  <c r="Y112" i="57"/>
  <c r="Z112" i="57"/>
  <c r="AI10" i="57"/>
  <c r="AI52" i="57"/>
  <c r="D5" i="57"/>
  <c r="G5" i="57"/>
  <c r="O38" i="47"/>
  <c r="H21" i="8"/>
  <c r="F313" i="25"/>
  <c r="G181" i="25"/>
  <c r="I18" i="8" l="1"/>
  <c r="I20" i="8" s="1"/>
  <c r="I21" i="8" s="1"/>
  <c r="H23" i="8"/>
  <c r="G408" i="25"/>
  <c r="F317" i="25"/>
  <c r="J18" i="8" l="1"/>
  <c r="I23" i="8"/>
  <c r="F338" i="25"/>
  <c r="F320" i="25"/>
  <c r="J20" i="8" l="1"/>
  <c r="G313" i="25"/>
  <c r="H181" i="25"/>
  <c r="J21" i="8" l="1"/>
  <c r="K18" i="8" s="1"/>
  <c r="H408" i="25"/>
  <c r="G317" i="25"/>
  <c r="J23" i="8" l="1"/>
  <c r="K20" i="8"/>
  <c r="G338" i="25"/>
  <c r="G320" i="25"/>
  <c r="K21" i="8" l="1"/>
  <c r="L18" i="8" l="1"/>
  <c r="K23" i="8"/>
  <c r="L20" i="8" l="1"/>
  <c r="L21" i="8" s="1"/>
  <c r="M18" i="8" l="1"/>
  <c r="M20" i="8" s="1"/>
  <c r="M21" i="8" s="1"/>
  <c r="N18" i="8" s="1"/>
  <c r="L23" i="8"/>
  <c r="M23" i="8" l="1"/>
  <c r="N20" i="8"/>
  <c r="N21" i="8" s="1"/>
  <c r="N23" i="8" l="1"/>
  <c r="C32" i="8"/>
  <c r="C34" i="8" s="1"/>
  <c r="D34" i="8" s="1"/>
  <c r="O21" i="8"/>
  <c r="O18" i="8"/>
  <c r="O23" i="8" l="1"/>
  <c r="O20" i="8"/>
  <c r="H401" i="25" l="1"/>
  <c r="K401" i="25"/>
  <c r="K431" i="25" s="1"/>
  <c r="M401" i="25"/>
  <c r="M431" i="25" s="1"/>
  <c r="N401" i="25"/>
  <c r="N431" i="25" s="1"/>
  <c r="O401" i="25"/>
  <c r="P401" i="25"/>
  <c r="P431" i="25" s="1"/>
  <c r="Q401" i="25"/>
  <c r="Q431" i="25" s="1"/>
  <c r="F358" i="25"/>
  <c r="F124" i="25"/>
  <c r="O431" i="25" l="1"/>
  <c r="H431" i="25"/>
  <c r="F401" i="25"/>
  <c r="F397" i="25"/>
  <c r="F357" i="25"/>
  <c r="F431" i="25" l="1"/>
  <c r="F206" i="25"/>
  <c r="F61" i="25"/>
  <c r="F296" i="25" s="1"/>
  <c r="Y16" i="57" l="1"/>
  <c r="Y62" i="57"/>
  <c r="F62" i="25"/>
  <c r="F67" i="25"/>
  <c r="F72" i="25" l="1"/>
  <c r="B15" i="65"/>
  <c r="C131" i="47"/>
  <c r="F302" i="25"/>
  <c r="C39" i="47"/>
  <c r="F297" i="25"/>
  <c r="G124" i="25"/>
  <c r="G358" i="25"/>
  <c r="B17" i="65" l="1"/>
  <c r="B18" i="65" s="1"/>
  <c r="F106" i="25"/>
  <c r="B19" i="65"/>
  <c r="F70" i="25"/>
  <c r="F73" i="25" s="1"/>
  <c r="G397" i="25"/>
  <c r="G357" i="25"/>
  <c r="B20" i="65" l="1"/>
  <c r="C133" i="47"/>
  <c r="F305" i="25"/>
  <c r="F426" i="25" s="1"/>
  <c r="F427" i="25" s="1"/>
  <c r="C41" i="47"/>
  <c r="F162" i="25"/>
  <c r="F153" i="25"/>
  <c r="F385" i="25" s="1"/>
  <c r="F201" i="25"/>
  <c r="Y84" i="57" s="1"/>
  <c r="F71" i="25"/>
  <c r="F306" i="25" s="1"/>
  <c r="G206" i="25"/>
  <c r="G401" i="25"/>
  <c r="G61" i="25"/>
  <c r="G296" i="25" s="1"/>
  <c r="F466" i="25" l="1"/>
  <c r="F171" i="25"/>
  <c r="C22" i="60" s="1"/>
  <c r="C113" i="47"/>
  <c r="C21" i="47"/>
  <c r="Z16" i="57"/>
  <c r="Z62" i="57"/>
  <c r="F202" i="25"/>
  <c r="Y5" i="57"/>
  <c r="C134" i="47"/>
  <c r="F392" i="25"/>
  <c r="C42" i="47"/>
  <c r="F383" i="25"/>
  <c r="G431" i="25"/>
  <c r="G62" i="25"/>
  <c r="G67" i="25"/>
  <c r="G72" i="25" l="1"/>
  <c r="C15" i="65"/>
  <c r="F22" i="60"/>
  <c r="Y11" i="57"/>
  <c r="Y53" i="57"/>
  <c r="D131" i="47"/>
  <c r="G302" i="25"/>
  <c r="F182" i="25"/>
  <c r="I22" i="60" s="1"/>
  <c r="F471" i="25"/>
  <c r="E440" i="25"/>
  <c r="D39" i="47"/>
  <c r="F398" i="25"/>
  <c r="F205" i="25"/>
  <c r="Y57" i="57" s="1"/>
  <c r="G297" i="25"/>
  <c r="C17" i="65" l="1"/>
  <c r="C18" i="65" s="1"/>
  <c r="G106" i="25"/>
  <c r="C19" i="65"/>
  <c r="G22" i="60"/>
  <c r="F208" i="25"/>
  <c r="Y15" i="57"/>
  <c r="F474" i="25"/>
  <c r="F473" i="25"/>
  <c r="F477" i="25"/>
  <c r="H440" i="25"/>
  <c r="F409" i="25"/>
  <c r="F430" i="25"/>
  <c r="F433" i="25" s="1"/>
  <c r="F183" i="25"/>
  <c r="F189" i="25" s="1"/>
  <c r="Y22" i="57" s="1"/>
  <c r="G70" i="25"/>
  <c r="G73" i="25" s="1"/>
  <c r="H358" i="25"/>
  <c r="H318" i="25"/>
  <c r="C20" i="65" l="1"/>
  <c r="Y18" i="57"/>
  <c r="Y58" i="57"/>
  <c r="D133" i="47"/>
  <c r="G305" i="25"/>
  <c r="F478" i="25"/>
  <c r="F455" i="25"/>
  <c r="F460" i="25"/>
  <c r="F456" i="25"/>
  <c r="F458" i="25"/>
  <c r="F461" i="25"/>
  <c r="F457" i="25"/>
  <c r="Y103" i="57" s="1"/>
  <c r="F187" i="25"/>
  <c r="J440" i="25" s="1"/>
  <c r="F188" i="25"/>
  <c r="I440" i="25"/>
  <c r="F413" i="25"/>
  <c r="F415" i="25" s="1"/>
  <c r="D41" i="47"/>
  <c r="F410" i="25"/>
  <c r="G71" i="25"/>
  <c r="G153" i="25"/>
  <c r="G383" i="25" s="1"/>
  <c r="G201" i="25"/>
  <c r="G162" i="25"/>
  <c r="H397" i="25"/>
  <c r="H359" i="25"/>
  <c r="I123" i="25"/>
  <c r="G466" i="25" l="1"/>
  <c r="G171" i="25"/>
  <c r="C23" i="60" s="1"/>
  <c r="D113" i="47"/>
  <c r="D21" i="47"/>
  <c r="Z5" i="57"/>
  <c r="Z84" i="57"/>
  <c r="D134" i="47"/>
  <c r="K440" i="25"/>
  <c r="D42" i="47"/>
  <c r="I125" i="25"/>
  <c r="I124" i="25" s="1"/>
  <c r="G426" i="25"/>
  <c r="G427" i="25" s="1"/>
  <c r="G306" i="25"/>
  <c r="G202" i="25"/>
  <c r="G392" i="25"/>
  <c r="H61" i="25"/>
  <c r="H296" i="25" s="1"/>
  <c r="I356" i="25"/>
  <c r="F23" i="60" l="1"/>
  <c r="Z11" i="57"/>
  <c r="Z53" i="57"/>
  <c r="G182" i="25"/>
  <c r="I23" i="60" s="1"/>
  <c r="G471" i="25"/>
  <c r="E441" i="25"/>
  <c r="I170" i="25"/>
  <c r="G205" i="25"/>
  <c r="G398" i="25"/>
  <c r="H62" i="25"/>
  <c r="H67" i="25"/>
  <c r="H72" i="25" l="1"/>
  <c r="D15" i="65"/>
  <c r="I467" i="25"/>
  <c r="I174" i="25"/>
  <c r="G23" i="60"/>
  <c r="Z15" i="57"/>
  <c r="Z57" i="57"/>
  <c r="E131" i="47"/>
  <c r="H302" i="25"/>
  <c r="G474" i="25"/>
  <c r="G473" i="25"/>
  <c r="G477" i="25"/>
  <c r="E39" i="47"/>
  <c r="H441" i="25"/>
  <c r="G430" i="25"/>
  <c r="G433" i="25" s="1"/>
  <c r="H297" i="25"/>
  <c r="G208" i="25"/>
  <c r="D17" i="65" l="1"/>
  <c r="H106" i="25"/>
  <c r="D19" i="65"/>
  <c r="Z18" i="57"/>
  <c r="Z58" i="57"/>
  <c r="G183" i="25"/>
  <c r="G189" i="25" s="1"/>
  <c r="Z22" i="57" s="1"/>
  <c r="G409" i="25"/>
  <c r="H70" i="25"/>
  <c r="H73" i="25" s="1"/>
  <c r="D20" i="65" l="1"/>
  <c r="D18" i="65"/>
  <c r="E133" i="47"/>
  <c r="H305" i="25"/>
  <c r="G478" i="25"/>
  <c r="G455" i="25"/>
  <c r="G460" i="25"/>
  <c r="G456" i="25"/>
  <c r="G458" i="25"/>
  <c r="G457" i="25"/>
  <c r="Z103" i="57" s="1"/>
  <c r="G461" i="25"/>
  <c r="G187" i="25"/>
  <c r="J441" i="25" s="1"/>
  <c r="G188" i="25"/>
  <c r="I441" i="25"/>
  <c r="G410" i="25"/>
  <c r="E41" i="47"/>
  <c r="G413" i="25"/>
  <c r="G415" i="25" s="1"/>
  <c r="H350" i="25"/>
  <c r="H351" i="25" s="1"/>
  <c r="H352" i="25" s="1"/>
  <c r="H396" i="25"/>
  <c r="H119" i="25"/>
  <c r="H201" i="25"/>
  <c r="H153" i="25"/>
  <c r="H71" i="25"/>
  <c r="H162" i="25"/>
  <c r="H466" i="25" l="1"/>
  <c r="H171" i="25"/>
  <c r="C24" i="60" s="1"/>
  <c r="E113" i="47"/>
  <c r="E21" i="47"/>
  <c r="AA5" i="57"/>
  <c r="AA84" i="57"/>
  <c r="E134" i="47"/>
  <c r="K441" i="25"/>
  <c r="E42" i="47"/>
  <c r="H306" i="25"/>
  <c r="H202" i="25"/>
  <c r="H426" i="25"/>
  <c r="H427" i="25" s="1"/>
  <c r="H155" i="25"/>
  <c r="H392" i="25"/>
  <c r="H383" i="25"/>
  <c r="F24" i="60" l="1"/>
  <c r="AA11" i="57"/>
  <c r="AA53" i="57"/>
  <c r="H182" i="25"/>
  <c r="I24" i="60" s="1"/>
  <c r="H471" i="25"/>
  <c r="E442" i="25"/>
  <c r="H398" i="25"/>
  <c r="H205" i="25"/>
  <c r="I152" i="25"/>
  <c r="H385" i="25"/>
  <c r="G24" i="60" l="1"/>
  <c r="AA15" i="57"/>
  <c r="AA57" i="57"/>
  <c r="H474" i="25"/>
  <c r="H477" i="25"/>
  <c r="H473" i="25"/>
  <c r="I382" i="25"/>
  <c r="H333" i="25"/>
  <c r="H336" i="25"/>
  <c r="H334" i="25"/>
  <c r="H430" i="25"/>
  <c r="H433" i="25" s="1"/>
  <c r="H208" i="25"/>
  <c r="AA18" i="57" l="1"/>
  <c r="AA58" i="57"/>
  <c r="H442" i="25"/>
  <c r="I178" i="25"/>
  <c r="S154" i="25"/>
  <c r="I384" i="25"/>
  <c r="S384" i="25" s="1"/>
  <c r="H409" i="25"/>
  <c r="H183" i="25"/>
  <c r="H189" i="25" s="1"/>
  <c r="AA22" i="57" s="1"/>
  <c r="I181" i="25"/>
  <c r="H313" i="25"/>
  <c r="H478" i="25" l="1"/>
  <c r="H455" i="25"/>
  <c r="H460" i="25"/>
  <c r="H456" i="25"/>
  <c r="H458" i="25"/>
  <c r="H457" i="25"/>
  <c r="AA103" i="57" s="1"/>
  <c r="H461" i="25"/>
  <c r="H187" i="25"/>
  <c r="J442" i="25" s="1"/>
  <c r="H188" i="25"/>
  <c r="I442" i="25"/>
  <c r="S178" i="25"/>
  <c r="I405" i="25"/>
  <c r="S405" i="25" s="1"/>
  <c r="H410" i="25"/>
  <c r="H317" i="25"/>
  <c r="I408" i="25"/>
  <c r="H413" i="25" l="1"/>
  <c r="H415" i="25" s="1"/>
  <c r="K442" i="25"/>
  <c r="H338" i="25"/>
  <c r="H320" i="25"/>
  <c r="I358" i="25"/>
  <c r="I397" i="25" l="1"/>
  <c r="I61" i="25" l="1"/>
  <c r="I296" i="25" s="1"/>
  <c r="I67" i="25" l="1"/>
  <c r="I62" i="25"/>
  <c r="I72" i="25" l="1"/>
  <c r="E15" i="65"/>
  <c r="F131" i="47"/>
  <c r="I302" i="25"/>
  <c r="F39" i="47"/>
  <c r="I297" i="25"/>
  <c r="E17" i="65" l="1"/>
  <c r="E18" i="65" s="1"/>
  <c r="I106" i="25"/>
  <c r="E19" i="65"/>
  <c r="I70" i="25"/>
  <c r="E20" i="65" l="1"/>
  <c r="I153" i="25"/>
  <c r="I73" i="25"/>
  <c r="F133" i="47"/>
  <c r="I305" i="25"/>
  <c r="F41" i="47"/>
  <c r="I162" i="25"/>
  <c r="I334" i="25"/>
  <c r="I71" i="25"/>
  <c r="I201" i="25"/>
  <c r="I350" i="25"/>
  <c r="I351" i="25" s="1"/>
  <c r="I352" i="25" s="1"/>
  <c r="I119" i="25"/>
  <c r="I166" i="25"/>
  <c r="I171" i="25" l="1"/>
  <c r="C25" i="60" s="1"/>
  <c r="C29" i="60" s="1"/>
  <c r="F113" i="47"/>
  <c r="F21" i="47"/>
  <c r="AB5" i="57"/>
  <c r="AB84" i="57"/>
  <c r="F134" i="47"/>
  <c r="I459" i="25"/>
  <c r="I470" i="25"/>
  <c r="I392" i="25"/>
  <c r="I466" i="25"/>
  <c r="F42" i="47"/>
  <c r="I306" i="25"/>
  <c r="I202" i="25"/>
  <c r="I383" i="25"/>
  <c r="I426" i="25"/>
  <c r="I427" i="25" s="1"/>
  <c r="I396" i="25"/>
  <c r="I333" i="25"/>
  <c r="I385" i="25"/>
  <c r="J382" i="25"/>
  <c r="AB11" i="57" l="1"/>
  <c r="AB53" i="57"/>
  <c r="I471" i="25"/>
  <c r="E443" i="25"/>
  <c r="I398" i="25"/>
  <c r="I205" i="25"/>
  <c r="AB15" i="57" l="1"/>
  <c r="AB57" i="57"/>
  <c r="I430" i="25"/>
  <c r="P394" i="25" l="1"/>
  <c r="O110" i="25"/>
  <c r="O113" i="25" s="1"/>
  <c r="AH107" i="57" s="1"/>
  <c r="O314" i="25"/>
  <c r="O343" i="25" s="1"/>
  <c r="O346" i="25" s="1"/>
  <c r="O394" i="25" l="1"/>
  <c r="S394" i="25" s="1"/>
  <c r="I373" i="25" l="1"/>
  <c r="G443" i="25"/>
  <c r="I336" i="25" l="1"/>
  <c r="I404" i="25"/>
  <c r="I207" i="25"/>
  <c r="AB17" i="57" l="1"/>
  <c r="AB63" i="57"/>
  <c r="I432" i="25"/>
  <c r="I318" i="25" l="1"/>
  <c r="I359" i="25"/>
  <c r="D25" i="60"/>
  <c r="D29" i="60" l="1"/>
  <c r="H25" i="60"/>
  <c r="H29" i="60" s="1"/>
  <c r="F25" i="60"/>
  <c r="I472" i="25"/>
  <c r="F443" i="25"/>
  <c r="I182" i="25"/>
  <c r="I25" i="60" s="1"/>
  <c r="I29" i="60" s="1"/>
  <c r="J125" i="25"/>
  <c r="J170" i="25" s="1"/>
  <c r="I206" i="25"/>
  <c r="I401" i="25"/>
  <c r="I357" i="25"/>
  <c r="J356" i="25"/>
  <c r="J467" i="25" l="1"/>
  <c r="J174" i="25"/>
  <c r="F29" i="60"/>
  <c r="G25" i="60"/>
  <c r="AB16" i="57"/>
  <c r="AB62" i="57"/>
  <c r="I477" i="25"/>
  <c r="I474" i="25"/>
  <c r="I473" i="25"/>
  <c r="J358" i="25"/>
  <c r="H443" i="25"/>
  <c r="J397" i="25"/>
  <c r="I431" i="25"/>
  <c r="I433" i="25" s="1"/>
  <c r="I409" i="25"/>
  <c r="I183" i="25"/>
  <c r="I460" i="25" s="1"/>
  <c r="I208" i="25"/>
  <c r="G29" i="60" l="1"/>
  <c r="C100" i="60"/>
  <c r="C101" i="60" s="1"/>
  <c r="AB18" i="57"/>
  <c r="AB58" i="57"/>
  <c r="I187" i="25"/>
  <c r="J443" i="25" s="1"/>
  <c r="I188" i="25"/>
  <c r="I443" i="25"/>
  <c r="J61" i="25"/>
  <c r="J296" i="25" s="1"/>
  <c r="I410" i="25"/>
  <c r="I313" i="25" l="1"/>
  <c r="I413" i="25"/>
  <c r="I415" i="25" s="1"/>
  <c r="K443" i="25"/>
  <c r="J62" i="25"/>
  <c r="J297" i="25" l="1"/>
  <c r="J408" i="25"/>
  <c r="I317" i="25"/>
  <c r="I320" i="25" l="1"/>
  <c r="I338" i="25"/>
  <c r="M395" i="25" l="1"/>
  <c r="O395" i="25"/>
  <c r="J395" i="25"/>
  <c r="P395" i="25"/>
  <c r="K395" i="25"/>
  <c r="Q395" i="25"/>
  <c r="N395" i="25"/>
  <c r="L395" i="25"/>
  <c r="S395" i="25" l="1"/>
  <c r="J413" i="25" l="1"/>
  <c r="J415" i="25" s="1"/>
  <c r="K413" i="25" l="1"/>
  <c r="K415" i="25" s="1"/>
  <c r="L413" i="25" l="1"/>
  <c r="L415" i="25" s="1"/>
  <c r="M413" i="25" l="1"/>
  <c r="M415" i="25" s="1"/>
  <c r="N413" i="25" l="1"/>
  <c r="N415" i="25" s="1"/>
  <c r="O413" i="25" l="1"/>
  <c r="O415" i="25" s="1"/>
  <c r="P413" i="25" l="1"/>
  <c r="P415" i="25" s="1"/>
  <c r="Q413" i="25" l="1"/>
  <c r="Q415" i="25" l="1"/>
  <c r="S413" i="25"/>
  <c r="S415" i="25" s="1"/>
  <c r="J67" i="25" l="1"/>
  <c r="J72" i="25" l="1"/>
  <c r="F15" i="65"/>
  <c r="J302" i="25"/>
  <c r="G131" i="47"/>
  <c r="G39" i="47"/>
  <c r="F17" i="65" l="1"/>
  <c r="F18" i="65" s="1"/>
  <c r="J106" i="25"/>
  <c r="K106" i="25" s="1"/>
  <c r="F19" i="65"/>
  <c r="G40" i="47"/>
  <c r="J70" i="25"/>
  <c r="J73" i="25" s="1"/>
  <c r="F20" i="65" l="1"/>
  <c r="J305" i="25"/>
  <c r="G133" i="47"/>
  <c r="J153" i="25"/>
  <c r="J201" i="25"/>
  <c r="G41" i="47"/>
  <c r="G21" i="47" s="1"/>
  <c r="J71" i="25"/>
  <c r="J162" i="25"/>
  <c r="J325" i="25"/>
  <c r="J350" i="25" s="1"/>
  <c r="H113" i="47" l="1"/>
  <c r="G113" i="47"/>
  <c r="AC5" i="57"/>
  <c r="AC84" i="57"/>
  <c r="J466" i="25"/>
  <c r="J166" i="25"/>
  <c r="J171" i="25" s="1"/>
  <c r="J306" i="25"/>
  <c r="J392" i="25"/>
  <c r="G134" i="47"/>
  <c r="G42" i="47"/>
  <c r="J426" i="25"/>
  <c r="J427" i="25" s="1"/>
  <c r="J383" i="25"/>
  <c r="J202" i="25"/>
  <c r="AC11" i="57" l="1"/>
  <c r="AC53" i="57"/>
  <c r="J459" i="25"/>
  <c r="J385" i="25"/>
  <c r="J470" i="25" l="1"/>
  <c r="J396" i="25"/>
  <c r="J228" i="25"/>
  <c r="J333" i="25"/>
  <c r="J334" i="25"/>
  <c r="K382" i="25"/>
  <c r="J471" i="25" l="1"/>
  <c r="J205" i="25"/>
  <c r="J398" i="25"/>
  <c r="E444" i="25"/>
  <c r="AC15" i="57" l="1"/>
  <c r="AC57" i="57"/>
  <c r="J430" i="25"/>
  <c r="J313" i="25" l="1"/>
  <c r="J234" i="25"/>
  <c r="J323" i="25"/>
  <c r="J349" i="25" s="1"/>
  <c r="J351" i="25" s="1"/>
  <c r="J352" i="25" s="1"/>
  <c r="J235" i="25" l="1"/>
  <c r="AC34" i="57"/>
  <c r="J327" i="25"/>
  <c r="J404" i="25"/>
  <c r="J317" i="25"/>
  <c r="AC35" i="57" l="1"/>
  <c r="AC67" i="57"/>
  <c r="J320" i="25"/>
  <c r="J336" i="25"/>
  <c r="J329" i="25"/>
  <c r="J338" i="25" l="1"/>
  <c r="J318" i="25" l="1"/>
  <c r="J359" i="25"/>
  <c r="K356" i="25"/>
  <c r="J124" i="25"/>
  <c r="S124" i="25" l="1"/>
  <c r="F444" i="25"/>
  <c r="J357" i="25"/>
  <c r="S357" i="25" s="1"/>
  <c r="J401" i="25" l="1"/>
  <c r="K318" i="25"/>
  <c r="K358" i="25"/>
  <c r="K467" i="25"/>
  <c r="K397" i="25"/>
  <c r="J472" i="25"/>
  <c r="J206" i="25"/>
  <c r="AC16" i="57" l="1"/>
  <c r="AC62" i="57"/>
  <c r="J431" i="25"/>
  <c r="L123" i="25"/>
  <c r="L125" i="25" s="1"/>
  <c r="L126" i="25" s="1"/>
  <c r="K359" i="25"/>
  <c r="K297" i="25"/>
  <c r="L356" i="25" l="1"/>
  <c r="L359" i="25"/>
  <c r="L318" i="25"/>
  <c r="L170" i="25"/>
  <c r="L174" i="25" s="1"/>
  <c r="L358" i="25"/>
  <c r="L472" i="25" l="1"/>
  <c r="S472" i="25" s="1"/>
  <c r="F446" i="25"/>
  <c r="L206" i="25"/>
  <c r="L401" i="25"/>
  <c r="S174" i="25"/>
  <c r="M125" i="25"/>
  <c r="M126" i="25" s="1"/>
  <c r="M356" i="25"/>
  <c r="L295" i="25"/>
  <c r="L467" i="25"/>
  <c r="L397" i="25"/>
  <c r="L431" i="25" l="1"/>
  <c r="S401" i="25"/>
  <c r="AE62" i="57"/>
  <c r="AE16" i="57"/>
  <c r="S206" i="25"/>
  <c r="M358" i="25"/>
  <c r="M170" i="25"/>
  <c r="M359" i="25"/>
  <c r="M83" i="25"/>
  <c r="M318" i="25" s="1"/>
  <c r="N123" i="25"/>
  <c r="L61" i="25"/>
  <c r="L296" i="25" s="1"/>
  <c r="N125" i="25" l="1"/>
  <c r="N126" i="25" s="1"/>
  <c r="N356" i="25"/>
  <c r="M60" i="25"/>
  <c r="M295" i="25" s="1"/>
  <c r="M467" i="25"/>
  <c r="M397" i="25"/>
  <c r="L62" i="25"/>
  <c r="L297" i="25" s="1"/>
  <c r="N359" i="25" l="1"/>
  <c r="N83" i="25"/>
  <c r="N318" i="25" s="1"/>
  <c r="O123" i="25"/>
  <c r="M61" i="25"/>
  <c r="M296" i="25" s="1"/>
  <c r="N358" i="25"/>
  <c r="N170" i="25"/>
  <c r="M62" i="25" l="1"/>
  <c r="M297" i="25" s="1"/>
  <c r="N467" i="25"/>
  <c r="N397" i="25"/>
  <c r="N60" i="25"/>
  <c r="N295" i="25" s="1"/>
  <c r="O356" i="25"/>
  <c r="O125" i="25"/>
  <c r="O126" i="25" s="1"/>
  <c r="N61" i="25" l="1"/>
  <c r="N296" i="25" s="1"/>
  <c r="O83" i="25"/>
  <c r="O318" i="25" s="1"/>
  <c r="O359" i="25"/>
  <c r="P123" i="25"/>
  <c r="O358" i="25"/>
  <c r="O170" i="25"/>
  <c r="N62" i="25" l="1"/>
  <c r="N297" i="25" s="1"/>
  <c r="O397" i="25"/>
  <c r="O467" i="25"/>
  <c r="O60" i="25"/>
  <c r="O295" i="25" s="1"/>
  <c r="P356" i="25"/>
  <c r="P125" i="25"/>
  <c r="P126" i="25" s="1"/>
  <c r="P83" i="25" l="1"/>
  <c r="P318" i="25" s="1"/>
  <c r="P359" i="25"/>
  <c r="Q123" i="25"/>
  <c r="O61" i="25"/>
  <c r="O296" i="25" s="1"/>
  <c r="P170" i="25"/>
  <c r="P358" i="25"/>
  <c r="Q125" i="25" l="1"/>
  <c r="Q126" i="25" s="1"/>
  <c r="Q356" i="25"/>
  <c r="O62" i="25"/>
  <c r="O297" i="25" s="1"/>
  <c r="P60" i="25"/>
  <c r="P295" i="25" s="1"/>
  <c r="P397" i="25"/>
  <c r="P467" i="25"/>
  <c r="Q358" i="25" l="1"/>
  <c r="S358" i="25" s="1"/>
  <c r="Q170" i="25"/>
  <c r="S125" i="25"/>
  <c r="P61" i="25"/>
  <c r="P296" i="25" s="1"/>
  <c r="S126" i="25"/>
  <c r="Q359" i="25"/>
  <c r="S359" i="25" s="1"/>
  <c r="Q83" i="25"/>
  <c r="P62" i="25" l="1"/>
  <c r="P297" i="25" s="1"/>
  <c r="Q60" i="25"/>
  <c r="Q295" i="25" s="1"/>
  <c r="Q397" i="25"/>
  <c r="S397" i="25" s="1"/>
  <c r="Q467" i="25"/>
  <c r="S467" i="25" s="1"/>
  <c r="S170" i="25"/>
  <c r="S83" i="25"/>
  <c r="Q318" i="25"/>
  <c r="S318" i="25" s="1"/>
  <c r="S295" i="25" l="1"/>
  <c r="T295" i="25" s="1"/>
  <c r="Q61" i="25"/>
  <c r="Q296" i="25" s="1"/>
  <c r="S60" i="25"/>
  <c r="S296" i="25" l="1"/>
  <c r="Q62" i="25"/>
  <c r="Q297" i="25" s="1"/>
  <c r="S61" i="25"/>
  <c r="S62" i="25" s="1"/>
  <c r="T296" i="25" l="1"/>
  <c r="S297" i="25"/>
  <c r="T297" i="25" s="1"/>
  <c r="J132" i="25" l="1"/>
  <c r="J366" i="25"/>
  <c r="K364" i="25" l="1"/>
  <c r="J365" i="25"/>
  <c r="S365" i="25" s="1"/>
  <c r="S132" i="25"/>
  <c r="L131" i="25"/>
  <c r="K366" i="25"/>
  <c r="K369" i="25" l="1"/>
  <c r="K370" i="25" s="1"/>
  <c r="L364" i="25"/>
  <c r="L133" i="25"/>
  <c r="L137" i="25"/>
  <c r="AE39" i="57" l="1"/>
  <c r="H39" i="47"/>
  <c r="H41" i="47"/>
  <c r="H21" i="47" s="1"/>
  <c r="K306" i="25"/>
  <c r="J373" i="25"/>
  <c r="J475" i="25"/>
  <c r="H40" i="47"/>
  <c r="L138" i="25"/>
  <c r="AE88" i="57" s="1"/>
  <c r="L369" i="25"/>
  <c r="L366" i="25"/>
  <c r="J374" i="25" l="1"/>
  <c r="J476" i="25"/>
  <c r="K426" i="25"/>
  <c r="K427" i="25" s="1"/>
  <c r="L300" i="25"/>
  <c r="H42" i="47"/>
  <c r="H134" i="47"/>
  <c r="K325" i="25"/>
  <c r="K350" i="25" s="1"/>
  <c r="K117" i="25"/>
  <c r="K118" i="25" s="1"/>
  <c r="K217" i="25"/>
  <c r="M364" i="25"/>
  <c r="M137" i="25"/>
  <c r="M133" i="25"/>
  <c r="M88" i="25" s="1"/>
  <c r="K383" i="25"/>
  <c r="L370" i="25"/>
  <c r="K392" i="25"/>
  <c r="K466" i="25"/>
  <c r="K119" i="25" l="1"/>
  <c r="AD108" i="57"/>
  <c r="AD47" i="57"/>
  <c r="AD75" i="57"/>
  <c r="AF39" i="57"/>
  <c r="M138" i="25"/>
  <c r="AF88" i="57" s="1"/>
  <c r="M369" i="25"/>
  <c r="L152" i="25"/>
  <c r="K385" i="25"/>
  <c r="L67" i="25"/>
  <c r="M366" i="25"/>
  <c r="N131" i="25"/>
  <c r="K218" i="25"/>
  <c r="K223" i="25"/>
  <c r="K166" i="25" s="1"/>
  <c r="K372" i="25"/>
  <c r="L72" i="25" l="1"/>
  <c r="H15" i="65"/>
  <c r="K171" i="25"/>
  <c r="K205" i="25" s="1"/>
  <c r="AD48" i="57"/>
  <c r="AD79" i="57"/>
  <c r="I131" i="47"/>
  <c r="P131" i="47" s="1"/>
  <c r="L302" i="25"/>
  <c r="N133" i="25"/>
  <c r="N88" i="25" s="1"/>
  <c r="N364" i="25"/>
  <c r="N137" i="25"/>
  <c r="L382" i="25"/>
  <c r="M370" i="25"/>
  <c r="M65" i="25"/>
  <c r="M300" i="25" s="1"/>
  <c r="K224" i="25"/>
  <c r="K333" i="25"/>
  <c r="L304" i="25"/>
  <c r="I39" i="47"/>
  <c r="P39" i="47" s="1"/>
  <c r="H17" i="65" l="1"/>
  <c r="H18" i="65" s="1"/>
  <c r="I15" i="65"/>
  <c r="L106" i="25"/>
  <c r="H19" i="65"/>
  <c r="AD57" i="57"/>
  <c r="K208" i="25"/>
  <c r="AD18" i="57" s="1"/>
  <c r="AD15" i="57"/>
  <c r="AG39" i="57"/>
  <c r="L70" i="25"/>
  <c r="L73" i="25" s="1"/>
  <c r="I132" i="47"/>
  <c r="P132" i="47" s="1"/>
  <c r="K470" i="25"/>
  <c r="K396" i="25"/>
  <c r="K459" i="25"/>
  <c r="K228" i="25"/>
  <c r="M67" i="25"/>
  <c r="I40" i="47"/>
  <c r="P40" i="47" s="1"/>
  <c r="N138" i="25"/>
  <c r="AG88" i="57" s="1"/>
  <c r="N369" i="25"/>
  <c r="N366" i="25"/>
  <c r="O131" i="25"/>
  <c r="I17" i="65" l="1"/>
  <c r="I18" i="65" s="1"/>
  <c r="D32" i="65"/>
  <c r="H20" i="65"/>
  <c r="I20" i="65" s="1"/>
  <c r="I19" i="65"/>
  <c r="AD58" i="57"/>
  <c r="D11" i="47"/>
  <c r="J131" i="47"/>
  <c r="M302" i="25"/>
  <c r="I133" i="47"/>
  <c r="P133" i="47" s="1"/>
  <c r="P134" i="47" s="1"/>
  <c r="L305" i="25"/>
  <c r="L426" i="25" s="1"/>
  <c r="L427" i="25" s="1"/>
  <c r="L153" i="25"/>
  <c r="L383" i="25" s="1"/>
  <c r="I41" i="47"/>
  <c r="P41" i="47" s="1"/>
  <c r="P42" i="47" s="1"/>
  <c r="L162" i="25"/>
  <c r="L201" i="25"/>
  <c r="AE84" i="57" s="1"/>
  <c r="L71" i="25"/>
  <c r="L306" i="25" s="1"/>
  <c r="O364" i="25"/>
  <c r="O137" i="25"/>
  <c r="O133" i="25"/>
  <c r="O88" i="25" s="1"/>
  <c r="K471" i="25"/>
  <c r="K398" i="25"/>
  <c r="E445" i="25"/>
  <c r="N370" i="25"/>
  <c r="L117" i="25"/>
  <c r="L118" i="25" s="1"/>
  <c r="L325" i="25"/>
  <c r="L350" i="25" s="1"/>
  <c r="L217" i="25"/>
  <c r="J39" i="47"/>
  <c r="M69" i="25"/>
  <c r="M304" i="25" s="1"/>
  <c r="N65" i="25"/>
  <c r="N300" i="25" s="1"/>
  <c r="E32" i="65" l="1"/>
  <c r="F32" i="65"/>
  <c r="M72" i="25"/>
  <c r="M106" i="25" s="1"/>
  <c r="L392" i="25"/>
  <c r="I134" i="47"/>
  <c r="I113" i="47"/>
  <c r="I42" i="47"/>
  <c r="I21" i="47"/>
  <c r="D103" i="47"/>
  <c r="F11" i="47"/>
  <c r="D13" i="47"/>
  <c r="E13" i="47" s="1"/>
  <c r="E11" i="47"/>
  <c r="L119" i="25"/>
  <c r="AE108" i="57"/>
  <c r="AE47" i="57"/>
  <c r="AE75" i="57"/>
  <c r="AH39" i="57"/>
  <c r="L202" i="25"/>
  <c r="AE5" i="57"/>
  <c r="L466" i="25"/>
  <c r="L155" i="25"/>
  <c r="M152" i="25" s="1"/>
  <c r="M70" i="25"/>
  <c r="J132" i="47"/>
  <c r="N67" i="25"/>
  <c r="K473" i="25"/>
  <c r="K409" i="25"/>
  <c r="H445" i="25"/>
  <c r="K474" i="25"/>
  <c r="J40" i="47"/>
  <c r="M90" i="25"/>
  <c r="P131" i="25"/>
  <c r="O366" i="25"/>
  <c r="L218" i="25"/>
  <c r="L223" i="25"/>
  <c r="O369" i="25"/>
  <c r="O138" i="25"/>
  <c r="AH88" i="57" s="1"/>
  <c r="K430" i="25"/>
  <c r="M73" i="25" l="1"/>
  <c r="D105" i="47"/>
  <c r="E105" i="47" s="1"/>
  <c r="F103" i="47"/>
  <c r="E103" i="47"/>
  <c r="AE48" i="57"/>
  <c r="AE79" i="57"/>
  <c r="AE11" i="57"/>
  <c r="AE53" i="57"/>
  <c r="K131" i="47"/>
  <c r="N302" i="25"/>
  <c r="J133" i="47"/>
  <c r="J134" i="47" s="1"/>
  <c r="M305" i="25"/>
  <c r="M426" i="25" s="1"/>
  <c r="M427" i="25" s="1"/>
  <c r="M201" i="25"/>
  <c r="M162" i="25"/>
  <c r="M153" i="25"/>
  <c r="M383" i="25" s="1"/>
  <c r="M71" i="25"/>
  <c r="M306" i="25" s="1"/>
  <c r="L333" i="25"/>
  <c r="L385" i="25"/>
  <c r="J41" i="47"/>
  <c r="J42" i="47" s="1"/>
  <c r="N69" i="25"/>
  <c r="N304" i="25" s="1"/>
  <c r="K39" i="47"/>
  <c r="O65" i="25"/>
  <c r="O300" i="25" s="1"/>
  <c r="M217" i="25"/>
  <c r="M117" i="25"/>
  <c r="M118" i="25" s="1"/>
  <c r="M325" i="25"/>
  <c r="M350" i="25" s="1"/>
  <c r="O370" i="25"/>
  <c r="L166" i="25"/>
  <c r="L171" i="25" s="1"/>
  <c r="L224" i="25"/>
  <c r="P133" i="25"/>
  <c r="P88" i="25" s="1"/>
  <c r="P364" i="25"/>
  <c r="P137" i="25"/>
  <c r="M382" i="25"/>
  <c r="N72" i="25" l="1"/>
  <c r="N106" i="25" s="1"/>
  <c r="M466" i="25"/>
  <c r="M119" i="25"/>
  <c r="AF108" i="57"/>
  <c r="AF5" i="57"/>
  <c r="AF84" i="57"/>
  <c r="AF47" i="57"/>
  <c r="AF75" i="57"/>
  <c r="M392" i="25"/>
  <c r="M202" i="25"/>
  <c r="AI39" i="57"/>
  <c r="M155" i="25"/>
  <c r="M100" i="25" s="1"/>
  <c r="N70" i="25"/>
  <c r="K132" i="47"/>
  <c r="L459" i="25"/>
  <c r="L470" i="25"/>
  <c r="L396" i="25"/>
  <c r="L228" i="25"/>
  <c r="P138" i="25"/>
  <c r="AI88" i="57" s="1"/>
  <c r="P369" i="25"/>
  <c r="P370" i="25" s="1"/>
  <c r="M218" i="25"/>
  <c r="M223" i="25"/>
  <c r="O67" i="25"/>
  <c r="K40" i="47"/>
  <c r="N90" i="25"/>
  <c r="Q131" i="25"/>
  <c r="P366" i="25"/>
  <c r="N73" i="25" l="1"/>
  <c r="AF48" i="57"/>
  <c r="AF79" i="57"/>
  <c r="AF11" i="57"/>
  <c r="AF53" i="57"/>
  <c r="N152" i="25"/>
  <c r="N382" i="25" s="1"/>
  <c r="M385" i="25"/>
  <c r="L131" i="47"/>
  <c r="O302" i="25"/>
  <c r="K41" i="47"/>
  <c r="K42" i="47" s="1"/>
  <c r="N305" i="25"/>
  <c r="N426" i="25" s="1"/>
  <c r="N427" i="25" s="1"/>
  <c r="N162" i="25"/>
  <c r="N153" i="25"/>
  <c r="N71" i="25"/>
  <c r="N306" i="25" s="1"/>
  <c r="N201" i="25"/>
  <c r="AG84" i="57" s="1"/>
  <c r="K133" i="47"/>
  <c r="K134" i="47" s="1"/>
  <c r="P65" i="25"/>
  <c r="P300" i="25" s="1"/>
  <c r="Q137" i="25"/>
  <c r="Q364" i="25"/>
  <c r="Q133" i="25"/>
  <c r="Q88" i="25" s="1"/>
  <c r="L205" i="25"/>
  <c r="E446" i="25"/>
  <c r="L471" i="25"/>
  <c r="L398" i="25"/>
  <c r="N217" i="25"/>
  <c r="N117" i="25"/>
  <c r="N118" i="25" s="1"/>
  <c r="N325" i="25"/>
  <c r="N350" i="25" s="1"/>
  <c r="O69" i="25"/>
  <c r="O304" i="25" s="1"/>
  <c r="L39" i="47"/>
  <c r="M333" i="25"/>
  <c r="M166" i="25"/>
  <c r="M171" i="25" s="1"/>
  <c r="M182" i="25" s="1"/>
  <c r="M224" i="25"/>
  <c r="O72" i="25" l="1"/>
  <c r="O106" i="25" s="1"/>
  <c r="N392" i="25"/>
  <c r="N155" i="25"/>
  <c r="N100" i="25" s="1"/>
  <c r="N119" i="25"/>
  <c r="AG108" i="57"/>
  <c r="AG47" i="57"/>
  <c r="AG75" i="57"/>
  <c r="AE15" i="57"/>
  <c r="AE57" i="57"/>
  <c r="AJ39" i="57"/>
  <c r="N202" i="25"/>
  <c r="AG5" i="57"/>
  <c r="N383" i="25"/>
  <c r="N466" i="25"/>
  <c r="O70" i="25"/>
  <c r="O73" i="25" s="1"/>
  <c r="L132" i="47"/>
  <c r="Q138" i="25"/>
  <c r="AJ88" i="57" s="1"/>
  <c r="Q369" i="25"/>
  <c r="S137" i="25"/>
  <c r="M459" i="25"/>
  <c r="M396" i="25"/>
  <c r="M470" i="25"/>
  <c r="M228" i="25"/>
  <c r="N218" i="25"/>
  <c r="N223" i="25"/>
  <c r="L40" i="47"/>
  <c r="O90" i="25"/>
  <c r="P67" i="25"/>
  <c r="Q366" i="25"/>
  <c r="S366" i="25" s="1"/>
  <c r="S133" i="25"/>
  <c r="L430" i="25"/>
  <c r="N385" i="25" l="1"/>
  <c r="O152" i="25"/>
  <c r="AG48" i="57"/>
  <c r="AG79" i="57"/>
  <c r="AG11" i="57"/>
  <c r="AG53" i="57"/>
  <c r="M131" i="47"/>
  <c r="P302" i="25"/>
  <c r="O162" i="25"/>
  <c r="O305" i="25"/>
  <c r="O426" i="25" s="1"/>
  <c r="O427" i="25" s="1"/>
  <c r="O153" i="25"/>
  <c r="O155" i="25" s="1"/>
  <c r="O201" i="25"/>
  <c r="AH84" i="57" s="1"/>
  <c r="L41" i="47"/>
  <c r="L42" i="47" s="1"/>
  <c r="L133" i="47"/>
  <c r="L134" i="47" s="1"/>
  <c r="O71" i="25"/>
  <c r="O306" i="25" s="1"/>
  <c r="M398" i="25"/>
  <c r="M471" i="25"/>
  <c r="E447" i="25"/>
  <c r="M205" i="25"/>
  <c r="O382" i="25"/>
  <c r="O117" i="25"/>
  <c r="O118" i="25" s="1"/>
  <c r="O217" i="25"/>
  <c r="O325" i="25"/>
  <c r="O350" i="25" s="1"/>
  <c r="P69" i="25"/>
  <c r="P304" i="25" s="1"/>
  <c r="M39" i="47"/>
  <c r="N333" i="25"/>
  <c r="Q370" i="25"/>
  <c r="S370" i="25" s="1"/>
  <c r="S369" i="25"/>
  <c r="N224" i="25"/>
  <c r="N166" i="25"/>
  <c r="N171" i="25" s="1"/>
  <c r="N182" i="25" s="1"/>
  <c r="Q65" i="25"/>
  <c r="Q300" i="25" s="1"/>
  <c r="S138" i="25"/>
  <c r="P72" i="25" l="1"/>
  <c r="P106" i="25" s="1"/>
  <c r="O392" i="25"/>
  <c r="O466" i="25"/>
  <c r="O119" i="25"/>
  <c r="AH108" i="57"/>
  <c r="AH47" i="57"/>
  <c r="AH75" i="57"/>
  <c r="AF15" i="57"/>
  <c r="AF57" i="57"/>
  <c r="O202" i="25"/>
  <c r="AH5" i="57"/>
  <c r="O383" i="25"/>
  <c r="P70" i="25"/>
  <c r="M132" i="47"/>
  <c r="O223" i="25"/>
  <c r="O218" i="25"/>
  <c r="O100" i="25"/>
  <c r="P152" i="25"/>
  <c r="O385" i="25"/>
  <c r="M430" i="25"/>
  <c r="S300" i="25"/>
  <c r="T300" i="25" s="1"/>
  <c r="Q67" i="25"/>
  <c r="S65" i="25"/>
  <c r="N396" i="25"/>
  <c r="N459" i="25"/>
  <c r="N470" i="25"/>
  <c r="N228" i="25"/>
  <c r="M40" i="47"/>
  <c r="P90" i="25"/>
  <c r="P73" i="25" l="1"/>
  <c r="AH48" i="57"/>
  <c r="AH79" i="57"/>
  <c r="AH11" i="57"/>
  <c r="AH53" i="57"/>
  <c r="M133" i="47"/>
  <c r="M134" i="47" s="1"/>
  <c r="P305" i="25"/>
  <c r="P426" i="25" s="1"/>
  <c r="P427" i="25" s="1"/>
  <c r="N131" i="47"/>
  <c r="O131" i="47" s="1"/>
  <c r="Q302" i="25"/>
  <c r="S302" i="25" s="1"/>
  <c r="T302" i="25" s="1"/>
  <c r="P153" i="25"/>
  <c r="P383" i="25" s="1"/>
  <c r="P201" i="25"/>
  <c r="AI84" i="57" s="1"/>
  <c r="P162" i="25"/>
  <c r="M41" i="47"/>
  <c r="M42" i="47" s="1"/>
  <c r="P71" i="25"/>
  <c r="P306" i="25" s="1"/>
  <c r="P382" i="25"/>
  <c r="O333" i="25"/>
  <c r="Q69" i="25"/>
  <c r="Q304" i="25" s="1"/>
  <c r="N39" i="47"/>
  <c r="S67" i="25"/>
  <c r="O224" i="25"/>
  <c r="O166" i="25"/>
  <c r="O171" i="25" s="1"/>
  <c r="O182" i="25" s="1"/>
  <c r="N205" i="25"/>
  <c r="N471" i="25"/>
  <c r="E448" i="25"/>
  <c r="N398" i="25"/>
  <c r="P217" i="25"/>
  <c r="P117" i="25"/>
  <c r="P118" i="25" s="1"/>
  <c r="P325" i="25"/>
  <c r="P350" i="25" s="1"/>
  <c r="Q72" i="25" l="1"/>
  <c r="Q106" i="25" s="1"/>
  <c r="P392" i="25"/>
  <c r="P119" i="25"/>
  <c r="AI108" i="57"/>
  <c r="AI47" i="57"/>
  <c r="AI75" i="57"/>
  <c r="AG15" i="57"/>
  <c r="AG57" i="57"/>
  <c r="P202" i="25"/>
  <c r="AI5" i="57"/>
  <c r="P466" i="25"/>
  <c r="P155" i="25"/>
  <c r="Q152" i="25" s="1"/>
  <c r="Q70" i="25"/>
  <c r="N132" i="47"/>
  <c r="O132" i="47" s="1"/>
  <c r="P218" i="25"/>
  <c r="P223" i="25"/>
  <c r="N430" i="25"/>
  <c r="O39" i="47"/>
  <c r="N40" i="47"/>
  <c r="S304" i="25"/>
  <c r="Q90" i="25"/>
  <c r="S69" i="25"/>
  <c r="O459" i="25"/>
  <c r="O396" i="25"/>
  <c r="O470" i="25"/>
  <c r="O228" i="25"/>
  <c r="S70" i="25" l="1"/>
  <c r="S71" i="25" s="1"/>
  <c r="Q73" i="25"/>
  <c r="Q71" i="25"/>
  <c r="Q306" i="25" s="1"/>
  <c r="AI48" i="57"/>
  <c r="AI79" i="57"/>
  <c r="Q162" i="25"/>
  <c r="N41" i="47"/>
  <c r="O41" i="47" s="1"/>
  <c r="Q153" i="25"/>
  <c r="Q383" i="25" s="1"/>
  <c r="S383" i="25" s="1"/>
  <c r="Q201" i="25"/>
  <c r="AI11" i="57"/>
  <c r="AI53" i="57"/>
  <c r="N133" i="47"/>
  <c r="O133" i="47" s="1"/>
  <c r="Q305" i="25"/>
  <c r="S305" i="25" s="1"/>
  <c r="P385" i="25"/>
  <c r="P100" i="25"/>
  <c r="P333" i="25" s="1"/>
  <c r="O205" i="25"/>
  <c r="O398" i="25"/>
  <c r="O471" i="25"/>
  <c r="E449" i="25"/>
  <c r="T304" i="25"/>
  <c r="Q217" i="25"/>
  <c r="Q325" i="25"/>
  <c r="Q350" i="25" s="1"/>
  <c r="S350" i="25" s="1"/>
  <c r="S325" i="25"/>
  <c r="S90" i="25"/>
  <c r="Q117" i="25"/>
  <c r="O40" i="47"/>
  <c r="Q382" i="25"/>
  <c r="P224" i="25"/>
  <c r="P166" i="25"/>
  <c r="P171" i="25" s="1"/>
  <c r="P182" i="25" s="1"/>
  <c r="Q392" i="25" l="1"/>
  <c r="S392" i="25" s="1"/>
  <c r="Q155" i="25"/>
  <c r="S155" i="25" s="1"/>
  <c r="S162" i="25"/>
  <c r="N42" i="47"/>
  <c r="Q466" i="25"/>
  <c r="S466" i="25" s="1"/>
  <c r="AJ5" i="57"/>
  <c r="AJ84" i="57"/>
  <c r="S153" i="25"/>
  <c r="AJ47" i="57"/>
  <c r="AJ75" i="57"/>
  <c r="S201" i="25"/>
  <c r="J5" i="57" s="1"/>
  <c r="AH15" i="57"/>
  <c r="AH57" i="57"/>
  <c r="Q202" i="25"/>
  <c r="AJ11" i="57" s="1"/>
  <c r="Q426" i="25"/>
  <c r="Q427" i="25" s="1"/>
  <c r="N134" i="47"/>
  <c r="P470" i="25"/>
  <c r="P396" i="25"/>
  <c r="P459" i="25"/>
  <c r="P228" i="25"/>
  <c r="Q118" i="25"/>
  <c r="AJ108" i="57" s="1"/>
  <c r="S117" i="25"/>
  <c r="O430" i="25"/>
  <c r="O42" i="47"/>
  <c r="O134" i="47"/>
  <c r="Q218" i="25"/>
  <c r="Q223" i="25"/>
  <c r="S306" i="25"/>
  <c r="T305" i="25"/>
  <c r="Q100" i="25" l="1"/>
  <c r="S100" i="25" s="1"/>
  <c r="Q385" i="25"/>
  <c r="S385" i="25" s="1"/>
  <c r="AJ53" i="57"/>
  <c r="AJ48" i="57"/>
  <c r="AJ79" i="57"/>
  <c r="P205" i="25"/>
  <c r="E450" i="25"/>
  <c r="P471" i="25"/>
  <c r="P398" i="25"/>
  <c r="P430" i="25" s="1"/>
  <c r="Q166" i="25"/>
  <c r="Q171" i="25" s="1"/>
  <c r="Q182" i="25" s="1"/>
  <c r="Q224" i="25"/>
  <c r="S118" i="25"/>
  <c r="Q119" i="25"/>
  <c r="Q333" i="25" l="1"/>
  <c r="S333" i="25" s="1"/>
  <c r="AI15" i="57"/>
  <c r="AI57" i="57"/>
  <c r="S119" i="25"/>
  <c r="Q228" i="25"/>
  <c r="Q459" i="25"/>
  <c r="S459" i="25" s="1" a="1"/>
  <c r="S459" i="25" s="1"/>
  <c r="Q470" i="25"/>
  <c r="S470" i="25" s="1"/>
  <c r="Q396" i="25"/>
  <c r="S396" i="25" s="1"/>
  <c r="S166" i="25"/>
  <c r="Q205" i="25" l="1"/>
  <c r="E451" i="25"/>
  <c r="Q471" i="25"/>
  <c r="S471" i="25" s="1"/>
  <c r="Q398" i="25"/>
  <c r="S171" i="25"/>
  <c r="AJ15" i="57" l="1"/>
  <c r="AJ57" i="57"/>
  <c r="Q430" i="25"/>
  <c r="S398" i="25"/>
  <c r="S205" i="25"/>
  <c r="J332" i="25"/>
  <c r="J379" i="25"/>
  <c r="K377" i="25"/>
  <c r="J148" i="25"/>
  <c r="S148" i="25" s="1"/>
  <c r="J378" i="25" l="1"/>
  <c r="S378" i="25" s="1"/>
  <c r="J179" i="25"/>
  <c r="S179" i="25" l="1"/>
  <c r="G444" i="25"/>
  <c r="J406" i="25"/>
  <c r="J207" i="25"/>
  <c r="AC63" i="57" s="1"/>
  <c r="K379" i="25"/>
  <c r="L147" i="25"/>
  <c r="J208" i="25" l="1"/>
  <c r="AC17" i="57"/>
  <c r="J477" i="25"/>
  <c r="J474" i="25"/>
  <c r="H444" i="25"/>
  <c r="J473" i="25"/>
  <c r="J409" i="25"/>
  <c r="J432" i="25"/>
  <c r="J433" i="25" s="1"/>
  <c r="S406" i="25"/>
  <c r="K332" i="25"/>
  <c r="K334" i="25"/>
  <c r="L377" i="25"/>
  <c r="L149" i="25"/>
  <c r="AC18" i="57" l="1"/>
  <c r="AC58" i="57"/>
  <c r="K444" i="25"/>
  <c r="J410" i="25"/>
  <c r="I444" i="25"/>
  <c r="J444" i="25"/>
  <c r="L379" i="25"/>
  <c r="M147" i="25"/>
  <c r="J478" i="25" l="1"/>
  <c r="M377" i="25"/>
  <c r="M149" i="25"/>
  <c r="L332" i="25"/>
  <c r="L101" i="25"/>
  <c r="L334" i="25" s="1"/>
  <c r="K408" i="25" l="1"/>
  <c r="M379" i="25"/>
  <c r="N147" i="25"/>
  <c r="M99" i="25"/>
  <c r="I445" i="25" l="1"/>
  <c r="K410" i="25"/>
  <c r="J445" i="25"/>
  <c r="M332" i="25"/>
  <c r="M101" i="25"/>
  <c r="M334" i="25" s="1"/>
  <c r="N377" i="25"/>
  <c r="N149" i="25"/>
  <c r="K445" i="25" l="1"/>
  <c r="O147" i="25"/>
  <c r="N379" i="25"/>
  <c r="N99" i="25"/>
  <c r="K373" i="25" l="1"/>
  <c r="K475" i="25"/>
  <c r="N332" i="25"/>
  <c r="N101" i="25"/>
  <c r="N334" i="25" s="1"/>
  <c r="O377" i="25"/>
  <c r="O149" i="25"/>
  <c r="K477" i="25" l="1"/>
  <c r="K374" i="25"/>
  <c r="L141" i="25"/>
  <c r="L372" i="25" s="1"/>
  <c r="K476" i="25"/>
  <c r="O379" i="25"/>
  <c r="P147" i="25"/>
  <c r="O99" i="25"/>
  <c r="K460" i="25" l="1"/>
  <c r="K456" i="25"/>
  <c r="K461" i="25"/>
  <c r="K455" i="25"/>
  <c r="L181" i="25"/>
  <c r="K478" i="25"/>
  <c r="K457" i="25"/>
  <c r="AD103" i="57" s="1"/>
  <c r="K234" i="25"/>
  <c r="K323" i="25"/>
  <c r="K349" i="25" s="1"/>
  <c r="K351" i="25" s="1"/>
  <c r="K352" i="25" s="1"/>
  <c r="O332" i="25"/>
  <c r="O101" i="25"/>
  <c r="O334" i="25" s="1"/>
  <c r="P377" i="25"/>
  <c r="P149" i="25"/>
  <c r="K235" i="25" l="1"/>
  <c r="AD34" i="57"/>
  <c r="L408" i="25"/>
  <c r="K313" i="25"/>
  <c r="K458" i="25"/>
  <c r="K327" i="25"/>
  <c r="G445" i="25"/>
  <c r="K404" i="25"/>
  <c r="K432" i="25" s="1"/>
  <c r="K433" i="25" s="1"/>
  <c r="P99" i="25"/>
  <c r="P379" i="25"/>
  <c r="Q147" i="25"/>
  <c r="AD35" i="57" l="1"/>
  <c r="AD67" i="57"/>
  <c r="K317" i="25"/>
  <c r="K329" i="25"/>
  <c r="K336" i="25"/>
  <c r="Q377" i="25"/>
  <c r="Q149" i="25"/>
  <c r="P332" i="25"/>
  <c r="P101" i="25"/>
  <c r="P334" i="25" s="1"/>
  <c r="K320" i="25" l="1"/>
  <c r="K338" i="25"/>
  <c r="S149" i="25"/>
  <c r="Q99" i="25"/>
  <c r="Q379" i="25"/>
  <c r="S379" i="25" s="1"/>
  <c r="Q101" i="25" l="1"/>
  <c r="S99" i="25"/>
  <c r="Q332" i="25"/>
  <c r="S332" i="25" s="1"/>
  <c r="S101" i="25" l="1"/>
  <c r="Q334" i="25"/>
  <c r="S334" i="25" s="1"/>
  <c r="L92" i="25" l="1"/>
  <c r="L323" i="25"/>
  <c r="L349" i="25" s="1"/>
  <c r="L351" i="25" s="1"/>
  <c r="L352" i="25" s="1"/>
  <c r="L177" i="25"/>
  <c r="L182" i="25" s="1"/>
  <c r="L234" i="25"/>
  <c r="M372" i="25"/>
  <c r="L474" i="25" l="1"/>
  <c r="H446" i="25"/>
  <c r="L409" i="25"/>
  <c r="L473" i="25"/>
  <c r="L183" i="25"/>
  <c r="L235" i="25"/>
  <c r="AE34" i="57"/>
  <c r="L207" i="25"/>
  <c r="AE63" i="57" s="1"/>
  <c r="L404" i="25"/>
  <c r="L432" i="25" s="1"/>
  <c r="L433" i="25" s="1"/>
  <c r="G446" i="25"/>
  <c r="L327" i="25"/>
  <c r="L96" i="25"/>
  <c r="L188" i="25" l="1"/>
  <c r="I446" i="25"/>
  <c r="L187" i="25"/>
  <c r="J446" i="25" s="1"/>
  <c r="L410" i="25"/>
  <c r="AE35" i="57"/>
  <c r="AE67" i="57"/>
  <c r="L208" i="25"/>
  <c r="AE17" i="57"/>
  <c r="L103" i="25"/>
  <c r="L336" i="25" s="1"/>
  <c r="L329" i="25"/>
  <c r="K446" i="25" l="1"/>
  <c r="L142" i="25"/>
  <c r="AE18" i="57"/>
  <c r="AE58" i="57"/>
  <c r="L475" i="25" l="1"/>
  <c r="L373" i="25"/>
  <c r="L143" i="25"/>
  <c r="L144" i="25" s="1"/>
  <c r="L82" i="25"/>
  <c r="L317" i="25" s="1"/>
  <c r="L189" i="25"/>
  <c r="L456" i="25" s="1"/>
  <c r="L313" i="25"/>
  <c r="AE71" i="57" l="1"/>
  <c r="AE112" i="57"/>
  <c r="AE41" i="57"/>
  <c r="L374" i="25"/>
  <c r="AE40" i="57"/>
  <c r="L477" i="25"/>
  <c r="L476" i="25"/>
  <c r="L461" i="25"/>
  <c r="L460" i="25"/>
  <c r="L458" i="25"/>
  <c r="L85" i="25"/>
  <c r="L457" i="25"/>
  <c r="AE22" i="57"/>
  <c r="L455" i="25"/>
  <c r="L478" i="25"/>
  <c r="M181" i="25"/>
  <c r="M408" i="25" l="1"/>
  <c r="AE103" i="57"/>
  <c r="L105" i="25"/>
  <c r="L338" i="25" s="1"/>
  <c r="L320" i="25"/>
  <c r="M234" i="25" l="1"/>
  <c r="M323" i="25" l="1"/>
  <c r="M349" i="25" s="1"/>
  <c r="M351" i="25" s="1"/>
  <c r="M352" i="25" s="1"/>
  <c r="M92" i="25"/>
  <c r="AF34" i="57"/>
  <c r="M235" i="25"/>
  <c r="M327" i="25" l="1"/>
  <c r="AF67" i="57"/>
  <c r="AF35" i="57"/>
  <c r="M474" i="25"/>
  <c r="M473" i="25" l="1"/>
  <c r="N409" i="25"/>
  <c r="H447" i="25"/>
  <c r="D107" i="60"/>
  <c r="E107" i="60" s="1"/>
  <c r="M183" i="25"/>
  <c r="M409" i="25"/>
  <c r="O409" i="25" l="1"/>
  <c r="D109" i="60"/>
  <c r="O473" i="25"/>
  <c r="H449" i="25"/>
  <c r="D108" i="60"/>
  <c r="E108" i="60" s="1"/>
  <c r="C116" i="60" s="1"/>
  <c r="H448" i="25"/>
  <c r="N473" i="25"/>
  <c r="N474" i="25"/>
  <c r="M187" i="25"/>
  <c r="I447" i="25"/>
  <c r="M188" i="25"/>
  <c r="M142" i="25" s="1"/>
  <c r="M410" i="25"/>
  <c r="F107" i="60"/>
  <c r="M191" i="25" l="1"/>
  <c r="P409" i="25"/>
  <c r="F108" i="60"/>
  <c r="E109" i="60"/>
  <c r="K447" i="25"/>
  <c r="J447" i="25"/>
  <c r="Q473" i="25" l="1"/>
  <c r="H450" i="25"/>
  <c r="D110" i="60"/>
  <c r="E110" i="60" s="1"/>
  <c r="P473" i="25"/>
  <c r="P474" i="25"/>
  <c r="M475" i="25"/>
  <c r="M373" i="25"/>
  <c r="M143" i="25"/>
  <c r="F109" i="60"/>
  <c r="H451" i="25"/>
  <c r="D111" i="60"/>
  <c r="Q474" i="25"/>
  <c r="Q409" i="25"/>
  <c r="S409" i="25" s="1"/>
  <c r="M144" i="25" l="1"/>
  <c r="M94" i="25" s="1"/>
  <c r="M328" i="25" s="1"/>
  <c r="M185" i="25"/>
  <c r="S473" i="25"/>
  <c r="S182" i="25"/>
  <c r="E111" i="60"/>
  <c r="F110" i="60"/>
  <c r="M476" i="25"/>
  <c r="M189" i="25"/>
  <c r="M477" i="25"/>
  <c r="M374" i="25" l="1"/>
  <c r="AF40" i="57"/>
  <c r="AF41" i="57"/>
  <c r="AF71" i="57"/>
  <c r="AF112" i="57"/>
  <c r="N141" i="25"/>
  <c r="N372" i="25" s="1"/>
  <c r="M190" i="25"/>
  <c r="D11" i="64"/>
  <c r="M95" i="25"/>
  <c r="M96" i="25" s="1"/>
  <c r="M103" i="25" s="1"/>
  <c r="M336" i="25" s="1"/>
  <c r="M177" i="25"/>
  <c r="M207" i="25" s="1"/>
  <c r="C118" i="60"/>
  <c r="F111" i="60"/>
  <c r="C117" i="60"/>
  <c r="C120" i="60" s="1"/>
  <c r="M456" i="25"/>
  <c r="M461" i="25"/>
  <c r="M455" i="25"/>
  <c r="M460" i="25"/>
  <c r="AF22" i="57"/>
  <c r="M478" i="25"/>
  <c r="M78" i="25"/>
  <c r="M457" i="25"/>
  <c r="N181" i="25"/>
  <c r="M329" i="25" l="1"/>
  <c r="G447" i="25"/>
  <c r="M404" i="25"/>
  <c r="M432" i="25" s="1"/>
  <c r="M433" i="25" s="1"/>
  <c r="M208" i="25"/>
  <c r="AF63" i="57"/>
  <c r="AF17" i="57"/>
  <c r="O474" i="25"/>
  <c r="S474" i="25" s="1"/>
  <c r="N408" i="25"/>
  <c r="N183" i="25"/>
  <c r="AF103" i="57"/>
  <c r="M313" i="25"/>
  <c r="M458" i="25"/>
  <c r="M82" i="25"/>
  <c r="AF58" i="57" l="1"/>
  <c r="AF18" i="57"/>
  <c r="M85" i="25"/>
  <c r="M317" i="25"/>
  <c r="N410" i="25"/>
  <c r="N188" i="25"/>
  <c r="N187" i="25"/>
  <c r="I448" i="25"/>
  <c r="N142" i="25" l="1"/>
  <c r="N191" i="25" s="1"/>
  <c r="J448" i="25"/>
  <c r="K448" i="25"/>
  <c r="M320" i="25"/>
  <c r="M105" i="25"/>
  <c r="M338" i="25" s="1"/>
  <c r="N373" i="25" l="1"/>
  <c r="N475" i="25"/>
  <c r="N143" i="25"/>
  <c r="N185" i="25" s="1"/>
  <c r="N476" i="25" l="1"/>
  <c r="N189" i="25"/>
  <c r="N190" i="25" s="1"/>
  <c r="N144" i="25"/>
  <c r="N94" i="25" s="1"/>
  <c r="N477" i="25"/>
  <c r="N95" i="25" l="1"/>
  <c r="N328" i="25"/>
  <c r="AG41" i="57"/>
  <c r="AG40" i="57"/>
  <c r="O141" i="25"/>
  <c r="AG71" i="57"/>
  <c r="AG112" i="57"/>
  <c r="N374" i="25"/>
  <c r="N461" i="25"/>
  <c r="AG22" i="57"/>
  <c r="N460" i="25"/>
  <c r="N455" i="25"/>
  <c r="N456" i="25"/>
  <c r="N478" i="25"/>
  <c r="N78" i="25"/>
  <c r="O181" i="25"/>
  <c r="N457" i="25"/>
  <c r="O408" i="25" l="1"/>
  <c r="O183" i="25"/>
  <c r="N313" i="25"/>
  <c r="N458" i="25"/>
  <c r="N82" i="25"/>
  <c r="N177" i="25"/>
  <c r="N323" i="25"/>
  <c r="N349" i="25" s="1"/>
  <c r="N351" i="25" s="1"/>
  <c r="N352" i="25" s="1"/>
  <c r="N234" i="25"/>
  <c r="N92" i="25"/>
  <c r="O372" i="25"/>
  <c r="AG103" i="57"/>
  <c r="N96" i="25" l="1"/>
  <c r="N327" i="25"/>
  <c r="N235" i="25"/>
  <c r="AG34" i="57"/>
  <c r="N317" i="25"/>
  <c r="N85" i="25"/>
  <c r="N404" i="25"/>
  <c r="G448" i="25"/>
  <c r="N207" i="25"/>
  <c r="I449" i="25"/>
  <c r="O187" i="25"/>
  <c r="O410" i="25"/>
  <c r="O188" i="25"/>
  <c r="O142" i="25" l="1"/>
  <c r="O191" i="25" s="1"/>
  <c r="J449" i="25"/>
  <c r="N432" i="25"/>
  <c r="N433" i="25" s="1"/>
  <c r="K449" i="25"/>
  <c r="AG17" i="57"/>
  <c r="AG63" i="57"/>
  <c r="N208" i="25"/>
  <c r="N320" i="25"/>
  <c r="AG67" i="57"/>
  <c r="AG35" i="57"/>
  <c r="N329" i="25"/>
  <c r="N103" i="25"/>
  <c r="N336" i="25" s="1"/>
  <c r="N105" i="25" l="1"/>
  <c r="N338" i="25" s="1"/>
  <c r="AG18" i="57"/>
  <c r="AG58" i="57"/>
  <c r="O475" i="25"/>
  <c r="O373" i="25"/>
  <c r="O143" i="25"/>
  <c r="O185" i="25" s="1"/>
  <c r="O476" i="25" l="1"/>
  <c r="O189" i="25"/>
  <c r="O190" i="25" s="1"/>
  <c r="O477" i="25"/>
  <c r="O144" i="25"/>
  <c r="O94" i="25" s="1"/>
  <c r="O328" i="25" l="1"/>
  <c r="O95" i="25"/>
  <c r="AH112" i="57"/>
  <c r="AH71" i="57"/>
  <c r="O374" i="25"/>
  <c r="P141" i="25"/>
  <c r="AH40" i="57"/>
  <c r="AH41" i="57"/>
  <c r="O78" i="25"/>
  <c r="O478" i="25"/>
  <c r="O457" i="25"/>
  <c r="P181" i="25"/>
  <c r="O456" i="25"/>
  <c r="O455" i="25"/>
  <c r="AH22" i="57"/>
  <c r="O461" i="25"/>
  <c r="O460" i="25"/>
  <c r="P408" i="25" l="1"/>
  <c r="P183" i="25"/>
  <c r="AH103" i="57"/>
  <c r="O82" i="25"/>
  <c r="O458" i="25"/>
  <c r="O313" i="25"/>
  <c r="P372" i="25"/>
  <c r="O234" i="25"/>
  <c r="O323" i="25"/>
  <c r="O349" i="25" s="1"/>
  <c r="O351" i="25" s="1"/>
  <c r="O352" i="25" s="1"/>
  <c r="O92" i="25"/>
  <c r="O177" i="25"/>
  <c r="O96" i="25" l="1"/>
  <c r="O327" i="25"/>
  <c r="O235" i="25"/>
  <c r="AH34" i="57"/>
  <c r="P410" i="25"/>
  <c r="P187" i="25"/>
  <c r="P188" i="25"/>
  <c r="I450" i="25"/>
  <c r="O317" i="25"/>
  <c r="O85" i="25"/>
  <c r="O404" i="25"/>
  <c r="O207" i="25"/>
  <c r="G449" i="25"/>
  <c r="P142" i="25" l="1"/>
  <c r="P191" i="25" s="1"/>
  <c r="O432" i="25"/>
  <c r="O433" i="25" s="1"/>
  <c r="J450" i="25"/>
  <c r="AH67" i="57"/>
  <c r="AH35" i="57"/>
  <c r="AH17" i="57"/>
  <c r="O208" i="25"/>
  <c r="AH63" i="57"/>
  <c r="O320" i="25"/>
  <c r="K450" i="25"/>
  <c r="O103" i="25"/>
  <c r="O336" i="25" s="1"/>
  <c r="O329" i="25"/>
  <c r="P373" i="25" l="1"/>
  <c r="P475" i="25"/>
  <c r="P143" i="25"/>
  <c r="P185" i="25" s="1"/>
  <c r="O105" i="25"/>
  <c r="O338" i="25" s="1"/>
  <c r="AH18" i="57"/>
  <c r="AH58" i="57"/>
  <c r="P476" i="25" l="1"/>
  <c r="P189" i="25"/>
  <c r="P190" i="25" s="1"/>
  <c r="P144" i="25"/>
  <c r="P94" i="25" s="1"/>
  <c r="P477" i="25"/>
  <c r="P95" i="25" l="1"/>
  <c r="P328" i="25"/>
  <c r="P374" i="25"/>
  <c r="AI41" i="57"/>
  <c r="AI112" i="57"/>
  <c r="AI40" i="57"/>
  <c r="Q141" i="25"/>
  <c r="AI71" i="57"/>
  <c r="P457" i="25"/>
  <c r="P460" i="25"/>
  <c r="P461" i="25"/>
  <c r="P456" i="25"/>
  <c r="P455" i="25"/>
  <c r="AI22" i="57"/>
  <c r="P478" i="25"/>
  <c r="P78" i="25"/>
  <c r="Q181" i="25"/>
  <c r="P458" i="25" l="1"/>
  <c r="P313" i="25"/>
  <c r="P82" i="25"/>
  <c r="Q183" i="25"/>
  <c r="Q408" i="25"/>
  <c r="P92" i="25"/>
  <c r="P234" i="25"/>
  <c r="P177" i="25"/>
  <c r="P323" i="25"/>
  <c r="P349" i="25" s="1"/>
  <c r="P351" i="25" s="1"/>
  <c r="P352" i="25" s="1"/>
  <c r="AI103" i="57"/>
  <c r="Q372" i="25"/>
  <c r="AI34" i="57" l="1"/>
  <c r="P235" i="25"/>
  <c r="Q188" i="25"/>
  <c r="Q187" i="25"/>
  <c r="S183" i="25"/>
  <c r="Q410" i="25"/>
  <c r="S410" i="25" s="1"/>
  <c r="I451" i="25"/>
  <c r="P207" i="25"/>
  <c r="P404" i="25"/>
  <c r="G450" i="25"/>
  <c r="P96" i="25"/>
  <c r="P327" i="25"/>
  <c r="P85" i="25"/>
  <c r="P317" i="25"/>
  <c r="Q142" i="25" l="1"/>
  <c r="Q191" i="25" s="1"/>
  <c r="P432" i="25"/>
  <c r="P433" i="25" s="1"/>
  <c r="J451" i="25"/>
  <c r="S187" i="25"/>
  <c r="AI35" i="57"/>
  <c r="AI67" i="57"/>
  <c r="P320" i="25"/>
  <c r="P329" i="25"/>
  <c r="P103" i="25"/>
  <c r="P336" i="25" s="1"/>
  <c r="AI17" i="57"/>
  <c r="AI63" i="57"/>
  <c r="P208" i="25"/>
  <c r="K451" i="25"/>
  <c r="S188" i="25"/>
  <c r="AI18" i="57" l="1"/>
  <c r="AI58" i="57"/>
  <c r="P105" i="25"/>
  <c r="P338" i="25" s="1"/>
  <c r="Q373" i="25"/>
  <c r="S373" i="25" s="1"/>
  <c r="Q475" i="25"/>
  <c r="S475" i="25" s="1"/>
  <c r="S142" i="25"/>
  <c r="Q143" i="25"/>
  <c r="Q477" i="25" l="1"/>
  <c r="S477" i="25" s="1"/>
  <c r="Q185" i="25"/>
  <c r="Q144" i="25"/>
  <c r="Q94" i="25" s="1"/>
  <c r="Q476" i="25"/>
  <c r="S476" i="25" s="1"/>
  <c r="S143" i="25"/>
  <c r="Q189" i="25"/>
  <c r="Q190" i="25" s="1"/>
  <c r="Q328" i="25" l="1"/>
  <c r="S328" i="25"/>
  <c r="Q95" i="25"/>
  <c r="S95" i="25" s="1"/>
  <c r="S94" i="25"/>
  <c r="Q456" i="25"/>
  <c r="S456" i="25" s="1"/>
  <c r="S189" i="25"/>
  <c r="Q78" i="25"/>
  <c r="AJ22" i="57"/>
  <c r="Q460" i="25"/>
  <c r="S460" i="25" s="1" a="1"/>
  <c r="S460" i="25" s="1"/>
  <c r="M5" i="57"/>
  <c r="Q457" i="25"/>
  <c r="Q461" i="25"/>
  <c r="S461" i="25" s="1"/>
  <c r="Q478" i="25"/>
  <c r="S478" i="25" s="1"/>
  <c r="Q455" i="25"/>
  <c r="S455" i="25" s="1"/>
  <c r="AJ71" i="57"/>
  <c r="AJ40" i="57"/>
  <c r="S144" i="25"/>
  <c r="Q374" i="25"/>
  <c r="S374" i="25" s="1"/>
  <c r="AJ41" i="57"/>
  <c r="AJ112" i="57"/>
  <c r="Q177" i="25" l="1"/>
  <c r="S88" i="25"/>
  <c r="Q323" i="25"/>
  <c r="Q349" i="25" s="1"/>
  <c r="S323" i="25"/>
  <c r="Q92" i="25"/>
  <c r="Q234" i="25"/>
  <c r="S234" i="25"/>
  <c r="S235" i="25" s="1"/>
  <c r="AJ103" i="57"/>
  <c r="S457" i="25"/>
  <c r="P5" i="57" s="1"/>
  <c r="Q82" i="25"/>
  <c r="Q313" i="25"/>
  <c r="S313" i="25" s="1"/>
  <c r="Q458" i="25"/>
  <c r="S458" i="25" s="1" a="1"/>
  <c r="S458" i="25" s="1"/>
  <c r="S78" i="25"/>
  <c r="Q85" i="25" l="1"/>
  <c r="S82" i="25"/>
  <c r="Q317" i="25"/>
  <c r="S317" i="25" s="1"/>
  <c r="Q235" i="25"/>
  <c r="AJ34" i="57"/>
  <c r="Q327" i="25"/>
  <c r="S327" i="25"/>
  <c r="S92" i="25"/>
  <c r="Q96" i="25"/>
  <c r="Q351" i="25"/>
  <c r="S349" i="25"/>
  <c r="Q207" i="25"/>
  <c r="Q404" i="25"/>
  <c r="G451" i="25"/>
  <c r="S177" i="25"/>
  <c r="Q432" i="25" l="1"/>
  <c r="Q433" i="25" s="1"/>
  <c r="S404" i="25"/>
  <c r="AJ17" i="57"/>
  <c r="Q208" i="25"/>
  <c r="AJ63" i="57"/>
  <c r="S207" i="25"/>
  <c r="S351" i="25"/>
  <c r="Q352" i="25"/>
  <c r="S352" i="25" s="1"/>
  <c r="Q103" i="25"/>
  <c r="Q105" i="25" s="1"/>
  <c r="Q338" i="25" s="1"/>
  <c r="S96" i="25"/>
  <c r="Q329" i="25"/>
  <c r="S329" i="25"/>
  <c r="AJ67" i="57"/>
  <c r="AJ35" i="57"/>
  <c r="S85" i="25"/>
  <c r="Q320" i="25"/>
  <c r="S320" i="25" s="1"/>
  <c r="Q336" i="25" l="1"/>
  <c r="S336" i="25" s="1"/>
  <c r="S338" i="25" s="1"/>
  <c r="S103" i="25"/>
  <c r="S105" i="25" s="1"/>
  <c r="AJ58" i="57"/>
  <c r="AJ18" i="57"/>
  <c r="S208"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9" authorId="0" shapeId="0" xr:uid="{2AAF2B96-967A-4FE6-B054-79CC036E44AC}">
      <text>
        <r>
          <rPr>
            <b/>
            <sz val="9"/>
            <color indexed="81"/>
            <rFont val="Tahoma"/>
            <charset val="1"/>
          </rPr>
          <t>Author:</t>
        </r>
        <r>
          <rPr>
            <sz val="9"/>
            <color indexed="81"/>
            <rFont val="Tahoma"/>
            <charset val="1"/>
          </rPr>
          <t xml:space="preserve">
El presupuesto original de enero no contempla una línea de gastos de operación/proyectos. El real de julio sí la tiene (COP 102,9 MM). Toda esa cifra es desviación desfavorable no presupuestada.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8" authorId="0" shapeId="0" xr:uid="{DB6D5FF5-3FD2-43FA-A8F3-B635B8B1C3D7}">
      <text>
        <r>
          <rPr>
            <b/>
            <sz val="9"/>
            <color indexed="81"/>
            <rFont val="Tahoma"/>
            <charset val="1"/>
          </rPr>
          <t>Colombia: ingresos netos acumulados ene-jul (EF Julio COCO 2026). Internacional: USA, Perú y Costa Rica de abril a julio, cada mes convertido con su propia tasa.</t>
        </r>
      </text>
    </comment>
    <comment ref="B15" authorId="0" shapeId="0" xr:uid="{ACA256DC-E289-4746-80F8-54010E0D176F}">
      <text>
        <r>
          <rPr>
            <b/>
            <sz val="9"/>
            <color indexed="81"/>
            <rFont val="Tahoma"/>
            <charset val="1"/>
          </rPr>
          <t>Author:</t>
        </r>
        <r>
          <rPr>
            <sz val="9"/>
            <color indexed="81"/>
            <rFont val="Tahoma"/>
            <charset val="1"/>
          </rPr>
          <t xml:space="preserve">
Corregido el rótulo: la columna de la hoja Consolidado que alimenta esta fila contiene el acumulado enero-abril, no el mes de abril. La suma con mayo, junio y julio sí da el acumulado del año, por lo que el total de la fila 11 estaba bien.</t>
        </r>
      </text>
    </comment>
    <comment ref="C15" authorId="0" shapeId="0" xr:uid="{914F203D-BD71-48E8-9684-15536B00F5EE}">
      <text>
        <r>
          <rPr>
            <b/>
            <sz val="9"/>
            <color indexed="81"/>
            <rFont val="Tahoma"/>
            <family val="2"/>
          </rPr>
          <t>Author:</t>
        </r>
        <r>
          <rPr>
            <sz val="9"/>
            <color indexed="81"/>
            <rFont val="Tahoma"/>
            <family val="2"/>
          </rPr>
          <t xml:space="preserve">
Suma la fila Utilidad de USA, Perú y Costa Rica para abril y convierte el resultado a COP MM.</t>
        </r>
      </text>
    </comment>
    <comment ref="C16" authorId="0" shapeId="0" xr:uid="{8AB01F66-DCC8-4C26-A6FB-35499F1509C0}">
      <text>
        <r>
          <rPr>
            <b/>
            <sz val="9"/>
            <color indexed="81"/>
            <rFont val="Tahoma"/>
            <family val="2"/>
          </rPr>
          <t>Author:</t>
        </r>
        <r>
          <rPr>
            <sz val="9"/>
            <color indexed="81"/>
            <rFont val="Tahoma"/>
            <family val="2"/>
          </rPr>
          <t xml:space="preserve">
Suma la fila Utilidad de USA, Perú y Costa Rica para mayo y convierte el resultado a COP MM.</t>
        </r>
      </text>
    </comment>
    <comment ref="C17" authorId="0" shapeId="0" xr:uid="{47EB245B-8F78-426C-B94A-98DEFFE9749E}">
      <text>
        <r>
          <rPr>
            <b/>
            <sz val="9"/>
            <color indexed="81"/>
            <rFont val="Tahoma"/>
            <family val="2"/>
          </rPr>
          <t>Author:</t>
        </r>
        <r>
          <rPr>
            <sz val="9"/>
            <color indexed="81"/>
            <rFont val="Tahoma"/>
            <family val="2"/>
          </rPr>
          <t xml:space="preserve">
Suma la fila Utilidad de USA, Perú y Costa Rica para junio y convierte el resultado a COP MM.</t>
        </r>
      </text>
    </comment>
    <comment ref="C18" authorId="0" shapeId="0" xr:uid="{5366A29A-46C0-4A2F-B30E-670EC2C779CE}">
      <text>
        <r>
          <rPr>
            <b/>
            <sz val="9"/>
            <color indexed="81"/>
            <rFont val="Tahoma"/>
            <charset val="1"/>
          </rPr>
          <t>Author:</t>
        </r>
        <r>
          <rPr>
            <sz val="9"/>
            <color indexed="81"/>
            <rFont val="Tahoma"/>
            <charset val="1"/>
          </rPr>
          <t xml:space="preserve">
Julio: movimiento neto de la caja bancaria de USA, Perú y Costa Rica (Consolidado R25:T25 = -12.353,68 USD), convertido con la TRM de la columna. Criterio de caja, que es el que declara la columna E. Los meses abril-junio usan la utilidad contable como aproximación porque no se cargaron sus movimientos bancarios.</t>
        </r>
      </text>
    </comment>
    <comment ref="E27" authorId="0" shapeId="0" xr:uid="{99EBA799-6831-45E5-A412-6169BF214E7B}">
      <text>
        <r>
          <rPr>
            <b/>
            <sz val="9"/>
            <color indexed="81"/>
            <rFont val="Tahoma"/>
            <family val="2"/>
          </rPr>
          <t>Source: Consolidado USD | As-of: 2026-06-30 | Ref: M6:O16 | Notes: Flujo neto de USA, Perú y Costa Rica; excluye Colombia y filas 17 en adelante.</t>
        </r>
      </text>
    </comment>
    <comment ref="E28" authorId="0" shapeId="0" xr:uid="{80E74350-8356-4EA9-BC40-9A2D0633B55B}">
      <text>
        <r>
          <rPr>
            <b/>
            <sz val="9"/>
            <color indexed="81"/>
            <rFont val="Tahoma"/>
            <charset val="1"/>
          </rPr>
          <t>Author:</t>
        </r>
        <r>
          <rPr>
            <sz val="9"/>
            <color indexed="81"/>
            <rFont val="Tahoma"/>
            <charset val="1"/>
          </rPr>
          <t xml:space="preserve">
Flujo neto de caja de USA, Perú y Costa Rica en julio (movimiento bancario real). Mismo valor de la fila 18.</t>
        </r>
      </text>
    </comment>
    <comment ref="H28" authorId="0" shapeId="0" xr:uid="{8A6FCC83-7F87-421F-86ED-857C1D0F2E91}">
      <text>
        <r>
          <rPr>
            <b/>
            <sz val="9"/>
            <color indexed="81"/>
            <rFont val="Tahoma"/>
            <charset val="1"/>
          </rPr>
          <t>Author:</t>
        </r>
        <r>
          <rPr>
            <sz val="9"/>
            <color indexed="81"/>
            <rFont val="Tahoma"/>
            <charset val="1"/>
          </rPr>
          <t xml:space="preserve">
EBITDA de Colombia de julio más CapEx; completa la serie que estaba vacía para este mes.</t>
        </r>
      </text>
    </comment>
    <comment ref="D40" authorId="0" shapeId="0" xr:uid="{01DB0F69-1296-4494-8B8A-5D7C75361111}">
      <text>
        <r>
          <rPr>
            <b/>
            <sz val="9"/>
            <color indexed="81"/>
            <rFont val="Tahoma"/>
            <charset val="1"/>
          </rPr>
          <t>Author:</t>
        </r>
        <r>
          <rPr>
            <sz val="9"/>
            <color indexed="81"/>
            <rFont val="Tahoma"/>
            <charset val="1"/>
          </rPr>
          <t xml:space="preserve">
Ejecutado julio real (EF Julio COCO 2026) vía Modelo Base L51, convertido a USD con TRM ppto G45.</t>
        </r>
      </text>
    </comment>
    <comment ref="C45" authorId="0" shapeId="0" xr:uid="{46755AD7-A5E3-4D09-B2DF-B4D74361FA5E}">
      <text>
        <r>
          <rPr>
            <b/>
            <sz val="9"/>
            <color indexed="81"/>
            <rFont val="Tahoma"/>
            <charset val="1"/>
          </rPr>
          <t>Author:</t>
        </r>
        <r>
          <rPr>
            <sz val="9"/>
            <color indexed="81"/>
            <rFont val="Tahoma"/>
            <charset val="1"/>
          </rPr>
          <t xml:space="preserve">
Caja inicial del puente = efectivo al 30-jun-2026 (EF Junio 2026, vía Inputs).</t>
        </r>
      </text>
    </comment>
    <comment ref="G45" authorId="0" shapeId="0" xr:uid="{DA5BE47C-20E2-4BFA-AD57-27C0DB371472}">
      <text>
        <r>
          <rPr>
            <b/>
            <sz val="9"/>
            <color indexed="81"/>
            <rFont val="Tahoma"/>
            <family val="2"/>
          </rPr>
          <t>Author:</t>
        </r>
        <r>
          <rPr>
            <sz val="9"/>
            <color indexed="81"/>
            <rFont val="Tahoma"/>
            <family val="2"/>
          </rPr>
          <t xml:space="preserve">
Source: Consolidado USD | As-of: 2026-06-30 | Ref: M6:M7 | Notes: Solo filas anteriores a la 17; Colombia excluida.</t>
        </r>
      </text>
    </comment>
    <comment ref="H45" authorId="0" shapeId="0" xr:uid="{8F89FA32-6ACC-4721-9BAC-AC98F92FA4F8}">
      <text>
        <r>
          <rPr>
            <b/>
            <sz val="9"/>
            <color indexed="81"/>
            <rFont val="Tahoma"/>
            <family val="2"/>
          </rPr>
          <t>Author:</t>
        </r>
        <r>
          <rPr>
            <sz val="9"/>
            <color indexed="81"/>
            <rFont val="Tahoma"/>
            <family val="2"/>
          </rPr>
          <t xml:space="preserve">
Source: Consolidado USD | As-of: 2026-06-30 | Ref: M9,M11:M13,M15 | Notes: Solo filas anteriores a la 17; signo de salida de caja.</t>
        </r>
      </text>
    </comment>
    <comment ref="G46" authorId="0" shapeId="0" xr:uid="{43015169-4F69-4252-889A-7573806CC3D8}">
      <text>
        <r>
          <rPr>
            <b/>
            <sz val="9"/>
            <color indexed="81"/>
            <rFont val="Tahoma"/>
            <family val="2"/>
          </rPr>
          <t>Author:</t>
        </r>
        <r>
          <rPr>
            <sz val="9"/>
            <color indexed="81"/>
            <rFont val="Tahoma"/>
            <family val="2"/>
          </rPr>
          <t xml:space="preserve">
Source: Consolidado USD | As-of: 2026-06-30 | Ref: N6:N7 | Notes: Solo filas anteriores a la 17; Colombia excluida.</t>
        </r>
      </text>
    </comment>
    <comment ref="H46" authorId="0" shapeId="0" xr:uid="{3D845C39-A916-432A-850B-FAAA51104A1E}">
      <text>
        <r>
          <rPr>
            <b/>
            <sz val="9"/>
            <color indexed="81"/>
            <rFont val="Tahoma"/>
            <family val="2"/>
          </rPr>
          <t>Author:</t>
        </r>
        <r>
          <rPr>
            <sz val="9"/>
            <color indexed="81"/>
            <rFont val="Tahoma"/>
            <family val="2"/>
          </rPr>
          <t xml:space="preserve">
Source: Consolidado USD | As-of: 2026-06-30 | Ref: N9,N11:N13,N15 | Notes: Solo filas anteriores a la 17; signo de salida de caja.</t>
        </r>
      </text>
    </comment>
    <comment ref="G47" authorId="0" shapeId="0" xr:uid="{BF9ED419-940E-4D54-A1A4-7C67A0C18F5A}">
      <text>
        <r>
          <rPr>
            <b/>
            <sz val="9"/>
            <color indexed="81"/>
            <rFont val="Tahoma"/>
            <family val="2"/>
          </rPr>
          <t>Author:</t>
        </r>
        <r>
          <rPr>
            <sz val="9"/>
            <color indexed="81"/>
            <rFont val="Tahoma"/>
            <family val="2"/>
          </rPr>
          <t xml:space="preserve">
Source: Consolidado USD | As-of: 2026-06-30 | Ref: O6:O7 | Notes: Solo filas anteriores a la 17; Colombia excluida.</t>
        </r>
      </text>
    </comment>
    <comment ref="H47" authorId="0" shapeId="0" xr:uid="{34585156-6A1E-4D6D-9CF3-59A2C469B9FB}">
      <text>
        <r>
          <rPr>
            <b/>
            <sz val="9"/>
            <color indexed="81"/>
            <rFont val="Tahoma"/>
            <family val="2"/>
          </rPr>
          <t>Author:</t>
        </r>
        <r>
          <rPr>
            <sz val="9"/>
            <color indexed="81"/>
            <rFont val="Tahoma"/>
            <family val="2"/>
          </rPr>
          <t xml:space="preserve">
Source: Consolidado USD | As-of: 2026-06-30 | Ref: O9,O11:O13,O15 | Notes: Solo filas anteriores a la 17; signo de salida de caja.</t>
        </r>
      </text>
    </comment>
    <comment ref="J50" authorId="0" shapeId="0" xr:uid="{85EE9339-89C0-4D3F-8685-3D42DC628DD3}">
      <text>
        <r>
          <rPr>
            <b/>
            <sz val="9"/>
            <color indexed="81"/>
            <rFont val="Tahoma"/>
            <family val="2"/>
          </rPr>
          <t>Author:</t>
        </r>
        <r>
          <rPr>
            <sz val="9"/>
            <color indexed="81"/>
            <rFont val="Tahoma"/>
            <family val="2"/>
          </rPr>
          <t xml:space="preserve">
Source: Consolidado USD | As-of: 2026-06-30 | Ref: P4 | Notes: TRM usada para convertir los flujos internacionales de junio.</t>
        </r>
      </text>
    </comment>
    <comment ref="C91" authorId="0" shapeId="0" xr:uid="{F465F19B-EF82-45E6-A174-2C5F185AC893}">
      <text>
        <r>
          <rPr>
            <b/>
            <sz val="9"/>
            <color indexed="81"/>
            <rFont val="Tahoma"/>
            <charset val="1"/>
          </rPr>
          <t>Author:</t>
        </r>
        <r>
          <rPr>
            <sz val="9"/>
            <color indexed="81"/>
            <rFont val="Tahoma"/>
            <charset val="1"/>
          </rPr>
          <t xml:space="preserve">
Caja Colombia a 31-jul-2026 (EF Julio COCO 2026, Nota 03). Antes: =Inputs!I93/1000000 (junio).</t>
        </r>
      </text>
    </comment>
    <comment ref="C92" authorId="0" shapeId="0" xr:uid="{F9512199-48D4-4E37-90C9-622292A57068}">
      <text>
        <r>
          <rPr>
            <b/>
            <sz val="9"/>
            <color indexed="81"/>
            <rFont val="Tahoma"/>
            <family val="2"/>
          </rPr>
          <t>Caja de EE.UU. al 31-jul-2026: USD 302.331,63 (balance de comprobación de julio, cuenta 11 Disponible). Antes: 365.316 con corte 14-jul.</t>
        </r>
      </text>
    </comment>
    <comment ref="C93" authorId="0" shapeId="0" xr:uid="{517D0E9C-E976-4D4A-AE1F-3A3F760BA6DA}">
      <text>
        <r>
          <rPr>
            <b/>
            <sz val="9"/>
            <color indexed="81"/>
            <rFont val="Tahoma"/>
            <family val="2"/>
          </rPr>
          <t>TRM promedio de julio 2026 (3.268,95), la misma usada en la consolidación de julio. Si prefieres la TRM de cierre del 31-jul, se cambia aquí. Antes: 3.248,87 con corte 14-jul.</t>
        </r>
      </text>
    </comment>
    <comment ref="E107" authorId="0" shapeId="0" xr:uid="{70EAE6EF-6583-4951-9D17-9B1E3ED6FF7D}">
      <text>
        <r>
          <rPr>
            <b/>
            <sz val="9"/>
            <color indexed="81"/>
            <rFont val="Tahoma"/>
            <charset val="1"/>
          </rPr>
          <t>Author:</t>
        </r>
        <r>
          <rPr>
            <sz val="9"/>
            <color indexed="81"/>
            <rFont val="Tahoma"/>
            <charset val="1"/>
          </rPr>
          <t xml:space="preserve">
Parte de la caja total consolidada a julio (real) y suma el flujo proyectado de agosto.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6" authorId="0" shapeId="0" xr:uid="{AD15C925-EEBB-4746-8B0B-D4BC86114FCD}">
      <text>
        <r>
          <rPr>
            <b/>
            <sz val="9"/>
            <color indexed="81"/>
            <rFont val="Tahoma"/>
            <family val="2"/>
          </rPr>
          <t>Author:</t>
        </r>
        <r>
          <rPr>
            <sz val="9"/>
            <color indexed="81"/>
            <rFont val="Tahoma"/>
            <family val="2"/>
          </rPr>
          <t xml:space="preserve">
Source: User-provided input | As-of: Apr-2026 close | Ref: chat value | Notes: Cash at April close used for runway calculation; amount in USD.</t>
        </r>
      </text>
    </comment>
    <comment ref="C29" authorId="0" shapeId="0" xr:uid="{E6BF3D6E-B27D-48D3-8CCA-22974D2B04CD}">
      <text>
        <r>
          <rPr>
            <b/>
            <sz val="9"/>
            <color indexed="81"/>
            <rFont val="Tahoma"/>
            <family val="2"/>
          </rPr>
          <t>Author:</t>
        </r>
        <r>
          <rPr>
            <sz val="9"/>
            <color indexed="81"/>
            <rFont val="Tahoma"/>
            <family val="2"/>
          </rPr>
          <t xml:space="preserve">
Tasa anual sobre préstamos intercompañía de corto plazo. Default 12% (ajustable)</t>
        </r>
      </text>
    </comment>
    <comment ref="I93" authorId="0" shapeId="0" xr:uid="{DD94DFE0-67C4-4552-9BF3-1CDCA81505EB}">
      <text>
        <r>
          <rPr>
            <b/>
            <sz val="9"/>
            <color indexed="81"/>
            <rFont val="Tahoma"/>
            <family val="2"/>
          </rPr>
          <t>Author:</t>
        </r>
        <r>
          <rPr>
            <sz val="9"/>
            <color indexed="81"/>
            <rFont val="Tahoma"/>
            <family val="2"/>
          </rPr>
          <t xml:space="preserve">
Fuente: Estados Financieros Junio 2026 (PDF), Nota 03 — Efectivo y equivalentes.</t>
        </r>
      </text>
    </comment>
    <comment ref="J93" authorId="0" shapeId="0" xr:uid="{9F4C512C-BFD4-4161-8E67-626F1AB5489A}">
      <text>
        <r>
          <rPr>
            <b/>
            <sz val="9"/>
            <color indexed="81"/>
            <rFont val="Tahoma"/>
            <charset val="1"/>
          </rPr>
          <t>Author:</t>
        </r>
        <r>
          <rPr>
            <sz val="9"/>
            <color indexed="81"/>
            <rFont val="Tahoma"/>
            <charset val="1"/>
          </rPr>
          <t xml:space="preserve">
Fuente: EF Julio COCO 2026 (PDF), Nota 03 — Efectivo 741.932 + Bancolombia 173.520.635 + Epayco 4.359.</t>
        </r>
      </text>
    </comment>
    <comment ref="I94" authorId="0" shapeId="0" xr:uid="{C3E12090-4C9B-47AA-A03C-F3DAB2C53F52}">
      <text>
        <r>
          <rPr>
            <b/>
            <sz val="9"/>
            <color indexed="81"/>
            <rFont val="Tahoma"/>
            <family val="2"/>
          </rPr>
          <t>Author:</t>
        </r>
        <r>
          <rPr>
            <sz val="9"/>
            <color indexed="81"/>
            <rFont val="Tahoma"/>
            <family val="2"/>
          </rPr>
          <t xml:space="preserve">
Fuente: Estados Financieros Junio 2026 (PDF), Nota 04 — Fiducuenta No. 9405.</t>
        </r>
      </text>
    </comment>
    <comment ref="J94" authorId="0" shapeId="0" xr:uid="{A7BDFD9C-485F-444F-8881-205E30FEF5A1}">
      <text>
        <r>
          <rPr>
            <b/>
            <sz val="9"/>
            <color indexed="81"/>
            <rFont val="Tahoma"/>
            <charset val="1"/>
          </rPr>
          <t>Author:</t>
        </r>
        <r>
          <rPr>
            <sz val="9"/>
            <color indexed="81"/>
            <rFont val="Tahoma"/>
            <charset val="1"/>
          </rPr>
          <t xml:space="preserve">
Fuente: EF Julio COCO 2026 (PDF), Nota 04 — Fiducuenta No. 9405.</t>
        </r>
      </text>
    </comment>
    <comment ref="I95" authorId="0" shapeId="0" xr:uid="{307F8E47-803C-4DE5-A851-D2A0983EAC4B}">
      <text>
        <r>
          <rPr>
            <b/>
            <sz val="9"/>
            <color indexed="81"/>
            <rFont val="Tahoma"/>
            <family val="2"/>
          </rPr>
          <t>Author:</t>
        </r>
        <r>
          <rPr>
            <sz val="9"/>
            <color indexed="81"/>
            <rFont val="Tahoma"/>
            <family val="2"/>
          </rPr>
          <t xml:space="preserve">
Fuente: Estados Financieros Junio 2026 (PDF), Nota 05 — Cuentas comerciales y otras cuentas por cobrar.</t>
        </r>
      </text>
    </comment>
    <comment ref="J95" authorId="0" shapeId="0" xr:uid="{F40CD788-BA34-46D5-B8D7-AE1BA524FFD9}">
      <text>
        <r>
          <rPr>
            <b/>
            <sz val="9"/>
            <color indexed="81"/>
            <rFont val="Tahoma"/>
            <charset val="1"/>
          </rPr>
          <t>Author:</t>
        </r>
        <r>
          <rPr>
            <sz val="9"/>
            <color indexed="81"/>
            <rFont val="Tahoma"/>
            <charset val="1"/>
          </rPr>
          <t xml:space="preserve">
Fuente: EF Julio COCO 2026 (PDF), Nota 05 — Total cuentas comerciales y otras cuentas por cobrar.</t>
        </r>
      </text>
    </comment>
    <comment ref="I96" authorId="0" shapeId="0" xr:uid="{5268C112-CACF-4386-B623-45B5D81AA558}">
      <text>
        <r>
          <rPr>
            <b/>
            <sz val="9"/>
            <color indexed="81"/>
            <rFont val="Tahoma"/>
            <family val="2"/>
          </rPr>
          <t>Author:</t>
        </r>
        <r>
          <rPr>
            <sz val="9"/>
            <color indexed="81"/>
            <rFont val="Tahoma"/>
            <family val="2"/>
          </rPr>
          <t xml:space="preserve">
Fuente: Estados Financieros Junio 2026 (PDF), Nota 05 — Clientes.</t>
        </r>
      </text>
    </comment>
    <comment ref="J96" authorId="0" shapeId="0" xr:uid="{DCEBA5E7-978E-4F7A-A0A3-98F48B4E0DA4}">
      <text>
        <r>
          <rPr>
            <b/>
            <sz val="9"/>
            <color indexed="81"/>
            <rFont val="Tahoma"/>
            <charset val="1"/>
          </rPr>
          <t>Author:</t>
        </r>
        <r>
          <rPr>
            <sz val="9"/>
            <color indexed="81"/>
            <rFont val="Tahoma"/>
            <charset val="1"/>
          </rPr>
          <t xml:space="preserve">
Fuente: EF Julio COCO 2026 (PDF), Nota 05 — Clientes.</t>
        </r>
      </text>
    </comment>
    <comment ref="I101" authorId="0" shapeId="0" xr:uid="{F793F27B-7381-4526-983D-2F72BB9699FB}">
      <text>
        <r>
          <rPr>
            <b/>
            <sz val="9"/>
            <color indexed="81"/>
            <rFont val="Tahoma"/>
            <family val="2"/>
          </rPr>
          <t>Author:</t>
        </r>
        <r>
          <rPr>
            <sz val="9"/>
            <color indexed="81"/>
            <rFont val="Tahoma"/>
            <family val="2"/>
          </rPr>
          <t xml:space="preserve">
Fuente: Estados Financieros Junio 2026 (PDF), Nota 06. Total no corrientes 635.975.514 menos intangibles 410.000.000 (la suma de partidas da 225.975.513 por redondeo del PDF).</t>
        </r>
      </text>
    </comment>
    <comment ref="J101" authorId="0" shapeId="0" xr:uid="{315F1FA9-6FD7-4024-BA13-33A48D55671E}">
      <text>
        <r>
          <rPr>
            <b/>
            <sz val="9"/>
            <color indexed="81"/>
            <rFont val="Tahoma"/>
            <charset val="1"/>
          </rPr>
          <t>Author:</t>
        </r>
        <r>
          <rPr>
            <sz val="9"/>
            <color indexed="81"/>
            <rFont val="Tahoma"/>
            <charset val="1"/>
          </rPr>
          <t xml:space="preserve">
Fuente: EF Julio COCO 2026 (PDF), Nota 06. Total PPE 635.975.514 menos intangibles 410.000.000 (la suma de partidas da 225.975.513 por redondeo del PDF).</t>
        </r>
      </text>
    </comment>
    <comment ref="I102" authorId="0" shapeId="0" xr:uid="{EFE89285-DD4C-4483-BF41-5EFFE14D6D53}">
      <text>
        <r>
          <rPr>
            <b/>
            <sz val="9"/>
            <color indexed="81"/>
            <rFont val="Tahoma"/>
            <family val="2"/>
          </rPr>
          <t>Author:</t>
        </r>
        <r>
          <rPr>
            <sz val="9"/>
            <color indexed="81"/>
            <rFont val="Tahoma"/>
            <family val="2"/>
          </rPr>
          <t xml:space="preserve">
Fuente: Estados Financieros Junio 2026 (PDF), Nota 06 — Derechos intangibles (software).</t>
        </r>
      </text>
    </comment>
    <comment ref="J102" authorId="0" shapeId="0" xr:uid="{33A01FEB-AC4C-4CD1-811D-3BAE74D660BE}">
      <text>
        <r>
          <rPr>
            <b/>
            <sz val="9"/>
            <color indexed="81"/>
            <rFont val="Tahoma"/>
            <charset val="1"/>
          </rPr>
          <t>Author:</t>
        </r>
        <r>
          <rPr>
            <sz val="9"/>
            <color indexed="81"/>
            <rFont val="Tahoma"/>
            <charset val="1"/>
          </rPr>
          <t xml:space="preserve">
Fuente: EF Julio COCO 2026 (PDF), Nota 06 — Derechos intangibles (software).</t>
        </r>
      </text>
    </comment>
    <comment ref="I108" authorId="0" shapeId="0" xr:uid="{90521F2D-BDB6-4858-BE8D-3021FC968099}">
      <text>
        <r>
          <rPr>
            <b/>
            <sz val="9"/>
            <color indexed="81"/>
            <rFont val="Tahoma"/>
            <family val="2"/>
          </rPr>
          <t>Author:</t>
        </r>
        <r>
          <rPr>
            <sz val="9"/>
            <color indexed="81"/>
            <rFont val="Tahoma"/>
            <family val="2"/>
          </rPr>
          <t xml:space="preserve">
Fuente: Estados Financieros Junio 2026 (PDF), Nota 07 — Entidades financieras (tarjetas). Mismo mapeo que meses anteriores.</t>
        </r>
      </text>
    </comment>
    <comment ref="J108" authorId="0" shapeId="0" xr:uid="{8F19CEC7-A7B4-47F9-B74D-2D433EB73714}">
      <text>
        <r>
          <rPr>
            <b/>
            <sz val="9"/>
            <color indexed="81"/>
            <rFont val="Tahoma"/>
            <charset val="1"/>
          </rPr>
          <t>Author:</t>
        </r>
        <r>
          <rPr>
            <sz val="9"/>
            <color indexed="81"/>
            <rFont val="Tahoma"/>
            <charset val="1"/>
          </rPr>
          <t xml:space="preserve">
Fuente: EF Julio COCO 2026 (PDF), Nota 07 — Entidades financieras (tarjetas).</t>
        </r>
      </text>
    </comment>
    <comment ref="I109" authorId="0" shapeId="0" xr:uid="{6F4C9985-0E4E-4D7E-B5A8-1C7C008AD79C}">
      <text>
        <r>
          <rPr>
            <b/>
            <sz val="9"/>
            <color indexed="81"/>
            <rFont val="Tahoma"/>
            <family val="2"/>
          </rPr>
          <t>Author:</t>
        </r>
        <r>
          <rPr>
            <sz val="9"/>
            <color indexed="81"/>
            <rFont val="Tahoma"/>
            <family val="2"/>
          </rPr>
          <t xml:space="preserve">
Fuente: Estados Financieros Junio 2026 (PDF), Nota 07 — Proveedores 469.974.009 + CxP terceros 13.416.897.</t>
        </r>
      </text>
    </comment>
    <comment ref="I110" authorId="0" shapeId="0" xr:uid="{5D7BDA4F-F54A-4ACC-9C25-D4A2FEE0358F}">
      <text>
        <r>
          <rPr>
            <b/>
            <sz val="9"/>
            <color indexed="81"/>
            <rFont val="Tahoma"/>
            <family val="2"/>
          </rPr>
          <t>Author:</t>
        </r>
        <r>
          <rPr>
            <sz val="9"/>
            <color indexed="81"/>
            <rFont val="Tahoma"/>
            <family val="2"/>
          </rPr>
          <t xml:space="preserve">
Fuente: Estados Financieros Junio 2026 (PDF), Nota 07 — Proveedores.</t>
        </r>
      </text>
    </comment>
    <comment ref="J110" authorId="0" shapeId="0" xr:uid="{F9D96CC8-DFA0-4CA4-851D-0E37F81F4A12}">
      <text>
        <r>
          <rPr>
            <b/>
            <sz val="9"/>
            <color indexed="81"/>
            <rFont val="Tahoma"/>
            <charset val="1"/>
          </rPr>
          <t>Author:</t>
        </r>
        <r>
          <rPr>
            <sz val="9"/>
            <color indexed="81"/>
            <rFont val="Tahoma"/>
            <charset val="1"/>
          </rPr>
          <t xml:space="preserve">
Fuente: EF Julio COCO 2026 (PDF), Nota 07 — Proveedores.</t>
        </r>
      </text>
    </comment>
    <comment ref="J111" authorId="0" shapeId="0" xr:uid="{6CF3AC34-B31D-4D9C-9836-D40BE04AAD96}">
      <text>
        <r>
          <rPr>
            <b/>
            <sz val="9"/>
            <color indexed="81"/>
            <rFont val="Tahoma"/>
            <charset val="1"/>
          </rPr>
          <t>Author:</t>
        </r>
        <r>
          <rPr>
            <sz val="9"/>
            <color indexed="81"/>
            <rFont val="Tahoma"/>
            <charset val="1"/>
          </rPr>
          <t xml:space="preserve">
Fuente: EF Julio COCO 2026 (PDF), Nota 07 — Cuentas por pagar a terceros.</t>
        </r>
      </text>
    </comment>
    <comment ref="I112" authorId="0" shapeId="0" xr:uid="{9BB480C5-1604-422A-AEF2-612B669EFC63}">
      <text>
        <r>
          <rPr>
            <b/>
            <sz val="9"/>
            <color indexed="81"/>
            <rFont val="Tahoma"/>
            <family val="2"/>
          </rPr>
          <t>Author:</t>
        </r>
        <r>
          <rPr>
            <sz val="9"/>
            <color indexed="81"/>
            <rFont val="Tahoma"/>
            <family val="2"/>
          </rPr>
          <t xml:space="preserve">
Fuente: Estados Financieros Junio 2026 (PDF), Nota 07 — Impuestos.</t>
        </r>
      </text>
    </comment>
    <comment ref="J112" authorId="0" shapeId="0" xr:uid="{EE11AA99-93CA-483F-9AFF-22BDB2B3EAEC}">
      <text>
        <r>
          <rPr>
            <b/>
            <sz val="9"/>
            <color indexed="81"/>
            <rFont val="Tahoma"/>
            <charset val="1"/>
          </rPr>
          <t>Author:</t>
        </r>
        <r>
          <rPr>
            <sz val="9"/>
            <color indexed="81"/>
            <rFont val="Tahoma"/>
            <charset val="1"/>
          </rPr>
          <t xml:space="preserve">
Fuente: EF Julio COCO 2026 (PDF), Nota 07 — Impuestos.</t>
        </r>
      </text>
    </comment>
    <comment ref="I113" authorId="0" shapeId="0" xr:uid="{52416C07-F103-42F4-B117-54EDFACCBB41}">
      <text>
        <r>
          <rPr>
            <b/>
            <sz val="9"/>
            <color indexed="81"/>
            <rFont val="Tahoma"/>
            <family val="2"/>
          </rPr>
          <t>Author:</t>
        </r>
        <r>
          <rPr>
            <sz val="9"/>
            <color indexed="81"/>
            <rFont val="Tahoma"/>
            <family val="2"/>
          </rPr>
          <t xml:space="preserve">
Fuente: Estados Financieros Junio 2026 (PDF), Nota 07 — Obligaciones laborales.</t>
        </r>
      </text>
    </comment>
    <comment ref="J113" authorId="0" shapeId="0" xr:uid="{CCD6B585-7D86-41F6-86FF-FF7C54FEED11}">
      <text>
        <r>
          <rPr>
            <b/>
            <sz val="9"/>
            <color indexed="81"/>
            <rFont val="Tahoma"/>
            <charset val="1"/>
          </rPr>
          <t>Author:</t>
        </r>
        <r>
          <rPr>
            <sz val="9"/>
            <color indexed="81"/>
            <rFont val="Tahoma"/>
            <charset val="1"/>
          </rPr>
          <t xml:space="preserve">
Fuente: EF Julio COCO 2026 (PDF), Nota 07 — Obligaciones laborales.</t>
        </r>
      </text>
    </comment>
    <comment ref="I116" authorId="0" shapeId="0" xr:uid="{755C3327-2159-457F-A376-BB46B396E018}">
      <text>
        <r>
          <rPr>
            <b/>
            <sz val="9"/>
            <color indexed="81"/>
            <rFont val="Tahoma"/>
            <family val="2"/>
          </rPr>
          <t>Author:</t>
        </r>
        <r>
          <rPr>
            <sz val="9"/>
            <color indexed="81"/>
            <rFont val="Tahoma"/>
            <family val="2"/>
          </rPr>
          <t xml:space="preserve">
Fuente: Estados Financieros Junio 2026 (PDF), Nota 07 — Obligaciones con terceros / cuentas por pagar a socios.</t>
        </r>
      </text>
    </comment>
    <comment ref="J116" authorId="0" shapeId="0" xr:uid="{DE1C502F-E59D-4D74-B064-15BE83AE3999}">
      <text>
        <r>
          <rPr>
            <b/>
            <sz val="9"/>
            <color indexed="81"/>
            <rFont val="Tahoma"/>
            <charset val="1"/>
          </rPr>
          <t>Author:</t>
        </r>
        <r>
          <rPr>
            <sz val="9"/>
            <color indexed="81"/>
            <rFont val="Tahoma"/>
            <charset val="1"/>
          </rPr>
          <t xml:space="preserve">
Fuente: EF Julio COCO 2026 (PDF), Nota 07 — Obligaciones con terceros / cuentas por pagar a socios.</t>
        </r>
      </text>
    </comment>
    <comment ref="I121" authorId="0" shapeId="0" xr:uid="{84BBE6E1-F446-4E63-B164-008AB7DA2B05}">
      <text>
        <r>
          <rPr>
            <b/>
            <sz val="9"/>
            <color indexed="81"/>
            <rFont val="Tahoma"/>
            <family val="2"/>
          </rPr>
          <t>Author:</t>
        </r>
        <r>
          <rPr>
            <sz val="9"/>
            <color indexed="81"/>
            <rFont val="Tahoma"/>
            <family val="2"/>
          </rPr>
          <t xml:space="preserve">
Fuente: Estados Financieros Junio 2026 (PDF), Nota 08 — Capital 830.909.000 + prima en colocación 379.430.000.</t>
        </r>
      </text>
    </comment>
    <comment ref="J121" authorId="0" shapeId="0" xr:uid="{EF8E0D92-1FE0-40C0-AFD0-1B278BDB79FB}">
      <text>
        <r>
          <rPr>
            <b/>
            <sz val="9"/>
            <color indexed="81"/>
            <rFont val="Tahoma"/>
            <charset val="1"/>
          </rPr>
          <t>Author:</t>
        </r>
        <r>
          <rPr>
            <sz val="9"/>
            <color indexed="81"/>
            <rFont val="Tahoma"/>
            <charset val="1"/>
          </rPr>
          <t xml:space="preserve">
Fuente: EF Julio COCO 2026 (PDF), Nota 08 — Capital 830.909.000 + prima en colocación 379.430.000.</t>
        </r>
      </text>
    </comment>
    <comment ref="I122" authorId="0" shapeId="0" xr:uid="{8CCED297-27EE-467F-A3F3-AA9A0AEB3EFC}">
      <text>
        <r>
          <rPr>
            <b/>
            <sz val="9"/>
            <color indexed="81"/>
            <rFont val="Tahoma"/>
            <family val="2"/>
          </rPr>
          <t>Author:</t>
        </r>
        <r>
          <rPr>
            <sz val="9"/>
            <color indexed="81"/>
            <rFont val="Tahoma"/>
            <family val="2"/>
          </rPr>
          <t xml:space="preserve">
Fuente: Estados Financieros Junio 2026 (PDF), Nota 08 — Utilidades acumuladas 1.214.592.672 + utilidad del ejercicio 222.021.225.</t>
        </r>
      </text>
    </comment>
    <comment ref="J122" authorId="0" shapeId="0" xr:uid="{5458E6F7-4910-49E9-80DF-747AAD896BD6}">
      <text>
        <r>
          <rPr>
            <b/>
            <sz val="9"/>
            <color indexed="81"/>
            <rFont val="Tahoma"/>
            <charset val="1"/>
          </rPr>
          <t>Author:</t>
        </r>
        <r>
          <rPr>
            <sz val="9"/>
            <color indexed="81"/>
            <rFont val="Tahoma"/>
            <charset val="1"/>
          </rPr>
          <t xml:space="preserve">
Fuente: EF Julio COCO 2026 (PDF), Nota 08 — Utilidades acumuladas 1.214.592.672 + utilidad del ejercicio 246.728.277.</t>
        </r>
      </text>
    </comment>
    <comment ref="I133" authorId="0" shapeId="0" xr:uid="{D2C98C98-95F8-415B-BE12-38E56E60ED70}">
      <text>
        <r>
          <rPr>
            <b/>
            <sz val="9"/>
            <color indexed="81"/>
            <rFont val="Tahoma"/>
            <family val="2"/>
          </rPr>
          <t>Author:</t>
        </r>
        <r>
          <rPr>
            <sz val="9"/>
            <color indexed="81"/>
            <rFont val="Tahoma"/>
            <family val="2"/>
          </rPr>
          <t xml:space="preserve">
Junio = acumulado ene-jun (EEFF Junio 2026 PDF) menos suma de reales ene-may.</t>
        </r>
      </text>
    </comment>
    <comment ref="J133" authorId="0" shapeId="0" xr:uid="{BA861C17-1CED-4445-B1BB-AAADF2209E7F}">
      <text>
        <r>
          <rPr>
            <b/>
            <sz val="9"/>
            <color indexed="81"/>
            <rFont val="Tahoma"/>
            <charset val="1"/>
          </rPr>
          <t>Author:</t>
        </r>
        <r>
          <rPr>
            <sz val="9"/>
            <color indexed="81"/>
            <rFont val="Tahoma"/>
            <charset val="1"/>
          </rPr>
          <t xml:space="preserve">
Julio = acumulado ene-jul (EF Julio COCO 2026 PDF) menos suma de reales ene-jun.</t>
        </r>
      </text>
    </comment>
    <comment ref="M133" authorId="0" shapeId="0" xr:uid="{2D1CB934-CCA4-44C7-BF10-E7CAF19F6706}">
      <text>
        <r>
          <rPr>
            <b/>
            <sz val="9"/>
            <color indexed="81"/>
            <rFont val="Tahoma"/>
            <family val="2"/>
          </rPr>
          <t>Author:</t>
        </r>
        <r>
          <rPr>
            <sz val="9"/>
            <color indexed="81"/>
            <rFont val="Tahoma"/>
            <family val="2"/>
          </rPr>
          <t xml:space="preserve">
Fuente: Estados Financieros Junio 2026 (PDF), Nota 09 — Servicios de Software de Agendamiento, acumulado ene-jun.</t>
        </r>
      </text>
    </comment>
    <comment ref="N133" authorId="0" shapeId="0" xr:uid="{4F017319-6390-49A1-879B-33B261776D10}">
      <text>
        <r>
          <rPr>
            <b/>
            <sz val="9"/>
            <color indexed="81"/>
            <rFont val="Tahoma"/>
            <charset val="1"/>
          </rPr>
          <t>Author:</t>
        </r>
        <r>
          <rPr>
            <sz val="9"/>
            <color indexed="81"/>
            <rFont val="Tahoma"/>
            <charset val="1"/>
          </rPr>
          <t xml:space="preserve">
Fuente: EF Julio COCO 2026 (PDF), Nota 09 — Servicios de Software de Agendamiento, acumulado ene-jul.</t>
        </r>
      </text>
    </comment>
    <comment ref="M134" authorId="0" shapeId="0" xr:uid="{E2E3540B-CA17-449B-B864-9DBD1BBE9708}">
      <text>
        <r>
          <rPr>
            <b/>
            <sz val="9"/>
            <color indexed="81"/>
            <rFont val="Tahoma"/>
            <family val="2"/>
          </rPr>
          <t>Author:</t>
        </r>
        <r>
          <rPr>
            <sz val="9"/>
            <color indexed="81"/>
            <rFont val="Tahoma"/>
            <family val="2"/>
          </rPr>
          <t xml:space="preserve">
Fuente: Estados Financieros Junio 2026 (PDF), Nota 09 — Devoluciones, acumulado ene-jun.</t>
        </r>
      </text>
    </comment>
    <comment ref="N134" authorId="0" shapeId="0" xr:uid="{14E523AB-9DA7-40C1-9511-21F20CC426F5}">
      <text>
        <r>
          <rPr>
            <b/>
            <sz val="9"/>
            <color indexed="81"/>
            <rFont val="Tahoma"/>
            <charset val="1"/>
          </rPr>
          <t>Author:</t>
        </r>
        <r>
          <rPr>
            <sz val="9"/>
            <color indexed="81"/>
            <rFont val="Tahoma"/>
            <charset val="1"/>
          </rPr>
          <t xml:space="preserve">
Fuente: EF Julio COCO 2026 (PDF), Nota 09 — Devoluciones, acumulado ene-jul.</t>
        </r>
      </text>
    </comment>
    <comment ref="M135" authorId="0" shapeId="0" xr:uid="{20C045EB-C8ED-4706-B38A-FD83EB59D2D6}">
      <text>
        <r>
          <rPr>
            <b/>
            <sz val="9"/>
            <color indexed="81"/>
            <rFont val="Tahoma"/>
            <family val="2"/>
          </rPr>
          <t>Author:</t>
        </r>
        <r>
          <rPr>
            <sz val="9"/>
            <color indexed="81"/>
            <rFont val="Tahoma"/>
            <family val="2"/>
          </rPr>
          <t xml:space="preserve">
Fuente: Estados Financieros Junio 2026 (PDF), Nota 10 — Costo del desarrollo del software, acumulado ene-jun.</t>
        </r>
      </text>
    </comment>
    <comment ref="N135" authorId="0" shapeId="0" xr:uid="{5EDA9DF1-6892-453D-A5BD-EB7D75D2605F}">
      <text>
        <r>
          <rPr>
            <b/>
            <sz val="9"/>
            <color indexed="81"/>
            <rFont val="Tahoma"/>
            <charset val="1"/>
          </rPr>
          <t>Author:</t>
        </r>
        <r>
          <rPr>
            <sz val="9"/>
            <color indexed="81"/>
            <rFont val="Tahoma"/>
            <charset val="1"/>
          </rPr>
          <t xml:space="preserve">
Fuente: EF Julio COCO 2026 (PDF), Nota 10 — Costos del desarrollo del software, acumulado ene-jul.</t>
        </r>
      </text>
    </comment>
    <comment ref="M139" authorId="0" shapeId="0" xr:uid="{DBF702D8-16B7-4565-BF08-65CD2E04697C}">
      <text>
        <r>
          <rPr>
            <b/>
            <sz val="9"/>
            <color indexed="81"/>
            <rFont val="Tahoma"/>
            <family val="2"/>
          </rPr>
          <t>Author:</t>
        </r>
        <r>
          <rPr>
            <sz val="9"/>
            <color indexed="81"/>
            <rFont val="Tahoma"/>
            <family val="2"/>
          </rPr>
          <t xml:space="preserve">
Fuente: Estados Financieros Junio 2026 (PDF), ER — Gastos de administración, acumulado ene-jun.</t>
        </r>
      </text>
    </comment>
    <comment ref="N139" authorId="0" shapeId="0" xr:uid="{112BB0C3-E958-444C-AD75-2ED21DDCA623}">
      <text>
        <r>
          <rPr>
            <b/>
            <sz val="9"/>
            <color indexed="81"/>
            <rFont val="Tahoma"/>
            <charset val="1"/>
          </rPr>
          <t>Author:</t>
        </r>
        <r>
          <rPr>
            <sz val="9"/>
            <color indexed="81"/>
            <rFont val="Tahoma"/>
            <charset val="1"/>
          </rPr>
          <t xml:space="preserve">
Fuente: EF Julio COCO 2026 (PDF), Nota 11 / ER — Gastos administrativos, acumulado ene-jul.</t>
        </r>
      </text>
    </comment>
    <comment ref="M141" authorId="0" shapeId="0" xr:uid="{D564CAE1-E0C5-4505-B9C2-3510A97417BF}">
      <text>
        <r>
          <rPr>
            <b/>
            <sz val="9"/>
            <color indexed="81"/>
            <rFont val="Tahoma"/>
            <family val="2"/>
          </rPr>
          <t>Author:</t>
        </r>
        <r>
          <rPr>
            <sz val="9"/>
            <color indexed="81"/>
            <rFont val="Tahoma"/>
            <family val="2"/>
          </rPr>
          <t xml:space="preserve">
Fuente: Estados Financieros Junio 2026 (PDF), ER — Gastos operacionales, acumulado ene-jun.</t>
        </r>
      </text>
    </comment>
    <comment ref="N141" authorId="0" shapeId="0" xr:uid="{8307B1BD-859E-432E-AB32-0E488ADFEDB6}">
      <text>
        <r>
          <rPr>
            <b/>
            <sz val="9"/>
            <color indexed="81"/>
            <rFont val="Tahoma"/>
            <charset val="1"/>
          </rPr>
          <t>Author:</t>
        </r>
        <r>
          <rPr>
            <sz val="9"/>
            <color indexed="81"/>
            <rFont val="Tahoma"/>
            <charset val="1"/>
          </rPr>
          <t xml:space="preserve">
Fuente: EF Julio COCO 2026 (PDF), Nota 11 / ER — Gastos operativos, acumulado ene-jul.</t>
        </r>
      </text>
    </comment>
    <comment ref="M142" authorId="0" shapeId="0" xr:uid="{F9CC350C-B9E5-437D-8F91-55FB64F70F5E}">
      <text>
        <r>
          <rPr>
            <b/>
            <sz val="9"/>
            <color indexed="81"/>
            <rFont val="Tahoma"/>
            <family val="2"/>
          </rPr>
          <t>Author:</t>
        </r>
        <r>
          <rPr>
            <sz val="9"/>
            <color indexed="81"/>
            <rFont val="Tahoma"/>
            <family val="2"/>
          </rPr>
          <t xml:space="preserve">
Fuente: Estados Financieros Junio 2026 (PDF), ER — Gastos de ventas, acumulado ene-jun.</t>
        </r>
      </text>
    </comment>
    <comment ref="N142" authorId="0" shapeId="0" xr:uid="{FF0EEC29-08CE-430B-8D52-9FA80716F590}">
      <text>
        <r>
          <rPr>
            <b/>
            <sz val="9"/>
            <color indexed="81"/>
            <rFont val="Tahoma"/>
            <charset val="1"/>
          </rPr>
          <t>Author:</t>
        </r>
        <r>
          <rPr>
            <sz val="9"/>
            <color indexed="81"/>
            <rFont val="Tahoma"/>
            <charset val="1"/>
          </rPr>
          <t xml:space="preserve">
Fuente: EF Julio COCO 2026 (PDF), Nota 11 / ER — Gastos de ventas, acumulado ene-jul.</t>
        </r>
      </text>
    </comment>
    <comment ref="M144" authorId="0" shapeId="0" xr:uid="{75B81ED4-0F2B-4FCD-8E59-369CCB619322}">
      <text>
        <r>
          <rPr>
            <b/>
            <sz val="9"/>
            <color indexed="81"/>
            <rFont val="Tahoma"/>
            <family val="2"/>
          </rPr>
          <t>Author:</t>
        </r>
        <r>
          <rPr>
            <sz val="9"/>
            <color indexed="81"/>
            <rFont val="Tahoma"/>
            <family val="2"/>
          </rPr>
          <t xml:space="preserve">
Fuente: Estados Financieros Junio 2026 (PDF), pág. 2. El PDF reporta resultado de operación de COP 246.693.821; la suma de los rubros publicados da COP 246.693.822 (diferencia de COP 1). Se conserva el cálculo por componentes.</t>
        </r>
      </text>
    </comment>
    <comment ref="N144" authorId="0" shapeId="0" xr:uid="{7F2EB95D-B77E-4583-B9CB-A29DF397AD31}">
      <text>
        <r>
          <rPr>
            <b/>
            <sz val="9"/>
            <color indexed="81"/>
            <rFont val="Tahoma"/>
            <charset val="1"/>
          </rPr>
          <t>Author:</t>
        </r>
        <r>
          <rPr>
            <sz val="9"/>
            <color indexed="81"/>
            <rFont val="Tahoma"/>
            <charset val="1"/>
          </rPr>
          <t xml:space="preserve">
El PDF reporta resultado de la operación de COP 276.036.182; la suma de los rubros publicados da COP 276.036.183 (diferencia de COP 1 por redondeo).</t>
        </r>
      </text>
    </comment>
    <comment ref="M147" authorId="0" shapeId="0" xr:uid="{12DFFC8B-EDC5-45E7-9446-755518D0C76B}">
      <text>
        <r>
          <rPr>
            <b/>
            <sz val="9"/>
            <color indexed="81"/>
            <rFont val="Tahoma"/>
            <family val="2"/>
          </rPr>
          <t>Author:</t>
        </r>
        <r>
          <rPr>
            <sz val="9"/>
            <color indexed="81"/>
            <rFont val="Tahoma"/>
            <family val="2"/>
          </rPr>
          <t xml:space="preserve">
Fuente: Estados Financieros Junio 2026 (PDF), Nota 12 — Ingresos no operacionales (financieros), acumulado ene-jun.</t>
        </r>
      </text>
    </comment>
    <comment ref="N147" authorId="0" shapeId="0" xr:uid="{2D873BBC-9637-479B-BA76-8AF78BBF410A}">
      <text>
        <r>
          <rPr>
            <b/>
            <sz val="9"/>
            <color indexed="81"/>
            <rFont val="Tahoma"/>
            <charset val="1"/>
          </rPr>
          <t>Author:</t>
        </r>
        <r>
          <rPr>
            <sz val="9"/>
            <color indexed="81"/>
            <rFont val="Tahoma"/>
            <charset val="1"/>
          </rPr>
          <t xml:space="preserve">
Fuente: EF Julio COCO 2026 (PDF), Nota 12 — Ingresos no operacionales (financieros), acumulado ene-jul.</t>
        </r>
      </text>
    </comment>
    <comment ref="M151" authorId="0" shapeId="0" xr:uid="{27FC02ED-8287-4F09-9381-26D28417F48D}">
      <text>
        <r>
          <rPr>
            <b/>
            <sz val="9"/>
            <color indexed="81"/>
            <rFont val="Tahoma"/>
            <family val="2"/>
          </rPr>
          <t>Author:</t>
        </r>
        <r>
          <rPr>
            <sz val="9"/>
            <color indexed="81"/>
            <rFont val="Tahoma"/>
            <family val="2"/>
          </rPr>
          <t xml:space="preserve">
Fuente: Estados Financieros Junio 2026 (PDF), Nota 13 — Gastos financieros, acumulado ene-jun (ER; la nota suma 34.754.733 por redondeo).</t>
        </r>
      </text>
    </comment>
    <comment ref="N151" authorId="0" shapeId="0" xr:uid="{1B4315C7-8446-4442-ACA9-C29231A2811C}">
      <text>
        <r>
          <rPr>
            <b/>
            <sz val="9"/>
            <color indexed="81"/>
            <rFont val="Tahoma"/>
            <charset val="1"/>
          </rPr>
          <t>Author:</t>
        </r>
        <r>
          <rPr>
            <sz val="9"/>
            <color indexed="81"/>
            <rFont val="Tahoma"/>
            <charset val="1"/>
          </rPr>
          <t xml:space="preserve">
Fuente: EF Julio COCO 2026 (PDF), ER — Gastos financieros acumulado ene-jul (la Nota 13 suma 40.108.354, dif. COP 1 por redondeo).</t>
        </r>
      </text>
    </comment>
    <comment ref="M153" authorId="0" shapeId="0" xr:uid="{7A2B8621-FAA3-4DA9-A269-2A5EF78C061D}">
      <text>
        <r>
          <rPr>
            <b/>
            <sz val="9"/>
            <color indexed="81"/>
            <rFont val="Tahoma"/>
            <family val="2"/>
          </rPr>
          <t>Author:</t>
        </r>
        <r>
          <rPr>
            <sz val="9"/>
            <color indexed="81"/>
            <rFont val="Tahoma"/>
            <family val="2"/>
          </rPr>
          <t xml:space="preserve">
Fuente: Estados Financieros Junio 2026 (PDF), pág. 2. El PDF reporta resultado antes de impuestos de COP 222.021.225; la suma de los rubros publicados da COP 222.021.226 (diferencia de COP 1). Se conserva el cálculo por componentes.</t>
        </r>
      </text>
    </comment>
    <comment ref="M155" authorId="0" shapeId="0" xr:uid="{5EFA1F88-29CD-4745-9CFD-93D9087BB68A}">
      <text>
        <r>
          <rPr>
            <b/>
            <sz val="9"/>
            <color indexed="81"/>
            <rFont val="Tahoma"/>
            <family val="2"/>
          </rPr>
          <t>Author:</t>
        </r>
        <r>
          <rPr>
            <sz val="9"/>
            <color indexed="81"/>
            <rFont val="Tahoma"/>
            <family val="2"/>
          </rPr>
          <t xml:space="preserve">
Fuente: Estados Financieros Junio 2026 (PDF), pág. 2. El PDF reporta utilidad del ejercicio de COP 222.021.225; la suma de los rubros publicados da COP 222.021.226 (diferencia de COP 1). Se conserva el cálculo por componentes.</t>
        </r>
      </text>
    </comment>
    <comment ref="D160" authorId="0" shapeId="0" xr:uid="{272D4CFE-398E-4529-942E-EB0715719398}">
      <text>
        <r>
          <rPr>
            <b/>
            <sz val="9"/>
            <color indexed="81"/>
            <rFont val="Tahoma"/>
            <family val="2"/>
          </rPr>
          <t>Fuente: EF Julio COCO 2026 (PDF), Nota 09 — acumulado ene-jul.</t>
        </r>
      </text>
    </comment>
    <comment ref="D161" authorId="0" shapeId="0" xr:uid="{1A72D04B-E2A0-4929-AAA5-DB26AC9466EF}">
      <text>
        <r>
          <rPr>
            <b/>
            <sz val="9"/>
            <color indexed="81"/>
            <rFont val="Tahoma"/>
            <family val="2"/>
          </rPr>
          <t>Fuente: EF Julio COCO 2026 (PDF), Nota 09 — devoluciones acumuladas ene-jul.</t>
        </r>
      </text>
    </comment>
    <comment ref="D162" authorId="0" shapeId="0" xr:uid="{4FE53B29-919D-4B99-AE21-0D6D50CB3CB6}">
      <text>
        <r>
          <rPr>
            <b/>
            <sz val="9"/>
            <color indexed="81"/>
            <rFont val="Tahoma"/>
            <family val="2"/>
          </rPr>
          <t>Fuente: EF Julio COCO 2026 (PDF), Nota 10 — costo del desarrollo del software, acum ene-jul.</t>
        </r>
      </text>
    </comment>
    <comment ref="D163" authorId="0" shapeId="0" xr:uid="{B170F106-A31D-4769-B1B9-14A2C12F179C}">
      <text>
        <r>
          <rPr>
            <b/>
            <sz val="9"/>
            <color indexed="81"/>
            <rFont val="Tahoma"/>
            <family val="2"/>
          </rPr>
          <t>Fuente: EF Julio COCO 2026 (PDF), Nota 11 / ER — gastos administrativos acum ene-jul.</t>
        </r>
      </text>
    </comment>
    <comment ref="D164" authorId="0" shapeId="0" xr:uid="{3B3DFEF1-4239-4679-BFF2-8B5501A18A44}">
      <text>
        <r>
          <rPr>
            <b/>
            <sz val="9"/>
            <color indexed="81"/>
            <rFont val="Tahoma"/>
            <family val="2"/>
          </rPr>
          <t>Fuente: EF Julio COCO 2026 (PDF), Nota 11 / ER — gastos operativos acum ene-jul.</t>
        </r>
      </text>
    </comment>
    <comment ref="D165" authorId="0" shapeId="0" xr:uid="{AD03963E-204B-4C9E-B5B8-F739EBEEA659}">
      <text>
        <r>
          <rPr>
            <b/>
            <sz val="9"/>
            <color indexed="81"/>
            <rFont val="Tahoma"/>
            <family val="2"/>
          </rPr>
          <t>Fuente: EF Julio COCO 2026 (PDF), Nota 11 / ER — gastos de ventas acum ene-jul.</t>
        </r>
      </text>
    </comment>
    <comment ref="D166" authorId="0" shapeId="0" xr:uid="{DC1F32EE-AE48-4584-9F23-424553D76439}">
      <text>
        <r>
          <rPr>
            <b/>
            <sz val="9"/>
            <color indexed="81"/>
            <rFont val="Tahoma"/>
            <family val="2"/>
          </rPr>
          <t>Fuente: EF Julio COCO 2026 (PDF), Nota 12 — ingresos no operacionales acum ene-jul.</t>
        </r>
      </text>
    </comment>
    <comment ref="D167" authorId="0" shapeId="0" xr:uid="{357E7D8C-BDF0-4820-8DCF-6D165665C121}">
      <text>
        <r>
          <rPr>
            <b/>
            <sz val="9"/>
            <color indexed="81"/>
            <rFont val="Tahoma"/>
            <family val="2"/>
          </rPr>
          <t>Fuente: EF Julio COCO 2026 (PDF), ER — gastos financieros acum ene-jul 40.108.353; la Nota 13 suma 40.108.354 (dif. COP 1).</t>
        </r>
      </text>
    </comment>
    <comment ref="D168" authorId="0" shapeId="0" xr:uid="{28F42883-7EF0-4947-984A-6CFDBA0D8C07}">
      <text>
        <r>
          <rPr>
            <b/>
            <sz val="9"/>
            <color indexed="81"/>
            <rFont val="Tahoma"/>
            <family val="2"/>
          </rPr>
          <t>Valor reportado en el Estado de Resultados, EF Julio COCO 2026 (PDF), pág. 2.</t>
        </r>
      </text>
    </comment>
    <comment ref="D169" authorId="0" shapeId="0" xr:uid="{B6F143CD-ECEE-4949-859C-C2A4EF759B68}">
      <text>
        <r>
          <rPr>
            <b/>
            <sz val="9"/>
            <color indexed="81"/>
            <rFont val="Tahoma"/>
            <family val="2"/>
          </rPr>
          <t>Valor reportado en el Estado de Resultados, EF Julio COCO 2026 (PDF), pág. 2.</t>
        </r>
      </text>
    </comment>
    <comment ref="D170" authorId="0" shapeId="0" xr:uid="{F20244D8-E9DF-4491-8437-C80CF949EC5D}">
      <text>
        <r>
          <rPr>
            <b/>
            <sz val="9"/>
            <color indexed="81"/>
            <rFont val="Tahoma"/>
            <family val="2"/>
          </rPr>
          <t>Fuente: Estado de Situación Financiera, EF Julio COCO 2026 (PDF), pág. 1.</t>
        </r>
      </text>
    </comment>
    <comment ref="D171" authorId="0" shapeId="0" xr:uid="{60E709D8-E612-4F3B-946E-87440674F7A8}">
      <text>
        <r>
          <rPr>
            <b/>
            <sz val="9"/>
            <color indexed="81"/>
            <rFont val="Tahoma"/>
            <family val="2"/>
          </rPr>
          <t>Fuente: Estado de Situación Financiera, EF Julio COCO 2026 (PDF), pág. 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5DBC5F1-634E-483F-9018-8936300C86DE}">
      <text>
        <r>
          <rPr>
            <b/>
            <sz val="9"/>
            <color indexed="81"/>
            <rFont val="Tahoma"/>
            <family val="2"/>
          </rPr>
          <t>Author:</t>
        </r>
        <r>
          <rPr>
            <sz val="9"/>
            <color indexed="81"/>
            <rFont val="Tahoma"/>
            <family val="2"/>
          </rPr>
          <t xml:space="preserve">
TRM mensual editable por mes (14-jul-2026). Antes: =TrmLargoPlazo (Inputs, 3.690 todos los meses). Fuente original: TRM presupuesto. Editar cada mes con la tasa de cierre.</t>
        </r>
      </text>
    </comment>
    <comment ref="F10" authorId="0" shapeId="0" xr:uid="{EAA632E9-08CB-4E2F-9A7C-F432670C5179}">
      <text>
        <r>
          <rPr>
            <b/>
            <sz val="9"/>
            <color indexed="81"/>
            <rFont val="Tahoma"/>
            <family val="2"/>
          </rPr>
          <t>Author:</t>
        </r>
        <r>
          <rPr>
            <sz val="9"/>
            <color indexed="81"/>
            <rFont val="Tahoma"/>
            <family val="2"/>
          </rPr>
          <t xml:space="preserve">
Ingreso neto real Ene-26 (Servicios 689.690.890 - Devoluciones 77.443.189). Source: EF ENERO 2026.pdf</t>
        </r>
      </text>
    </comment>
    <comment ref="G10" authorId="0" shapeId="0" xr:uid="{A5C4BF47-C3C7-4EDF-8AD3-F11778564D7D}">
      <text>
        <r>
          <rPr>
            <b/>
            <sz val="9"/>
            <color indexed="81"/>
            <rFont val="Tahoma"/>
            <family val="2"/>
          </rPr>
          <t>Author:</t>
        </r>
        <r>
          <rPr>
            <sz val="9"/>
            <color indexed="81"/>
            <rFont val="Tahoma"/>
            <family val="2"/>
          </rPr>
          <t xml:space="preserve">
Ingreso neto real Feb-26 (acum Feb 1.356.465.838 - Ene 612.247.701). Source: EF COCO FEBRERO 2026.pdf</t>
        </r>
      </text>
    </comment>
    <comment ref="H10" authorId="0" shapeId="0" xr:uid="{C3E7B15F-4A52-4BC7-8606-6994DF480D3F}">
      <text>
        <r>
          <rPr>
            <b/>
            <sz val="9"/>
            <color indexed="81"/>
            <rFont val="Tahoma"/>
            <family val="2"/>
          </rPr>
          <t>Author:</t>
        </r>
        <r>
          <rPr>
            <sz val="9"/>
            <color indexed="81"/>
            <rFont val="Tahoma"/>
            <family val="2"/>
          </rPr>
          <t xml:space="preserve">
Ingreso neto real Mar-26 (acum Mar 2.143.507.025 - acum Feb 1.356.465.838). Source: EF Marzo COCO 2026.pdf</t>
        </r>
      </text>
    </comment>
    <comment ref="J10" authorId="0" shapeId="0" xr:uid="{39F469B9-B526-4FD3-9C33-BF6CCC85700C}">
      <text>
        <r>
          <rPr>
            <b/>
            <sz val="9"/>
            <color indexed="81"/>
            <rFont val="Tahoma"/>
            <family val="2"/>
          </rPr>
          <t>Author:</t>
        </r>
        <r>
          <rPr>
            <sz val="9"/>
            <color indexed="81"/>
            <rFont val="Tahoma"/>
            <family val="2"/>
          </rPr>
          <t xml:space="preserve">
Real may-26 (Inputs!H132). Antes: Revenue!H52 (proyección 1.064,9M). Decisión 14-jul-2026: meses cerrados usan reales en todos los escenarios.</t>
        </r>
      </text>
    </comment>
    <comment ref="K10" authorId="0" shapeId="0" xr:uid="{74392E01-FEBC-428A-9FC4-9B9F344DAE7D}">
      <text>
        <r>
          <rPr>
            <b/>
            <sz val="9"/>
            <color indexed="81"/>
            <rFont val="Tahoma"/>
            <family val="2"/>
          </rPr>
          <t>Author:</t>
        </r>
        <r>
          <rPr>
            <sz val="9"/>
            <color indexed="81"/>
            <rFont val="Tahoma"/>
            <family val="2"/>
          </rPr>
          <t xml:space="preserve">
Real jun-26 (Inputs!I132). Antes: Revenue!I52 (proyección 935,5M).</t>
        </r>
      </text>
    </comment>
    <comment ref="L10" authorId="0" shapeId="0" xr:uid="{47A6B89D-E1FF-42D9-B0BF-0B2DABA617A7}">
      <text>
        <r>
          <rPr>
            <b/>
            <sz val="9"/>
            <color indexed="81"/>
            <rFont val="Tahoma"/>
            <charset val="1"/>
          </rPr>
          <t>Author:</t>
        </r>
        <r>
          <rPr>
            <sz val="9"/>
            <color indexed="81"/>
            <rFont val="Tahoma"/>
            <charset val="1"/>
          </rPr>
          <t xml:space="preserve">
Real jul-26 (Inputs!J132). Antes: =INDEX(Revenue!J:J,$E$18) (proyección). Convención del modelo: meses cerrados usan reales. Fuente: EF Julio COCO 2026 (PDF).</t>
        </r>
      </text>
    </comment>
    <comment ref="L11" authorId="0" shapeId="0" xr:uid="{A0B279C6-C674-4C11-83C5-D107CD5A7F5F}">
      <text>
        <r>
          <rPr>
            <b/>
            <sz val="9"/>
            <color indexed="81"/>
            <rFont val="Tahoma"/>
            <charset val="1"/>
          </rPr>
          <t>Author:</t>
        </r>
        <r>
          <rPr>
            <sz val="9"/>
            <color indexed="81"/>
            <rFont val="Tahoma"/>
            <charset val="1"/>
          </rPr>
          <t xml:space="preserve">
Real jul-26. Antes: CostoVentasBase*(1+InflacionAnual)*(1/12)+DeltaModQ2.</t>
        </r>
      </text>
    </comment>
    <comment ref="L12" authorId="0" shapeId="0" xr:uid="{BF390F9E-5E73-4DDC-AD79-5A43C29C87A9}">
      <text>
        <r>
          <rPr>
            <b/>
            <sz val="9"/>
            <color indexed="81"/>
            <rFont val="Tahoma"/>
            <charset val="1"/>
          </rPr>
          <t>Author:</t>
        </r>
        <r>
          <rPr>
            <sz val="9"/>
            <color indexed="81"/>
            <rFont val="Tahoma"/>
            <charset val="1"/>
          </rPr>
          <t xml:space="preserve">
Real jul-26. Antes: GtosAdminBase*(1+InflacionAnual)*(1/12).</t>
        </r>
      </text>
    </comment>
    <comment ref="L13" authorId="0" shapeId="0" xr:uid="{11498487-02A6-4C1C-B8E3-B31ABA04D513}">
      <text>
        <r>
          <rPr>
            <b/>
            <sz val="9"/>
            <color indexed="81"/>
            <rFont val="Tahoma"/>
            <charset val="1"/>
          </rPr>
          <t>Author:</t>
        </r>
        <r>
          <rPr>
            <sz val="9"/>
            <color indexed="81"/>
            <rFont val="Tahoma"/>
            <charset val="1"/>
          </rPr>
          <t xml:space="preserve">
Real jul-26. Antes: GtosVentasBase*(1+InflacionAnual)*(1/12)+DeltaVtasQ2.</t>
        </r>
      </text>
    </comment>
    <comment ref="L14" authorId="0" shapeId="0" xr:uid="{2E960A62-6EAC-4EB9-839E-65B5BBB6A117}">
      <text>
        <r>
          <rPr>
            <b/>
            <sz val="9"/>
            <color indexed="81"/>
            <rFont val="Tahoma"/>
            <charset val="1"/>
          </rPr>
          <t>Author:</t>
        </r>
        <r>
          <rPr>
            <sz val="9"/>
            <color indexed="81"/>
            <rFont val="Tahoma"/>
            <charset val="1"/>
          </rPr>
          <t xml:space="preserve">
Real jul-26. Antes: GtosOpInflado*(1/12).</t>
        </r>
      </text>
    </comment>
    <comment ref="L15" authorId="0" shapeId="0" xr:uid="{F2361555-1221-4C7B-877B-417EA4113C5A}">
      <text>
        <r>
          <rPr>
            <b/>
            <sz val="9"/>
            <color indexed="81"/>
            <rFont val="Tahoma"/>
            <charset val="1"/>
          </rPr>
          <t>Author:</t>
        </r>
        <r>
          <rPr>
            <sz val="9"/>
            <color indexed="81"/>
            <rFont val="Tahoma"/>
            <charset val="1"/>
          </rPr>
          <t xml:space="preserve">
Real jul-26. Antes: IngNoOpBase*(1+InflacionAnual)*(1/12).</t>
        </r>
      </text>
    </comment>
    <comment ref="J16" authorId="0" shapeId="0" xr:uid="{32D1BA91-FE2D-48CE-A471-23BB9EDC235D}">
      <text>
        <r>
          <rPr>
            <b/>
            <sz val="9"/>
            <color indexed="81"/>
            <rFont val="Tahoma"/>
            <family val="2"/>
          </rPr>
          <t>Author:</t>
        </r>
        <r>
          <rPr>
            <sz val="9"/>
            <color indexed="81"/>
            <rFont val="Tahoma"/>
            <family val="2"/>
          </rPr>
          <t xml:space="preserve">
Real may-26 (Inputs!H150). Antes: fórmula GtosNoOpBase (proyección).</t>
        </r>
      </text>
    </comment>
    <comment ref="K16" authorId="0" shapeId="0" xr:uid="{B7788FDB-A372-464D-8774-D3FA9657E5EA}">
      <text>
        <r>
          <rPr>
            <b/>
            <sz val="9"/>
            <color indexed="81"/>
            <rFont val="Tahoma"/>
            <family val="2"/>
          </rPr>
          <t>Author:</t>
        </r>
        <r>
          <rPr>
            <sz val="9"/>
            <color indexed="81"/>
            <rFont val="Tahoma"/>
            <family val="2"/>
          </rPr>
          <t xml:space="preserve">
Real jun-26 (Inputs!I150).</t>
        </r>
      </text>
    </comment>
    <comment ref="L16" authorId="0" shapeId="0" xr:uid="{AFE2D9B4-14C9-407B-9E7F-4AAB7E1ED973}">
      <text>
        <r>
          <rPr>
            <b/>
            <sz val="9"/>
            <color indexed="81"/>
            <rFont val="Tahoma"/>
            <charset val="1"/>
          </rPr>
          <t>Author:</t>
        </r>
        <r>
          <rPr>
            <sz val="9"/>
            <color indexed="81"/>
            <rFont val="Tahoma"/>
            <charset val="1"/>
          </rPr>
          <t xml:space="preserve">
Real jul-26. Antes: GtosNoOpBase*(1+InflacionAnual)*(1/12).</t>
        </r>
      </text>
    </comment>
    <comment ref="C18" authorId="0" shapeId="0" xr:uid="{70784168-1BE0-4277-AC24-224C2B8CA964}">
      <text>
        <r>
          <rPr>
            <b/>
            <sz val="9"/>
            <color indexed="81"/>
            <rFont val="Tahoma"/>
            <family val="2"/>
          </rPr>
          <t>Author:</t>
        </r>
        <r>
          <rPr>
            <sz val="9"/>
            <color indexed="81"/>
            <rFont val="Tahoma"/>
            <family val="2"/>
          </rPr>
          <t xml:space="preserve">
SELECTOR DE ESCENARIO (14-jul-2026): elige Conservador / Base / Optimista. La fila 10 (Ingresos jul-dic) toma la fila de Revenue según E18. Reales ene-jun fijos para todos los escenarios. Reemplaza a las antiguas hojas Modelo Cons y Modelo Opti.</t>
        </r>
      </text>
    </comment>
    <comment ref="F18" authorId="0" shapeId="0" xr:uid="{C65E8F44-1CEA-4477-8AB9-2EDA2B45E2BB}">
      <text>
        <r>
          <rPr>
            <b/>
            <sz val="9"/>
            <color indexed="81"/>
            <rFont val="Tahoma"/>
            <family val="2"/>
          </rPr>
          <t>Author:</t>
        </r>
        <r>
          <rPr>
            <sz val="9"/>
            <color indexed="81"/>
            <rFont val="Tahoma"/>
            <family val="2"/>
          </rPr>
          <t xml:space="preserve">
Índice del escenario para el P&amp;G: 1=Ppto Metas (f21, Optimista), 2=Ppto Intnl (f22, Conservador), 3=Ppto Consolidado (f23, Base). Usado por INDEX en fila 51 (jul-dic). Creado 14-jul-2026.</t>
        </r>
      </text>
    </comment>
    <comment ref="C19" authorId="0" shapeId="0" xr:uid="{6DB0E8BF-456A-4659-BF36-B91023C075C5}">
      <text>
        <r>
          <rPr>
            <b/>
            <sz val="9"/>
            <color indexed="81"/>
            <rFont val="Tahoma"/>
            <family val="2"/>
          </rPr>
          <t>Author:</t>
        </r>
        <r>
          <rPr>
            <sz val="9"/>
            <color indexed="81"/>
            <rFont val="Tahoma"/>
            <family val="2"/>
          </rPr>
          <t xml:space="preserve">
SELECTOR DE MONEDA (14-jul-2026): USD muestra el bloque de presentación (filas 281-301) en dólares con títulos en inglés; COP en pesos con títulos en español. Divide por la TRM mensual de la fila 6. El P&amp;G español (filas 49-71) SIEMPRE queda en COP — de él dependen los reportes. Convención snapshots Escenarios: USD.</t>
        </r>
      </text>
    </comment>
    <comment ref="T28" authorId="0" shapeId="0" xr:uid="{67F6BC49-1130-46D9-936F-C8DDB7698623}">
      <text>
        <r>
          <rPr>
            <b/>
            <sz val="9"/>
            <color indexed="81"/>
            <rFont val="Tahoma"/>
            <charset val="1"/>
          </rPr>
          <t>Author:</t>
        </r>
        <r>
          <rPr>
            <sz val="9"/>
            <color indexed="81"/>
            <rFont val="Tahoma"/>
            <charset val="1"/>
          </rPr>
          <t xml:space="preserve">
Capacidad de la línea = caja disponible en EE.UU. al 31-jul-2026 (USD 302.331,63), según el balance de comprobación de julio. No modela la quema propia de EE.UU. (~12.128 USD/mes), que reduce esta capacidad con el tiempo.</t>
        </r>
      </text>
    </comment>
    <comment ref="T29" authorId="0" shapeId="0" xr:uid="{710280A4-A6E1-43AB-944E-EA883A0EDE6C}">
      <text>
        <r>
          <rPr>
            <b/>
            <sz val="9"/>
            <color indexed="81"/>
            <rFont val="Tahoma"/>
            <charset val="1"/>
          </rPr>
          <t>Capacidad efectiva de la línea = caja de EE.UU. menos la reserva mínima que se le deja (fila 35). El desembolso de cada mes es el menor entre el faltante de ese mes y esta capacidad remanente, así que nunca se gira más de lo necesario ni se vacía EE.UU.</t>
        </r>
      </text>
    </comment>
    <comment ref="E32" authorId="0" shapeId="0" xr:uid="{0D7ECB09-E377-47B5-9C79-D53B07504E4D}">
      <text>
        <r>
          <rPr>
            <b/>
            <sz val="9"/>
            <color indexed="81"/>
            <rFont val="Tahoma"/>
            <charset val="1"/>
          </rPr>
          <t>Author:</t>
        </r>
        <r>
          <rPr>
            <sz val="9"/>
            <color indexed="81"/>
            <rFont val="Tahoma"/>
            <charset val="1"/>
          </rPr>
          <t xml:space="preserve">
Caja mínima operativa definida por la gerencia: COP 200 millones. Antes: =E34, que replicaba la caja de cierre de dic-25 (231.459.000).</t>
        </r>
      </text>
    </comment>
    <comment ref="T32" authorId="0" shapeId="0" xr:uid="{F3D6CDFC-5DB4-488B-B904-FCA6CCCC79D9}">
      <text>
        <r>
          <rPr>
            <b/>
            <sz val="9"/>
            <color indexed="81"/>
            <rFont val="Tahoma"/>
            <charset val="1"/>
          </rPr>
          <t>Author:</t>
        </r>
        <r>
          <rPr>
            <sz val="9"/>
            <color indexed="81"/>
            <rFont val="Tahoma"/>
            <charset val="1"/>
          </rPr>
          <t xml:space="preserve">
Reserva que se deja en EE.UU., expresada en meses de su propia quema. Subía o baja este número para calibrar cuánta caja NO se transfiere a Colombia.</t>
        </r>
      </text>
    </comment>
    <comment ref="T33" authorId="0" shapeId="0" xr:uid="{7F0891E5-62C8-460C-8F45-634178CAB74F}">
      <text>
        <r>
          <rPr>
            <b/>
            <sz val="9"/>
            <color indexed="81"/>
            <rFont val="Tahoma"/>
            <charset val="1"/>
          </rPr>
          <t>Author:</t>
        </r>
        <r>
          <rPr>
            <sz val="9"/>
            <color indexed="81"/>
            <rFont val="Tahoma"/>
            <charset val="1"/>
          </rPr>
          <t xml:space="preserve">
Quema mensual de caja de EE.UU.: movimiento neto de bancos de julio (USD 12.127,75), tomado del balance de comprobación.</t>
        </r>
      </text>
    </comment>
    <comment ref="T34" authorId="0" shapeId="0" xr:uid="{65D277A4-4F5B-4B72-A425-2FB0704318E7}">
      <text>
        <r>
          <rPr>
            <b/>
            <sz val="9"/>
            <color indexed="81"/>
            <rFont val="Tahoma"/>
            <charset val="1"/>
          </rPr>
          <t>Author:</t>
        </r>
        <r>
          <rPr>
            <sz val="9"/>
            <color indexed="81"/>
            <rFont val="Tahoma"/>
            <charset val="1"/>
          </rPr>
          <t xml:space="preserve">
Reserva mínima que permanece en EE.UU. = meses de reserva × quema mensual.</t>
        </r>
      </text>
    </comment>
    <comment ref="T35" authorId="0" shapeId="0" xr:uid="{C3004D76-C237-4B66-85D8-006A2448D2D7}">
      <text>
        <r>
          <rPr>
            <b/>
            <sz val="9"/>
            <color indexed="81"/>
            <rFont val="Tahoma"/>
            <charset val="1"/>
          </rPr>
          <t>Author:</t>
        </r>
        <r>
          <rPr>
            <sz val="9"/>
            <color indexed="81"/>
            <rFont val="Tahoma"/>
            <charset val="1"/>
          </rPr>
          <t xml:space="preserve">
Capacidad transferible = caja de EE.UU. menos su reserva mínima, convertida a pesos con la TRM promedio de julio. Esta es la que usa el cronograma del préstamo.</t>
        </r>
      </text>
    </comment>
    <comment ref="L51" authorId="0" shapeId="0" xr:uid="{F503B151-FB2B-467E-8DB8-14D01C5AE8E4}">
      <text>
        <r>
          <rPr>
            <b/>
            <sz val="9"/>
            <color indexed="81"/>
            <rFont val="Tahoma"/>
            <family val="2"/>
          </rPr>
          <t>Julio cerrado: ingresos reales (EF Julio COCO 2026). Antes: =INDEX(L$21:L$23,$F$18) conmutado por selector.</t>
        </r>
      </text>
    </comment>
    <comment ref="J60" authorId="0" shapeId="0" xr:uid="{10DEBC86-9C71-4E68-A555-A59493EF1F33}">
      <text>
        <r>
          <rPr>
            <b/>
            <sz val="9"/>
            <color indexed="81"/>
            <rFont val="Tahoma"/>
            <family val="2"/>
          </rPr>
          <t>Author:</t>
        </r>
        <r>
          <rPr>
            <sz val="9"/>
            <color indexed="81"/>
            <rFont val="Tahoma"/>
            <family val="2"/>
          </rPr>
          <t xml:space="preserve">
D&amp;A mayo real = 0 (incluida en costo de ventas en EEFF reales). Dato real tomado de Inputs col H.</t>
        </r>
      </text>
    </comment>
    <comment ref="K60" authorId="0" shapeId="0" xr:uid="{4BDEAEE8-BDA7-47E1-B459-EBAAA869955D}">
      <text>
        <r>
          <rPr>
            <b/>
            <sz val="9"/>
            <color indexed="81"/>
            <rFont val="Tahoma"/>
            <family val="2"/>
          </rPr>
          <t>D&amp;A junio real = 0 (incluida en costo de ventas en EEFF reales). Dato real tomado de Inputs col I (EEFF Junio 2026).</t>
        </r>
      </text>
    </comment>
    <comment ref="L60" authorId="0" shapeId="0" xr:uid="{AAE0DDFB-DEBC-4488-B5B2-5FA83CDB7ADC}">
      <text>
        <r>
          <rPr>
            <b/>
            <sz val="9"/>
            <color indexed="81"/>
            <rFont val="Tahoma"/>
            <charset val="1"/>
          </rPr>
          <t>Author:</t>
        </r>
        <r>
          <rPr>
            <sz val="9"/>
            <color indexed="81"/>
            <rFont val="Tahoma"/>
            <charset val="1"/>
          </rPr>
          <t xml:space="preserve">
D&amp;A julio real = 0 (incluida en costo de ventas en EEFF reales). Antes: =L167 (proyección).</t>
        </r>
      </text>
    </comment>
    <comment ref="J65" authorId="0" shapeId="0" xr:uid="{5D907290-0C0F-4D4C-B175-0017C1C28747}">
      <text>
        <r>
          <rPr>
            <b/>
            <sz val="9"/>
            <color indexed="81"/>
            <rFont val="Tahoma"/>
            <family val="2"/>
          </rPr>
          <t>Author:</t>
        </r>
        <r>
          <rPr>
            <sz val="9"/>
            <color indexed="81"/>
            <rFont val="Tahoma"/>
            <family val="2"/>
          </rPr>
          <t xml:space="preserve">
Corregido 14-jul-2026: antes =Inputs!H150 directo (saltaba la fila 16). Mismo valor, cadena restaurada.</t>
        </r>
      </text>
    </comment>
    <comment ref="K65" authorId="0" shapeId="0" xr:uid="{3A3EEE50-7AC2-472A-B161-7E5B4A7A48AE}">
      <text>
        <r>
          <rPr>
            <b/>
            <sz val="9"/>
            <color indexed="81"/>
            <rFont val="Tahoma"/>
            <family val="2"/>
          </rPr>
          <t>Author:</t>
        </r>
        <r>
          <rPr>
            <sz val="9"/>
            <color indexed="81"/>
            <rFont val="Tahoma"/>
            <family val="2"/>
          </rPr>
          <t xml:space="preserve">
Corregido 14-jul-2026: antes =Inputs!I150 directo. Mismo valor, cadena restaurada.</t>
        </r>
      </text>
    </comment>
    <comment ref="L65" authorId="0" shapeId="0" xr:uid="{551DDBA9-57AB-4875-9053-FA10893743A3}">
      <text>
        <r>
          <rPr>
            <b/>
            <sz val="9"/>
            <color indexed="81"/>
            <rFont val="Tahoma"/>
            <charset val="1"/>
          </rPr>
          <t>Author:</t>
        </r>
        <r>
          <rPr>
            <sz val="9"/>
            <color indexed="81"/>
            <rFont val="Tahoma"/>
            <charset val="1"/>
          </rPr>
          <t xml:space="preserve">
Corregido: antes =L16+L138, que sumaba intereses proyectados (COP 695.866) sobre los gastos financieros reales de julio. Meses cerrados usan solo la fila 16 (real de Inputs).</t>
        </r>
      </text>
    </comment>
    <comment ref="F69" authorId="0" shapeId="0" xr:uid="{95FEBF05-DCF7-41E0-B446-B2C99416763E}">
      <text>
        <r>
          <rPr>
            <b/>
            <sz val="9"/>
            <color indexed="81"/>
            <rFont val="Tahoma"/>
            <family val="2"/>
          </rPr>
          <t>Author:</t>
        </r>
        <r>
          <rPr>
            <sz val="9"/>
            <color indexed="81"/>
            <rFont val="Tahoma"/>
            <family val="2"/>
          </rPr>
          <t xml:space="preserve">
Impuesto real Ene-26 = 0 (no provisiona mensual; renta presuntiva anual). Source: EF ENERO 2026.pdf</t>
        </r>
      </text>
    </comment>
    <comment ref="G69" authorId="0" shapeId="0" xr:uid="{66C39748-0D19-4C1C-8FED-21309AEA1D3B}">
      <text>
        <r>
          <rPr>
            <b/>
            <sz val="9"/>
            <color indexed="81"/>
            <rFont val="Tahoma"/>
            <family val="2"/>
          </rPr>
          <t>Author:</t>
        </r>
        <r>
          <rPr>
            <sz val="9"/>
            <color indexed="81"/>
            <rFont val="Tahoma"/>
            <family val="2"/>
          </rPr>
          <t xml:space="preserve">
Impuesto real Feb-26 acum = 0. Source: EF COCO FEBRERO 2026.pdf</t>
        </r>
      </text>
    </comment>
    <comment ref="H69" authorId="0" shapeId="0" xr:uid="{9C18083A-7724-4815-80CB-12C1D533FB29}">
      <text>
        <r>
          <rPr>
            <b/>
            <sz val="9"/>
            <color indexed="81"/>
            <rFont val="Tahoma"/>
            <family val="2"/>
          </rPr>
          <t>Author:</t>
        </r>
        <r>
          <rPr>
            <sz val="9"/>
            <color indexed="81"/>
            <rFont val="Tahoma"/>
            <family val="2"/>
          </rPr>
          <t xml:space="preserve">
Impuesto real Mar-26 acum = 0. Source: EF Marzo COCO 2026.pdf</t>
        </r>
      </text>
    </comment>
    <comment ref="L69" authorId="0" shapeId="0" xr:uid="{5C83F755-9463-4280-A28B-2A9D116FB513}">
      <text>
        <r>
          <rPr>
            <b/>
            <sz val="9"/>
            <color indexed="81"/>
            <rFont val="Tahoma"/>
            <charset val="1"/>
          </rPr>
          <t>Author:</t>
        </r>
        <r>
          <rPr>
            <sz val="9"/>
            <color indexed="81"/>
            <rFont val="Tahoma"/>
            <charset val="1"/>
          </rPr>
          <t xml:space="preserve">
Impuesto real jul-26 = 0 (no provisiona mensual). Antes: =IF(L67&gt;0,L67*L$7,0).</t>
        </r>
      </text>
    </comment>
    <comment ref="F72" authorId="0" shapeId="0" xr:uid="{5A197FD3-A226-422F-ACAF-A6443207576F}">
      <text>
        <r>
          <rPr>
            <b/>
            <sz val="9"/>
            <color indexed="81"/>
            <rFont val="Tahoma"/>
            <charset val="1"/>
          </rPr>
          <t>Author:</t>
        </r>
        <r>
          <rPr>
            <sz val="9"/>
            <color indexed="81"/>
            <rFont val="Tahoma"/>
            <charset val="1"/>
          </rPr>
          <t xml:space="preserve">
Provisión de renta que los estados financieros reales no registran: 35% de la utilidad antes de impuestos menos el impuesto ya contabilizado. En los meses proyectados da cero porque allí sí se provisiona en la fila 69.</t>
        </r>
      </text>
    </comment>
    <comment ref="F73" authorId="0" shapeId="0" xr:uid="{58DB5C7B-0E1A-4189-8749-99317DBE1159}">
      <text>
        <r>
          <rPr>
            <b/>
            <sz val="9"/>
            <color indexed="81"/>
            <rFont val="Tahoma"/>
            <charset val="1"/>
          </rPr>
          <t>Author:</t>
        </r>
        <r>
          <rPr>
            <sz val="9"/>
            <color indexed="81"/>
            <rFont val="Tahoma"/>
            <charset val="1"/>
          </rPr>
          <t xml:space="preserve">
Utilidad neta reconociendo la provisión de renta estimada. Es la cifra que debe usarse para leer rentabilidad, no la fila 70.</t>
        </r>
      </text>
    </comment>
    <comment ref="L78" authorId="0" shapeId="0" xr:uid="{8F0D9729-CC96-4508-BF65-C6E362472B99}">
      <text>
        <r>
          <rPr>
            <b/>
            <sz val="9"/>
            <color indexed="81"/>
            <rFont val="Tahoma"/>
            <charset val="1"/>
          </rPr>
          <t>Author:</t>
        </r>
        <r>
          <rPr>
            <sz val="9"/>
            <color indexed="81"/>
            <rFont val="Tahoma"/>
            <charset val="1"/>
          </rPr>
          <t xml:space="preserve">
Mes real (EEFF Julio 2026). Fórmula proyectada anterior: =L186</t>
        </r>
      </text>
    </comment>
    <comment ref="L79" authorId="0" shapeId="0" xr:uid="{2AFB9596-B4A5-425D-AD74-474F69E96EEA}">
      <text>
        <r>
          <rPr>
            <b/>
            <sz val="9"/>
            <color indexed="81"/>
            <rFont val="Tahoma"/>
            <charset val="1"/>
          </rPr>
          <t>Author:</t>
        </r>
        <r>
          <rPr>
            <sz val="9"/>
            <color indexed="81"/>
            <rFont val="Tahoma"/>
            <charset val="1"/>
          </rPr>
          <t xml:space="preserve">
Mes real (EEFF Julio 2026). Fórmula proyectada anterior: =L51*$E$27/30</t>
        </r>
      </text>
    </comment>
    <comment ref="L80" authorId="0" shapeId="0" xr:uid="{AACAA651-F831-42D9-BB99-2D25CC4F03CD}">
      <text>
        <r>
          <rPr>
            <b/>
            <sz val="9"/>
            <color indexed="81"/>
            <rFont val="Tahoma"/>
            <charset val="1"/>
          </rPr>
          <t>Author:</t>
        </r>
        <r>
          <rPr>
            <sz val="9"/>
            <color indexed="81"/>
            <rFont val="Tahoma"/>
            <charset val="1"/>
          </rPr>
          <t xml:space="preserve">
Mes real (EEFF Julio 2026). Fórmula proyectada anterior: =$I80</t>
        </r>
      </text>
    </comment>
    <comment ref="M80" authorId="0" shapeId="0" xr:uid="{7183851C-EAE5-4224-B8DA-D6B811CF1B25}">
      <text>
        <r>
          <rPr>
            <b/>
            <sz val="9"/>
            <color indexed="81"/>
            <rFont val="Tahoma"/>
            <charset val="1"/>
          </rPr>
          <t>Saldo real de julio menos la venta mensual supuesta de fiducia en D168.</t>
        </r>
      </text>
    </comment>
    <comment ref="L81" authorId="0" shapeId="0" xr:uid="{18DBB0E0-1B1F-4B80-AF19-3E712CB38BF7}">
      <text>
        <r>
          <rPr>
            <b/>
            <sz val="9"/>
            <color indexed="81"/>
            <rFont val="Tahoma"/>
            <charset val="1"/>
          </rPr>
          <t>Author:</t>
        </r>
        <r>
          <rPr>
            <sz val="9"/>
            <color indexed="81"/>
            <rFont val="Tahoma"/>
            <charset val="1"/>
          </rPr>
          <t xml:space="preserve">
Mes real (EEFF Julio 2026). Fórmula proyectada anterior: =$I81</t>
        </r>
      </text>
    </comment>
    <comment ref="M81" authorId="0" shapeId="0" xr:uid="{438CD0C7-0C45-4F2B-B291-AEF662F2EA5D}">
      <text>
        <r>
          <rPr>
            <b/>
            <sz val="9"/>
            <color indexed="81"/>
            <rFont val="Tahoma"/>
            <charset val="1"/>
          </rPr>
          <t>Saldo real de julio menos la recuperación mensual supuesta en D167. Con D167 en 0 se mantiene plano.</t>
        </r>
      </text>
    </comment>
    <comment ref="L83" authorId="0" shapeId="0" xr:uid="{48E0FCA9-EC8A-4425-86EA-BDEB814C835C}">
      <text>
        <r>
          <rPr>
            <b/>
            <sz val="9"/>
            <color indexed="81"/>
            <rFont val="Tahoma"/>
            <charset val="1"/>
          </rPr>
          <t>Author:</t>
        </r>
        <r>
          <rPr>
            <sz val="9"/>
            <color indexed="81"/>
            <rFont val="Tahoma"/>
            <charset val="1"/>
          </rPr>
          <t xml:space="preserve">
Mes real (EEFF Julio 2026). Fórmula proyectada anterior: =L126</t>
        </r>
      </text>
    </comment>
    <comment ref="L84" authorId="0" shapeId="0" xr:uid="{FB0D4D8D-B2B0-45D1-BEAA-15B5C600D923}">
      <text>
        <r>
          <rPr>
            <b/>
            <sz val="9"/>
            <color indexed="81"/>
            <rFont val="Tahoma"/>
            <charset val="1"/>
          </rPr>
          <t>Author:</t>
        </r>
        <r>
          <rPr>
            <sz val="9"/>
            <color indexed="81"/>
            <rFont val="Tahoma"/>
            <charset val="1"/>
          </rPr>
          <t xml:space="preserve">
Mes real (EEFF Julio 2026). Fórmula proyectada anterior: =$I84</t>
        </r>
      </text>
    </comment>
    <comment ref="L88" authorId="0" shapeId="0" xr:uid="{F2D8B15E-96B9-4988-90A9-97B32A0300FB}">
      <text>
        <r>
          <rPr>
            <b/>
            <sz val="9"/>
            <color indexed="81"/>
            <rFont val="Tahoma"/>
            <charset val="1"/>
          </rPr>
          <t>Author:</t>
        </r>
        <r>
          <rPr>
            <sz val="9"/>
            <color indexed="81"/>
            <rFont val="Tahoma"/>
            <charset val="1"/>
          </rPr>
          <t xml:space="preserve">
Mes real (EEFF Julio 2026): solo tarjetas, igual que junio (K88=K44). Fórmula proyectada anterior: =L133+L144</t>
        </r>
      </text>
    </comment>
    <comment ref="M88" authorId="0" shapeId="0" xr:uid="{28EFB2E7-E006-43F5-90F8-F068D0F42B26}">
      <text>
        <r>
          <rPr>
            <b/>
            <sz val="9"/>
            <color indexed="81"/>
            <rFont val="Tahoma"/>
            <charset val="1"/>
          </rPr>
          <t>Author:</t>
        </r>
        <r>
          <rPr>
            <sz val="9"/>
            <color indexed="81"/>
            <rFont val="Tahoma"/>
            <charset val="1"/>
          </rPr>
          <t xml:space="preserve">
Corregido: solo obligaciones financieras / tarjetas. Antes: =M133+M144, que sumaba también el pasivo Coco Delaware, ya presente en la fila 94 — doble conteo de 2.641,6 MM.</t>
        </r>
      </text>
    </comment>
    <comment ref="N88" authorId="0" shapeId="0" xr:uid="{65A5E9B9-C978-431D-84DC-C3875A28BA8B}">
      <text>
        <r>
          <rPr>
            <b/>
            <sz val="9"/>
            <color indexed="81"/>
            <rFont val="Tahoma"/>
            <charset val="1"/>
          </rPr>
          <t>Author:</t>
        </r>
        <r>
          <rPr>
            <sz val="9"/>
            <color indexed="81"/>
            <rFont val="Tahoma"/>
            <charset val="1"/>
          </rPr>
          <t xml:space="preserve">
Corregido: solo obligaciones financieras / tarjetas. Antes: =N133+N144, que duplicaba el pasivo Coco Delaware ya contenido en la fila 94.</t>
        </r>
      </text>
    </comment>
    <comment ref="O88" authorId="0" shapeId="0" xr:uid="{211934F3-63E2-4B36-BFC5-A5360304C537}">
      <text>
        <r>
          <rPr>
            <b/>
            <sz val="9"/>
            <color indexed="81"/>
            <rFont val="Tahoma"/>
            <charset val="1"/>
          </rPr>
          <t>Author:</t>
        </r>
        <r>
          <rPr>
            <sz val="9"/>
            <color indexed="81"/>
            <rFont val="Tahoma"/>
            <charset val="1"/>
          </rPr>
          <t xml:space="preserve">
Corregido: solo obligaciones financieras / tarjetas. Antes: =O133+O144 (doble conteo).</t>
        </r>
      </text>
    </comment>
    <comment ref="P88" authorId="0" shapeId="0" xr:uid="{79EBA45B-7C9E-473E-ABFA-8038F817F045}">
      <text>
        <r>
          <rPr>
            <b/>
            <sz val="9"/>
            <color indexed="81"/>
            <rFont val="Tahoma"/>
            <charset val="1"/>
          </rPr>
          <t>Author:</t>
        </r>
        <r>
          <rPr>
            <sz val="9"/>
            <color indexed="81"/>
            <rFont val="Tahoma"/>
            <charset val="1"/>
          </rPr>
          <t xml:space="preserve">
Corregido: solo obligaciones financieras / tarjetas. Antes: =P133+P144 (doble conteo).</t>
        </r>
      </text>
    </comment>
    <comment ref="Q88" authorId="0" shapeId="0" xr:uid="{91D68232-CE9C-41FF-ACB4-BE2F81379FD2}">
      <text>
        <r>
          <rPr>
            <b/>
            <sz val="9"/>
            <color indexed="81"/>
            <rFont val="Tahoma"/>
            <charset val="1"/>
          </rPr>
          <t>Author:</t>
        </r>
        <r>
          <rPr>
            <sz val="9"/>
            <color indexed="81"/>
            <rFont val="Tahoma"/>
            <charset val="1"/>
          </rPr>
          <t xml:space="preserve">
Corregido: solo obligaciones financieras / tarjetas. Antes: =Q133+Q144 (doble conteo).</t>
        </r>
      </text>
    </comment>
    <comment ref="L89" authorId="0" shapeId="0" xr:uid="{C099C53B-54BF-44D0-B1BA-41CEFBE92459}">
      <text>
        <r>
          <rPr>
            <b/>
            <sz val="9"/>
            <color indexed="81"/>
            <rFont val="Tahoma"/>
            <charset val="1"/>
          </rPr>
          <t>Author:</t>
        </r>
        <r>
          <rPr>
            <sz val="9"/>
            <color indexed="81"/>
            <rFont val="Tahoma"/>
            <charset val="1"/>
          </rPr>
          <t xml:space="preserve">
Mes real (EEFF Julio 2026). Fórmula proyectada anterior: =L52*$E$28/30</t>
        </r>
      </text>
    </comment>
    <comment ref="L90" authorId="0" shapeId="0" xr:uid="{F4C31652-FD96-4B6C-9984-7CB4F003FFDE}">
      <text>
        <r>
          <rPr>
            <b/>
            <sz val="9"/>
            <color indexed="81"/>
            <rFont val="Tahoma"/>
            <charset val="1"/>
          </rPr>
          <t>Author:</t>
        </r>
        <r>
          <rPr>
            <sz val="9"/>
            <color indexed="81"/>
            <rFont val="Tahoma"/>
            <charset val="1"/>
          </rPr>
          <t xml:space="preserve">
Mes real (EEFF Julio 2026). Fórmula proyectada anterior: =L69*$E$31</t>
        </r>
      </text>
    </comment>
    <comment ref="L91" authorId="0" shapeId="0" xr:uid="{347246BB-97E5-40E3-9F45-5F8AC20ADFF0}">
      <text>
        <r>
          <rPr>
            <b/>
            <sz val="9"/>
            <color indexed="81"/>
            <rFont val="Tahoma"/>
            <charset val="1"/>
          </rPr>
          <t>Author:</t>
        </r>
        <r>
          <rPr>
            <sz val="9"/>
            <color indexed="81"/>
            <rFont val="Tahoma"/>
            <charset val="1"/>
          </rPr>
          <t xml:space="preserve">
Mes real (EEFF Julio 2026). Fórmula proyectada anterior: =K91</t>
        </r>
      </text>
    </comment>
    <comment ref="M91" authorId="0" shapeId="0" xr:uid="{E10BBD13-7842-44C2-BA8C-6C4AAB9BDD6C}">
      <text>
        <r>
          <rPr>
            <b/>
            <sz val="9"/>
            <color indexed="81"/>
            <rFont val="Tahoma"/>
            <charset val="1"/>
          </rPr>
          <t>Author:</t>
        </r>
        <r>
          <rPr>
            <sz val="9"/>
            <color indexed="81"/>
            <rFont val="Tahoma"/>
            <charset val="1"/>
          </rPr>
          <t xml:space="preserve">
Saldo real de julio ajustado por la variación mensual supuesta en D169.</t>
        </r>
      </text>
    </comment>
    <comment ref="L94" authorId="0" shapeId="0" xr:uid="{9D15306D-A1C7-49D8-B742-5716E8C98AC1}">
      <text>
        <r>
          <rPr>
            <b/>
            <sz val="9"/>
            <color indexed="81"/>
            <rFont val="Tahoma"/>
            <charset val="1"/>
          </rPr>
          <t>Author:</t>
        </r>
        <r>
          <rPr>
            <sz val="9"/>
            <color indexed="81"/>
            <rFont val="Tahoma"/>
            <charset val="1"/>
          </rPr>
          <t xml:space="preserve">
Mes real (EEFF Julio 2026). Fórmula proyectada anterior: =K94</t>
        </r>
      </text>
    </comment>
    <comment ref="M94" authorId="0" shapeId="0" xr:uid="{07A24769-BC8D-43F8-AAEA-0D3FC7D8C1DE}">
      <text>
        <r>
          <rPr>
            <b/>
            <sz val="9"/>
            <color indexed="81"/>
            <rFont val="Tahoma"/>
            <charset val="1"/>
          </rPr>
          <t>Pasivo con Coco Delaware al cierre del mes, según el cronograma de las filas 141-144. Ya no hay circularidad porque la fila 182 dejó de leer este saldo.</t>
        </r>
      </text>
    </comment>
    <comment ref="L99" authorId="0" shapeId="0" xr:uid="{1BD521CB-19B3-4508-B8E5-DFBA1DB13798}">
      <text>
        <r>
          <rPr>
            <b/>
            <sz val="9"/>
            <color indexed="81"/>
            <rFont val="Tahoma"/>
            <charset val="1"/>
          </rPr>
          <t>Author:</t>
        </r>
        <r>
          <rPr>
            <sz val="9"/>
            <color indexed="81"/>
            <rFont val="Tahoma"/>
            <charset val="1"/>
          </rPr>
          <t xml:space="preserve">
Mes real (EEFF Julio 2026). Fórmula proyectada anterior: =L149</t>
        </r>
      </text>
    </comment>
    <comment ref="L100" authorId="0" shapeId="0" xr:uid="{502BFDB9-6BB4-41A6-9515-D636D4988CB0}">
      <text>
        <r>
          <rPr>
            <b/>
            <sz val="9"/>
            <color indexed="81"/>
            <rFont val="Tahoma"/>
            <charset val="1"/>
          </rPr>
          <t>Author:</t>
        </r>
        <r>
          <rPr>
            <sz val="9"/>
            <color indexed="81"/>
            <rFont val="Tahoma"/>
            <charset val="1"/>
          </rPr>
          <t xml:space="preserve">
Mes real (EEFF Julio 2026). Fórmula proyectada anterior: =L155</t>
        </r>
      </text>
    </comment>
    <comment ref="F106" authorId="0" shapeId="0" xr:uid="{02D15BAD-BE82-4C68-B455-8EDF83506E73}">
      <text>
        <r>
          <rPr>
            <b/>
            <sz val="9"/>
            <color indexed="81"/>
            <rFont val="Tahoma"/>
            <charset val="1"/>
          </rPr>
          <t>Author:</t>
        </r>
        <r>
          <rPr>
            <sz val="9"/>
            <color indexed="81"/>
            <rFont val="Tahoma"/>
            <charset val="1"/>
          </rPr>
          <t xml:space="preserve">
Pasivo estimado por impuesto de renta que no figura en los estados financieros. El balance de arriba cuadra contra los EEFF auditados; esta línea muestra cuánto habría que restarle al patrimonio para leerlo en términos económicos.</t>
        </r>
      </text>
    </comment>
    <comment ref="M123" authorId="0" shapeId="0" xr:uid="{BD12F1D0-77BB-4A16-A378-E8F2936D4F3C}">
      <text>
        <r>
          <rPr>
            <b/>
            <sz val="9"/>
            <color indexed="81"/>
            <rFont val="Tahoma"/>
            <charset val="1"/>
          </rPr>
          <t>Author:</t>
        </r>
        <r>
          <rPr>
            <sz val="9"/>
            <color indexed="81"/>
            <rFont val="Tahoma"/>
            <charset val="1"/>
          </rPr>
          <t xml:space="preserve">
Corregido: el cronograma de PP&amp;E arranca del saldo REAL de julio (225.975.514). Antes: =L126, el cierre del propio cronograma, que iba 3,59 MM por encima del balance real.</t>
        </r>
      </text>
    </comment>
    <comment ref="I124" authorId="0" shapeId="0" xr:uid="{9A5E87C9-CDFC-402A-AC8C-276F9D5C53F2}">
      <text>
        <r>
          <rPr>
            <b/>
            <sz val="9"/>
            <color indexed="81"/>
            <rFont val="Tahoma"/>
            <family val="2"/>
          </rPr>
          <t>Author:</t>
        </r>
        <r>
          <rPr>
            <sz val="9"/>
            <color indexed="81"/>
            <rFont val="Tahoma"/>
            <family val="2"/>
          </rPr>
          <t xml:space="preserve">
CapEx plug Abr-26 (ahora consistente con PP&amp;E restaurado).</t>
        </r>
      </text>
    </comment>
    <comment ref="I126" authorId="0" shapeId="0" xr:uid="{BD51A8F7-A9EA-4932-8C0D-8638D8D86FF3}">
      <text>
        <r>
          <rPr>
            <b/>
            <sz val="9"/>
            <color indexed="81"/>
            <rFont val="Tahoma"/>
            <family val="2"/>
          </rPr>
          <t>Author:</t>
        </r>
        <r>
          <rPr>
            <sz val="9"/>
            <color indexed="81"/>
            <rFont val="Tahoma"/>
            <family val="2"/>
          </rPr>
          <t xml:space="preserve">
PP&amp;E neto Abr-26 desde Inputs!G126. Corrige enlace roto a Inputs!$L$125 (vacía).</t>
        </r>
      </text>
    </comment>
    <comment ref="M131" authorId="0" shapeId="0" xr:uid="{80B8AEB3-27AA-4772-9FC0-665DE0045085}">
      <text>
        <r>
          <rPr>
            <b/>
            <sz val="9"/>
            <color indexed="81"/>
            <rFont val="Tahoma"/>
            <charset val="1"/>
          </rPr>
          <t>Author:</t>
        </r>
        <r>
          <rPr>
            <sz val="9"/>
            <color indexed="81"/>
            <rFont val="Tahoma"/>
            <charset val="1"/>
          </rPr>
          <t xml:space="preserve">
Corregido: el cronograma de tarjetas ahora arranca del saldo REAL de julio (104.555.195). Antes: =L133, que se había quedado en el saldo de junio (83.503.947).</t>
        </r>
      </text>
    </comment>
    <comment ref="I132" authorId="0" shapeId="0" xr:uid="{18E45774-9F33-42DB-A261-701E59849AF0}">
      <text>
        <r>
          <rPr>
            <b/>
            <sz val="9"/>
            <color indexed="81"/>
            <rFont val="Tahoma"/>
            <family val="2"/>
          </rPr>
          <t>Author:</t>
        </r>
        <r>
          <rPr>
            <sz val="9"/>
            <color indexed="81"/>
            <rFont val="Tahoma"/>
            <family val="2"/>
          </rPr>
          <t xml:space="preserve">
Movimiento de deuda Abr-26 (ahora consistente).</t>
        </r>
      </text>
    </comment>
    <comment ref="I133" authorId="0" shapeId="0" xr:uid="{F3ADFEE0-85E4-40E7-B225-0F3EB4B6CB6E}">
      <text>
        <r>
          <rPr>
            <b/>
            <sz val="9"/>
            <color indexed="81"/>
            <rFont val="Tahoma"/>
            <family val="2"/>
          </rPr>
          <t>Author:</t>
        </r>
        <r>
          <rPr>
            <sz val="9"/>
            <color indexed="81"/>
            <rFont val="Tahoma"/>
            <family val="2"/>
          </rPr>
          <t xml:space="preserve">
Obligaciones financieras (LTD) Abr-26 desde Inputs!G131. Corrige enlace roto a Inputs!$L$130 (vacía).</t>
        </r>
      </text>
    </comment>
    <comment ref="M141" authorId="0" shapeId="0" xr:uid="{FDC2BDD6-2FA6-45C9-8C97-B3A8C92ADE3E}">
      <text>
        <r>
          <rPr>
            <b/>
            <sz val="9"/>
            <color indexed="81"/>
            <rFont val="Tahoma"/>
            <charset val="1"/>
          </rPr>
          <t>Author:</t>
        </r>
        <r>
          <rPr>
            <sz val="9"/>
            <color indexed="81"/>
            <rFont val="Tahoma"/>
            <charset val="1"/>
          </rPr>
          <t xml:space="preserve">
Corregido: el cronograma de Coco Delaware ahora arranca del saldo REAL de julio (2.641.787.281). Antes: =L144, que se quedó 220.800 pesos corto frente al balance real.</t>
        </r>
      </text>
    </comment>
    <comment ref="F142" authorId="0" shapeId="0" xr:uid="{2A63C714-EE48-4294-BA2D-E083D430B6C9}">
      <text>
        <r>
          <rPr>
            <b/>
            <sz val="9"/>
            <color indexed="81"/>
            <rFont val="Tahoma"/>
            <family val="2"/>
          </rPr>
          <t>Author:</t>
        </r>
        <r>
          <rPr>
            <sz val="9"/>
            <color indexed="81"/>
            <rFont val="Tahoma"/>
            <family val="2"/>
          </rPr>
          <t xml:space="preserve">
Histórico Ene-26: sin préstamos intercompañía</t>
        </r>
      </text>
    </comment>
    <comment ref="G142" authorId="0" shapeId="0" xr:uid="{AFE6596A-B99E-44F2-B670-7E8C36A032A9}">
      <text>
        <r>
          <rPr>
            <b/>
            <sz val="9"/>
            <color indexed="81"/>
            <rFont val="Tahoma"/>
            <family val="2"/>
          </rPr>
          <t>Author:</t>
        </r>
        <r>
          <rPr>
            <sz val="9"/>
            <color indexed="81"/>
            <rFont val="Tahoma"/>
            <family val="2"/>
          </rPr>
          <t xml:space="preserve">
Histórico Feb-26</t>
        </r>
      </text>
    </comment>
    <comment ref="H142" authorId="0" shapeId="0" xr:uid="{DB08E43A-0A5E-473D-8A5A-6FD9F91577A8}">
      <text>
        <r>
          <rPr>
            <b/>
            <sz val="9"/>
            <color indexed="81"/>
            <rFont val="Tahoma"/>
            <family val="2"/>
          </rPr>
          <t>Author:</t>
        </r>
        <r>
          <rPr>
            <sz val="9"/>
            <color indexed="81"/>
            <rFont val="Tahoma"/>
            <family val="2"/>
          </rPr>
          <t xml:space="preserve">
Histórico Mar-26</t>
        </r>
      </text>
    </comment>
    <comment ref="I142" authorId="0" shapeId="0" xr:uid="{F98544E7-2DBC-4435-8065-B8AC85B5A648}">
      <text>
        <r>
          <rPr>
            <b/>
            <sz val="9"/>
            <color indexed="81"/>
            <rFont val="Tahoma"/>
            <family val="2"/>
          </rPr>
          <t>Input: préstamo nuevo desde subsidiaria este mes (positivo=desembolso, negativo=pago)</t>
        </r>
      </text>
    </comment>
    <comment ref="J142" authorId="0" shapeId="0" xr:uid="{BF7E9465-CC14-4D99-93F2-4ED8F8F898DC}">
      <text>
        <r>
          <rPr>
            <b/>
            <sz val="9"/>
            <color indexed="81"/>
            <rFont val="Tahoma"/>
            <family val="2"/>
          </rPr>
          <t>Input: préstamo nuevo desde subsidiaria este mes (positivo=desembolso, negativo=pago)</t>
        </r>
      </text>
    </comment>
    <comment ref="K142" authorId="0" shapeId="0" xr:uid="{63AE7A34-3898-4270-8A7F-87DAC61F4DBF}">
      <text>
        <r>
          <rPr>
            <b/>
            <sz val="9"/>
            <color indexed="81"/>
            <rFont val="Tahoma"/>
            <family val="2"/>
          </rPr>
          <t>Input: préstamo nuevo desde subsidiaria este mes (positivo=desembolso, negativo=pago)</t>
        </r>
      </text>
    </comment>
    <comment ref="L142" authorId="0" shapeId="0" xr:uid="{E0C974AC-BB32-426D-8B63-5375CAD43618}">
      <text>
        <r>
          <rPr>
            <b/>
            <sz val="9"/>
            <color indexed="81"/>
            <rFont val="Tahoma"/>
            <family val="2"/>
          </rPr>
          <t>Input: préstamo nuevo desde subsidiaria este mes (positivo=desembolso, negativo=pago)</t>
        </r>
      </text>
    </comment>
    <comment ref="M142" authorId="0" shapeId="0" xr:uid="{C264CD6B-2CF7-4D84-B8A1-A6D00DF4F5BF}">
      <text>
        <r>
          <rPr>
            <b/>
            <sz val="9"/>
            <color indexed="81"/>
            <rFont val="Tahoma"/>
            <family val="2"/>
          </rPr>
          <t>Desembolso del mes = MIN(faltante de caja del mes, capacidad remanente de la línea). Solo gira lo que hace falta para llegar a la caja mínima de 200 MM, y solo hasta agotar la capacidad transferible.</t>
        </r>
      </text>
    </comment>
    <comment ref="N142" authorId="0" shapeId="0" xr:uid="{70B9D52F-0BC3-4766-9374-967E17E3D712}">
      <text>
        <r>
          <rPr>
            <b/>
            <sz val="9"/>
            <color indexed="81"/>
            <rFont val="Tahoma"/>
            <family val="2"/>
          </rPr>
          <t>Input: préstamo nuevo desde subsidiaria este mes (positivo=desembolso, negativo=pago)</t>
        </r>
      </text>
    </comment>
    <comment ref="O142" authorId="0" shapeId="0" xr:uid="{00E258D8-7066-4220-8C59-D3C3F5D05F1C}">
      <text>
        <r>
          <rPr>
            <b/>
            <sz val="9"/>
            <color indexed="81"/>
            <rFont val="Tahoma"/>
            <family val="2"/>
          </rPr>
          <t>Input: préstamo nuevo desde subsidiaria este mes (positivo=desembolso, negativo=pago)</t>
        </r>
      </text>
    </comment>
    <comment ref="P142" authorId="0" shapeId="0" xr:uid="{EE9F50B5-10D1-4310-90A4-B02730B7F3FF}">
      <text>
        <r>
          <rPr>
            <b/>
            <sz val="9"/>
            <color indexed="81"/>
            <rFont val="Tahoma"/>
            <family val="2"/>
          </rPr>
          <t>Input: préstamo nuevo desde subsidiaria este mes (positivo=desembolso, negativo=pago)</t>
        </r>
      </text>
    </comment>
    <comment ref="Q142" authorId="0" shapeId="0" xr:uid="{4D4EFDF8-23BE-4413-B501-507A5023C76B}">
      <text>
        <r>
          <rPr>
            <b/>
            <sz val="9"/>
            <color indexed="81"/>
            <rFont val="Tahoma"/>
            <family val="2"/>
          </rPr>
          <t>Input: préstamo nuevo desde subsidiaria este mes (positivo=desembolso, negativo=pago)</t>
        </r>
      </text>
    </comment>
    <comment ref="I148" authorId="0" shapeId="0" xr:uid="{A5C00FA6-2E78-4AE2-8D26-0125AE982A28}">
      <text>
        <r>
          <rPr>
            <b/>
            <sz val="9"/>
            <color indexed="81"/>
            <rFont val="Tahoma"/>
            <family val="2"/>
          </rPr>
          <t>Corregido: capitalizaciones = capital final menos capital inicial, igual que enero y febrero. Antes: =I149-I147-I153, que restaba además la utilidad neta y generaba una emisión de capital ficticia de -663,4 MM en el flujo de caja.</t>
        </r>
      </text>
    </comment>
    <comment ref="I149" authorId="0" shapeId="0" xr:uid="{DB4491BF-AB79-459A-8DEA-F0F7B99B8FA9}">
      <text>
        <r>
          <rPr>
            <b/>
            <sz val="9"/>
            <color indexed="81"/>
            <rFont val="Tahoma"/>
            <family val="2"/>
          </rPr>
          <t>Corregido: capital social de abril tomado del balance. Antes: =Inputs!$G$110, que después del desplazamiento de filas apuntaba a PROVEEDORES (547,6 MM) en vez de capital (1.210,3 MM).</t>
        </r>
      </text>
    </comment>
    <comment ref="I153" authorId="0" shapeId="0" xr:uid="{3E7223B5-072C-4438-98D8-CAC01D5C9786}">
      <text>
        <r>
          <rPr>
            <b/>
            <sz val="9"/>
            <color indexed="81"/>
            <rFont val="Tahoma"/>
            <family val="2"/>
          </rPr>
          <t>Normalizado: utilidad neta de abril desde el P&amp;G del modelo, igual que los otros meses.</t>
        </r>
      </text>
    </comment>
    <comment ref="I155" authorId="0" shapeId="0" xr:uid="{8BCFDD6F-A2FB-4027-BC3D-61A6A652B948}">
      <text>
        <r>
          <rPr>
            <b/>
            <sz val="9"/>
            <color indexed="81"/>
            <rFont val="Tahoma"/>
            <family val="2"/>
          </rPr>
          <t>Corregido: utilidades acumuladas de abril tomadas del balance. Antes: =Inputs!$G$111, que apuntaba a cuentas por pagar a terceros.</t>
        </r>
      </text>
    </comment>
    <comment ref="K160" authorId="0" shapeId="0" xr:uid="{806ECC96-0CC3-4B76-BFAB-7FEF2DBF2387}">
      <text>
        <r>
          <rPr>
            <b/>
            <sz val="9"/>
            <color indexed="81"/>
            <rFont val="Tahoma"/>
            <charset val="1"/>
          </rPr>
          <t>Author:</t>
        </r>
        <r>
          <rPr>
            <sz val="9"/>
            <color indexed="81"/>
            <rFont val="Tahoma"/>
            <charset val="1"/>
          </rPr>
          <t xml:space="preserve">
Corregido: decía May-26, duplicando el encabezado de la columna anterior.</t>
        </r>
      </text>
    </comment>
    <comment ref="F164" authorId="0" shapeId="0" xr:uid="{FEC8082B-4A3B-430A-97FE-E87D30404777}">
      <text>
        <r>
          <rPr>
            <b/>
            <sz val="9"/>
            <color indexed="81"/>
            <rFont val="Tahoma"/>
            <charset val="1"/>
          </rPr>
          <t>Author:</t>
        </r>
        <r>
          <rPr>
            <sz val="9"/>
            <color indexed="81"/>
            <rFont val="Tahoma"/>
            <charset val="1"/>
          </rPr>
          <t xml:space="preserve">
Normalizado: solo clientes. Antes: =-((F79+F81)-(E79+E81)), que metía también otros deudores y por eso duplicaba con la nueva fila 167.</t>
        </r>
      </text>
    </comment>
    <comment ref="F165" authorId="0" shapeId="0" xr:uid="{25AD27B4-EEA6-4D13-A72B-C8BDA0B3229B}">
      <text>
        <r>
          <rPr>
            <b/>
            <sz val="9"/>
            <color indexed="81"/>
            <rFont val="Tahoma"/>
            <charset val="1"/>
          </rPr>
          <t>Author:</t>
        </r>
        <r>
          <rPr>
            <sz val="9"/>
            <color indexed="81"/>
            <rFont val="Tahoma"/>
            <charset val="1"/>
          </rPr>
          <t xml:space="preserve">
Normalizado: solo proveedores, igual que los meses proyectados. Antes: =(F88+F91)-(E88+E91), que sumaba tarjetas (ya capturadas en la fila 177) y laborales (ahora en la fila 169).</t>
        </r>
      </text>
    </comment>
    <comment ref="D167" authorId="0" shapeId="0" xr:uid="{F83AEE2D-7428-4E7D-BC1D-6A1388678E32}">
      <text>
        <r>
          <rPr>
            <b/>
            <sz val="9"/>
            <color indexed="81"/>
            <rFont val="Tahoma"/>
            <charset val="1"/>
          </rPr>
          <t>Author:</t>
        </r>
        <r>
          <rPr>
            <sz val="9"/>
            <color indexed="81"/>
            <rFont val="Tahoma"/>
            <charset val="1"/>
          </rPr>
          <t xml:space="preserve">
Supuesto: porcentaje del saldo de otros deudores que se recupera cada mes proyectado. En 0 el saldo se mantiene plano y la proyección no cambia. Al 25% mensual libera ~882 MM el primer mes.</t>
        </r>
      </text>
    </comment>
    <comment ref="F167" authorId="0" shapeId="0" xr:uid="{BE0E138F-1822-4136-993C-914EFA58A8AC}">
      <text>
        <r>
          <rPr>
            <b/>
            <sz val="9"/>
            <color indexed="81"/>
            <rFont val="Tahoma"/>
            <charset val="1"/>
          </rPr>
          <t>Author:</t>
        </r>
        <r>
          <rPr>
            <sz val="9"/>
            <color indexed="81"/>
            <rFont val="Tahoma"/>
            <charset val="1"/>
          </rPr>
          <t xml:space="preserve">
Aumento de otros deudores = uso de caja; disminución = fuente. Antes esta cuenta no tenía línea en el flujo.</t>
        </r>
      </text>
    </comment>
    <comment ref="D168" authorId="0" shapeId="0" xr:uid="{D311845C-AFFD-4EF5-A1DC-BA5B77AFCD99}">
      <text>
        <r>
          <rPr>
            <b/>
            <sz val="9"/>
            <color indexed="81"/>
            <rFont val="Tahoma"/>
            <charset val="1"/>
          </rPr>
          <t>Author:</t>
        </r>
        <r>
          <rPr>
            <sz val="9"/>
            <color indexed="81"/>
            <rFont val="Tahoma"/>
            <charset val="1"/>
          </rPr>
          <t xml:space="preserve">
Supuesto: porcentaje de la fiducia que se liquida cada mes proyectado. En 0 el saldo se mantiene plano.</t>
        </r>
      </text>
    </comment>
    <comment ref="F168" authorId="0" shapeId="0" xr:uid="{F30193DA-2368-49CE-9C10-12DD4254F9CF}">
      <text>
        <r>
          <rPr>
            <b/>
            <sz val="9"/>
            <color indexed="81"/>
            <rFont val="Tahoma"/>
            <charset val="1"/>
          </rPr>
          <t>Author:</t>
        </r>
        <r>
          <rPr>
            <sz val="9"/>
            <color indexed="81"/>
            <rFont val="Tahoma"/>
            <charset val="1"/>
          </rPr>
          <t xml:space="preserve">
Venta de inversiones = fuente de caja; compra = uso.</t>
        </r>
      </text>
    </comment>
    <comment ref="D169" authorId="0" shapeId="0" xr:uid="{929BD910-7EE5-47CA-901C-2A1D1DD3054D}">
      <text>
        <r>
          <rPr>
            <b/>
            <sz val="9"/>
            <color indexed="81"/>
            <rFont val="Tahoma"/>
            <charset val="1"/>
          </rPr>
          <t>Author:</t>
        </r>
        <r>
          <rPr>
            <sz val="9"/>
            <color indexed="81"/>
            <rFont val="Tahoma"/>
            <charset val="1"/>
          </rPr>
          <t xml:space="preserve">
Supuesto: variación mensual de las obligaciones laborales en los meses proyectados. En 0 el saldo se mantiene plano. Útil para modelar el pago de primas de diciembre.</t>
        </r>
      </text>
    </comment>
    <comment ref="F169" authorId="0" shapeId="0" xr:uid="{BE694F4C-E554-4060-B66B-38588F5247E5}">
      <text>
        <r>
          <rPr>
            <b/>
            <sz val="9"/>
            <color indexed="81"/>
            <rFont val="Tahoma"/>
            <charset val="1"/>
          </rPr>
          <t>Author:</t>
        </r>
        <r>
          <rPr>
            <sz val="9"/>
            <color indexed="81"/>
            <rFont val="Tahoma"/>
            <charset val="1"/>
          </rPr>
          <t xml:space="preserve">
Aumento de obligaciones laborales = fuente de caja; pago = uso.</t>
        </r>
      </text>
    </comment>
    <comment ref="F174" authorId="0" shapeId="0" xr:uid="{402D5E1F-D993-4EB4-9F40-98AF182AD406}">
      <text>
        <r>
          <rPr>
            <b/>
            <sz val="9"/>
            <color indexed="81"/>
            <rFont val="Tahoma"/>
            <charset val="1"/>
          </rPr>
          <t>Author:</t>
        </r>
        <r>
          <rPr>
            <sz val="9"/>
            <color indexed="81"/>
            <rFont val="Tahoma"/>
            <charset val="1"/>
          </rPr>
          <t xml:space="preserve">
Normalizado: CapEx = variación de PP&amp;E e intangibles más la depreciación que se suma en el flujo operativo. Antes incluía también las inversiones (fila 80), que ahora tienen su propia línea 168.</t>
        </r>
      </text>
    </comment>
    <comment ref="I174" authorId="0" shapeId="0" xr:uid="{8B823E3B-7882-4367-98F5-B778F1EDFE10}">
      <text>
        <r>
          <rPr>
            <b/>
            <sz val="9"/>
            <color indexed="81"/>
            <rFont val="Tahoma"/>
            <charset val="1"/>
          </rPr>
          <t>Author:</t>
        </r>
        <r>
          <rPr>
            <sz val="9"/>
            <color indexed="81"/>
            <rFont val="Tahoma"/>
            <charset val="1"/>
          </rPr>
          <t xml:space="preserve">
Normalizado. Antes: =-I124, que tomaba del cronograma un CapEx de 3.213 MM en abril, imposible frente a un PP&amp;E real que solo se movió unos millones.</t>
        </r>
      </text>
    </comment>
    <comment ref="J174" authorId="0" shapeId="0" xr:uid="{EF81B894-8968-4E6D-8047-8278600682D8}">
      <text>
        <r>
          <rPr>
            <b/>
            <sz val="9"/>
            <color indexed="81"/>
            <rFont val="Tahoma"/>
            <charset val="1"/>
          </rPr>
          <t>Author:</t>
        </r>
        <r>
          <rPr>
            <sz val="9"/>
            <color indexed="81"/>
            <rFont val="Tahoma"/>
            <charset val="1"/>
          </rPr>
          <t xml:space="preserve">
Normalizado. Antes: =-J124, que daba un CapEx POSITIVO de 3.150 MM en mayo, compensando artificialmente el de abril.</t>
        </r>
      </text>
    </comment>
    <comment ref="L182" authorId="0" shapeId="0" xr:uid="{CF456429-8DAC-4E4C-B29C-0C36197415F7}">
      <text>
        <r>
          <rPr>
            <b/>
            <sz val="9"/>
            <color indexed="81"/>
            <rFont val="Tahoma"/>
            <charset val="1"/>
          </rPr>
          <t>Author:</t>
        </r>
        <r>
          <rPr>
            <sz val="9"/>
            <color indexed="81"/>
            <rFont val="Tahoma"/>
            <charset val="1"/>
          </rPr>
          <t xml:space="preserve">
Normalizado: julio usa el movimiento neto de deuda y relacionadas (fila 177), igual que los meses reales anteriores. Antes: =L171+L174+L132+(L94-K94)+..., que tomaba las adiciones del cronograma de tarjetas (0) en vez del movimiento real de 21,1 MM.</t>
        </r>
      </text>
    </comment>
    <comment ref="M182" authorId="0" shapeId="0" xr:uid="{399FE55D-9A89-4B41-9C33-63CF5ACF8DC3}">
      <text>
        <r>
          <rPr>
            <b/>
            <sz val="9"/>
            <color indexed="81"/>
            <rFont val="Tahoma"/>
            <charset val="1"/>
          </rPr>
          <t>Author:</t>
        </r>
        <r>
          <rPr>
            <sz val="9"/>
            <color indexed="81"/>
            <rFont val="Tahoma"/>
            <charset val="1"/>
          </rPr>
          <t xml:space="preserve">
Cambio en caja ANTES del barrido. Se le quitó el término (M94-L94): el desembolso y el repago del préstamo intercompañía entran a la caja en la fila 189, después del barrido. Así se rompe la circularidad pasivo → caja → barrido → pasivo.</t>
        </r>
      </text>
    </comment>
    <comment ref="M185" authorId="0" shapeId="0" xr:uid="{9E06CDFB-A128-401B-9EE0-DE43C4B8DBC5}">
      <text>
        <r>
          <rPr>
            <b/>
            <sz val="9"/>
            <color indexed="81"/>
            <rFont val="Tahoma"/>
            <charset val="1"/>
          </rPr>
          <t>Author:</t>
        </r>
        <r>
          <rPr>
            <sz val="9"/>
            <color indexed="81"/>
            <rFont val="Tahoma"/>
            <charset val="1"/>
          </rPr>
          <t xml:space="preserve">
Movimiento neto del barrido: desembolso menos repago. Positivo = entra plata desde EE.UU.; negativo = se abona a Coco Delaware.</t>
        </r>
      </text>
    </comment>
    <comment ref="E187" authorId="0" shapeId="0" xr:uid="{739FE912-1379-495F-8446-EC1B17142CE1}">
      <text>
        <r>
          <rPr>
            <b/>
            <sz val="9"/>
            <color indexed="81"/>
            <rFont val="Tahoma"/>
            <family val="2"/>
          </rPr>
          <t>Author:</t>
        </r>
        <r>
          <rPr>
            <sz val="9"/>
            <color indexed="81"/>
            <rFont val="Tahoma"/>
            <family val="2"/>
          </rPr>
          <t xml:space="preserve">
Saldo inicial subsidiaria USD × TRM LP. Source: INPUTS!B25, Base!E6</t>
        </r>
      </text>
    </comment>
    <comment ref="F189" authorId="0" shapeId="0" xr:uid="{7C5B4A95-3A98-43CE-8C4E-639C7EFC6BF3}">
      <text>
        <r>
          <rPr>
            <b/>
            <sz val="9"/>
            <color indexed="81"/>
            <rFont val="Tahoma"/>
            <family val="2"/>
          </rPr>
          <t>Histórico Ene-26: sin transferencias (refleja EEFF reales)</t>
        </r>
      </text>
    </comment>
    <comment ref="G189" authorId="0" shapeId="0" xr:uid="{F995269E-B1AF-46CE-BA50-0030D0D77422}">
      <text>
        <r>
          <rPr>
            <b/>
            <sz val="9"/>
            <color indexed="81"/>
            <rFont val="Tahoma"/>
            <family val="2"/>
          </rPr>
          <t>Histórico Feb-26: sin transferencias (refleja EEFF reales)</t>
        </r>
      </text>
    </comment>
    <comment ref="H189" authorId="0" shapeId="0" xr:uid="{38640C64-26D1-47B4-BC12-6B5E7917ADAA}">
      <text>
        <r>
          <rPr>
            <b/>
            <sz val="9"/>
            <color indexed="81"/>
            <rFont val="Tahoma"/>
            <family val="2"/>
          </rPr>
          <t>Histórico Mar-26: sin transferencias (refleja EEFF reales)</t>
        </r>
      </text>
    </comment>
    <comment ref="I189" authorId="0" shapeId="0" xr:uid="{07DDEBE1-AD2D-4775-8F17-30289211F90F}">
      <text>
        <r>
          <rPr>
            <b/>
            <sz val="9"/>
            <color indexed="81"/>
            <rFont val="Tahoma"/>
            <family val="2"/>
          </rPr>
          <t>Input manual: transferencia desde subsidiaria a matriz en COP. Para usar barrido contable, requiere agregar cuenta 'Inversión en Subsidiaria' al BS.</t>
        </r>
      </text>
    </comment>
    <comment ref="J189" authorId="0" shapeId="0" xr:uid="{0D61036C-F3C2-465D-AE5F-1EC5CEB98B16}">
      <text>
        <r>
          <rPr>
            <b/>
            <sz val="9"/>
            <color indexed="81"/>
            <rFont val="Tahoma"/>
            <family val="2"/>
          </rPr>
          <t>Author:</t>
        </r>
        <r>
          <rPr>
            <sz val="9"/>
            <color indexed="81"/>
            <rFont val="Tahoma"/>
            <family val="2"/>
          </rPr>
          <t xml:space="preserve">
Input manual: monto transferido desde subsidiaria USD a operación CO en este mes (en COP)</t>
        </r>
      </text>
    </comment>
    <comment ref="K189" authorId="0" shapeId="0" xr:uid="{6693A33B-22A9-48C9-9B9F-5C552ADF6268}">
      <text>
        <r>
          <rPr>
            <b/>
            <sz val="9"/>
            <color indexed="81"/>
            <rFont val="Tahoma"/>
            <family val="2"/>
          </rPr>
          <t>Mes real: caja fin = efectivo del balance (Inputs col I, EEFF Junio 2026).</t>
        </r>
      </text>
    </comment>
    <comment ref="L189" authorId="0" shapeId="0" xr:uid="{09862FBF-9530-40AA-8FF2-1613E3784B5E}">
      <text>
        <r>
          <rPr>
            <b/>
            <sz val="9"/>
            <color indexed="81"/>
            <rFont val="Tahoma"/>
            <family val="2"/>
          </rPr>
          <t>Mes real: caja fin = efectivo del balance (Inputs col J, EEFF Julio 2026). Fórmula proyectada anterior: =L180-L143+L142</t>
        </r>
      </text>
    </comment>
    <comment ref="M189" authorId="0" shapeId="0" xr:uid="{CD29F27D-214D-4BEF-8009-BA4F0893A9D5}">
      <text>
        <r>
          <rPr>
            <b/>
            <sz val="9"/>
            <color indexed="81"/>
            <rFont val="Tahoma"/>
            <family val="2"/>
          </rPr>
          <t>Author:</t>
        </r>
        <r>
          <rPr>
            <sz val="9"/>
            <color indexed="81"/>
            <rFont val="Tahoma"/>
            <family val="2"/>
          </rPr>
          <t xml:space="preserve">
Input manual: monto transferido desde subsidiaria USD a operación CO en este mes (en COP)</t>
        </r>
      </text>
    </comment>
    <comment ref="N189" authorId="0" shapeId="0" xr:uid="{AF8E4396-4CCD-45A1-B5CB-AACFF6D177FD}">
      <text>
        <r>
          <rPr>
            <b/>
            <sz val="9"/>
            <color indexed="81"/>
            <rFont val="Tahoma"/>
            <family val="2"/>
          </rPr>
          <t>Author:</t>
        </r>
        <r>
          <rPr>
            <sz val="9"/>
            <color indexed="81"/>
            <rFont val="Tahoma"/>
            <family val="2"/>
          </rPr>
          <t xml:space="preserve">
Input manual: monto transferido desde subsidiaria USD a operación CO en este mes (en COP)</t>
        </r>
      </text>
    </comment>
    <comment ref="O189" authorId="0" shapeId="0" xr:uid="{0744FFFA-CCF0-4FB5-A4F8-6E0E0E9682D5}">
      <text>
        <r>
          <rPr>
            <b/>
            <sz val="9"/>
            <color indexed="81"/>
            <rFont val="Tahoma"/>
            <family val="2"/>
          </rPr>
          <t>Author:</t>
        </r>
        <r>
          <rPr>
            <sz val="9"/>
            <color indexed="81"/>
            <rFont val="Tahoma"/>
            <family val="2"/>
          </rPr>
          <t xml:space="preserve">
Input manual: monto transferido desde subsidiaria USD a operación CO en este mes (en COP)</t>
        </r>
      </text>
    </comment>
    <comment ref="P189" authorId="0" shapeId="0" xr:uid="{7A5A3B3F-24F9-425E-8BA8-B1D373B52613}">
      <text>
        <r>
          <rPr>
            <b/>
            <sz val="9"/>
            <color indexed="81"/>
            <rFont val="Tahoma"/>
            <family val="2"/>
          </rPr>
          <t>Author:</t>
        </r>
        <r>
          <rPr>
            <sz val="9"/>
            <color indexed="81"/>
            <rFont val="Tahoma"/>
            <family val="2"/>
          </rPr>
          <t xml:space="preserve">
Input manual: monto transferido desde subsidiaria USD a operación CO en este mes (en COP)</t>
        </r>
      </text>
    </comment>
    <comment ref="Q189" authorId="0" shapeId="0" xr:uid="{B2563B97-DB11-4082-BE0E-45E6B443EC48}">
      <text>
        <r>
          <rPr>
            <b/>
            <sz val="9"/>
            <color indexed="81"/>
            <rFont val="Tahoma"/>
            <family val="2"/>
          </rPr>
          <t>Author:</t>
        </r>
        <r>
          <rPr>
            <sz val="9"/>
            <color indexed="81"/>
            <rFont val="Tahoma"/>
            <family val="2"/>
          </rPr>
          <t xml:space="preserve">
Input manual: monto transferido desde subsidiaria USD a operación CO en este mes (en COP)</t>
        </r>
      </text>
    </comment>
    <comment ref="M190" authorId="0" shapeId="0" xr:uid="{EEC2E491-EE6A-4F3B-9BAC-293C388F873C}">
      <text>
        <r>
          <rPr>
            <b/>
            <sz val="9"/>
            <color indexed="81"/>
            <rFont val="Tahoma"/>
            <charset val="1"/>
          </rPr>
          <t>Author:</t>
        </r>
        <r>
          <rPr>
            <sz val="9"/>
            <color indexed="81"/>
            <rFont val="Tahoma"/>
            <charset val="1"/>
          </rPr>
          <t xml:space="preserve">
Compara la caja de cierre contra la caja mínima operativa definida en E32 (200 MM).</t>
        </r>
      </text>
    </comment>
    <comment ref="M191" authorId="0" shapeId="0" xr:uid="{4D7B8549-77DB-4050-848A-D7629A70D8D6}">
      <text>
        <r>
          <rPr>
            <b/>
            <sz val="9"/>
            <color indexed="81"/>
            <rFont val="Tahoma"/>
            <charset val="1"/>
          </rPr>
          <t>Author:</t>
        </r>
        <r>
          <rPr>
            <sz val="9"/>
            <color indexed="81"/>
            <rFont val="Tahoma"/>
            <charset val="1"/>
          </rPr>
          <t xml:space="preserve">
Compara el faltante de caja del mes contra el desembolso que la línea alcanzó a cubrir. Capacidad total: T29.</t>
        </r>
      </text>
    </comment>
    <comment ref="B233" authorId="0" shapeId="0" xr:uid="{7D274A17-7E47-439A-B45D-AE9A0CC1AFFC}">
      <text>
        <r>
          <rPr>
            <b/>
            <sz val="9"/>
            <color indexed="81"/>
            <rFont val="Tahoma"/>
            <family val="2"/>
          </rPr>
          <t>Author:</t>
        </r>
        <r>
          <rPr>
            <sz val="9"/>
            <color indexed="81"/>
            <rFont val="Tahoma"/>
            <family val="2"/>
          </rPr>
          <t xml:space="preserve">
DSO = (AR promedio / Ingresos del mes) × 30. AR promedio = (AR_t + AR_t-1)/2. Mide cuántos días tarda en cobrarse una venta.</t>
        </r>
      </text>
    </comment>
    <comment ref="S233" authorId="0" shapeId="0" xr:uid="{B4515FA3-4DF1-4C6D-8F19-53B96FD4234F}">
      <text>
        <r>
          <rPr>
            <b/>
            <sz val="9"/>
            <color indexed="81"/>
            <rFont val="Tahoma"/>
            <family val="2"/>
          </rPr>
          <t>Author:</t>
        </r>
        <r>
          <rPr>
            <sz val="9"/>
            <color indexed="81"/>
            <rFont val="Tahoma"/>
            <family val="2"/>
          </rPr>
          <t xml:space="preserve">
DSO anual = AR promedio 12 meses / Ingresos anuales × 365</t>
        </r>
      </text>
    </comment>
    <comment ref="B234" authorId="0" shapeId="0" xr:uid="{366AB910-0340-47F3-8483-8C09918F59B6}">
      <text>
        <r>
          <rPr>
            <b/>
            <sz val="9"/>
            <color indexed="81"/>
            <rFont val="Tahoma"/>
            <family val="2"/>
          </rPr>
          <t>Author:</t>
        </r>
        <r>
          <rPr>
            <sz val="9"/>
            <color indexed="81"/>
            <rFont val="Tahoma"/>
            <family val="2"/>
          </rPr>
          <t xml:space="preserve">
DPO = (AP promedio / COGS del mes) × 30. AP promedio = (AP_t + AP_t-1)/2. Mide cuántos días tarda en pagarse a proveedores.</t>
        </r>
      </text>
    </comment>
    <comment ref="S234" authorId="0" shapeId="0" xr:uid="{4A0C14E5-35D1-47D7-8653-501BA065BAEE}">
      <text>
        <r>
          <rPr>
            <b/>
            <sz val="9"/>
            <color indexed="81"/>
            <rFont val="Tahoma"/>
            <family val="2"/>
          </rPr>
          <t>Author:</t>
        </r>
        <r>
          <rPr>
            <sz val="9"/>
            <color indexed="81"/>
            <rFont val="Tahoma"/>
            <family val="2"/>
          </rPr>
          <t xml:space="preserve">
DPO anual = AP promedio 12 meses / COGS anual × 365</t>
        </r>
      </text>
    </comment>
    <comment ref="B235" authorId="0" shapeId="0" xr:uid="{A4EB455F-39BD-4D3F-A9B1-E1EC6C7EA15A}">
      <text>
        <r>
          <rPr>
            <b/>
            <sz val="9"/>
            <color indexed="81"/>
            <rFont val="Tahoma"/>
            <family val="2"/>
          </rPr>
          <t>Author:</t>
        </r>
        <r>
          <rPr>
            <sz val="9"/>
            <color indexed="81"/>
            <rFont val="Tahoma"/>
            <family val="2"/>
          </rPr>
          <t xml:space="preserve">
CCC = DSO − DPO. No incluye DIO (inventario) porque el BS no tiene línea de inventario. Si CCC&gt;0, la compañía financia capital de trabajo. Si CCC&lt;0, los proveedores financian las ventas.</t>
        </r>
      </text>
    </comment>
    <comment ref="S235" authorId="0" shapeId="0" xr:uid="{53135579-03CA-4E69-905A-B4CE355F35D7}">
      <text>
        <r>
          <rPr>
            <b/>
            <sz val="9"/>
            <color indexed="81"/>
            <rFont val="Tahoma"/>
            <family val="2"/>
          </rPr>
          <t>Author:</t>
        </r>
        <r>
          <rPr>
            <sz val="9"/>
            <color indexed="81"/>
            <rFont val="Tahoma"/>
            <family val="2"/>
          </rPr>
          <t xml:space="preserve">
CCC anual = DSO − DPO. Sin inventario (no hay línea de inventario en el BS).</t>
        </r>
      </text>
    </comment>
    <comment ref="A286" authorId="0" shapeId="0" xr:uid="{CE41F9E3-354E-433E-A175-678D2D01B789}">
      <text>
        <r>
          <rPr>
            <b/>
            <sz val="9"/>
            <color indexed="81"/>
            <rFont val="Tahoma"/>
            <family val="2"/>
          </rPr>
          <t>Author:</t>
        </r>
        <r>
          <rPr>
            <sz val="9"/>
            <color indexed="81"/>
            <rFont val="Tahoma"/>
            <family val="2"/>
          </rPr>
          <t xml:space="preserve">
Columna fuente (español, vivo desde el P&amp;G filas 51-71). Oculta a pedido del usuario 14-jul-2026. Col U = inglés. B = título visible conmutado.</t>
        </r>
      </text>
    </comment>
    <comment ref="F286" authorId="0" shapeId="0" xr:uid="{AFC55D4E-A3CF-422F-B3FF-DFFC265F95F6}">
      <text>
        <r>
          <rPr>
            <b/>
            <sz val="9"/>
            <color indexed="81"/>
            <rFont val="Tahoma"/>
            <family val="2"/>
          </rPr>
          <t>Author:</t>
        </r>
        <r>
          <rPr>
            <sz val="9"/>
            <color indexed="81"/>
            <rFont val="Tahoma"/>
            <family val="2"/>
          </rPr>
          <t xml:space="preserve">
Conversión conmutable (14-jul-2026): USD divide por TRM mensual (fila 6), COP muestra el P&amp;G español tal cual. Filas de margen % no convierten.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BAB7D4F2-B144-45AD-9071-AF79AC55F308}">
      <text>
        <r>
          <rPr>
            <b/>
            <sz val="9"/>
            <color indexed="81"/>
            <rFont val="Tahoma"/>
            <family val="2"/>
          </rPr>
          <t>Author:</t>
        </r>
        <r>
          <rPr>
            <sz val="9"/>
            <color indexed="81"/>
            <rFont val="Tahoma"/>
            <family val="2"/>
          </rPr>
          <t xml:space="preserve">
TRM vinculada a Inputs!C6 (variable maestra).</t>
        </r>
      </text>
    </comment>
    <comment ref="C95" authorId="0" shapeId="0" xr:uid="{EDB09ED9-14C3-4D9B-AD36-BF71BA35F593}">
      <text>
        <r>
          <rPr>
            <b/>
            <sz val="9"/>
            <color indexed="81"/>
            <rFont val="Tahoma"/>
            <family val="2"/>
          </rPr>
          <t>Author:</t>
        </r>
        <r>
          <rPr>
            <sz val="9"/>
            <color indexed="81"/>
            <rFont val="Tahoma"/>
            <family val="2"/>
          </rPr>
          <t xml:space="preserve">
TRM vinculada a Inputs!C6 (variable maestra).</t>
        </r>
      </text>
    </comment>
    <comment ref="C148" authorId="0" shapeId="0" xr:uid="{15978DB4-A8CA-4558-A7F4-B358A0DA53DB}">
      <text>
        <r>
          <rPr>
            <b/>
            <sz val="9"/>
            <color indexed="81"/>
            <rFont val="Tahoma"/>
            <family val="2"/>
          </rPr>
          <t>Author:</t>
        </r>
        <r>
          <rPr>
            <sz val="9"/>
            <color indexed="81"/>
            <rFont val="Tahoma"/>
            <family val="2"/>
          </rPr>
          <t xml:space="preserve">
TRM vinculada a Inputs!C6 (variable maestra).</t>
        </r>
      </text>
    </comment>
    <comment ref="G180" authorId="0" shapeId="0" xr:uid="{EED239EE-C591-4EE1-A1DE-4929FD7E7B1C}">
      <text>
        <r>
          <rPr>
            <b/>
            <sz val="9"/>
            <color indexed="81"/>
            <rFont val="Tahoma"/>
            <family val="2"/>
          </rPr>
          <t>Author:</t>
        </r>
        <r>
          <rPr>
            <sz val="9"/>
            <color indexed="81"/>
            <rFont val="Tahoma"/>
            <family val="2"/>
          </rPr>
          <t xml:space="preserve">
Ingreso real Abril desde variable C153.</t>
        </r>
      </text>
    </comment>
    <comment ref="G181" authorId="0" shapeId="0" xr:uid="{5ABFA7CF-2EC4-480B-BAB6-BE1C77490B68}">
      <text>
        <r>
          <rPr>
            <b/>
            <sz val="9"/>
            <color indexed="81"/>
            <rFont val="Tahoma"/>
            <family val="2"/>
          </rPr>
          <t>Author:</t>
        </r>
        <r>
          <rPr>
            <sz val="9"/>
            <color indexed="81"/>
            <rFont val="Tahoma"/>
            <family val="2"/>
          </rPr>
          <t xml:space="preserve">
MRR base arranca en Mayo, no en Abril (corrección).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10" authorId="0" shapeId="0" xr:uid="{FAFFA891-D6CA-4D39-927F-3F89B2094BA0}">
      <text>
        <r>
          <rPr>
            <b/>
            <sz val="9"/>
            <color indexed="81"/>
            <rFont val="Tahoma"/>
            <charset val="1"/>
          </rPr>
          <t>Author:</t>
        </r>
        <r>
          <rPr>
            <sz val="9"/>
            <color indexed="81"/>
            <rFont val="Tahoma"/>
            <charset val="1"/>
          </rPr>
          <t xml:space="preserve">
Reapuntado al presupuesto original en USD (filas 90-99) x TRM 4.000, para poder eliminar el bloque COP duplicado de la sección 8.</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 authorId="0" shapeId="0" xr:uid="{56B50590-ED21-4192-BA1B-EE2A736B8CAD}">
      <text>
        <r>
          <rPr>
            <b/>
            <sz val="9"/>
            <color indexed="81"/>
            <rFont val="Tahoma"/>
            <charset val="1"/>
          </rPr>
          <t>Author:</t>
        </r>
        <r>
          <rPr>
            <sz val="9"/>
            <color indexed="81"/>
            <rFont val="Tahoma"/>
            <charset val="1"/>
          </rPr>
          <t xml:space="preserve">
Esta columna NO es el mes de abril: contiene el acumulado de enero a abril. Verificado: Colombia 2.894.374.687 COP = suma de los ingresos netos de ene+feb+mar+abr; USA 17.616,15 USD = suma de los cuatro meses. Mayo, junio y julio sí son meses individuales.</t>
        </r>
      </text>
    </comment>
    <comment ref="D4" authorId="0" shapeId="0" xr:uid="{990C7404-ABAA-4838-820C-8B0199FC621E}">
      <text>
        <r>
          <rPr>
            <sz val="10"/>
            <rFont val="Arial"/>
            <family val="2"/>
          </rPr>
          <t>USD/PEN = 1 / 3.443. BCRP: tipo de cambio promedio del período, abril 2026 (S/ por US$).
Fuente: https://estadisticas.bcrp.gob.pe/estadisticas/series/mensuales/resultados/PN01234PM/html</t>
        </r>
      </text>
    </comment>
    <comment ref="E4" authorId="0" shapeId="0" xr:uid="{DFAA75B1-6CDE-4B64-81CB-11DF7EA2AABF}">
      <text>
        <r>
          <rPr>
            <sz val="10"/>
            <rFont val="Arial"/>
            <family val="2"/>
          </rPr>
          <t>Costa Rica reportada directamente en USD. Factor de conversión USD/USD = 1.
Fuente: Dato confirmado por el usuario</t>
        </r>
      </text>
    </comment>
    <comment ref="F4" authorId="0" shapeId="0" xr:uid="{A0BCAC86-B8CB-4AF7-8F40-4897655D4BC6}">
      <text>
        <r>
          <rPr>
            <sz val="10"/>
            <rFont val="Arial"/>
            <family val="2"/>
          </rPr>
          <t>TRM promedio abril 2026: 3,617.5187 COP/USD.
Fuente: Superintendencia Financiera / serie diaria TRM</t>
        </r>
      </text>
    </comment>
    <comment ref="I4" authorId="0" shapeId="0" xr:uid="{C2836468-A877-4992-9B2B-69E29EB7BFAB}">
      <text>
        <r>
          <rPr>
            <sz val="10"/>
            <rFont val="Arial"/>
            <family val="2"/>
          </rPr>
          <t>USD/PEN = 1 / 3.435. BCRP: tipo de cambio promedio del período, mayo 2026 (S/ por US$).
Fuente: https://estadisticas.bcrp.gob.pe/estadisticas/series/mensuales/resultados/PN01234PM/html</t>
        </r>
      </text>
    </comment>
    <comment ref="J4" authorId="0" shapeId="0" xr:uid="{BB157A85-E243-4DA3-B290-1D63771350A7}">
      <text>
        <r>
          <rPr>
            <sz val="10"/>
            <rFont val="Arial"/>
            <family val="2"/>
          </rPr>
          <t>Costa Rica reportada directamente en USD. Factor de conversión USD/USD = 1.
Fuente: Dato confirmado por el usuario</t>
        </r>
      </text>
    </comment>
    <comment ref="K4" authorId="0" shapeId="0" xr:uid="{8A462A99-6D55-42CE-A916-C8D03B54E1F1}">
      <text>
        <r>
          <rPr>
            <sz val="10"/>
            <rFont val="Arial"/>
            <family val="2"/>
          </rPr>
          <t>TRM promedio mayo 2026: 3,714.0210 COP/USD.
Fuente: Superintendencia Financiera / serie diaria TRM</t>
        </r>
      </text>
    </comment>
    <comment ref="N4" authorId="0" shapeId="0" xr:uid="{1329BD6D-B05D-49BE-A2B6-448A7A88FFF0}">
      <text>
        <r>
          <rPr>
            <sz val="10"/>
            <rFont val="Arial"/>
            <family val="2"/>
          </rPr>
          <t>USD/PEN = 1 / 3.405. BCRP: tipo de cambio promedio del período, junio 2026 (S/ por US$).
Fuente: https://estadisticas.bcrp.gob.pe/estadisticas/series/mensuales/resultados/PN01234PM/html</t>
        </r>
      </text>
    </comment>
    <comment ref="O4" authorId="0" shapeId="0" xr:uid="{60C8C259-6B9C-46D7-8CFD-1BE595835968}">
      <text>
        <r>
          <rPr>
            <sz val="10"/>
            <rFont val="Arial"/>
            <family val="2"/>
          </rPr>
          <t>Costa Rica reportada directamente en USD. Factor de conversión USD/USD = 1.
Fuente: Dato confirmado por el usuario</t>
        </r>
      </text>
    </comment>
    <comment ref="P4" authorId="0" shapeId="0" xr:uid="{9F07E037-94BF-4CBB-9FC3-9DC12E5CE69D}">
      <text>
        <r>
          <rPr>
            <sz val="10"/>
            <rFont val="Arial"/>
            <family val="2"/>
          </rPr>
          <t>TRM promedio junio 2026 calculada con los 30 valores diarios: 3,505.2683 COP/USD.
Fuente: https://www.dolar-colombia.com/mes/2026-06</t>
        </r>
      </text>
    </comment>
    <comment ref="S4" authorId="0" shapeId="0" xr:uid="{C5FD50E4-306A-4957-9810-8E918880A104}">
      <text>
        <r>
          <rPr>
            <b/>
            <sz val="9"/>
            <color indexed="81"/>
            <rFont val="Tahoma"/>
            <charset val="1"/>
          </rPr>
          <t>USD/PEN = 1 / 3,400. Tipo de cambio promedio de julio 2026 (S/ por US$). Fuente: dato confirmado por el usuario.</t>
        </r>
      </text>
    </comment>
    <comment ref="U4" authorId="0" shapeId="0" xr:uid="{05E70168-E523-43F2-B28E-174754165B1B}">
      <text>
        <r>
          <rPr>
            <b/>
            <sz val="9"/>
            <color indexed="81"/>
            <rFont val="Tahoma"/>
            <charset val="1"/>
          </rPr>
          <t>TRM promedio julio 2026: 3.268,95 COP/USD. Fuente: dato confirmado por el usuario.</t>
        </r>
      </text>
    </comment>
    <comment ref="R6" authorId="0" shapeId="0" xr:uid="{802643BC-70D6-4844-9975-1FC78DD49F30}">
      <text>
        <r>
          <rPr>
            <b/>
            <sz val="9"/>
            <color indexed="81"/>
            <rFont val="Tahoma"/>
            <charset val="1"/>
          </rPr>
          <t>Author:</t>
        </r>
        <r>
          <rPr>
            <sz val="9"/>
            <color indexed="81"/>
            <rFont val="Tahoma"/>
            <charset val="1"/>
          </rPr>
          <t xml:space="preserve">
Fuente: Julio 2026 USA.xlsx — cuenta 4170 Servicio de software, movimiento del mes (saldo final − saldo inicial).</t>
        </r>
      </text>
    </comment>
    <comment ref="S6" authorId="0" shapeId="0" xr:uid="{CE2D276A-03D4-421F-854C-677F94A0F721}">
      <text>
        <r>
          <rPr>
            <b/>
            <sz val="9"/>
            <color indexed="81"/>
            <rFont val="Tahoma"/>
            <charset val="1"/>
          </rPr>
          <t>Author:</t>
        </r>
        <r>
          <rPr>
            <sz val="9"/>
            <color indexed="81"/>
            <rFont val="Tahoma"/>
            <charset val="1"/>
          </rPr>
          <t xml:space="preserve">
Fuente: Julio 2026 PERU.xlsx — cuenta 4170 Servicio de software, movimiento del mes en soles.</t>
        </r>
      </text>
    </comment>
    <comment ref="T6" authorId="0" shapeId="0" xr:uid="{C8C57AEE-B0E7-432D-A635-DAC881DB0E66}">
      <text>
        <r>
          <rPr>
            <b/>
            <sz val="9"/>
            <color indexed="81"/>
            <rFont val="Tahoma"/>
            <charset val="1"/>
          </rPr>
          <t>Fuente: Julio 2026 CR.xlsx — cuenta 4170 Servicio de software, movimiento del mes. Primer mes con ingresos en Costa Rica; quedaron facturados y por cobrar (cuenta 1305 Clientes pasó de 0 a 134.104), no cobrados en caja.</t>
        </r>
      </text>
    </comment>
    <comment ref="U6" authorId="0" shapeId="0" xr:uid="{82D0BA1C-D73B-4D74-8C0A-B455A044939D}">
      <text>
        <r>
          <rPr>
            <b/>
            <sz val="9"/>
            <color indexed="81"/>
            <rFont val="Tahoma"/>
            <charset val="1"/>
          </rPr>
          <t>Author:</t>
        </r>
        <r>
          <rPr>
            <sz val="9"/>
            <color indexed="81"/>
            <rFont val="Tahoma"/>
            <charset val="1"/>
          </rPr>
          <t xml:space="preserve">
Ingresos netos de julio (servicio menos devoluciones) según EF Julio COCO 2026, tomados de Inputs.</t>
        </r>
      </text>
    </comment>
    <comment ref="R7" authorId="0" shapeId="0" xr:uid="{3F3467A7-35DD-4B07-B359-A0EE0CDAC8D1}">
      <text>
        <r>
          <rPr>
            <b/>
            <sz val="9"/>
            <color indexed="81"/>
            <rFont val="Tahoma"/>
            <charset val="1"/>
          </rPr>
          <t>Author:</t>
        </r>
        <r>
          <rPr>
            <sz val="9"/>
            <color indexed="81"/>
            <rFont val="Tahoma"/>
            <charset val="1"/>
          </rPr>
          <t xml:space="preserve">
Fuente: Julio 2026 USA.xlsx — cuenta 42/4210 No operacionales financieros, movimiento del mes.</t>
        </r>
      </text>
    </comment>
    <comment ref="U7" authorId="0" shapeId="0" xr:uid="{CBBA7AC0-2A8B-44AC-AB9D-6192C62481CE}">
      <text>
        <r>
          <rPr>
            <b/>
            <sz val="9"/>
            <color indexed="81"/>
            <rFont val="Tahoma"/>
            <charset val="1"/>
          </rPr>
          <t>Author:</t>
        </r>
        <r>
          <rPr>
            <sz val="9"/>
            <color indexed="81"/>
            <rFont val="Tahoma"/>
            <charset val="1"/>
          </rPr>
          <t xml:space="preserve">
Ingresos no operacionales de julio según EF Julio COCO 2026.</t>
        </r>
      </text>
    </comment>
    <comment ref="R9" authorId="0" shapeId="0" xr:uid="{E5695567-2BA6-45F0-B21B-94F3FE52BA3A}">
      <text>
        <r>
          <rPr>
            <b/>
            <sz val="9"/>
            <color indexed="81"/>
            <rFont val="Tahoma"/>
            <charset val="1"/>
          </rPr>
          <t>Author:</t>
        </r>
        <r>
          <rPr>
            <sz val="9"/>
            <color indexed="81"/>
            <rFont val="Tahoma"/>
            <charset val="1"/>
          </rPr>
          <t xml:space="preserve">
Sin costo del servicio registrado en USA en julio.</t>
        </r>
      </text>
    </comment>
    <comment ref="R11" authorId="0" shapeId="0" xr:uid="{4AE6DCB9-FEE6-4E7E-998D-3712B413724A}">
      <text>
        <r>
          <rPr>
            <b/>
            <sz val="9"/>
            <color indexed="81"/>
            <rFont val="Tahoma"/>
            <charset val="1"/>
          </rPr>
          <t>Author:</t>
        </r>
        <r>
          <rPr>
            <sz val="9"/>
            <color indexed="81"/>
            <rFont val="Tahoma"/>
            <charset val="1"/>
          </rPr>
          <t xml:space="preserve">
Fuente: Julio 2026 USA.xlsx — cuenta 51 Operacionales de administración (personal 3.229,50; honorarios 100; arrendamientos 85,06; servicios 409,53; diversos 177,66).</t>
        </r>
      </text>
    </comment>
    <comment ref="S11" authorId="0" shapeId="0" xr:uid="{D4EC0C19-0FC3-4EA8-8003-F3F3BF0CDF75}">
      <text>
        <r>
          <rPr>
            <b/>
            <sz val="9"/>
            <color indexed="81"/>
            <rFont val="Tahoma"/>
            <charset val="1"/>
          </rPr>
          <t>Author:</t>
        </r>
        <r>
          <rPr>
            <sz val="9"/>
            <color indexed="81"/>
            <rFont val="Tahoma"/>
            <charset val="1"/>
          </rPr>
          <t xml:space="preserve">
Fuente: Julio 2026 PERU.xlsx — cuenta 5110 Honorarios, en soles.</t>
        </r>
      </text>
    </comment>
    <comment ref="T11" authorId="0" shapeId="0" xr:uid="{4C755928-7285-4CDC-A253-EB6BF7DCCFDB}">
      <text>
        <r>
          <rPr>
            <b/>
            <sz val="9"/>
            <color indexed="81"/>
            <rFont val="Tahoma"/>
            <charset val="1"/>
          </rPr>
          <t>Fuente: Julio 2026 CR.xlsx — cuenta 51 Administración: personal 2.930,00 + impuestos 116,94.</t>
        </r>
      </text>
    </comment>
    <comment ref="V11" authorId="0" shapeId="0" xr:uid="{6C6AC84B-D514-4ABB-B04E-0ACDF5228F00}">
      <text>
        <r>
          <rPr>
            <b/>
            <sz val="9"/>
            <color indexed="81"/>
            <rFont val="Tahoma"/>
            <charset val="1"/>
          </rPr>
          <t>Author:</t>
        </r>
        <r>
          <rPr>
            <sz val="9"/>
            <color indexed="81"/>
            <rFont val="Tahoma"/>
            <charset val="1"/>
          </rPr>
          <t xml:space="preserve">
Julio: toma la línea de administración de Perú (S11). En los meses anteriores esta fórmula tomaba los gastos PROINNOVATE de Perú en vez de su administración, porque allí los gastos se clasificaron en esa línea.</t>
        </r>
      </text>
    </comment>
    <comment ref="R12" authorId="0" shapeId="0" xr:uid="{9DE7EAE1-4CE1-471A-BAAE-E584E55534D8}">
      <text>
        <r>
          <rPr>
            <b/>
            <sz val="9"/>
            <color indexed="81"/>
            <rFont val="Tahoma"/>
            <charset val="1"/>
          </rPr>
          <t>Author:</t>
        </r>
        <r>
          <rPr>
            <sz val="9"/>
            <color indexed="81"/>
            <rFont val="Tahoma"/>
            <charset val="1"/>
          </rPr>
          <t xml:space="preserve">
Fuente: Julio 2026 USA.xlsx — cuenta 52/5210 Honorarios de ventas.</t>
        </r>
      </text>
    </comment>
    <comment ref="S12" authorId="0" shapeId="0" xr:uid="{89ACA304-E867-4A34-9D15-86AEDD457E0B}">
      <text>
        <r>
          <rPr>
            <b/>
            <sz val="9"/>
            <color indexed="81"/>
            <rFont val="Tahoma"/>
            <charset val="1"/>
          </rPr>
          <t>Author:</t>
        </r>
        <r>
          <rPr>
            <sz val="9"/>
            <color indexed="81"/>
            <rFont val="Tahoma"/>
            <charset val="1"/>
          </rPr>
          <t xml:space="preserve">
Fuente: Julio 2026 PERU.xlsx — cuentas 5255 Gastos de viaje (6.676,42) y 5295 Diversos (4.541,89), en soles.</t>
        </r>
      </text>
    </comment>
    <comment ref="R15" authorId="0" shapeId="0" xr:uid="{EE7922AE-220E-4F57-8ECA-FA6E1E1E6285}">
      <text>
        <r>
          <rPr>
            <b/>
            <sz val="9"/>
            <color indexed="81"/>
            <rFont val="Tahoma"/>
            <charset val="1"/>
          </rPr>
          <t>Author:</t>
        </r>
        <r>
          <rPr>
            <sz val="9"/>
            <color indexed="81"/>
            <rFont val="Tahoma"/>
            <charset val="1"/>
          </rPr>
          <t xml:space="preserve">
Fuente: Julio 2026 USA.xlsx — cuenta 53/5305 Financieros.</t>
        </r>
      </text>
    </comment>
    <comment ref="S15" authorId="0" shapeId="0" xr:uid="{1BC276EB-C9F8-4F36-AD39-19D2168BD799}">
      <text>
        <r>
          <rPr>
            <b/>
            <sz val="9"/>
            <color indexed="81"/>
            <rFont val="Tahoma"/>
            <charset val="1"/>
          </rPr>
          <t>Author:</t>
        </r>
        <r>
          <rPr>
            <sz val="9"/>
            <color indexed="81"/>
            <rFont val="Tahoma"/>
            <charset val="1"/>
          </rPr>
          <t xml:space="preserve">
Fuente: Julio 2026 PERU.xlsx — cuenta 5305 Financieros, en soles.</t>
        </r>
      </text>
    </comment>
    <comment ref="T15" authorId="0" shapeId="0" xr:uid="{45A2E9C5-7D35-43FD-A41F-7B9853138226}">
      <text>
        <r>
          <rPr>
            <b/>
            <sz val="9"/>
            <color indexed="81"/>
            <rFont val="Tahoma"/>
            <charset val="1"/>
          </rPr>
          <t>Author:</t>
        </r>
        <r>
          <rPr>
            <sz val="9"/>
            <color indexed="81"/>
            <rFont val="Tahoma"/>
            <charset val="1"/>
          </rPr>
          <t xml:space="preserve">
Fuente: Julio 2026 CR.xlsx — cuenta 5305 Financieros.</t>
        </r>
      </text>
    </comment>
    <comment ref="N20" authorId="0" shapeId="0" xr:uid="{04295BF0-91C7-40CF-AD0B-B6D0EC423C69}">
      <text>
        <r>
          <rPr>
            <sz val="10"/>
            <rFont val="Arial"/>
            <family val="2"/>
          </rPr>
          <t xml:space="preserve">Devolucion </t>
        </r>
      </text>
    </comment>
    <comment ref="S20" authorId="0" shapeId="0" xr:uid="{44BD7BA0-AB0C-410C-8F6B-744A9056DC82}">
      <text>
        <r>
          <rPr>
            <b/>
            <sz val="9"/>
            <color indexed="81"/>
            <rFont val="Tahoma"/>
            <charset val="1"/>
          </rPr>
          <t>Author:</t>
        </r>
        <r>
          <rPr>
            <sz val="9"/>
            <color indexed="81"/>
            <rFont val="Tahoma"/>
            <charset val="1"/>
          </rPr>
          <t xml:space="preserve">
En julio no hubo desembolso PROINNOVATE: la cuenta 4295 Diversos no registró movimiento.</t>
        </r>
      </text>
    </comment>
    <comment ref="S22" authorId="0" shapeId="0" xr:uid="{6C4B6EF2-C032-4C7E-B9C5-C961C7C972A9}">
      <text>
        <r>
          <rPr>
            <b/>
            <sz val="9"/>
            <color indexed="81"/>
            <rFont val="Tahoma"/>
            <charset val="1"/>
          </rPr>
          <t>Author:</t>
        </r>
        <r>
          <rPr>
            <sz val="9"/>
            <color indexed="81"/>
            <rFont val="Tahoma"/>
            <charset val="1"/>
          </rPr>
          <t xml:space="preserve">
En julio los gastos de Perú se clasificaron en sus líneas naturales (administración y ventas), no como gastos asociados a PROINNOVATE.</t>
        </r>
      </text>
    </comment>
    <comment ref="R25" authorId="0" shapeId="0" xr:uid="{3A96DA66-BA88-46E7-892C-089317C3AF59}">
      <text>
        <r>
          <rPr>
            <b/>
            <sz val="9"/>
            <color indexed="81"/>
            <rFont val="Tahoma"/>
            <charset val="1"/>
          </rPr>
          <t>Author:</t>
        </r>
        <r>
          <rPr>
            <sz val="9"/>
            <color indexed="81"/>
            <rFont val="Tahoma"/>
            <charset val="1"/>
          </rPr>
          <t xml:space="preserve">
Fuente: Julio 2026 USA.xlsx — cuenta 11 Disponible: saldo inicial 314.459,38 → saldo final 302.331,63.</t>
        </r>
      </text>
    </comment>
    <comment ref="S25" authorId="0" shapeId="0" xr:uid="{F574D674-3982-479D-BB99-A9479FD964A6}">
      <text>
        <r>
          <rPr>
            <b/>
            <sz val="9"/>
            <color indexed="81"/>
            <rFont val="Tahoma"/>
            <charset val="1"/>
          </rPr>
          <t>Author:</t>
        </r>
        <r>
          <rPr>
            <sz val="9"/>
            <color indexed="81"/>
            <rFont val="Tahoma"/>
            <charset val="1"/>
          </rPr>
          <t xml:space="preserve">
Fuente: Julio 2026 PERU.xlsx — bancos (46.157,26 → 40.173,53) más ahorros (4.611,10 → 10.428,01): variación neta de -166,82 soles.</t>
        </r>
      </text>
    </comment>
    <comment ref="T25" authorId="0" shapeId="0" xr:uid="{871C207F-199A-4A78-A0B8-06239D24074F}">
      <text>
        <r>
          <rPr>
            <b/>
            <sz val="9"/>
            <color indexed="81"/>
            <rFont val="Tahoma"/>
            <charset val="1"/>
          </rPr>
          <t>Author:</t>
        </r>
        <r>
          <rPr>
            <sz val="9"/>
            <color indexed="81"/>
            <rFont val="Tahoma"/>
            <charset val="1"/>
          </rPr>
          <t xml:space="preserve">
Fuente: Julio 2026 CR.xlsx — cuenta 11 Disponible: saldo inicial 621,14 → saldo final 444,20.</t>
        </r>
      </text>
    </comment>
    <comment ref="V25" authorId="0" shapeId="0" xr:uid="{FB0AF021-73A4-4D54-A1BE-ACDDF1CF4F24}">
      <text>
        <r>
          <rPr>
            <b/>
            <sz val="9"/>
            <color indexed="81"/>
            <rFont val="Tahoma"/>
            <charset val="1"/>
          </rPr>
          <t>Author:</t>
        </r>
        <r>
          <rPr>
            <sz val="9"/>
            <color indexed="81"/>
            <rFont val="Tahoma"/>
            <charset val="1"/>
          </rPr>
          <t xml:space="preserve">
Movimiento neto de caja bancaria de USA, Perú y Costa Rica en julio. Excluye Colombia para no doble contar.</t>
        </r>
      </text>
    </comment>
    <comment ref="R26" authorId="0" shapeId="0" xr:uid="{AD77FC28-AA05-4EE1-8C14-AB777C91F524}">
      <text>
        <r>
          <rPr>
            <b/>
            <sz val="9"/>
            <color indexed="81"/>
            <rFont val="Tahoma"/>
            <charset val="1"/>
          </rPr>
          <t>Author:</t>
        </r>
        <r>
          <rPr>
            <sz val="9"/>
            <color indexed="81"/>
            <rFont val="Tahoma"/>
            <charset val="1"/>
          </rPr>
          <t xml:space="preserve">
Fuente: Julio 2026 USA.xlsx — cuenta 11 Disponible, saldo final al 31-jul-2026. Confirmado por el usuario.</t>
        </r>
      </text>
    </comment>
    <comment ref="S26" authorId="0" shapeId="0" xr:uid="{88DE901A-424F-4B88-95FC-4360760A6812}">
      <text>
        <r>
          <rPr>
            <b/>
            <sz val="9"/>
            <color indexed="81"/>
            <rFont val="Tahoma"/>
            <charset val="1"/>
          </rPr>
          <t>Author:</t>
        </r>
        <r>
          <rPr>
            <sz val="9"/>
            <color indexed="81"/>
            <rFont val="Tahoma"/>
            <charset val="1"/>
          </rPr>
          <t xml:space="preserve">
Fuente: Julio 2026 PERU.xlsx — bancos 40.173,53 + ahorros 10.428,01 soles al 31-jul-2026.</t>
        </r>
      </text>
    </comment>
    <comment ref="T26" authorId="0" shapeId="0" xr:uid="{21E6B4CD-FDF3-4EA5-9F73-93310F20F3D5}">
      <text>
        <r>
          <rPr>
            <b/>
            <sz val="9"/>
            <color indexed="81"/>
            <rFont val="Tahoma"/>
            <charset val="1"/>
          </rPr>
          <t>Author:</t>
        </r>
        <r>
          <rPr>
            <sz val="9"/>
            <color indexed="81"/>
            <rFont val="Tahoma"/>
            <charset val="1"/>
          </rPr>
          <t xml:space="preserve">
Fuente: Julio 2026 CR.xlsx — cuenta 11 Disponible, saldo final al 31-jul-2026.</t>
        </r>
      </text>
    </comment>
    <comment ref="V26" authorId="0" shapeId="0" xr:uid="{DDA9BAD7-3AC2-4D88-A941-28C104968447}">
      <text>
        <r>
          <rPr>
            <b/>
            <sz val="9"/>
            <color indexed="81"/>
            <rFont val="Tahoma"/>
            <charset val="1"/>
          </rPr>
          <t>Author:</t>
        </r>
        <r>
          <rPr>
            <sz val="9"/>
            <color indexed="81"/>
            <rFont val="Tahoma"/>
            <charset val="1"/>
          </rPr>
          <t xml:space="preserve">
Caja bancaria de USA, Perú y Costa Rica al 31-jul-2026. Excluye Colombia, que se lee del balance en Inputs.</t>
        </r>
      </text>
    </comment>
    <comment ref="C35" authorId="0" shapeId="0" xr:uid="{66D48FEB-660D-4550-83B9-1E9456D85426}">
      <text>
        <r>
          <rPr>
            <b/>
            <sz val="9"/>
            <color indexed="81"/>
            <rFont val="Tahoma"/>
            <charset val="1"/>
          </rPr>
          <t>Author:</t>
        </r>
        <r>
          <rPr>
            <sz val="9"/>
            <color indexed="81"/>
            <rFont val="Tahoma"/>
            <charset val="1"/>
          </rPr>
          <t xml:space="preserve">
USA, acumulado ene-jul 2026: suma de los siete meses del P&amp;G de filiales (3.498,80 + 4.051,45 + 4.073,45 + 5.992,45 + 9.716,45 + 5.664,45 + 6.013,45).</t>
        </r>
      </text>
    </comment>
    <comment ref="D35" authorId="0" shapeId="0" xr:uid="{4B3FC061-B172-4E32-B128-F465FEB9F5C4}">
      <text>
        <r>
          <rPr>
            <b/>
            <sz val="9"/>
            <color indexed="81"/>
            <rFont val="Tahoma"/>
            <charset val="1"/>
          </rPr>
          <t>Author:</t>
        </r>
        <r>
          <rPr>
            <sz val="9"/>
            <color indexed="81"/>
            <rFont val="Tahoma"/>
            <charset val="1"/>
          </rPr>
          <t xml:space="preserve">
Perú, acumulado ene-jul 2026 en USD. Cada mes fue convertido a su propia tasa en el archivo fuente, por eso se carga el total en dólares y no en soles divididos por una tasa única.</t>
        </r>
      </text>
    </comment>
    <comment ref="E35" authorId="0" shapeId="0" xr:uid="{E12B1D8A-3A22-45CE-A8A5-5A8649927F00}">
      <text>
        <r>
          <rPr>
            <b/>
            <sz val="9"/>
            <color indexed="81"/>
            <rFont val="Tahoma"/>
            <charset val="1"/>
          </rPr>
          <t>Author:</t>
        </r>
        <r>
          <rPr>
            <sz val="9"/>
            <color indexed="81"/>
            <rFont val="Tahoma"/>
            <charset val="1"/>
          </rPr>
          <t xml:space="preserve">
Costa Rica: facturó sus primeros ingresos en julio 2026, por USD 134.104, que quedaron por cobrar.</t>
        </r>
      </text>
    </comment>
    <comment ref="F35" authorId="0" shapeId="0" xr:uid="{3C523375-69B8-40BE-BF70-075A338916E1}">
      <text>
        <r>
          <rPr>
            <b/>
            <sz val="9"/>
            <color indexed="81"/>
            <rFont val="Tahoma"/>
            <charset val="1"/>
          </rPr>
          <t>Author:</t>
        </r>
        <r>
          <rPr>
            <sz val="9"/>
            <color indexed="81"/>
            <rFont val="Tahoma"/>
            <charset val="1"/>
          </rPr>
          <t xml:space="preserve">
Colombia: servicios de software acumulados ene-jul 2026 según los estados financieros oficiales (EF Julio COCO 2026), tomados de la columna de acumulado en Inputs. Antes era un valor digitado con corte junio.</t>
        </r>
      </text>
    </comment>
    <comment ref="C40" authorId="0" shapeId="0" xr:uid="{F7721CEB-6E2D-43C4-B443-0EE58F0B7303}">
      <text>
        <r>
          <rPr>
            <b/>
            <sz val="9"/>
            <color indexed="81"/>
            <rFont val="Tahoma"/>
            <charset val="1"/>
          </rPr>
          <t>Author:</t>
        </r>
        <r>
          <rPr>
            <sz val="9"/>
            <color indexed="81"/>
            <rFont val="Tahoma"/>
            <charset val="1"/>
          </rPr>
          <t xml:space="preserve">
USA, administración acumulada ene-jul 2026 según P&amp;G de filiales.</t>
        </r>
      </text>
    </comment>
    <comment ref="D40" authorId="0" shapeId="0" xr:uid="{E203EBCC-CF42-4290-B73C-825F0E13A024}">
      <text>
        <r>
          <rPr>
            <b/>
            <sz val="9"/>
            <color indexed="81"/>
            <rFont val="Tahoma"/>
            <charset val="1"/>
          </rPr>
          <t>Author:</t>
        </r>
        <r>
          <rPr>
            <sz val="9"/>
            <color indexed="81"/>
            <rFont val="Tahoma"/>
            <charset val="1"/>
          </rPr>
          <t xml:space="preserve">
Perú, administración acumulada ene-jul 2026. La versión anterior de esta tabla clasificaba estos gastos como operación/proyectos; el P&amp;G de filiales los presenta como administración y ventas.</t>
        </r>
      </text>
    </comment>
    <comment ref="E40" authorId="0" shapeId="0" xr:uid="{6880B4C2-656E-4BB4-A126-B8B8982DB793}">
      <text>
        <r>
          <rPr>
            <b/>
            <sz val="9"/>
            <color indexed="81"/>
            <rFont val="Tahoma"/>
            <charset val="1"/>
          </rPr>
          <t>Author:</t>
        </r>
        <r>
          <rPr>
            <sz val="9"/>
            <color indexed="81"/>
            <rFont val="Tahoma"/>
            <charset val="1"/>
          </rPr>
          <t xml:space="preserve">
Costa Rica, administración acumulada ene-jul 2026.</t>
        </r>
      </text>
    </comment>
    <comment ref="C41" authorId="0" shapeId="0" xr:uid="{A43B4193-B1E3-49E6-8B92-1D690AD85D4D}">
      <text>
        <r>
          <rPr>
            <b/>
            <sz val="9"/>
            <color indexed="81"/>
            <rFont val="Tahoma"/>
            <charset val="1"/>
          </rPr>
          <t>Author:</t>
        </r>
        <r>
          <rPr>
            <sz val="9"/>
            <color indexed="81"/>
            <rFont val="Tahoma"/>
            <charset val="1"/>
          </rPr>
          <t xml:space="preserve">
USA, ventas acumuladas ene-jul 2026 según P&amp;G de filiales.</t>
        </r>
      </text>
    </comment>
    <comment ref="D41" authorId="0" shapeId="0" xr:uid="{72540330-AB44-49C0-9240-300C185626A2}">
      <text>
        <r>
          <rPr>
            <b/>
            <sz val="9"/>
            <color indexed="81"/>
            <rFont val="Tahoma"/>
            <charset val="1"/>
          </rPr>
          <t>Author:</t>
        </r>
        <r>
          <rPr>
            <sz val="9"/>
            <color indexed="81"/>
            <rFont val="Tahoma"/>
            <charset val="1"/>
          </rPr>
          <t xml:space="preserve">
Perú, ventas acumuladas ene-jul 2026 (incluye gastos de viaje y diversos).</t>
        </r>
      </text>
    </comment>
    <comment ref="C42" authorId="0" shapeId="0" xr:uid="{3E943204-6747-4EE2-81B8-690088A3EAA1}">
      <text>
        <r>
          <rPr>
            <b/>
            <sz val="9"/>
            <color indexed="81"/>
            <rFont val="Tahoma"/>
            <charset val="1"/>
          </rPr>
          <t>Author:</t>
        </r>
        <r>
          <rPr>
            <sz val="9"/>
            <color indexed="81"/>
            <rFont val="Tahoma"/>
            <charset val="1"/>
          </rPr>
          <t xml:space="preserve">
La contabilidad de las filiales no separa operación/proyectos; todo el gasto queda en administración y ventas.</t>
        </r>
      </text>
    </comment>
    <comment ref="D42" authorId="0" shapeId="0" xr:uid="{29F40320-69A0-42E4-BB05-4883EDB2F1A8}">
      <text>
        <r>
          <rPr>
            <b/>
            <sz val="9"/>
            <color indexed="81"/>
            <rFont val="Tahoma"/>
            <charset val="1"/>
          </rPr>
          <t>Author:</t>
        </r>
        <r>
          <rPr>
            <sz val="9"/>
            <color indexed="81"/>
            <rFont val="Tahoma"/>
            <charset val="1"/>
          </rPr>
          <t xml:space="preserve">
Reclasificado: ahora estos gastos viven en administración y ventas, según el P&amp;G de filiales.</t>
        </r>
      </text>
    </comment>
    <comment ref="C44" authorId="0" shapeId="0" xr:uid="{0B8315A6-20B5-455A-A4E8-FDFFB28E3F47}">
      <text>
        <r>
          <rPr>
            <b/>
            <sz val="9"/>
            <color indexed="81"/>
            <rFont val="Tahoma"/>
            <charset val="1"/>
          </rPr>
          <t>Author:</t>
        </r>
        <r>
          <rPr>
            <sz val="9"/>
            <color indexed="81"/>
            <rFont val="Tahoma"/>
            <charset val="1"/>
          </rPr>
          <t xml:space="preserve">
USA, otros ingresos acumulados ene-jul 2026.</t>
        </r>
      </text>
    </comment>
    <comment ref="D44" authorId="0" shapeId="0" xr:uid="{3575B76B-6698-48C6-BE69-EE3416A94488}">
      <text>
        <r>
          <rPr>
            <b/>
            <sz val="9"/>
            <color indexed="81"/>
            <rFont val="Tahoma"/>
            <charset val="1"/>
          </rPr>
          <t>Author:</t>
        </r>
        <r>
          <rPr>
            <sz val="9"/>
            <color indexed="81"/>
            <rFont val="Tahoma"/>
            <charset val="1"/>
          </rPr>
          <t xml:space="preserve">
Perú, otros ingresos acumulados ene-jul 2026. Corresponden principalmente al desembolso PROINNOVATE registrado en febrero.</t>
        </r>
      </text>
    </comment>
    <comment ref="C45" authorId="0" shapeId="0" xr:uid="{98D1C15E-31EA-46A7-9D0E-4C5F7C6F02E9}">
      <text>
        <r>
          <rPr>
            <b/>
            <sz val="9"/>
            <color indexed="81"/>
            <rFont val="Tahoma"/>
            <charset val="1"/>
          </rPr>
          <t>Author:</t>
        </r>
        <r>
          <rPr>
            <sz val="9"/>
            <color indexed="81"/>
            <rFont val="Tahoma"/>
            <charset val="1"/>
          </rPr>
          <t xml:space="preserve">
USA, gastos financieros acumulados ene-jul 2026.</t>
        </r>
      </text>
    </comment>
    <comment ref="D45" authorId="0" shapeId="0" xr:uid="{1DA16C40-D67F-4AF1-8696-E534777FB156}">
      <text>
        <r>
          <rPr>
            <b/>
            <sz val="9"/>
            <color indexed="81"/>
            <rFont val="Tahoma"/>
            <charset val="1"/>
          </rPr>
          <t>Author:</t>
        </r>
        <r>
          <rPr>
            <sz val="9"/>
            <color indexed="81"/>
            <rFont val="Tahoma"/>
            <charset val="1"/>
          </rPr>
          <t xml:space="preserve">
Perú, gastos financieros acumulados ene-jul 2026.</t>
        </r>
      </text>
    </comment>
    <comment ref="E45" authorId="0" shapeId="0" xr:uid="{8EAA86A1-C0AC-4FB6-B9A4-0FB462088E90}">
      <text>
        <r>
          <rPr>
            <b/>
            <sz val="9"/>
            <color indexed="81"/>
            <rFont val="Tahoma"/>
            <charset val="1"/>
          </rPr>
          <t>Author:</t>
        </r>
        <r>
          <rPr>
            <sz val="9"/>
            <color indexed="81"/>
            <rFont val="Tahoma"/>
            <charset val="1"/>
          </rPr>
          <t xml:space="preserve">
Costa Rica, gastos financieros acumulados ene-jul 2026.</t>
        </r>
      </text>
    </comment>
    <comment ref="F48" authorId="0" shapeId="0" xr:uid="{B0FF254F-9FAB-40C9-B66E-E0048D5FC14A}">
      <text>
        <r>
          <rPr>
            <b/>
            <sz val="9"/>
            <color indexed="81"/>
            <rFont val="Tahoma"/>
            <charset val="1"/>
          </rPr>
          <t>Author:</t>
        </r>
        <r>
          <rPr>
            <sz val="9"/>
            <color indexed="81"/>
            <rFont val="Tahoma"/>
            <charset val="1"/>
          </rPr>
          <t xml:space="preserve">
Impuesto de renta registrado en los estados financieros: cero. El modelo estima una provisión no registrada de COP 99,6 millones al cierre de julio (ver Modelo Base, filas 72 y 106).</t>
        </r>
      </text>
    </comment>
    <comment ref="F80" authorId="0" shapeId="0" xr:uid="{74BEB006-1489-4F81-9319-8B3305D63A20}">
      <text>
        <r>
          <rPr>
            <b/>
            <sz val="9"/>
            <color indexed="81"/>
            <rFont val="Tahoma"/>
            <charset val="1"/>
          </rPr>
          <t>Author:</t>
        </r>
        <r>
          <rPr>
            <sz val="9"/>
            <color indexed="81"/>
            <rFont val="Tahoma"/>
            <charset val="1"/>
          </rPr>
          <t xml:space="preserve">
Barra de inicio de la cascada: utilidad bruta.</t>
        </r>
      </text>
    </comment>
    <comment ref="F86" authorId="0" shapeId="0" xr:uid="{163C5115-0375-48E2-BDBD-8DFA267C2D1D}">
      <text>
        <r>
          <rPr>
            <b/>
            <sz val="9"/>
            <color indexed="81"/>
            <rFont val="Tahoma"/>
            <charset val="1"/>
          </rPr>
          <t>Author:</t>
        </r>
        <r>
          <rPr>
            <sz val="9"/>
            <color indexed="81"/>
            <rFont val="Tahoma"/>
            <charset val="1"/>
          </rPr>
          <t xml:space="preserve">
Barra de cierre de la cascada: utilidad neta.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17" authorId="0" shapeId="0" xr:uid="{9E0AA3B0-FFC5-4907-B3EF-E5E19573A5E3}">
      <text>
        <r>
          <rPr>
            <b/>
            <sz val="9"/>
            <color indexed="81"/>
            <rFont val="Tahoma"/>
            <charset val="1"/>
          </rPr>
          <t>Author:</t>
        </r>
        <r>
          <rPr>
            <sz val="9"/>
            <color indexed="81"/>
            <rFont val="Tahoma"/>
            <charset val="1"/>
          </rPr>
          <t xml:space="preserve">
Julio real (EF Julio COCO 2026) vía Modelo Base L51, convertido a USD con la TRM de la columna.</t>
        </r>
      </text>
    </comment>
    <comment ref="J18" authorId="0" shapeId="0" xr:uid="{FB564306-15AB-4FB3-AFB2-8B7E99A84E6D}">
      <text>
        <r>
          <rPr>
            <b/>
            <sz val="9"/>
            <color indexed="81"/>
            <rFont val="Tahoma"/>
            <charset val="1"/>
          </rPr>
          <t>Author:</t>
        </r>
        <r>
          <rPr>
            <sz val="9"/>
            <color indexed="81"/>
            <rFont val="Tahoma"/>
            <charset val="1"/>
          </rPr>
          <t xml:space="preserve">
Julio real (EF Julio COCO 2026): ingresos netos del mes.</t>
        </r>
      </text>
    </comment>
    <comment ref="C60" authorId="0" shapeId="0" xr:uid="{FE79BDAA-5E53-4011-B5C7-38FF2AE76BCA}">
      <text>
        <r>
          <rPr>
            <b/>
            <sz val="9"/>
            <color indexed="81"/>
            <rFont val="Tahoma"/>
            <family val="2"/>
          </rPr>
          <t>Movimiento enero calculado como caja al 31-dic-2025 menos caja al cierre de enero. Valor negativo representa reposición/generación de caja.</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<sst xmlns="http://schemas.openxmlformats.org/spreadsheetml/2006/main" count="2470" uniqueCount="1402">
  <si>
    <t>Plan Comercial 2026 (USD) + Puente de MRR</t>
  </si>
  <si>
    <t>Legacy drivers (not used after target alignment)</t>
  </si>
  <si>
    <t>Stream</t>
  </si>
  <si>
    <t>Annual Target (USD)</t>
  </si>
  <si>
    <t>2026-01</t>
  </si>
  <si>
    <t>2026-02</t>
  </si>
  <si>
    <t>2026-03</t>
  </si>
  <si>
    <t>2026-04</t>
  </si>
  <si>
    <t>2026-05</t>
  </si>
  <si>
    <t>2026-06</t>
  </si>
  <si>
    <t>2026-07</t>
  </si>
  <si>
    <t>2026-08</t>
  </si>
  <si>
    <t>2026-09</t>
  </si>
  <si>
    <t>2026-10</t>
  </si>
  <si>
    <t>2026-11</t>
  </si>
  <si>
    <t>2026-12</t>
  </si>
  <si>
    <t>Total 2026</t>
  </si>
  <si>
    <t>MRR</t>
  </si>
  <si>
    <t>Upsell / Cross-sell (expansion)</t>
  </si>
  <si>
    <t>New Business LATAM</t>
  </si>
  <si>
    <t>New Business Gobierno y Enterprise</t>
  </si>
  <si>
    <t>One-off (Implementation)</t>
  </si>
  <si>
    <t>One-off (Interoperability)</t>
  </si>
  <si>
    <t>TOTAL</t>
  </si>
  <si>
    <t>MRR BRIDGE 2026 (USD)</t>
  </si>
  <si>
    <t>Metric</t>
  </si>
  <si>
    <t>Total/End</t>
  </si>
  <si>
    <t>Starting MRR (USD)</t>
  </si>
  <si>
    <t>New MRR (from SalesPlan) (USD)</t>
  </si>
  <si>
    <t>Churned MRR (USD)</t>
  </si>
  <si>
    <t>Ending MRR (USD)</t>
  </si>
  <si>
    <t>MRR Promedio mes (USD)</t>
  </si>
  <si>
    <t>CHECKS &amp; KPIs (sanity check rápido)</t>
  </si>
  <si>
    <t>Check</t>
  </si>
  <si>
    <t>Valor</t>
  </si>
  <si>
    <t>Status</t>
  </si>
  <si>
    <t>Target total (recurrente + one-off) (USD)</t>
  </si>
  <si>
    <t>Total plan comercial (USD)</t>
  </si>
  <si>
    <t>Brecha (USD)</t>
  </si>
  <si>
    <t>MRR final dic-2026 (USD)</t>
  </si>
  <si>
    <t>Target run-rate mensual (USD)</t>
  </si>
  <si>
    <t>Brecha vs target (USD)</t>
  </si>
  <si>
    <t>Devoluciones implícitas (% bruto, ref)</t>
  </si>
  <si>
    <t>Referencia — modelo usa revenue neto</t>
  </si>
  <si>
    <t>Ingresos brutos implicitos (USD)</t>
  </si>
  <si>
    <t>Devoluciones implicitas (USD)</t>
  </si>
  <si>
    <t>Devoluciones implicitas (COP)</t>
  </si>
  <si>
    <t>PROYECCIÓN DE INGRESOS 2026 — 3 ESCENARIOS (COP)</t>
  </si>
  <si>
    <t>Cifras en pesos colombianos (COP). TRM utilizada: INPUTS!B5. Distribución mensual: pesos de estacionalidad INPUTS!C30:N30.</t>
  </si>
  <si>
    <t>ESCENARIO CONSERVADOR (COP)</t>
  </si>
  <si>
    <t>Total Anual</t>
  </si>
  <si>
    <t>Ene</t>
  </si>
  <si>
    <t>Feb</t>
  </si>
  <si>
    <t>Mar</t>
  </si>
  <si>
    <t>Abr</t>
  </si>
  <si>
    <t>May</t>
  </si>
  <si>
    <t>Jun</t>
  </si>
  <si>
    <t>Jul</t>
  </si>
  <si>
    <t>Ago</t>
  </si>
  <si>
    <t>Sep</t>
  </si>
  <si>
    <t>Oct</t>
  </si>
  <si>
    <t>Nov</t>
  </si>
  <si>
    <t>Dic</t>
  </si>
  <si>
    <t>% del total</t>
  </si>
  <si>
    <t>Ingresos (COP)</t>
  </si>
  <si>
    <t>Check suma meses</t>
  </si>
  <si>
    <t>ESCENARIO BASE (COP)</t>
  </si>
  <si>
    <t>ESCENARIO OPTIMISTA (COP)</t>
  </si>
  <si>
    <t>PROYECCIÓN DE INGRESOS 2026 — 3 ESCENARIOS (USD)</t>
  </si>
  <si>
    <t>Cifras en dólares (USD). Fuente: COP / TRM (INPUTS!B5). Misma distribución mensual por estacionalidad.</t>
  </si>
  <si>
    <t>ESCENARIO CONSERVADOR (USD)</t>
  </si>
  <si>
    <t>Ingresos (USD)</t>
  </si>
  <si>
    <t>ESCENARIO BASE (USD)</t>
  </si>
  <si>
    <t>ESCENARIO OPTIMISTA (USD)</t>
  </si>
  <si>
    <t>INPUTS — CocoTech 2026 Budget Model (All Assumptions Consolidated)</t>
  </si>
  <si>
    <t>temp</t>
  </si>
  <si>
    <t>Calculado</t>
  </si>
  <si>
    <t>Escenarios target 2026 (USD)</t>
  </si>
  <si>
    <t>ARR target (USD) = Total - One-off</t>
  </si>
  <si>
    <t>Escenario</t>
  </si>
  <si>
    <t>Total target (USD)</t>
  </si>
  <si>
    <t>One-off (USD)</t>
  </si>
  <si>
    <t>Recurrente implícito (USD)</t>
  </si>
  <si>
    <t>Run-rate mensual (USD)</t>
  </si>
  <si>
    <t>FX rate (COP per USD)</t>
  </si>
  <si>
    <t>TrmLargoPlazo</t>
  </si>
  <si>
    <t>Calculado / Referencia</t>
  </si>
  <si>
    <t>MRR Dec-2025 (COP)</t>
  </si>
  <si>
    <t>MrrDic25</t>
  </si>
  <si>
    <t>Referencia: Ene-2026 neto real (COP)</t>
  </si>
  <si>
    <t>Conservador</t>
  </si>
  <si>
    <t>Customers Dec-2025 (count)</t>
  </si>
  <si>
    <t>ClientesDic25</t>
  </si>
  <si>
    <t>Base</t>
  </si>
  <si>
    <t>Monthly churn rate (revenue)</t>
  </si>
  <si>
    <t>ChurnMensual</t>
  </si>
  <si>
    <t>Optimista</t>
  </si>
  <si>
    <t>Annual price increase applied in Jan</t>
  </si>
  <si>
    <t>InflacionAnual</t>
  </si>
  <si>
    <t>Escenario activo</t>
  </si>
  <si>
    <t>2026 Total target (ARR + One-off) (USD)</t>
  </si>
  <si>
    <t>TargetTotal26</t>
  </si>
  <si>
    <t>Otros ingresos / One-off anual (USD)</t>
  </si>
  <si>
    <t>OtrosIngresos</t>
  </si>
  <si>
    <t>Ingreso Meta 2026 por Hoja</t>
  </si>
  <si>
    <t>Total (USD)</t>
  </si>
  <si>
    <t>Recurrente (USD)</t>
  </si>
  <si>
    <t>Run-rate mensual</t>
  </si>
  <si>
    <t>Procentaje de Otros Ingresos</t>
  </si>
  <si>
    <t>PctOtrosIng</t>
  </si>
  <si>
    <t>Target recurrente anual (USD)</t>
  </si>
  <si>
    <t>TargetRecurrente</t>
  </si>
  <si>
    <t>Check: Total = Recurrente + One-off</t>
  </si>
  <si>
    <t>CheckTotal</t>
  </si>
  <si>
    <t>Check: Target anual = Ingresos proyectados</t>
  </si>
  <si>
    <t>CheckIngresos</t>
  </si>
  <si>
    <t>NRR target</t>
  </si>
  <si>
    <t>NrrTarget</t>
  </si>
  <si>
    <t>One-off split: % Implementation</t>
  </si>
  <si>
    <t>PctImplement</t>
  </si>
  <si>
    <t>One-off split: % Interoperability</t>
  </si>
  <si>
    <t>PctInterop</t>
  </si>
  <si>
    <t>Devoluciones (% de ingresos brutos)</t>
  </si>
  <si>
    <t>PctDevoluciones</t>
  </si>
  <si>
    <t>FX &amp; Tax Assumptions</t>
  </si>
  <si>
    <t>FX Low scenario (COP/USD)</t>
  </si>
  <si>
    <t>TrmBajo</t>
  </si>
  <si>
    <t>FX High scenario (COP/USD)</t>
  </si>
  <si>
    <t>TrmAlto</t>
  </si>
  <si>
    <t>Tax rate (statutory)</t>
  </si>
  <si>
    <t>TasaImpuesto</t>
  </si>
  <si>
    <t>Caja Subsidiaria (USD)</t>
  </si>
  <si>
    <t>CajaSubsidiaria</t>
  </si>
  <si>
    <t>TRM Subsidiaria (COP/USD)</t>
  </si>
  <si>
    <t>TrmSubsidiaria</t>
  </si>
  <si>
    <t>Tasa de interés deuda LP (anual)</t>
  </si>
  <si>
    <t>TasaDeudaLp</t>
  </si>
  <si>
    <t>Tasa de interés deuda CP (anual)</t>
  </si>
  <si>
    <t>TasaDeudaCp</t>
  </si>
  <si>
    <t>2025 Monthly Revenue (COP)</t>
  </si>
  <si>
    <t>COP</t>
  </si>
  <si>
    <t>Weights (sum to 1.0)</t>
  </si>
  <si>
    <t>Index</t>
  </si>
  <si>
    <t>x</t>
  </si>
  <si>
    <t>Check: sum weights = 1</t>
  </si>
  <si>
    <t>MRR PLAN (USD) — Base</t>
  </si>
  <si>
    <t>USD</t>
  </si>
  <si>
    <t>Check: Total Plan USD</t>
  </si>
  <si>
    <t>Calc</t>
  </si>
  <si>
    <t>COSTOS BASE 2025 (COP) — Ajustados por inflación en P&amp;L</t>
  </si>
  <si>
    <t>Cuenta</t>
  </si>
  <si>
    <t>Base 2025 (COP)</t>
  </si>
  <si>
    <t>2026 = Base×(1+Infl.) (COP)</t>
  </si>
  <si>
    <t>Costo de Ventas</t>
  </si>
  <si>
    <t>CostoVentasBase</t>
  </si>
  <si>
    <t xml:space="preserve">  Otros costos directos / desarrollo</t>
  </si>
  <si>
    <t>Op. Administración</t>
  </si>
  <si>
    <t>GtosAdminBase</t>
  </si>
  <si>
    <t xml:space="preserve">  Gastos de Personal</t>
  </si>
  <si>
    <t>Op. Ventas</t>
  </si>
  <si>
    <t>GtosVentasBase</t>
  </si>
  <si>
    <t xml:space="preserve">  Gastos de Personal Ventas</t>
  </si>
  <si>
    <t xml:space="preserve">  Honorarios</t>
  </si>
  <si>
    <t>Ingresos no Operacionales</t>
  </si>
  <si>
    <t>IngNoOpBase</t>
  </si>
  <si>
    <t>Gastos no Operacionales</t>
  </si>
  <si>
    <t>GtosNoOpBase</t>
  </si>
  <si>
    <t>Gastos Operacionales / Proyectos</t>
  </si>
  <si>
    <t>GtosOpProyectosBase</t>
  </si>
  <si>
    <t>SUPUESTOS DE ESCENARIOS (% variación vs Base)</t>
  </si>
  <si>
    <t>Línea de Ingreso</t>
  </si>
  <si>
    <t>Base (USD/mes Dic)</t>
  </si>
  <si>
    <t>% Optimista</t>
  </si>
  <si>
    <t>% Pesimista</t>
  </si>
  <si>
    <t>Upsell / Cross-sell</t>
  </si>
  <si>
    <t>New Business Gob/Enterprise</t>
  </si>
  <si>
    <t>TOTAL INGRESOS</t>
  </si>
  <si>
    <t>~19.8%</t>
  </si>
  <si>
    <t>~-19.4%</t>
  </si>
  <si>
    <t>NUEVAS CONTRATACIONES — Pipeline Trimestral 2026 (mismo grupo cada 3 meses, acumulativo)</t>
  </si>
  <si>
    <t>Cargo</t>
  </si>
  <si>
    <t>Qty</t>
  </si>
  <si>
    <t>Costo Empresa/mes (COP)</t>
  </si>
  <si>
    <t>Línea P&amp;L</t>
  </si>
  <si>
    <t>Implementador</t>
  </si>
  <si>
    <t>COGS → Mano de Obra Directa</t>
  </si>
  <si>
    <t>Aprendiz</t>
  </si>
  <si>
    <t>Customer Success</t>
  </si>
  <si>
    <t>Ventas → Gastos de Personal</t>
  </si>
  <si>
    <t>Mes contratación</t>
  </si>
  <si>
    <t>Abr-2026</t>
  </si>
  <si>
    <t>Impacto desde</t>
  </si>
  <si>
    <t>Contrataciones se ejecutan a finales del trimestre</t>
  </si>
  <si>
    <t>CALENDARIO DE IMPACTO ACUMULATIVO</t>
  </si>
  <si>
    <t>Rondas acum.</t>
  </si>
  <si>
    <t>Δ MOD (COP)</t>
  </si>
  <si>
    <t>Δ Ventas (COP)</t>
  </si>
  <si>
    <t>Ene – Mar (sin incremento)</t>
  </si>
  <si>
    <t>Abr – Jun (Ronda 1: contratación Mar)</t>
  </si>
  <si>
    <t>DeltaModQ2 / DeltaVtasQ2</t>
  </si>
  <si>
    <t>Jul – Sep (Ronda 2: contratación Jun)</t>
  </si>
  <si>
    <t>DeltaModQ3 / DeltaVtasQ3</t>
  </si>
  <si>
    <t>Oct – Dic (Ronda 3: contratación Sep)</t>
  </si>
  <si>
    <t>DeltaModQ4 / DeltaVtasQ4</t>
  </si>
  <si>
    <t>Resumen: mismo grupo cada trimestre</t>
  </si>
  <si>
    <t>Δ mensual → MOD (COP) por ronda</t>
  </si>
  <si>
    <t>´= Implementadores×2 + Aprendices×2</t>
  </si>
  <si>
    <t>Δ mensual → Gtos Personal Ventas (COP) por ronda</t>
  </si>
  <si>
    <t>´= Customer Success×1</t>
  </si>
  <si>
    <t>Ene-26</t>
  </si>
  <si>
    <t>Concepto</t>
  </si>
  <si>
    <t>COP Dic-25</t>
  </si>
  <si>
    <t>COP Ene</t>
  </si>
  <si>
    <t>COP Feb</t>
  </si>
  <si>
    <t>COP Mar</t>
  </si>
  <si>
    <t>COP Abr</t>
  </si>
  <si>
    <t>Var %</t>
  </si>
  <si>
    <t>Fuente / Nota</t>
  </si>
  <si>
    <t>Efectivo y equivalentes de efectivo</t>
  </si>
  <si>
    <t>Nota 03</t>
  </si>
  <si>
    <t>Inversiones</t>
  </si>
  <si>
    <t>Nota 04</t>
  </si>
  <si>
    <t>Cuentas comerciales y otras cuentas por cobrar</t>
  </si>
  <si>
    <t>Nota 05</t>
  </si>
  <si>
    <t xml:space="preserve">   Clientes</t>
  </si>
  <si>
    <t xml:space="preserve">   Otros deudores / anticipos / terceros</t>
  </si>
  <si>
    <t>Total activos corrientes</t>
  </si>
  <si>
    <t>Estado financiero</t>
  </si>
  <si>
    <t>Propiedad, planta y equipo neto</t>
  </si>
  <si>
    <t>Nota 06, excluye intangibles</t>
  </si>
  <si>
    <t>Intangibles (software)</t>
  </si>
  <si>
    <t>Nota 06</t>
  </si>
  <si>
    <t>Total activos no corrientes</t>
  </si>
  <si>
    <t>TOTAL ACTIVO</t>
  </si>
  <si>
    <t>Estado de Situación Financiera</t>
  </si>
  <si>
    <t>Obligaciones financieras (tarjetas)</t>
  </si>
  <si>
    <t>Nota 07</t>
  </si>
  <si>
    <t>Proveedores y cuentas por pagar terceros</t>
  </si>
  <si>
    <t>Nota 07: proveedores + CxP terceros</t>
  </si>
  <si>
    <t>Impuestos por pagar</t>
  </si>
  <si>
    <t>Obligaciones laborales</t>
  </si>
  <si>
    <t>Total pasivo corriente</t>
  </si>
  <si>
    <t>Cuentas por pagar a socios</t>
  </si>
  <si>
    <t>TOTAL PASIVO</t>
  </si>
  <si>
    <t>Capital + prima en colocación</t>
  </si>
  <si>
    <t>Nota 08</t>
  </si>
  <si>
    <t>Utilidades acumuladas + resultado ejercicio</t>
  </si>
  <si>
    <t>TOTAL PATRIMONIO</t>
  </si>
  <si>
    <t>TOTAL PASIVO + PATRIMONIO</t>
  </si>
  <si>
    <t>Check Activo - Pasivo y Patrimonio</t>
  </si>
  <si>
    <t>Tolerancia redondeo PDF &lt;= $2</t>
  </si>
  <si>
    <t>PATRIMONIO</t>
  </si>
  <si>
    <t>Ingresos operacionales netos</t>
  </si>
  <si>
    <t xml:space="preserve">  Servicio de software</t>
  </si>
  <si>
    <t xml:space="preserve">  Devoluciones en ventas</t>
  </si>
  <si>
    <t>Costo de ventas</t>
  </si>
  <si>
    <t>Utilidad bruta reconciliada</t>
  </si>
  <si>
    <t>Gastos operacionales de administración</t>
  </si>
  <si>
    <t>Gastos operacionales / proyectos reclasificados</t>
  </si>
  <si>
    <t>Gastos operacionales de ventas</t>
  </si>
  <si>
    <t>Utilidad operativa</t>
  </si>
  <si>
    <t>Ingresos no operacionales</t>
  </si>
  <si>
    <t xml:space="preserve">  Ingresos financieros</t>
  </si>
  <si>
    <t xml:space="preserve">  Otros ingresos no operacionales</t>
  </si>
  <si>
    <t>Gastos no operacionales</t>
  </si>
  <si>
    <t xml:space="preserve">  Gastos financieros</t>
  </si>
  <si>
    <t>Utilidad antes de impuestos</t>
  </si>
  <si>
    <t>Impuestos</t>
  </si>
  <si>
    <t>Utilidad neta</t>
  </si>
  <si>
    <t>TRM Real / Ajustado:</t>
  </si>
  <si>
    <t>Todas las cifras en USD. Presupuesto original Enero valorado a TRM 4,000 COP/USD (versión entregada en su momento). Real y presupuesto ajustado valorados a TRM 3,690 COP/USD.</t>
  </si>
  <si>
    <t>TRM Ppto Original Enero:</t>
  </si>
  <si>
    <t>TRM: 3,690</t>
  </si>
  <si>
    <t>Real</t>
  </si>
  <si>
    <t>Diferencia</t>
  </si>
  <si>
    <t>% Cumpl.</t>
  </si>
  <si>
    <t>Ingresos</t>
  </si>
  <si>
    <t>Utilidad bruta</t>
  </si>
  <si>
    <t>EBITDA</t>
  </si>
  <si>
    <t xml:space="preserve">  Margen EBITDA</t>
  </si>
  <si>
    <t xml:space="preserve">  Margen neto</t>
  </si>
  <si>
    <t>Línea</t>
  </si>
  <si>
    <t xml:space="preserve">  Margen bruto</t>
  </si>
  <si>
    <t>Gastos admin</t>
  </si>
  <si>
    <t>Gastos ventas</t>
  </si>
  <si>
    <t>Ene-Feb</t>
  </si>
  <si>
    <t>Ene-Mar</t>
  </si>
  <si>
    <t>Enero</t>
  </si>
  <si>
    <t>Febrero</t>
  </si>
  <si>
    <t>Marzo</t>
  </si>
  <si>
    <t>Abril</t>
  </si>
  <si>
    <t>%</t>
  </si>
  <si>
    <t>Real Ene-Abr + proyección May-Dic actualizada del Modelo Base, valorado en USD a TRM 3,690.</t>
  </si>
  <si>
    <t>(Verde: real · Amarillo: proyectado)</t>
  </si>
  <si>
    <t>Gastos op/proyectos</t>
  </si>
  <si>
    <t>UAI</t>
  </si>
  <si>
    <t>Presupuesto consolidado de ingresos 2026 (versión actualizada) desglosado por rubro: MRR base, logos nuevos, innovación, up/cross selling, internacional y ajustes. Cifras en USD a TRM 3,690 (vinculada a Inputs!C6). Datos fuente: hoja 'Consol. Pptos'.</t>
  </si>
  <si>
    <t>TRM aplicada:</t>
  </si>
  <si>
    <t>Rubro de ingreso</t>
  </si>
  <si>
    <t>Ingresos reales reportados</t>
  </si>
  <si>
    <t>MRR base</t>
  </si>
  <si>
    <t>Logos nuevos (MRR)</t>
  </si>
  <si>
    <t>One-off (implementación / interop.)</t>
  </si>
  <si>
    <t>Innovación</t>
  </si>
  <si>
    <t>Up/Cross selling (NRR)</t>
  </si>
  <si>
    <t>MRR Internacional</t>
  </si>
  <si>
    <t>One-off Internacional</t>
  </si>
  <si>
    <t>Churn (-)</t>
  </si>
  <si>
    <t>Contracción (-)</t>
  </si>
  <si>
    <t>Total ingresos consolidado</t>
  </si>
  <si>
    <t>TRM original: 4,000</t>
  </si>
  <si>
    <t>Versión original del presupuesto presentado en enero. Esta es la base histórica contra la cual se mide el desempeño en la sección 4.</t>
  </si>
  <si>
    <t>Equivalencia: presupuesto original Enero valorado a la tasa actual (3,690 COP/USD)</t>
  </si>
  <si>
    <t>El presupuesto original Enero fue construido a TRM 4,000. A continuación se muestra cómo cambian las cifras anuales si se revaluaran a la tasa actual de 3,690 (las mismas COP a una tasa menor producen más USD).</t>
  </si>
  <si>
    <t>Ppto Enero @ 4,000</t>
  </si>
  <si>
    <t>Ppto Enero @ 3,690</t>
  </si>
  <si>
    <t>Diferencia $</t>
  </si>
  <si>
    <t>Diferencia %</t>
  </si>
  <si>
    <t>Todas las cifras en COP. Presupuesto original Enero convertido a pesos con TRM 4,000 COP/USD. Real y presupuesto ajustado convertidos con TRM 3,690 COP/USD.</t>
  </si>
  <si>
    <t>Real Ene-Abr + proyección May-Dic actualizada del Modelo Base, valorado en COP a TRM 3,690.</t>
  </si>
  <si>
    <t>Presupuesto consolidado de ingresos 2026 (versión actualizada) desglosado por rubro: MRR base, logos nuevos, innovación, up/cross selling, internacional y ajustes. Cifras en COP, convertidas con TRM 3,690 (vinculada a Inputs!C6). Datos fuente: hoja 'Consol. Pptos'.</t>
  </si>
  <si>
    <t xml:space="preserve"> </t>
  </si>
  <si>
    <t>Coco Tecnologías — Modelo Financiero 3 Estados</t>
  </si>
  <si>
    <t>Dic-25</t>
  </si>
  <si>
    <t>Feb-26</t>
  </si>
  <si>
    <t>Mar-26</t>
  </si>
  <si>
    <t>Abr-26</t>
  </si>
  <si>
    <t>May-26</t>
  </si>
  <si>
    <t>Jun-26</t>
  </si>
  <si>
    <t>Jul-26</t>
  </si>
  <si>
    <t>Ago-26</t>
  </si>
  <si>
    <t>Sep-26</t>
  </si>
  <si>
    <t>Oct-26</t>
  </si>
  <si>
    <t>Nov-26</t>
  </si>
  <si>
    <t>Dic-26</t>
  </si>
  <si>
    <t>SUPUESTOS Y DRIVERS (COP)</t>
  </si>
  <si>
    <t>Cifras en pesos colombianos. Fuente: INPUTS + EEFF reales Feb/Mar-26</t>
  </si>
  <si>
    <t>Tasa de Cambio (COP/USD)</t>
  </si>
  <si>
    <t>TRM</t>
  </si>
  <si>
    <t>Tasa de Impuestos</t>
  </si>
  <si>
    <t>% Estatutario</t>
  </si>
  <si>
    <t>Drivers del Estado de Resultados</t>
  </si>
  <si>
    <t>Total COP</t>
  </si>
  <si>
    <t>Total USD</t>
  </si>
  <si>
    <t>Ingresos Mensuales (COP)</t>
  </si>
  <si>
    <t>fuente: P&amp;L</t>
  </si>
  <si>
    <t>Costo de Ventas Mensual (COP)</t>
  </si>
  <si>
    <t>Gastos Administrativos (COP)</t>
  </si>
  <si>
    <t>Gastos de Ventas (COP)</t>
  </si>
  <si>
    <t>Gastos Operativos/Proyectos (COP)</t>
  </si>
  <si>
    <t>Ingresos No Operacionales (COP)</t>
  </si>
  <si>
    <t>Gastos No Operacionales (COP)</t>
  </si>
  <si>
    <t>3 Escenarios de Ingresos</t>
  </si>
  <si>
    <t xml:space="preserve">Conservador </t>
  </si>
  <si>
    <t>Drivers del Balance General</t>
  </si>
  <si>
    <t>Préstamo Intercompany - Coco Delaware</t>
  </si>
  <si>
    <t>DSO (Días de Cobro)</t>
  </si>
  <si>
    <t>Días</t>
  </si>
  <si>
    <t>Prestamista</t>
  </si>
  <si>
    <t>Nombre</t>
  </si>
  <si>
    <t>DPO (Días de Pago)</t>
  </si>
  <si>
    <t>Fondos USA disponibles</t>
  </si>
  <si>
    <t>Vida Útil PPE (meses)</t>
  </si>
  <si>
    <t>Meses</t>
  </si>
  <si>
    <t>Cupo máximo Coco Delaware</t>
  </si>
  <si>
    <t>CapEx mensual proyectado (COP)</t>
  </si>
  <si>
    <t>Tasa interés intercompany</t>
  </si>
  <si>
    <t>% anual</t>
  </si>
  <si>
    <t>Impuestos x Pagar (% de Impuestos)</t>
  </si>
  <si>
    <t>Inicio de mecánica</t>
  </si>
  <si>
    <t>Mes</t>
  </si>
  <si>
    <t>Caja mínima operativa (COP)</t>
  </si>
  <si>
    <t>Saldos Iniciales (Dic-25, COP)</t>
  </si>
  <si>
    <t>Efectivo</t>
  </si>
  <si>
    <t>CxC Clientes</t>
  </si>
  <si>
    <t>Otros Deudores</t>
  </si>
  <si>
    <t>PPE (neto)</t>
  </si>
  <si>
    <t>Intangibles</t>
  </si>
  <si>
    <t>CxP Proveedores</t>
  </si>
  <si>
    <t>CxP Socios/Terceros</t>
  </si>
  <si>
    <t>Impuestos x Pagar</t>
  </si>
  <si>
    <t>Obligaciones Laborales</t>
  </si>
  <si>
    <t>Obligaciones Financieras</t>
  </si>
  <si>
    <t>Capital Social + Superávit</t>
  </si>
  <si>
    <t>Utilidades Acumuladas</t>
  </si>
  <si>
    <t>Estado de Resultados (COP)</t>
  </si>
  <si>
    <t>TOTAL 2026</t>
  </si>
  <si>
    <t>Ingresos Operacionales</t>
  </si>
  <si>
    <t>Utilidad Bruta</t>
  </si>
  <si>
    <t xml:space="preserve">  Margen Bruto %</t>
  </si>
  <si>
    <t>Gastos Administrativos</t>
  </si>
  <si>
    <t>Gastos de Ventas</t>
  </si>
  <si>
    <t>Gastos Operativos/Proyectos</t>
  </si>
  <si>
    <t>(-) Depreciación y Amortización</t>
  </si>
  <si>
    <t>EBIT (Utilidad Operativa)</t>
  </si>
  <si>
    <t xml:space="preserve">  Margen EBIT %</t>
  </si>
  <si>
    <t>Ingresos No Operacionales</t>
  </si>
  <si>
    <t>Gastos No Operacionales</t>
  </si>
  <si>
    <t>Utilidad Antes de Impuestos (UAI)</t>
  </si>
  <si>
    <t>Impuesto de Renta</t>
  </si>
  <si>
    <t>Utilidad Neta</t>
  </si>
  <si>
    <t xml:space="preserve">  Margen Neto %</t>
  </si>
  <si>
    <t>Balance General (COP)</t>
  </si>
  <si>
    <t>ACTIVOS</t>
  </si>
  <si>
    <t>Total Activos Corrientes</t>
  </si>
  <si>
    <t>TOTAL ACTIVOS</t>
  </si>
  <si>
    <t>PASIVOS</t>
  </si>
  <si>
    <t>Obligaciones Financieras / Tarjetas + CxP Relacionada Coco Delaware</t>
  </si>
  <si>
    <t>Total Pasivos Corrientes</t>
  </si>
  <si>
    <t>CxP Socios/Terceros (pasivo no corriente)</t>
  </si>
  <si>
    <t>Total Pasivos No Corrientes</t>
  </si>
  <si>
    <t>TOTAL PASIVOS</t>
  </si>
  <si>
    <t>Verificación Balance (Activos - Pasivos+Patrimonio)</t>
  </si>
  <si>
    <t>Capital de Trabajo — Balance y cuentas operativas (COP)</t>
  </si>
  <si>
    <t>Activos Corrientes Operativos</t>
  </si>
  <si>
    <t xml:space="preserve">  CxC Clientes</t>
  </si>
  <si>
    <t xml:space="preserve">  Inversiones</t>
  </si>
  <si>
    <t xml:space="preserve">  Otros Deudores</t>
  </si>
  <si>
    <t>Total Activos Corrientes Op.</t>
  </si>
  <si>
    <t>Pasivos Corrientes Operativos</t>
  </si>
  <si>
    <t xml:space="preserve">  CxP Proveedores</t>
  </si>
  <si>
    <t xml:space="preserve">  Impuestos x Pagar</t>
  </si>
  <si>
    <t>Total Pasivos Corrientes Op.</t>
  </si>
  <si>
    <t>Capital de Trabajo Neto (incl. inversiones y otros deudores)</t>
  </si>
  <si>
    <t>Schedule PP&amp;E / Activos Fijos (COP)</t>
  </si>
  <si>
    <t>PP&amp;E Inicio de Periodo</t>
  </si>
  <si>
    <t>CapEx / Adiciones (Disposiciones)</t>
  </si>
  <si>
    <t>(-) Depreciación</t>
  </si>
  <si>
    <t>PP&amp;E Neto, Fin de Periodo</t>
  </si>
  <si>
    <t>Estructura de Capital (COP)</t>
  </si>
  <si>
    <t>Obligaciones Financieras / Tarjetas</t>
  </si>
  <si>
    <t>Saldo Inicio de Periodo</t>
  </si>
  <si>
    <t>Adiciones (Pagos)</t>
  </si>
  <si>
    <t>Obligaciones Financieras, Fin de Periodo</t>
  </si>
  <si>
    <t>Tasa / Intereses de Deuda</t>
  </si>
  <si>
    <t>Interés CxP Coco Delaware (0%)</t>
  </si>
  <si>
    <t>Interés Obligaciones Financieras / Tarjetas</t>
  </si>
  <si>
    <t>Total Intereses</t>
  </si>
  <si>
    <t>CxP Relacionada Coco Delaware / Cash Sweep</t>
  </si>
  <si>
    <t>Desembolso Coco Delaware por faltante de caja</t>
  </si>
  <si>
    <t>Repago Coco Delaware vía cash sweep</t>
  </si>
  <si>
    <t>CxP Coco Delaware, Fin de Periodo</t>
  </si>
  <si>
    <t>Capitalizaciones (Reducciones)</t>
  </si>
  <si>
    <t>Capital, Fin de Periodo</t>
  </si>
  <si>
    <t>Utilidades Acumuladas (RE)</t>
  </si>
  <si>
    <t>Dividendos</t>
  </si>
  <si>
    <t>RE, Fin de Periodo</t>
  </si>
  <si>
    <t>Flujo de Caja (COP)</t>
  </si>
  <si>
    <t>Actividades Operativas</t>
  </si>
  <si>
    <t>Cambios en Capital de Trabajo (desde schedule):</t>
  </si>
  <si>
    <t xml:space="preserve">  Δ Cuentas por Cobrar</t>
  </si>
  <si>
    <t xml:space="preserve">  Δ Cuentas por Pagar</t>
  </si>
  <si>
    <t xml:space="preserve">  Δ Impuestos x Pagar</t>
  </si>
  <si>
    <t xml:space="preserve">  Depreciación (suma)</t>
  </si>
  <si>
    <t>Flujo Operativo</t>
  </si>
  <si>
    <t>Actividades de Inversión</t>
  </si>
  <si>
    <t xml:space="preserve">  Inversiones de Capital (CapEx)</t>
  </si>
  <si>
    <t>Actividades de Financiamiento</t>
  </si>
  <si>
    <t>Movimiento neto de deuda y relacionadas — disclosure / no usar directamente en caja antes de sweep May-Dic</t>
  </si>
  <si>
    <t xml:space="preserve">  Dividendos</t>
  </si>
  <si>
    <t xml:space="preserve">  Emisión de Capital</t>
  </si>
  <si>
    <t>Caja Inicio de Mes</t>
  </si>
  <si>
    <t>Cambio en Caja antes de Cash Sweep</t>
  </si>
  <si>
    <t>Caja antes de Cash Sweep</t>
  </si>
  <si>
    <t>Cash Sweep Coco Delaware / Caja Final (COP)</t>
  </si>
  <si>
    <t>Caja mínima operativa</t>
  </si>
  <si>
    <t>Exceso de caja antes de sweep</t>
  </si>
  <si>
    <t>Faltante de caja antes de sweep</t>
  </si>
  <si>
    <t>Caja fin de mes post cash sweep</t>
  </si>
  <si>
    <t>Gráficas y Datos (COP)</t>
  </si>
  <si>
    <t>Cifras en millones COP salvo que se indique lo contrario</t>
  </si>
  <si>
    <t>Estado de Resultados</t>
  </si>
  <si>
    <t xml:space="preserve">  Margen Neto</t>
  </si>
  <si>
    <t>Flujo de Caja</t>
  </si>
  <si>
    <t>Operativo</t>
  </si>
  <si>
    <t>Inversión</t>
  </si>
  <si>
    <t>Financiamiento</t>
  </si>
  <si>
    <t>Cambio en Caja</t>
  </si>
  <si>
    <t>Schedule Capital de Trabajo — driver Balance/CFS (COP)</t>
  </si>
  <si>
    <t>Fuente proyectada: CxC, CxP e impuestos; CFS lee este schedule</t>
  </si>
  <si>
    <t>Saldos Working Capital</t>
  </si>
  <si>
    <t>CxC Clientes (AR)</t>
  </si>
  <si>
    <t>CxP Proveedores (AP)</t>
  </si>
  <si>
    <t>Capital de Trabajo Operativo Driver-Based</t>
  </si>
  <si>
    <t>Cambios en WC (impacto en caja)</t>
  </si>
  <si>
    <t>Δ CxC Clientes (uso si ↑)</t>
  </si>
  <si>
    <t>Δ CxP Proveedores (fuente si ↑)</t>
  </si>
  <si>
    <t>Δ Impuestos x Pagar (fuente si ↑)</t>
  </si>
  <si>
    <t>Cambio Total WC</t>
  </si>
  <si>
    <t>Check: WC Balance vs WC usado en CFS</t>
  </si>
  <si>
    <t>Check WC Balance - CFS</t>
  </si>
  <si>
    <t>CASH CONVERSION CYCLE (CCC)</t>
  </si>
  <si>
    <t>Anual 2026</t>
  </si>
  <si>
    <t>DSO, DPO y CCC mensuales (30 días) — promedios de AR/AP entre cierres</t>
  </si>
  <si>
    <t>(365 días)</t>
  </si>
  <si>
    <t>DSO — Días de Cobro</t>
  </si>
  <si>
    <t>DPO — Días de Pago</t>
  </si>
  <si>
    <t>Cash Conversion Cycle (DSO − DPO)</t>
  </si>
  <si>
    <t>3 FINANCIAL STATEMENTS — USD</t>
  </si>
  <si>
    <t>All figures in USD. Source: Revenue sheet + P&amp;L USD</t>
  </si>
  <si>
    <t>ASSUMPTIONS &amp; DRIVERS (USD)</t>
  </si>
  <si>
    <t>FX Rate (COP/USD)</t>
  </si>
  <si>
    <t>Tax Rate</t>
  </si>
  <si>
    <t>Income Statement Drivers</t>
  </si>
  <si>
    <t>Revenue Monthly (USD)</t>
  </si>
  <si>
    <t>COGS Monthly (USD)</t>
  </si>
  <si>
    <t>Op Admin Expenses (USD)</t>
  </si>
  <si>
    <t>Op Sales Expenses (USD)</t>
  </si>
  <si>
    <t>Op Project Expenses (USD)</t>
  </si>
  <si>
    <t>Non-Operating Income (USD)</t>
  </si>
  <si>
    <t>Non-Operating Expenses (USD)</t>
  </si>
  <si>
    <t>Balance Sheet Drivers</t>
  </si>
  <si>
    <t>DSO (Days Sales Outstanding)</t>
  </si>
  <si>
    <t>DPO (Days Payable Outstanding)</t>
  </si>
  <si>
    <t>Depreciation (% of Revenue)</t>
  </si>
  <si>
    <t>PP&amp;E Turnover</t>
  </si>
  <si>
    <t>Tax Payable (% of Taxes)</t>
  </si>
  <si>
    <t>Initial Balances (Dec-25, USD)</t>
  </si>
  <si>
    <t>Cash</t>
  </si>
  <si>
    <t>Trade Receivables (AR)</t>
  </si>
  <si>
    <t>Investments</t>
  </si>
  <si>
    <t>Other Receivables</t>
  </si>
  <si>
    <t>PP&amp;E (net)</t>
  </si>
  <si>
    <t>Trade Payables (AP)</t>
  </si>
  <si>
    <t>CxP Socios (LP)</t>
  </si>
  <si>
    <t>Tax Payable</t>
  </si>
  <si>
    <t>Labor Obligations</t>
  </si>
  <si>
    <t>Financial Obligations / Cards</t>
  </si>
  <si>
    <t>Capital + Paid-In Surplus</t>
  </si>
  <si>
    <t>Retained Earnings</t>
  </si>
  <si>
    <t>Income Statement (USD)</t>
  </si>
  <si>
    <t>Revenue</t>
  </si>
  <si>
    <t>Cost of Goods Sold</t>
  </si>
  <si>
    <t>Gross Profit</t>
  </si>
  <si>
    <t xml:space="preserve">  Gross Margin %</t>
  </si>
  <si>
    <t>Operating Admin Expenses</t>
  </si>
  <si>
    <t>Operating Sales Expenses</t>
  </si>
  <si>
    <t>Operating Project Expenses</t>
  </si>
  <si>
    <t>(-) Depreciation &amp; Amortization</t>
  </si>
  <si>
    <t>EBIT (Operating Income)</t>
  </si>
  <si>
    <t xml:space="preserve">  EBIT Margin %</t>
  </si>
  <si>
    <t>Non-Operating Income</t>
  </si>
  <si>
    <t>Non-Operating Expenses</t>
  </si>
  <si>
    <t>Earnings Before Taxes (EBT)</t>
  </si>
  <si>
    <t>Income Tax</t>
  </si>
  <si>
    <t>Net Income</t>
  </si>
  <si>
    <t xml:space="preserve">  Net Margin %</t>
  </si>
  <si>
    <t>Balance Sheet (USD)</t>
  </si>
  <si>
    <t>ASSETS</t>
  </si>
  <si>
    <t>Trade Receivables</t>
  </si>
  <si>
    <t>Total Current Assets</t>
  </si>
  <si>
    <t>TOTAL ASSETS</t>
  </si>
  <si>
    <t>LIABILITIES</t>
  </si>
  <si>
    <t>Financial Obligations / Cards + Coco Delaware Payable</t>
  </si>
  <si>
    <t>Trade Payables</t>
  </si>
  <si>
    <t>Total Current Liabilities</t>
  </si>
  <si>
    <t>Shareholder/Third-Party Payables (Non-current)</t>
  </si>
  <si>
    <t>Total Liabilities</t>
  </si>
  <si>
    <t>EQUITY</t>
  </si>
  <si>
    <t>Total Equity</t>
  </si>
  <si>
    <t>Total Liabilities &amp; Equity</t>
  </si>
  <si>
    <t>Balance Sheet Check</t>
  </si>
  <si>
    <t>Working Capital (USD - linked from COP)</t>
  </si>
  <si>
    <t>Operating Current Assets</t>
  </si>
  <si>
    <t xml:space="preserve">  Trade Receivables</t>
  </si>
  <si>
    <t xml:space="preserve">  Investments</t>
  </si>
  <si>
    <t xml:space="preserve">  Other Receivables</t>
  </si>
  <si>
    <t>Total Operating Current Assets</t>
  </si>
  <si>
    <t>Operating Current Liabilities</t>
  </si>
  <si>
    <t xml:space="preserve">  Trade Payables</t>
  </si>
  <si>
    <t xml:space="preserve">  Tax Payable</t>
  </si>
  <si>
    <t>Total Operating Current Liabilities</t>
  </si>
  <si>
    <t>Net Working Capital</t>
  </si>
  <si>
    <t>PP&amp;E Schedule (USD - linked from COP)</t>
  </si>
  <si>
    <t>PP&amp;E Beginning of Period</t>
  </si>
  <si>
    <t>CapEx / Additions (Disposals)</t>
  </si>
  <si>
    <t>(-) Depreciation</t>
  </si>
  <si>
    <t>Net PP&amp;E, End of Period</t>
  </si>
  <si>
    <t>Capital Structure (USD)</t>
  </si>
  <si>
    <t>Beginning of Period</t>
  </si>
  <si>
    <t>Additions (Repayments)</t>
  </si>
  <si>
    <t>LTD, End of Period</t>
  </si>
  <si>
    <t>LTD Interest (Average Debt)</t>
  </si>
  <si>
    <t>Long-Term Debt Interest</t>
  </si>
  <si>
    <t>Total Interest</t>
  </si>
  <si>
    <t>Short-Term Debt</t>
  </si>
  <si>
    <t>Short-Term Debt, End of Period</t>
  </si>
  <si>
    <t>Common Stock + Paid-In Capital</t>
  </si>
  <si>
    <t>Issuance (Reductions)</t>
  </si>
  <si>
    <t>Common Stock, End of Period</t>
  </si>
  <si>
    <t>Retained Earnings (RE)</t>
  </si>
  <si>
    <t>Dividends</t>
  </si>
  <si>
    <t>RE, End of Period</t>
  </si>
  <si>
    <t>Cash Flow Statement (USD)</t>
  </si>
  <si>
    <t>=S342</t>
  </si>
  <si>
    <t>Operating Activities</t>
  </si>
  <si>
    <t>Changes in Working Capital (USD - from COP CFS)</t>
  </si>
  <si>
    <t xml:space="preserve">  Δ Trade Receivables</t>
  </si>
  <si>
    <t xml:space="preserve">  Δ Trade Payables</t>
  </si>
  <si>
    <t xml:space="preserve">  Δ Tax Payable</t>
  </si>
  <si>
    <t xml:space="preserve">  Depreciation (add-back)</t>
  </si>
  <si>
    <t>Cash from Operations</t>
  </si>
  <si>
    <t>Investing Activities</t>
  </si>
  <si>
    <t xml:space="preserve">  Capital Expenditures (CapEx)</t>
  </si>
  <si>
    <t>Financing Activities</t>
  </si>
  <si>
    <t xml:space="preserve">  Net Debt Issued (Repaid)</t>
  </si>
  <si>
    <t xml:space="preserve">  Dividends</t>
  </si>
  <si>
    <t xml:space="preserve">  Common Stock Issuance</t>
  </si>
  <si>
    <t>Cash, Beginning of Period</t>
  </si>
  <si>
    <t>Change in Cash</t>
  </si>
  <si>
    <t>Cash, End of Period</t>
  </si>
  <si>
    <t>Total Available Cash (USD)</t>
  </si>
  <si>
    <t>Cash from Operations (CocoTech)</t>
  </si>
  <si>
    <t>Subsidiary Cash (USD)</t>
  </si>
  <si>
    <t>Total Available Cash</t>
  </si>
  <si>
    <t>Charts &amp; Data (USD)</t>
  </si>
  <si>
    <t>All figures in USD thousands unless stated</t>
  </si>
  <si>
    <t>Income Statement</t>
  </si>
  <si>
    <t xml:space="preserve">  EBITDA Margin</t>
  </si>
  <si>
    <t xml:space="preserve">  Net Margin</t>
  </si>
  <si>
    <t>Cash Flow</t>
  </si>
  <si>
    <t>Operating</t>
  </si>
  <si>
    <t>Investing</t>
  </si>
  <si>
    <t>Financing</t>
  </si>
  <si>
    <t>FLUJO DE CAJA 2026 (COP millones)</t>
  </si>
  <si>
    <t>Cambio Neto</t>
  </si>
  <si>
    <t>Caja Fin Mes</t>
  </si>
  <si>
    <t>Caja Subsidiaria</t>
  </si>
  <si>
    <t>Caja Total</t>
  </si>
  <si>
    <t>Auditoría caja / cash sweep (COP)</t>
  </si>
  <si>
    <t>Métrica</t>
  </si>
  <si>
    <t>Total / Check</t>
  </si>
  <si>
    <t>Check Caja Mínima = Caja Final - Caja Mínima</t>
  </si>
  <si>
    <t>Estado caja mínima post-sweep</t>
  </si>
  <si>
    <t>Déficit vs caja mínima (si aplica)</t>
  </si>
  <si>
    <t>Check caja Balance vs Flujo</t>
  </si>
  <si>
    <t>Check WC CFS vs schedule</t>
  </si>
  <si>
    <t>Check fórmula cash sweep</t>
  </si>
  <si>
    <t>Cupo adicional requerido para cumplir caja mínima</t>
  </si>
  <si>
    <t>Puente ejecutivo de caja (COP)</t>
  </si>
  <si>
    <t>+ Depreciación y amortización</t>
  </si>
  <si>
    <t>+/- Cambio en cuentas por cobrar</t>
  </si>
  <si>
    <t>+/- Cambio en cuentas por pagar</t>
  </si>
  <si>
    <t>+/- Cambio en impuestos por pagar</t>
  </si>
  <si>
    <t>Flujo de caja operativo</t>
  </si>
  <si>
    <t>- CapEx</t>
  </si>
  <si>
    <t>+/- Otros movimientos de financiación / patrimonio antes sweep</t>
  </si>
  <si>
    <t>Cambio de caja antes de cash sweep</t>
  </si>
  <si>
    <t>+ Desembolsos Coco Delaware</t>
  </si>
  <si>
    <t>- Repagos Coco Delaware</t>
  </si>
  <si>
    <t>Cambio neto de caja post cash sweep</t>
  </si>
  <si>
    <t>Caja final post cash sweep</t>
  </si>
  <si>
    <t>Notas de auditoría cash sweep / Coco Delaware</t>
  </si>
  <si>
    <t>Caja mínima</t>
  </si>
  <si>
    <t>La caja mínima operativa se toma de la fila 183, vinculada a E32.</t>
  </si>
  <si>
    <t>Caja final</t>
  </si>
  <si>
    <t>La caja final post cash sweep se toma de la fila 186.</t>
  </si>
  <si>
    <t>Draw Coco Delaware</t>
  </si>
  <si>
    <t>Si la caja antes del sweep es menor que la caja mínima, el modelo solicita desembolso hasta cubrir el faltante, limitado por el cupo disponible: Draw_t = MIN(Shortfall_t, MaxDebt - DebtBalance_{t-1}).</t>
  </si>
  <si>
    <t>Repago Coco Delaware</t>
  </si>
  <si>
    <t>Si la caja antes del sweep supera la caja mínima, el modelo usa el exceso para repagar deuda, limitado por el saldo adeudado: Repay_t = MIN(ExcessCash_t, DebtBalance_{t-1}+Draw_t).</t>
  </si>
  <si>
    <t>CashFinal_t = CashPreSweep_t + Draw_t - Repay_t. El check de la fila 455 valida esta ecuación para May-Dic 2026.</t>
  </si>
  <si>
    <t>Fila 174</t>
  </si>
  <si>
    <t>La fila 174 muestra movimiento neto de deuda/CxP relacionada; en May-Dic la caja antes de sweep usa deuda financiera y CxP socios/terceros, no el movimiento Coco, para evitar doble conteo.</t>
  </si>
  <si>
    <t>Renombre sugerido</t>
  </si>
  <si>
    <t>Movimiento neto de deuda y relacionadas — disclosure; revisar antes de usar directamente en caja proyectada.</t>
  </si>
  <si>
    <t>WC</t>
  </si>
  <si>
    <t>El check de WC compara CxC + CxP + impuestos del CFS contra el schedule de WC; se evalúa en May-Dic 2026 porque el forecast usa directamente el schedule.</t>
  </si>
  <si>
    <t>Capital de Trabajo Neto</t>
  </si>
  <si>
    <t>Margen Bruto</t>
  </si>
  <si>
    <t>Margen EBITDA</t>
  </si>
  <si>
    <t>Margen Neto</t>
  </si>
  <si>
    <t>COP MM</t>
  </si>
  <si>
    <t>Utilidad Antes de Impuestos</t>
  </si>
  <si>
    <t>Rubro</t>
  </si>
  <si>
    <t>Indicador</t>
  </si>
  <si>
    <t>Comentario</t>
  </si>
  <si>
    <t>COCO Tecnologías — Consolidado Total de Presupuestos 2026</t>
  </si>
  <si>
    <t>Apila las 4 hojas fuente: Ppto Metas · Ppto Intnl · Ppto Consolidado · Datos Intnl. Valores linkeados a las hojas originales.</t>
  </si>
  <si>
    <t>Óptica</t>
  </si>
  <si>
    <t>Ppto Metas</t>
  </si>
  <si>
    <t xml:space="preserve">▸ Salta a:  </t>
  </si>
  <si>
    <t>1. Ppto Metas</t>
  </si>
  <si>
    <t>2. Ppto Intnl</t>
  </si>
  <si>
    <t>3. Ppto Consolidado</t>
  </si>
  <si>
    <t>4. Datos Intnl</t>
  </si>
  <si>
    <t>Ppto Intnl</t>
  </si>
  <si>
    <t>Ppto Consolidado</t>
  </si>
  <si>
    <t>1. PPTO METAS — Escenario objetivo (incluye Enterprise CR 1M USD)</t>
  </si>
  <si>
    <t>Variables principales</t>
  </si>
  <si>
    <t>COP/USD</t>
  </si>
  <si>
    <t>MRR base abril asumido</t>
  </si>
  <si>
    <t>Ingreso real enero</t>
  </si>
  <si>
    <t>Ingreso real febrero</t>
  </si>
  <si>
    <t>Ingreso real marzo</t>
  </si>
  <si>
    <t>Metas 2026 (inputs USD)</t>
  </si>
  <si>
    <t>Ingreso acumulado (referencia)</t>
  </si>
  <si>
    <t>One-off (imp. + interop.)</t>
  </si>
  <si>
    <t xml:space="preserve">   Siesa</t>
  </si>
  <si>
    <t xml:space="preserve">   Indigo</t>
  </si>
  <si>
    <t xml:space="preserve">   Weli</t>
  </si>
  <si>
    <t xml:space="preserve">   Menudeo</t>
  </si>
  <si>
    <t xml:space="preserve">   Clientes &gt; 3mil citas</t>
  </si>
  <si>
    <t xml:space="preserve">   Campañas + bot 2.0</t>
  </si>
  <si>
    <t xml:space="preserve">   COCO Pay</t>
  </si>
  <si>
    <t xml:space="preserve">   Cirugías</t>
  </si>
  <si>
    <t xml:space="preserve">   ChargeBee</t>
  </si>
  <si>
    <t>Up/Cross Selling (NRR)</t>
  </si>
  <si>
    <t xml:space="preserve">   Comfama</t>
  </si>
  <si>
    <t xml:space="preserve">   Maple</t>
  </si>
  <si>
    <t xml:space="preserve">   Otros</t>
  </si>
  <si>
    <t>Enterprise (MRR) CR</t>
  </si>
  <si>
    <t>Proyección mensual COP — Ppto Metas</t>
  </si>
  <si>
    <t>Categoría</t>
  </si>
  <si>
    <t>Actual</t>
  </si>
  <si>
    <t>Base recurrente</t>
  </si>
  <si>
    <t>MRR base (800M plano Abr-Dic)</t>
  </si>
  <si>
    <t>Subtotal logos nuevos</t>
  </si>
  <si>
    <t>Logos nuevos</t>
  </si>
  <si>
    <t>One-off</t>
  </si>
  <si>
    <t>Subtotal innovación</t>
  </si>
  <si>
    <t>Subtotal up/cross selling</t>
  </si>
  <si>
    <t>Up/Cross</t>
  </si>
  <si>
    <t>Enterprise</t>
  </si>
  <si>
    <t>Ajustes</t>
  </si>
  <si>
    <t>Total</t>
  </si>
  <si>
    <t>Total ingresos</t>
  </si>
  <si>
    <t>Proyección mensual USD equivalente — Ppto Metas</t>
  </si>
  <si>
    <t>2. PPTO INTNL — Proyección con embudo USD ponderado por probabilidad</t>
  </si>
  <si>
    <t>Supuestos USD por trimestre</t>
  </si>
  <si>
    <t>Monto USD</t>
  </si>
  <si>
    <t>Probabilidad</t>
  </si>
  <si>
    <t>Distribución</t>
  </si>
  <si>
    <t>Supuestos COP</t>
  </si>
  <si>
    <t>Monto</t>
  </si>
  <si>
    <t>Unidad</t>
  </si>
  <si>
    <t>Variable editable para convertir USD a COP.</t>
  </si>
  <si>
    <t>Embudo MRR Q2</t>
  </si>
  <si>
    <t>Equitativa Abr-Jun</t>
  </si>
  <si>
    <t>OCR mayo</t>
  </si>
  <si>
    <t>Inicio en mayo.</t>
  </si>
  <si>
    <t>Probabilidad Q2</t>
  </si>
  <si>
    <t>Aplica a embudo y cross-selling del Q2.</t>
  </si>
  <si>
    <t>Embudo one-off Q2</t>
  </si>
  <si>
    <t>OCR diciembre</t>
  </si>
  <si>
    <t>Crecimiento lineal hasta diciembre.</t>
  </si>
  <si>
    <t>Probabilidad Q3</t>
  </si>
  <si>
    <t>Aplica a embudo y cross-selling del Q3.</t>
  </si>
  <si>
    <t>Embudo MRR Q3</t>
  </si>
  <si>
    <t>Equitativa Jul-Sep</t>
  </si>
  <si>
    <t>Campañas Q3</t>
  </si>
  <si>
    <t>Equitativa Jul-Sep.</t>
  </si>
  <si>
    <t>Probabilidad Q4</t>
  </si>
  <si>
    <t>Aplica al embudo del Q4.</t>
  </si>
  <si>
    <t>Embudo one-off Q3</t>
  </si>
  <si>
    <t>Campañas Q4</t>
  </si>
  <si>
    <t>Equitativa Oct-Dic.</t>
  </si>
  <si>
    <t>One-off facturado marzo a restar</t>
  </si>
  <si>
    <t>Embudo MRR Q4</t>
  </si>
  <si>
    <t>Equitativa Oct-Dic</t>
  </si>
  <si>
    <t>Ingresos reales enero</t>
  </si>
  <si>
    <t>Dato suministrado por el usuario.</t>
  </si>
  <si>
    <t>Ingreso real marzo reportado</t>
  </si>
  <si>
    <t>Embudo one-off Q4</t>
  </si>
  <si>
    <t>Ingresos reales febrero</t>
  </si>
  <si>
    <t>MRR mínimo estimado abril</t>
  </si>
  <si>
    <t>Cross-selling MRR Q2</t>
  </si>
  <si>
    <t>Cross-selling one-off Q2</t>
  </si>
  <si>
    <t>Cross-selling MRR Q3</t>
  </si>
  <si>
    <t>Cross-selling one-off Q3</t>
  </si>
  <si>
    <t>Upselling MRR</t>
  </si>
  <si>
    <t>N/A</t>
  </si>
  <si>
    <t>Sin ingresos incluidos.</t>
  </si>
  <si>
    <t>Upselling one-off</t>
  </si>
  <si>
    <t>Proyección mensual COP — Ppto Intnl</t>
  </si>
  <si>
    <t>MRR base mínimo estimado</t>
  </si>
  <si>
    <t>Internacional</t>
  </si>
  <si>
    <t>MRR internacional</t>
  </si>
  <si>
    <t>One-off internacional</t>
  </si>
  <si>
    <t>Embudo USD</t>
  </si>
  <si>
    <t>Embudo MRR ponderado</t>
  </si>
  <si>
    <t>Embudo one-off ponderado</t>
  </si>
  <si>
    <t>Cross-selling USD</t>
  </si>
  <si>
    <t>Cross-selling MRR ponderado</t>
  </si>
  <si>
    <t>Cross-selling one-off ponderado</t>
  </si>
  <si>
    <t>Upselling USD</t>
  </si>
  <si>
    <t>Upselling MRR ponderado</t>
  </si>
  <si>
    <t>Upselling one-off ponderado</t>
  </si>
  <si>
    <t>OCR</t>
  </si>
  <si>
    <t>Campañas</t>
  </si>
  <si>
    <t>Proyección mensual USD equivalente — Ppto Intnl</t>
  </si>
  <si>
    <t>3. PPTO CONSOLIDADO — MRR base + Metas (sin Enterprise) + Internacional</t>
  </si>
  <si>
    <t>Ingreso real abril</t>
  </si>
  <si>
    <t>Metas 2026 (inputs USD, sin Enterprise)</t>
  </si>
  <si>
    <t>Subtotal Metas (sin Enterprise)</t>
  </si>
  <si>
    <t>Proyección mensual COP — Ppto Consolidado</t>
  </si>
  <si>
    <t>MRR Internacional (de Intnl.)</t>
  </si>
  <si>
    <t>One-off Internacional (de Intnl.)</t>
  </si>
  <si>
    <t>Proyección mensual USD — Ppto Consolidado</t>
  </si>
  <si>
    <t>4. DATOS INTNL — Tabla soporte facturación internacional</t>
  </si>
  <si>
    <t>Fecha inicio facturación</t>
  </si>
  <si>
    <t>MRR mensual (USD)</t>
  </si>
  <si>
    <t>One-off implementación/interoperabilidad (USD)</t>
  </si>
  <si>
    <t>Modelo Base</t>
  </si>
  <si>
    <t>Gastos de ventas</t>
  </si>
  <si>
    <t>DSO</t>
  </si>
  <si>
    <t>FCF Burn</t>
  </si>
  <si>
    <t>Pre-WC Burn</t>
  </si>
  <si>
    <t>Lectura</t>
  </si>
  <si>
    <t>COP MM / mes</t>
  </si>
  <si>
    <t>Ppto USD MM</t>
  </si>
  <si>
    <t>Ejec. USD MM</t>
  </si>
  <si>
    <t>Gap USD MM</t>
  </si>
  <si>
    <t>Ppto COP MM</t>
  </si>
  <si>
    <t>Ejec. COP MM</t>
  </si>
  <si>
    <t>Gap COP MM</t>
  </si>
  <si>
    <t>USD k</t>
  </si>
  <si>
    <t>Este mes explica el burn del periodo.</t>
  </si>
  <si>
    <t>FCF positivo; solo se ve presión en la vista pre-WC.</t>
  </si>
  <si>
    <t>Cumplimiento %</t>
  </si>
  <si>
    <t>Estado</t>
  </si>
  <si>
    <t>COCO TECNOLOGÍAS — P&amp;L × 3 Escenarios 2026</t>
  </si>
  <si>
    <t>Inflación</t>
  </si>
  <si>
    <t>Tasa de Cambio</t>
  </si>
  <si>
    <t>P&amp;L 2026 — Monthly (Level 4) — Phase 1: Revenue lines (COP &amp; USD)</t>
  </si>
  <si>
    <t>PUC</t>
  </si>
  <si>
    <t>Account</t>
  </si>
  <si>
    <t>Currency</t>
  </si>
  <si>
    <t>4170</t>
  </si>
  <si>
    <t>Otras actividades de servicios comunitarios, sociales y personales</t>
  </si>
  <si>
    <t>Ponderador Mensual</t>
  </si>
  <si>
    <t>Cifra 2025</t>
  </si>
  <si>
    <t>Cifra 2026</t>
  </si>
  <si>
    <t>Moneda COP</t>
  </si>
  <si>
    <t>Mano de Obra Directa</t>
  </si>
  <si>
    <t>Operacionales de Desarrollo</t>
  </si>
  <si>
    <t>Operacionales de Administración</t>
  </si>
  <si>
    <t>Gastos de Personal</t>
  </si>
  <si>
    <t>Otros Gastos de Administración Operacionales</t>
  </si>
  <si>
    <t>Operacionales de Ventas</t>
  </si>
  <si>
    <t xml:space="preserve">Honorarios </t>
  </si>
  <si>
    <t>Otros Gastos de Ventas Operacionales</t>
  </si>
  <si>
    <t>Utilidad Operacional</t>
  </si>
  <si>
    <t>Objetivo de Ingresos</t>
  </si>
  <si>
    <t>Moneda USD</t>
  </si>
  <si>
    <t>Ingresos operacionales (Total)</t>
  </si>
  <si>
    <t>Utilidad Operacional / EBITDA</t>
  </si>
  <si>
    <t>Margen Ebitda</t>
  </si>
  <si>
    <t>Utilidad Antes de Impuestos / EBT</t>
  </si>
  <si>
    <t>SUPUESTOS DE ESCENARIOS</t>
  </si>
  <si>
    <t>Base (USD)</t>
  </si>
  <si>
    <t>Optimista (USD)</t>
  </si>
  <si>
    <t>Pesimista (USD)</t>
  </si>
  <si>
    <t>RIESGOS CLAVE</t>
  </si>
  <si>
    <t>1. TRM fija en $4,000 — sin cobertura cambiaria</t>
  </si>
  <si>
    <t>2. Costos presupuestados 100% fijos (inflación 5.1%)</t>
  </si>
  <si>
    <t>3. New Biz Gob/Enterprise ($1M) sin pipeline detallado</t>
  </si>
  <si>
    <t>4. No hay inversión incremental para soportar crecimiento 2.5x</t>
  </si>
  <si>
    <t>5. Churn asumido bajo (0.5%/mes) — sensible a calidad de servicio</t>
  </si>
  <si>
    <t>6. Estacionalidad basada en 2025 — puede variar</t>
  </si>
  <si>
    <t>Nota: Los % de variación (en azul) son editables. Los costos varían proporcionalmente al ingreso en cada escenario.</t>
  </si>
  <si>
    <t>DATA BRIDGE — Referencias locales (PYG &amp; SalesPlan)</t>
  </si>
  <si>
    <t>New Biz Gob/Enterprise</t>
  </si>
  <si>
    <t>Ingresos Base (Total)</t>
  </si>
  <si>
    <t>Ing. no Operacionales</t>
  </si>
  <si>
    <t>Gasto no Operacionales</t>
  </si>
  <si>
    <t>Impuestos Base</t>
  </si>
  <si>
    <t>Ingresos operacionales</t>
  </si>
  <si>
    <t>COP May</t>
  </si>
  <si>
    <t>ACTIVO</t>
  </si>
  <si>
    <t>ACTIVOS CORRIENTES</t>
  </si>
  <si>
    <t>ACTIVOS NO CORRIENTES</t>
  </si>
  <si>
    <t>PASIVO</t>
  </si>
  <si>
    <t>PASIVO CORRIENTE</t>
  </si>
  <si>
    <t xml:space="preserve">   Proveedores</t>
  </si>
  <si>
    <t xml:space="preserve">   Cuentas por pagar a terceros</t>
  </si>
  <si>
    <t>PASIVO NO CORRIENTE</t>
  </si>
  <si>
    <t>Total pasivo no corriente</t>
  </si>
  <si>
    <t>Ene-Abr</t>
  </si>
  <si>
    <t>Mayo</t>
  </si>
  <si>
    <t>Acum Jun PDF</t>
  </si>
  <si>
    <t>COP Jun</t>
  </si>
  <si>
    <t>Ene-May</t>
  </si>
  <si>
    <t>Junio</t>
  </si>
  <si>
    <t>Acumulado Ene-Jun. FCF neto total incluye junio.</t>
  </si>
  <si>
    <t>Promedio 3M (Abr-Jun) usado para runway.</t>
  </si>
  <si>
    <t>(−) Aumento de Clientes (CxC)</t>
  </si>
  <si>
    <t>(−) Aumento otros deudores/anticipos</t>
  </si>
  <si>
    <t>(−) Pago a proveedores</t>
  </si>
  <si>
    <t>(+/−) Δ Impuestos por pagar</t>
  </si>
  <si>
    <t>(−) Pago obligaciones laborales</t>
  </si>
  <si>
    <t>(+) Venta de inversiones (fiducia)</t>
  </si>
  <si>
    <t>Liquidación para cubrir caja</t>
  </si>
  <si>
    <t>(−) CapEx (Δ PPE neto)</t>
  </si>
  <si>
    <t>(−) Pago tarjetas / oblig. financieras</t>
  </si>
  <si>
    <t>(+/−) Movimiento neto con socios</t>
  </si>
  <si>
    <t>Sensibilidad: caja según días de cobro (DSO clientes)</t>
  </si>
  <si>
    <t>CxC clientes actual</t>
  </si>
  <si>
    <t>DSO actual clientes (días)</t>
  </si>
  <si>
    <t>Caja actual</t>
  </si>
  <si>
    <t>DSO objetivo</t>
  </si>
  <si>
    <t>CxC clientes</t>
  </si>
  <si>
    <t>Caja liberada</t>
  </si>
  <si>
    <t>Caja resultante</t>
  </si>
  <si>
    <t>vs mínimo</t>
  </si>
  <si>
    <t>Palanca adicional: recuperación de otros deudores</t>
  </si>
  <si>
    <t>Otros deudores actual</t>
  </si>
  <si>
    <t>% recuperado</t>
  </si>
  <si>
    <t>ID</t>
  </si>
  <si>
    <t>Hoja</t>
  </si>
  <si>
    <t>Informe Accionista</t>
  </si>
  <si>
    <t>fila fuente en Revenue →</t>
  </si>
  <si>
    <t>Moneda EEFF</t>
  </si>
  <si>
    <t>← conmuta moneda e idioma del bloque EEFF (filas 281-301)</t>
  </si>
  <si>
    <t>Enero concentra el mayor FCF burn del periodo.</t>
  </si>
  <si>
    <t>Diferencia (chequeo; tolerancia COP 5)</t>
  </si>
  <si>
    <t>Explicación / lectura para accionistas</t>
  </si>
  <si>
    <t>Caja Colombia</t>
  </si>
  <si>
    <t>Caja EE.UU. convertida</t>
  </si>
  <si>
    <t>Equivalente en pesos de la caja mantenida en Estados Unidos.</t>
  </si>
  <si>
    <t>Escenario conservador, afectado por el consumo extraordinariamente alto registrado en enero.</t>
  </si>
  <si>
    <t>Mensaje clave</t>
  </si>
  <si>
    <t>Saldo de caja mantenido en Estados Unidos.</t>
  </si>
  <si>
    <t>COP / USD</t>
  </si>
  <si>
    <t>Tasa utilizada para convertir la caja de Estados Unidos a pesos colombianos.</t>
  </si>
  <si>
    <t>Ingresos presupuesto</t>
  </si>
  <si>
    <t>Flujo neto de caja</t>
  </si>
  <si>
    <t>Caja total proyectada</t>
  </si>
  <si>
    <t>Estado / explicación</t>
  </si>
  <si>
    <t>Presupuesto anual de ingresos</t>
  </si>
  <si>
    <t>USD MM</t>
  </si>
  <si>
    <t>Presupuesto total de ingresos 2026 incluido en el Modelo Base.</t>
  </si>
  <si>
    <t>Ingresos pendientes del segundo semestre incluidos en la proyección.</t>
  </si>
  <si>
    <t>Runway hasta primer déficit</t>
  </si>
  <si>
    <t>Necesidad máxima temporal de liquidez</t>
  </si>
  <si>
    <t>Caja total proyectada cierre diciembre</t>
  </si>
  <si>
    <t>Conclusión proyectada</t>
  </si>
  <si>
    <t>DASHBOARD FINANCIERO 2026</t>
  </si>
  <si>
    <t>Caja Final</t>
  </si>
  <si>
    <t>Caja Mínima</t>
  </si>
  <si>
    <t>DPO</t>
  </si>
  <si>
    <t>CCC</t>
  </si>
  <si>
    <t>Deuda Financiera</t>
  </si>
  <si>
    <t>CxP Coco Delaware</t>
  </si>
  <si>
    <t>Deuda Total</t>
  </si>
  <si>
    <t>Cuentas por Cobrar</t>
  </si>
  <si>
    <t>Cuentas por Pagar</t>
  </si>
  <si>
    <t>Impuestos por Pagar</t>
  </si>
  <si>
    <t>Cambio Neto de Caja</t>
  </si>
  <si>
    <t>Ciclo de Conversión</t>
  </si>
  <si>
    <t>RESULTADOS Y RENTABILIDAD</t>
  </si>
  <si>
    <t>CAJA, ESCENARIOS Y EFICIENCIA</t>
  </si>
  <si>
    <t>DEUDA Y CAPITAL DE TRABAJO</t>
  </si>
  <si>
    <t>Intereses Totales</t>
  </si>
  <si>
    <t>INGRESOS 2026 (COP MM)</t>
  </si>
  <si>
    <t>EBITDA 2026 (COP MM)</t>
  </si>
  <si>
    <t>MARGEN EBITDA (%)</t>
  </si>
  <si>
    <t>UTILIDAD NETA (COP MM)</t>
  </si>
  <si>
    <t>CAJA FINAL DIC (COP MM)</t>
  </si>
  <si>
    <t>DÉFICIT MÁXIMO (COP MM)</t>
  </si>
  <si>
    <t>COSTOS, LIQUIDEZ Y APALANCAMIENTO</t>
  </si>
  <si>
    <t>Métrica / Unidad</t>
  </si>
  <si>
    <t>Margen Bruto (%)</t>
  </si>
  <si>
    <t>Costo de Ventas (COP MM)</t>
  </si>
  <si>
    <t>Opex Total (COP MM)</t>
  </si>
  <si>
    <t>Déficit vs Caja Mínima (COP MM)</t>
  </si>
  <si>
    <t>Activos Corrientes Op. (COP MM)</t>
  </si>
  <si>
    <t>Pasivos Corrientes Op. (COP MM)</t>
  </si>
  <si>
    <t>Deuda / EBITDA Anual (x)</t>
  </si>
  <si>
    <t>Estado de Resultados Consolidado por Subsidiaria</t>
  </si>
  <si>
    <t>USA</t>
  </si>
  <si>
    <t>PERU</t>
  </si>
  <si>
    <t>COSTA RICA</t>
  </si>
  <si>
    <t>COLOMBIA</t>
  </si>
  <si>
    <t>CONSOLIDADO</t>
  </si>
  <si>
    <t>USD/PEN</t>
  </si>
  <si>
    <t>USD/USD</t>
  </si>
  <si>
    <t>TOTAL USD</t>
  </si>
  <si>
    <t xml:space="preserve">  </t>
  </si>
  <si>
    <t>Ingresos Ordinarios</t>
  </si>
  <si>
    <t>Otros Ingresos</t>
  </si>
  <si>
    <t>Costo del servicio</t>
  </si>
  <si>
    <t>Administracion</t>
  </si>
  <si>
    <t>Ventas</t>
  </si>
  <si>
    <t>Operacion</t>
  </si>
  <si>
    <t>Gastos financieros</t>
  </si>
  <si>
    <t>Utilidad</t>
  </si>
  <si>
    <t>PROINNOVATE — Perú</t>
  </si>
  <si>
    <t>PROINNOVATE</t>
  </si>
  <si>
    <t>Ingresos / desembolsos</t>
  </si>
  <si>
    <t>Gastos asociados</t>
  </si>
  <si>
    <t>Resultado neto</t>
  </si>
  <si>
    <t>CFO Colombia</t>
  </si>
  <si>
    <t>CapEx Colombia</t>
  </si>
  <si>
    <t>Flujo caja internacional</t>
  </si>
  <si>
    <t>FCF / Flujo caja consolidado</t>
  </si>
  <si>
    <t>Cambio neto caja consolidado</t>
  </si>
  <si>
    <t>Consumo neto de caja Colombia del mes</t>
  </si>
  <si>
    <t>Flujo de caja internacional — Jun-26 (excluye Colombia)</t>
  </si>
  <si>
    <t>País</t>
  </si>
  <si>
    <t>Flujo neto USD</t>
  </si>
  <si>
    <t>Flujo neto COP MM</t>
  </si>
  <si>
    <t>Perú</t>
  </si>
  <si>
    <t>Costa Rica</t>
  </si>
  <si>
    <t>Total internacional</t>
  </si>
  <si>
    <t>TRM junio</t>
  </si>
  <si>
    <t>Fuente / criterio</t>
  </si>
  <si>
    <t>Ingresos USD</t>
  </si>
  <si>
    <t>Egresos USD</t>
  </si>
  <si>
    <t>Transacciones bancarias de junio tomadas únicamente de las filas 1–16; USA, Perú y Costa Rica. Se excluyen Colombia y todas las filas desde la 17.</t>
  </si>
  <si>
    <t>Jun: Colombia más flujo bancario de USA, Perú y Costa Rica calculado solo con filas 1–16 del consolidado.</t>
  </si>
  <si>
    <t>Fuente / alcance</t>
  </si>
  <si>
    <t>Colombia: estados financieros firmados. Internacional: Consolidado USD filas 1–16, únicamente USA, Perú y Costa Rica; Colombia excluida.</t>
  </si>
  <si>
    <t>ANÁLISIS CONSOLIDADO — INGRESOS, MÁRGENES, FCF BURN Y RUNWAY</t>
  </si>
  <si>
    <t>RESUMEN EJECUTIVO CONSOLIDADO — CAJA, BURN Y RUNWAY</t>
  </si>
  <si>
    <t>Caja total consolidada</t>
  </si>
  <si>
    <t>Diferencia consumo neto vs FCF burn</t>
  </si>
  <si>
    <t>La diferencia corresponde a movimientos de caja por fuera del FCF, principalmente inversión, obligaciones financieras, socios u otros movimientos no operativos.</t>
  </si>
  <si>
    <t>Explicación / criterio</t>
  </si>
  <si>
    <t>Ingresos acumulados año</t>
  </si>
  <si>
    <t>Ingresos acumulados presupuesto</t>
  </si>
  <si>
    <t>Abr: flujo histórico Colombia más caja internacional real disponible.</t>
  </si>
  <si>
    <t>May: flujo histórico Colombia más caja internacional real disponible.</t>
  </si>
  <si>
    <t>Quema neta acumulada año — Colombia</t>
  </si>
  <si>
    <t>Quema neta acumulada año — otros países</t>
  </si>
  <si>
    <t>Quema neta acumulada año — consolidada</t>
  </si>
  <si>
    <t>Cumplimeinto Acumulado Presupuesto</t>
  </si>
  <si>
    <t>Flujo neto mayo — otros países</t>
  </si>
  <si>
    <t>XLOOKUP busca la fila Utilidad y suma USA, Perú y Costa Rica de mayo.</t>
  </si>
  <si>
    <t>Flujo neto junio — otros países</t>
  </si>
  <si>
    <t>XLOOKUP busca la fila Utilidad y suma USA, Perú y Costa Rica de junio.</t>
  </si>
  <si>
    <t>Servicio de software</t>
  </si>
  <si>
    <t>Devoluciones</t>
  </si>
  <si>
    <t>Gastos de administración</t>
  </si>
  <si>
    <t>Gastos operacionales / proyectos</t>
  </si>
  <si>
    <t>Resultado de la operación</t>
  </si>
  <si>
    <t>PEN/USD</t>
  </si>
  <si>
    <t>Perú (USD)</t>
  </si>
  <si>
    <t>Costa Rica (USD)</t>
  </si>
  <si>
    <t>Colombia (USD)</t>
  </si>
  <si>
    <t>Consolidado (USD)</t>
  </si>
  <si>
    <t>Servicios de software / ingresos brutos</t>
  </si>
  <si>
    <t>Gastos de operación / proyectos</t>
  </si>
  <si>
    <t>Ajuste de redondeo del estado fuente</t>
  </si>
  <si>
    <t>Resultado antes de impuestos</t>
  </si>
  <si>
    <t>Impuesto de renta</t>
  </si>
  <si>
    <t>UTILIDAD / (PÉRDIDA) NETA</t>
  </si>
  <si>
    <t>Estados Unidos (USD)</t>
  </si>
  <si>
    <t>Grupo consolidado</t>
  </si>
  <si>
    <t>Tratamiento</t>
  </si>
  <si>
    <t>Nómina, impuestos, seguros, telecom, software, oficina y servicios profesionales</t>
  </si>
  <si>
    <t>Marketing, eventos, comidas, viajes, comisiones y representación</t>
  </si>
  <si>
    <t>Vitally y Georgia Tech Online</t>
  </si>
  <si>
    <t>Comisión por transferencia internacional</t>
  </si>
  <si>
    <t>TOTAL GASTOS USA</t>
  </si>
  <si>
    <t>NOTAS Y CRITERIOS DEL P&amp;G CONSOLIDADO</t>
  </si>
  <si>
    <t>1. Período</t>
  </si>
  <si>
    <t>2. Tasas de conversión</t>
  </si>
  <si>
    <t>3. Estados Unidos</t>
  </si>
  <si>
    <t>Clasificación gerencial en base caja. Administración incluye nómina, impuestos, seguros, telecomunicaciones, software, equipos/oficina y servicios profesionales.</t>
  </si>
  <si>
    <t>4. Gastos de ventas USA</t>
  </si>
  <si>
    <t>Incluye marketing, eventos, comidas de negocio, viajes, comisiones, regalos a clientes y representación.</t>
  </si>
  <si>
    <t>5. Operación / proyectos USA</t>
  </si>
  <si>
    <t>Incluye Vitally por USD 7,500 y Georgia Tech Online por USD 4,000.</t>
  </si>
  <si>
    <t>6. Exclusiones USA</t>
  </si>
  <si>
    <t>Se excluyen transferencias a Perú y Costa Rica, pagos de Mercury Credit, depósitos reembolsables, transacciones fallidas, cashbacks e ingresos de Stripe.</t>
  </si>
  <si>
    <t>7. Perú</t>
  </si>
  <si>
    <t>8. Costa Rica</t>
  </si>
  <si>
    <t>9. Colombia</t>
  </si>
  <si>
    <t>10. Revisión pendiente</t>
  </si>
  <si>
    <t>Validar antes del cierre definitivo la capitalización de equipos, el tratamiento del pago IRS y la naturaleza contable de Georgia Tech.</t>
  </si>
  <si>
    <t>Aumento</t>
  </si>
  <si>
    <t>Disminución</t>
  </si>
  <si>
    <t>Operación / proyectos</t>
  </si>
  <si>
    <t>Otros ingresos</t>
  </si>
  <si>
    <t>Gastos administración</t>
  </si>
  <si>
    <t>Movimiento (USD miles)</t>
  </si>
  <si>
    <t>PRESUPUESTO COMBINADO 2026 — INGRESOS</t>
  </si>
  <si>
    <t>Enero–abril: presupuesto original de USD 4.56MM | Mayo–diciembre: presupuesto revisado de USD 4.07MM</t>
  </si>
  <si>
    <t>TRM presupuesto original</t>
  </si>
  <si>
    <t>TRM presupuesto revisado</t>
  </si>
  <si>
    <t>Versión aplicada</t>
  </si>
  <si>
    <t>Original 4.5M</t>
  </si>
  <si>
    <t>Revisado 4.0M</t>
  </si>
  <si>
    <t>Combinado</t>
  </si>
  <si>
    <t>TRM COP/USD</t>
  </si>
  <si>
    <t>Presupuesto combinado</t>
  </si>
  <si>
    <t>COMPARATIVO DE VERSIONES</t>
  </si>
  <si>
    <t>Presupuesto original enero</t>
  </si>
  <si>
    <t>Presupuesto revisado mayo</t>
  </si>
  <si>
    <t>Diferencia combinado vs original</t>
  </si>
  <si>
    <t>Ingresos reales</t>
  </si>
  <si>
    <t>Variación real vs combinado</t>
  </si>
  <si>
    <t>Cumplimiento real / combinado</t>
  </si>
  <si>
    <t>Serie</t>
  </si>
  <si>
    <t>Presupuesto Ingresos Colombia</t>
  </si>
  <si>
    <t>CONSUMO DE CAJA DISPONIBLE — REAL 2026</t>
  </si>
  <si>
    <t>Saldo disponible (COP MM)</t>
  </si>
  <si>
    <t>Consumo / (reposición) (COP MM)</t>
  </si>
  <si>
    <t>Positivo = consumo de caja | Negativo = reposición / generación de caja</t>
  </si>
  <si>
    <t>Consumo / (reposición)</t>
  </si>
  <si>
    <t>Banco</t>
  </si>
  <si>
    <t>Inicial</t>
  </si>
  <si>
    <t>Final</t>
  </si>
  <si>
    <t>Bofa</t>
  </si>
  <si>
    <t>Mercury</t>
  </si>
  <si>
    <t xml:space="preserve">Fiducia </t>
  </si>
  <si>
    <t xml:space="preserve">Colombia </t>
  </si>
  <si>
    <t>CAMBIOS EN EL DISPONIBLE</t>
  </si>
  <si>
    <t>= Flujo operativo neto</t>
  </si>
  <si>
    <t>COP Jul</t>
  </si>
  <si>
    <t>Acum Jul PDF</t>
  </si>
  <si>
    <t>Var $ (Jun→Jul)</t>
  </si>
  <si>
    <t>ESTADOS FINANCIEROS — ENERO A JULIO 2026</t>
  </si>
  <si>
    <t>Fuente: balance de comprobación / saldos finales compartidos en chat; Jun-26: Estados Financieros Junio 2026 (PDF); Jul-26: EF Julio COCO 2026 (PDF)</t>
  </si>
  <si>
    <t>BALANCE GENERAL — ENERO A JULIO 2026</t>
  </si>
  <si>
    <t>P&amp;G EJECUTIVO — ENERO A JULIO 2026</t>
  </si>
  <si>
    <t>CONTROL DE ACUMULADOS A JULIO 2026</t>
  </si>
  <si>
    <t>Suma Ene-Jul / saldo Jul</t>
  </si>
  <si>
    <t>Valor PDF Jul-26</t>
  </si>
  <si>
    <t>Total activo a julio</t>
  </si>
  <si>
    <t>Total pasivo + patrimonio a julio</t>
  </si>
  <si>
    <t>Jul: solo Colombia (estados financieros julio); flujo internacional de julio pendiente — Consolidado llega a junio.</t>
  </si>
  <si>
    <t>YTD Ene-Jul</t>
  </si>
  <si>
    <t>Promedio 3M May-Jul</t>
  </si>
  <si>
    <t>Puente de caja Jun → Jul 2026 (COP MM)</t>
  </si>
  <si>
    <t>Caja inicial (jun-26)</t>
  </si>
  <si>
    <t>(+) Utilidad neta de julio</t>
  </si>
  <si>
    <t>Recuperación de cartera: cobros superaron la facturación a crédito</t>
  </si>
  <si>
    <t>Aumento de provisiones/obligaciones laborales (fuente de caja)</t>
  </si>
  <si>
    <t>= Caja final (jul-26) calculada</t>
  </si>
  <si>
    <t>Caja final (jul-26) reportada</t>
  </si>
  <si>
    <t>Julio fue rentable</t>
  </si>
  <si>
    <t>CxC clientes = ingreso mensual × DSO/30. Parte del cierre real de julio. Cifras COP MM.</t>
  </si>
  <si>
    <t>Ingreso mensual (jul)</t>
  </si>
  <si>
    <t>Otros deudores/anticipos/terceros al cierre jul. Incluye inversiones de terceros y anticipo de impuestos. COP MM.</t>
  </si>
  <si>
    <t>Total Ene-Jul</t>
  </si>
  <si>
    <t>Consumo neto caja consolidado julio</t>
  </si>
  <si>
    <t>FCF burn consolidado julio</t>
  </si>
  <si>
    <t>Runway consolidado al burn de julio</t>
  </si>
  <si>
    <t>Runway promedio May-Jul</t>
  </si>
  <si>
    <t>Runway promedio Ene-Jul</t>
  </si>
  <si>
    <t>Saldo de efectivo y equivalentes reportado en el balance de julio.</t>
  </si>
  <si>
    <t>Mide la disminución real total de la caja durante julio. En julio la caja aumentó, por lo que el consumo neto es cero. Incluye operación, capital de trabajo, CapEx y otros movimientos de inversión o financiación.</t>
  </si>
  <si>
    <t>Mide el consumo generado por el flujo operativo más CapEx. En julio el FCF fue positivo, por lo que no hubo burn. Excluye otros movimientos de inversión y financiación.</t>
  </si>
  <si>
    <t>No aplica: en julio no hubo quema de caja, de modo que el runway al ritmo del mes es indefinido.</t>
  </si>
  <si>
    <t>Escenario reciente: promedio de burn de mayo a julio; julio no aportó quema y mejora el promedio trimestral.</t>
  </si>
  <si>
    <t>Ingresos presupuesto vs ejecutado (USD MM y COP MM) — Ene a Jul 2026</t>
  </si>
  <si>
    <t>RUNWAY PROYECTADO AGO–DIC 2026 — PRESUPUESTO MODELO BASE</t>
  </si>
  <si>
    <t>Ingresos presupuestados Ago–Dic</t>
  </si>
  <si>
    <t>Meses que cubre la caja consolidada de julio antes del primer déficit proyectado, si los flujos del presupuesto ocurren exactamente como están modelados.</t>
  </si>
  <si>
    <t>Presupuesto acumulado consolidado: enero-abril utiliza el presupuesto original anual de USD 4,555,726; mayo-julio utiliza el nuevo presupuesto consolidado anual de USD 4,067,468 (~USD 4.0MM).</t>
  </si>
  <si>
    <t>Acumulado enero-julio 2026. Fórmula: MAX(0, Caja inicial al 31-dic-2025 − Caja final al 31-jul-2026). Equivale a sumar todas las variaciones mensuales de la caja histórica de Colombia. No utiliza CapEx estimado.</t>
  </si>
  <si>
    <t>Nota: cifras reales disponibles a julio de 2026; total corresponde al acumulado ene-jul.</t>
  </si>
  <si>
    <t>REAL VS PRESUPUESTO COMBINADO — ENE-JUL 2026</t>
  </si>
  <si>
    <t>YTD (Ene-Jul)</t>
  </si>
  <si>
    <t>COCO Tecnologías — Informe de Resultados Ene-Jul 2026</t>
  </si>
  <si>
    <t>1. RESUMEN EJECUTIVO — Acumulado Ene-Jul 2026 (USD)</t>
  </si>
  <si>
    <t>Ppto Ene-Jul</t>
  </si>
  <si>
    <t>Ene-Jun</t>
  </si>
  <si>
    <t>COCO Tecnologías — Informe de Resultados Ene-Jul 2026 (COP)</t>
  </si>
  <si>
    <t>1. RESUMEN EJECUTIVO — Acumulado Ene-Jul 2026 (COP)</t>
  </si>
  <si>
    <t>FCF BURN Y CAMBIO DE CAJA MENSUAL — ENE-JUL 2026 (COP MM)</t>
  </si>
  <si>
    <t>YTD real Ene-Jul</t>
  </si>
  <si>
    <t>2. CUMPLIMIENTO ACUMULADO vs PRESUPUESTO ORIGINAL ENERO (USD)</t>
  </si>
  <si>
    <t>3. P&amp;L MENSUAL 2026 — REAL ENE-JUL + PROYECCIÓN AGO-DIC (USD)</t>
  </si>
  <si>
    <t>4. PRESUPUESTO NUEVO DE INGRESOS — Consolidado rubro por rubro en USD</t>
  </si>
  <si>
    <t>5. PRESUPUESTO ORIGINAL ENERO 2026 — P&amp;L Completo en USD (referencia)</t>
  </si>
  <si>
    <t>2. CUMPLIMIENTO ACUMULADO vs PRESUPUESTO ORIGINAL ENERO (COP)</t>
  </si>
  <si>
    <t>3. P&amp;L MENSUAL 2026 — REAL ENE-JUL + PROYECCIÓN AGO-DIC (COP)</t>
  </si>
  <si>
    <t>4. PRESUPUESTO NUEVO DE INGRESOS — Consolidado rubro por rubro en COP</t>
  </si>
  <si>
    <t>Modelo Base | COP millones | Reales Ene-Jul 2026 (EF julio) · proyección Ago-Dic</t>
  </si>
  <si>
    <t>Julio</t>
  </si>
  <si>
    <t>Movimiento neto de bancos del mes (USD)</t>
  </si>
  <si>
    <t>Flujo neto julio — otros países</t>
  </si>
  <si>
    <t>Movimiento neto de bancos de julio: USA -12.127,75 USD, Perú -166,82 soles y Costa Rica -176,94 USD. No usa la utilidad contable porque Costa Rica facturó 134.104 USD que quedaron por cobrar, no en caja.</t>
  </si>
  <si>
    <t>INDICADORES ACUMULADOS CONSOLIDADOS — ENE-JUL 2026 (Colombia y internacional reales a julio)</t>
  </si>
  <si>
    <t>Ingresos reales consolidados: Colombia enero-julio (estados financieros) más USA, Perú y Costa Rica de abril a julio; sin doble contar Colombia.</t>
  </si>
  <si>
    <t>Acumulado 2026 con información de abril a julio para USA, Perú y Costa Rica. Fórmula: MAX(0, −SUMA de los flujos netos mensuales). Julio usa el movimiento bancario real; abril-junio usan la utilidad contable como aproximación.</t>
  </si>
  <si>
    <t>Acumulado 2026: quema neta histórica de Colombia a julio más quema neta de USA, Perú y Costa Rica de abril a julio.</t>
  </si>
  <si>
    <t>Cifras consolidadas a julio de 2026. Colombia proviene de los estados financieros de julio; USA, Perú y Costa Rica provienen de sus balances de comprobación de julio, usando el movimiento bancario real del mes. El saldo de caja de EE.UU. sigue con corte 14-jul, pendiente de actualizar al 31-jul.</t>
  </si>
  <si>
    <t>El análisis usa la caja total consolidada y el FCF burn consolidado. Colombia proviene de los estados financieros (reales hasta julio); USA, Perú y Costa Rica están incorporados hasta julio, excluyendo Colombia del Consolidado USD para evitar doble conteo.</t>
  </si>
  <si>
    <t>Saldo de bancos al cierre del mes (USD)</t>
  </si>
  <si>
    <t>Caja EE.UU. (al 31-jul)</t>
  </si>
  <si>
    <t>TRM aplicada (promedio julio)</t>
  </si>
  <si>
    <t xml:space="preserve">  Δ Otros Deudores / Anticipos / Terceros</t>
  </si>
  <si>
    <t>% recuperación mensual</t>
  </si>
  <si>
    <t xml:space="preserve">  Δ Inversiones (fiducia)</t>
  </si>
  <si>
    <t>% venta mensual</t>
  </si>
  <si>
    <t xml:space="preserve">  Δ Obligaciones Laborales</t>
  </si>
  <si>
    <t>% variación mensual</t>
  </si>
  <si>
    <t>⚠ Alerta — caja bajo el mínimo operativo</t>
  </si>
  <si>
    <t>⚠ Alerta — línea intercompañía insuficiente</t>
  </si>
  <si>
    <t>Caja consolidada al cierre del año. Ya considera el préstamo intercompañía desde EE.UU. que el Modelo Base modela en agosto (COP 988,3MM, el total de la caja disponible en EE.UU.), y su repago con la caja generada en noviembre y diciembre.</t>
  </si>
  <si>
    <t>Déficit máximo proyectado en agosto, ya después de girar el total de la línea intercompañía. Es decir: transfiriendo toda la caja de EE.UU., agosto todavía queda 629,9MM corto.</t>
  </si>
  <si>
    <t>USD/mes</t>
  </si>
  <si>
    <t>Línea intercompañía Coco Delaware (EE.UU. → Colombia) — gira solo lo necesario para sostener la caja mínima</t>
  </si>
  <si>
    <t>(−) Provisión de renta estimada no registrada</t>
  </si>
  <si>
    <t>35% de la UAI menos el impuesto ya registrado</t>
  </si>
  <si>
    <t>Utilidad neta después de renta estimada</t>
  </si>
  <si>
    <t>Provisión de renta acumulada estimada (pasivo no registrado en EEFF)</t>
  </si>
  <si>
    <t>P&amp;G CONSOLIDADO — ACUMULADO ENE-JUL 2026 (USD)</t>
  </si>
  <si>
    <t>Período: 1 de enero al 31 de julio de 2026 | Sin balance general | Filiales: auxiliares contables homologados (BD_Indicadores, 13-ago-2026). Colombia: estados financieros oficiales.</t>
  </si>
  <si>
    <t>Tasa única de conversión del acumulado (moneda local por USD)</t>
  </si>
  <si>
    <t>Cifras acumuladas del 1 de enero al 31 de julio de 2026.</t>
  </si>
  <si>
    <t>Estados Unidos y Costa Rica: 1,0000 USD/USD. Perú: cada mes fue convertido a su propia tasa en el archivo fuente y aquí se carga el total en dólares. Colombia: 3.505,2683 COP/USD como tasa única del acumulado — es una simplificación, ya que las tasas mensuales reales van de 3.268,95 (julio) a 3.505,27 (junio).</t>
  </si>
  <si>
    <t>Los gastos se presentan como administración y ventas según el P&amp;G de filiales. La versión anterior de esta tabla los clasificaba como operación/proyectos. Otros ingresos incluyen el desembolso PROINNOVATE de febrero (USD 19.351).</t>
  </si>
  <si>
    <t>Julio 2026 fue su primer mes con ingresos: USD 134.104, que quedaron facturados y por cobrar. La cuenta 51 se clasificó como administración y la 53 como gasto financiero.</t>
  </si>
  <si>
    <t>Se utiliza el Estado de Resultados acumulado a julio de los estados financieros oficiales, enlazado a la hoja Inputs. Se mantiene un ajuste de redondeo de COP 1 para conciliar la utilidad reportada. El impuesto de renta registrado es cero; la provisión estimada no registrada es de COP 99,6 millones.</t>
  </si>
  <si>
    <t>DETALLE GASTOS ESTADOS UNIDOS — ACUMULADO ENE-JUL 2026</t>
  </si>
  <si>
    <t>DASHBOARD CONSOLIDADO — GRUPO COCO</t>
  </si>
  <si>
    <t>Enero a julio 2026 | Cifras en USD salvo indicación | Fuente: hoja Consolidado (filiales homologadas + estados financieros oficiales de Colombia)</t>
  </si>
  <si>
    <t>Ingresos netos consolidados</t>
  </si>
  <si>
    <t>Utilidad neta consolidada</t>
  </si>
  <si>
    <t>Margen bruto consolidado</t>
  </si>
  <si>
    <t>Utilidad neta Costa Rica</t>
  </si>
  <si>
    <t>Quema promedio May-Jul</t>
  </si>
  <si>
    <t>RESULTADO POR PAÍS — ACUMULADO ENE-JUL 2026 (USD)</t>
  </si>
  <si>
    <t>Estados Unidos</t>
  </si>
  <si>
    <t>Colombia</t>
  </si>
  <si>
    <t>Ingresos netos</t>
  </si>
  <si>
    <t>Gastos totales</t>
  </si>
  <si>
    <t>ESTRUCTURA DE GASTOS CONSOLIDADA (USD)</t>
  </si>
  <si>
    <t>Administración</t>
  </si>
  <si>
    <t>ENE-ABR (acumulado)</t>
  </si>
  <si>
    <t>Flujo neto ene-abr — otros países</t>
  </si>
  <si>
    <t>XLOOKUP busca la fila Utilidad y suma USA, Perú y Costa Rica del acumulado enero-abril.</t>
  </si>
  <si>
    <t>EVOLUCIÓN CONSOLIDADA (USD) — la primera columna es el acumulado ene-abr, no un mes</t>
  </si>
  <si>
    <t>Nota: la hoja Consolidado agrupa enero a abril en una sola columna, así que esa barra representa cuatro meses y no es comparable con las siguientes.</t>
  </si>
  <si>
    <t>INFORME DE AUDITORÍA DE MODELO</t>
  </si>
  <si>
    <t>Modelo Presupuesto Completo COCO V3 — alcance: 11 hojas, 8.100 fórmulas. Revisión al 13-ago-2026.</t>
  </si>
  <si>
    <t>OPINIÓN GENERAL</t>
  </si>
  <si>
    <t>El modelo está bien construido en su mecánica: el balance cuadra en los 13 períodos, no hay errores de fórmula ni vínculos externos, la circularidad está resuelta y las correcciones previas están documentadas celda por celda. Pero NO es confiable hoy para presentarlo a junta, banco o inversionista, por una razón que no es mecánica sino de contenido: el presupuesto de agosto a diciembre no fue re-basificado a los resultados reales y el costo de ventas quedó congelado. El resultado es una utilidad bruta sobreestimada en aproximadamente COP 2.371 millones en el semestre y una proyección de caja que ya arroja saldos negativos. Corregidos los tres hallazgos críticos, el modelo es apto para decidir.</t>
  </si>
  <si>
    <t>HALLAZGOS CRÍTICOS — el modelo no debe usarse hasta corregirlos</t>
  </si>
  <si>
    <t>Celdas</t>
  </si>
  <si>
    <t>Impacto COP</t>
  </si>
  <si>
    <t>Hallazgo y evidencia</t>
  </si>
  <si>
    <t>Corrección recomendada</t>
  </si>
  <si>
    <t>C-1</t>
  </si>
  <si>
    <t>M52:Q52 (fila 52)</t>
  </si>
  <si>
    <t>Costo de ventas congelado ago-dic en 352,5 MM (ago-oct) y 362,6 MM (nov-dic) mientras el ingreso crece de 1.573,6 a 1.939,3 MM. El margen bruto salta de 52,7% real en julio a 77,6%-81,3% presupuestado. El costo no está atado al ingreso: no hay driver.</t>
  </si>
  <si>
    <t>Definir el costo de ventas como % del ingreso en una celda de supuesto (52,7% según julio real; 47,3% de costo) y proyectar =Ingreso × (1 - margen). El impacto en D9 es la utilidad bruta sobreestimada.</t>
  </si>
  <si>
    <t>C-2</t>
  </si>
  <si>
    <t>Modelo Base / Consol. Pptos</t>
  </si>
  <si>
    <t>fila 51, filas 21:23</t>
  </si>
  <si>
    <t>Presupuesto ago-dic no re-basificado a los reales. Julio real cerró en 679,9 MM contra un presupuesto de 1.360,0 MM (cumplimiento 50,0%), y agosto presupuesta 1.573,6 MM — 2,31 veces el real de julio. El salto que muestra D10 no tiene sustento operativo en la serie real ene-jul (612 a 826 MM).</t>
  </si>
  <si>
    <t>Re-basificar la curva ago-dic al run-rate real y documentar el puente (precio, volumen, nuevos canales) que justifique cualquier salto. Sin ese puente, usar el escenario Conservador.</t>
  </si>
  <si>
    <t>C-3</t>
  </si>
  <si>
    <t>M189, N189, O189</t>
  </si>
  <si>
    <t>Caja de cierre negativa tres meses seguidos: (867,7) MM en agosto, (554,4) MM en septiembre y (181,5) MM en octubre. El balance cuadra porque la caja actúa de plug, así que el déficit no se ve en el check de la fila 105. La línea intercompañía de 750,4 MM es insuficiente: la propia alerta M191 dice que faltan 1.067,7 MM en agosto.</t>
  </si>
  <si>
    <t>El déficit se reduce fuerte al corregir C-1 y C-2. Lo que quede debe cerrarse con una fuente identificada (capitalización, cupo bancario o recuperación de otros deudores) y modelarse como línea de financiación, no dejarse como caja negativa.</t>
  </si>
  <si>
    <t>HALLAZGOS IMPORTANTES</t>
  </si>
  <si>
    <t>I-1</t>
  </si>
  <si>
    <t>J228, K228</t>
  </si>
  <si>
    <t>El check de capital de trabajo del propio modelo está fallando: 117,2 MM en mayo y (69,4) MM en junio. Además el check está definido con dos fórmulas distintas — F:I usa =F224-(-(F79-E79)+(F89-E89)+(F90-E90)) y J:Q usa =ROUND((J119-I119)+SUM(J164:J166),0). Un check con dos definiciones no es un check.</t>
  </si>
  <si>
    <t>Unificar una sola definición en toda la fila y resolver el descuadre de mayo-junio antes de firmar el mes.</t>
  </si>
  <si>
    <t>I-2</t>
  </si>
  <si>
    <t>J136:Q136</t>
  </si>
  <si>
    <t>El interés de la CxP con Coco Delaware está apagado con =0*$T$30 de mayo a diciembre, mientras ene-abr usa =$T$30*AVERAGE(...)/12. Hoy T30=0% así que no cambia cifras, pero el driver está muerto: sobre un saldo de 2.641 a 3.392 MM, cada punto de tasa vale ~28 MM al año que el modelo nunca reconocería.</t>
  </si>
  <si>
    <t>Reemplazar por =$T$30*AVERAGE(J141,J144)/12 en J:Q, igual que ene-abr. Si la tasa es realmente 0%, dejarlo referenciado a T30 de todas formas.</t>
  </si>
  <si>
    <t>I-3</t>
  </si>
  <si>
    <t>F137:I137 vs J137:Q137</t>
  </si>
  <si>
    <t>Base de cálculo del interés de tarjetas inconsistente: ene-abr sobre saldo promedio, may-dic sobre saldo inicial.</t>
  </si>
  <si>
    <t>Elegir una convención (saldo inicial evita circularidad) y aplicarla a los doce meses.</t>
  </si>
  <si>
    <t>I-4</t>
  </si>
  <si>
    <t>I126, I124, J124</t>
  </si>
  <si>
    <t>PP&amp;E neto de abril entra como 3.433,0 MM desde Inputs!$G$97, frente a 218-226 MM en todos los demás meses. Eso genera un CapEx de +3.213 MM en abril y de (3.150) MM en mayo dentro del cronograma. El flujo de caja ya se blindó (filas 174 usan la variación del balance), pero el cronograma de PP&amp;E quedó inservible y M123 tuvo que forzarse al saldo real de julio.</t>
  </si>
  <si>
    <t>Verificar qué contiene Inputs!G97 (no parece ser PP&amp;E) y reconectar I126 al PP&amp;E neto real de abril.</t>
  </si>
  <si>
    <t>I-5</t>
  </si>
  <si>
    <t>E31 = 100%</t>
  </si>
  <si>
    <t>Impuestos por pagar = 100% del impuesto causado, es decir el modelo no paga un peso de impuesto en caja en todo el año y acumula 381,3 MM al cierre. Prueba de estrés: al ponerlo en 0% la caja de agosto empeora de (867,7) a (1.127) MM y sigue negativa hasta noviembre.</t>
  </si>
  <si>
    <t>Modelar el calendario real de pagos (anticipos de renta, retenciones, ICA, IVA) en vez de un porcentaje único.</t>
  </si>
  <si>
    <t>I-6</t>
  </si>
  <si>
    <t>E28 = 52 días</t>
  </si>
  <si>
    <t>DPO presupuestado de 52 días contra 37,6 días reales en julio (CxP 403,8 MM sobre costo 321,9 MM). Sobreestima la CxP en unos 150 MM, que el modelo lee como caja disponible.</t>
  </si>
  <si>
    <t>Bajar el DPO al real observado o justificar la extensión de plazo con proveedores.</t>
  </si>
  <si>
    <t>I-7</t>
  </si>
  <si>
    <t>L142 vs M142:Q142</t>
  </si>
  <si>
    <t>Dos definiciones de capacidad remanente de la línea: julio usa $T$29-L141 y ago-dic usa $T$29-(M141-$L$94).</t>
  </si>
  <si>
    <t>Unificar la fórmula en L:Q.</t>
  </si>
  <si>
    <t>I-8</t>
  </si>
  <si>
    <t>T28, T29</t>
  </si>
  <si>
    <t>La capacidad de la línea es la caja de EE.UU. al 31-jul (USD 302.332) convertida a TRM de largo plazo, y se mantiene constante. La nota de la propia celda reconoce que no modela la quema de EE.UU. (~USD 12.128 al mes), ni hay sensibilidad a TRM. La capacidad está sobreestimada y crece el error con el tiempo.</t>
  </si>
  <si>
    <t>Proyectar la caja de EE.UU. mes a mes restando su quema, y usar la TRM del mes en vez de la de largo plazo.</t>
  </si>
  <si>
    <t>I-9</t>
  </si>
  <si>
    <t>D167, D168, D169 = 0</t>
  </si>
  <si>
    <t>Otros deudores (~882 MM), fiducia y obligaciones laborales congelados en cero variación. Es conservador, pero implica que ninguna de esas fuentes de caja se activa; la nota de D167 señala que al 25% mensual otros deudores liberaría ~882 MM el primer mes — más que el faltante de octubre.</t>
  </si>
  <si>
    <t>Definir un supuesto de recuperación defendible: es la palanca de caja más grande y más barata que tiene el modelo sin tocar el ingreso.</t>
  </si>
  <si>
    <t>MENORES / BUENAS PRÁCTICAS</t>
  </si>
  <si>
    <t>M-1</t>
  </si>
  <si>
    <t>filas 56, 57, 58 (M:Q)</t>
  </si>
  <si>
    <t>Gastos de administración, ventas y operativos planos ago-dic (135,4 / 230,9 / 113,0 MM) sin driver de crecimiento ni inflación mensual, mientras el ingreso crece 23% en el mismo tramo.</t>
  </si>
  <si>
    <t>M-2</t>
  </si>
  <si>
    <t>fila 105</t>
  </si>
  <si>
    <t>El check de balance usa tolerancias distintas por columna: E sin tolerancia, F hasta 2 pesos, G:Q hasta 5 pesos. Homogenizar para que el check sea comparable.</t>
  </si>
  <si>
    <t>M-3</t>
  </si>
  <si>
    <t>E21, E22</t>
  </si>
  <si>
    <t>Etiquetas de escenario con espacio final ('Conservador ') — frágil si alguna vez se usan en búsquedas o coincidencias.</t>
  </si>
  <si>
    <t>M-4</t>
  </si>
  <si>
    <t>Ppto Ene. 2026 / Ppto Combinado 2026</t>
  </si>
  <si>
    <t>44 fórmulas</t>
  </si>
  <si>
    <t>44 fórmulas con IFERROR que pueden estar silenciando errores reales en vez de mostrarlos. Revisar qué esconden.</t>
  </si>
  <si>
    <t>M-5</t>
  </si>
  <si>
    <t>Todo el libro</t>
  </si>
  <si>
    <t>1.182 casos</t>
  </si>
  <si>
    <t>1.182 constantes numéricas dentro de fórmulas. La mayoría es escalado /1.000.000 en textos de alerta (inocuo), pero E18 codifica 47/52/57 como números de fila de la hoja Revenue dentro de un IF — se rompe silenciosamente si se insertan filas.</t>
  </si>
  <si>
    <t>PRUEBAS DE ESTRÉS (drivers revertidos a su valor original tras la prueba)</t>
  </si>
  <si>
    <t>Prueba</t>
  </si>
  <si>
    <t>Caja dic-26</t>
  </si>
  <si>
    <t>Caja ago-26</t>
  </si>
  <si>
    <t>Caso base (DSO 84 d, impuestos 100% diferidos)</t>
  </si>
  <si>
    <t>Balance cuadra en los 13 períodos.</t>
  </si>
  <si>
    <t>DSO 84 → 120 días</t>
  </si>
  <si>
    <t>Responde correctamente: CxC de agosto sube de 4.406 a 6.295 MM y la caja se hunde los cinco meses. Balance sigue cuadrando.</t>
  </si>
  <si>
    <t>Impuestos por pagar 100% → 0% (pago de caja)</t>
  </si>
  <si>
    <t>Responde correctamente: la caja empeora y la recuperación se corre de noviembre a diciembre. Balance sigue cuadrando.</t>
  </si>
  <si>
    <t>ASPECTOS BIEN RESUELTOS</t>
  </si>
  <si>
    <t>El balance cuadra exactamente en los 13 períodos y sigue cuadrando bajo estrés de DSO y de impuestos — está cuadrado por construcción, no por una plug forzada.</t>
  </si>
  <si>
    <t>Cero errores de fórmula (#REF!, #DIV/0!, #N/A, #VALUE!) en las 11 hojas y ningún vínculo a archivos externos: el modelo es autocontenido.</t>
  </si>
  <si>
    <t>La circularidad pasivo → caja → barrido → pasivo fue identificada y eliminada explícitamente (nota en M182), sin recurrir a cálculo iterativo.</t>
  </si>
  <si>
    <t>El doble conteo del pasivo con Coco Delaware (2.641,6 MM) fue detectado y corregido en la fila 88 de agosto a diciembre.</t>
  </si>
  <si>
    <t>Las alertas de caja bajo mínimo y de suficiencia de la línea intercompañía (filas 190-191) están bien construidas y son visibles — el modelo avisa de su propio problema de caja.</t>
  </si>
  <si>
    <t>Documentación por notas de celda sobresaliente: prácticamente cada corrección histórica deja su rastro con el 'antes' y el 'por qué'. Es lo que permitió auditar este modelo en horas y no en días.</t>
  </si>
  <si>
    <t>ALCANCE Y LIMITACIONES</t>
  </si>
  <si>
    <t>Se revisaron todas las hojas a nivel de integridad mecánica (errores, vínculos externos, consistencia horizontal de fórmulas, hardcodes) y se auditó en detalle 'Modelo Base' — P&amp;G, balance, flujo de caja, cronogramas de PP&amp;E, deuda y capital, y capital de trabajo.</t>
  </si>
  <si>
    <t>NO se auditaron en detalle: Revenue, Ppto Ene. 2026, Consol. Pptos, Informe Accionista, Consolidado, los dos dashboards ni Burn &amp; RunW. Las 133 diferencias de fórmula detectadas en esas hojas quedaron sin verificar una por una; una parte es estructural (columna de base y columna de total anual).</t>
  </si>
  <si>
    <t>NO se verificaron los datos reales ene-jul contra los estados financieros fuente: se tomaron como dados desde la hoja Inputs.</t>
  </si>
  <si>
    <t>El pendiente conocido del 64,9% de cumplimiento en 'Ppto Combinado 2026' no se corrigió en esta revisión.</t>
  </si>
  <si>
    <t>PACK JUNTA — JULIO 2026 · P&amp;G mensual real y puente presupuesto → real</t>
  </si>
  <si>
    <t>Perímetro: COCO Tecnologías COLOMBIA (entidad legal). NO incluye Coco Delaware (EE.UU.). Cifras en COP millones salvo donde se indique. Fuente: 'Modelo Base' filas 51-72.</t>
  </si>
  <si>
    <t>1. P&amp;G MENSUAL REAL ENE-JUL 2026 — COLOMBIA (COP millones)</t>
  </si>
  <si>
    <t>Acum Ene-Jul</t>
  </si>
  <si>
    <t xml:space="preserve">  Margen bruto %</t>
  </si>
  <si>
    <t xml:space="preserve">  Margen EBITDA %</t>
  </si>
  <si>
    <t>Impuesto de renta registrado</t>
  </si>
  <si>
    <t>Utilidad neta (según EEFF)</t>
  </si>
  <si>
    <t xml:space="preserve">  Margen neto %</t>
  </si>
  <si>
    <t>Memo: provisión de renta 35% no registrada</t>
  </si>
  <si>
    <t>Memo: utilidad neta con renta provisionada</t>
  </si>
  <si>
    <t>2. P&amp;G PRESUPUESTADO DE JULIO 2026 vs REAL</t>
  </si>
  <si>
    <t>Ppto orig. Ene (USD)</t>
  </si>
  <si>
    <t>Ppto orig. Ene (COP MM)</t>
  </si>
  <si>
    <t>Real jul (COP MM)</t>
  </si>
  <si>
    <t>Var COP MM</t>
  </si>
  <si>
    <t>Cumpl. %</t>
  </si>
  <si>
    <t>n/a</t>
  </si>
  <si>
    <t>Memo — Ppto REVISADO mayo (USD 4,07 MM): solo línea de ingresos</t>
  </si>
  <si>
    <t>3. PUENTE DE EBITDA JULIO 2026: PRESUPUESTO → REAL (COP millones)</t>
  </si>
  <si>
    <t>EBITDA presupuestado julio (ppto original enero)</t>
  </si>
  <si>
    <t>Efecto brecha de ingresos</t>
  </si>
  <si>
    <t>Efecto costo del servicio (menor costo)</t>
  </si>
  <si>
    <t>Efecto gastos de administración</t>
  </si>
  <si>
    <t>Efecto gastos de ventas</t>
  </si>
  <si>
    <t>Efecto gastos de operación no presupuestados</t>
  </si>
  <si>
    <t>EBITDA real julio</t>
  </si>
  <si>
    <t>Check: puente vs EBITDA real del P&amp;G</t>
  </si>
  <si>
    <t>Lectura: de los 727,3 MM que faltaron de EBITDA, 872,4 MM vienen de la brecha de ingresos y 248,0 MM se recuperaron vía menor gasto y menor costo; los 102,9 MM de gastos de operación no estaban en el presupuesto. La desviación es de ingresos, no de gasto.</t>
  </si>
  <si>
    <t>4. ESTRUCTURA DE COSTO Y GASTO COMO % DEL INGRESO — COLOMBIA</t>
  </si>
  <si>
    <t>Prom Ene-Jul</t>
  </si>
  <si>
    <t>Total costo + gasto</t>
  </si>
  <si>
    <t>ADVERTENCIAS DE PERÍMETRO Y DE CIFRA — leer antes de rotular las láminas</t>
  </si>
  <si>
    <t>1) El P&amp;G mensual y los márgenes 11,4% / 6,2% / (2,8%) / 0,6% / 13,7% / 4,7% / 4,3% son de COLOMBIA SOLA (EEFF de la entidad colombiana). NO son consolidados de grupo: no incluyen Coco Delaware (EE.UU.), cuya quema es de unos USD 12.128 al mes según la nota de 'Modelo Base'!T28. Rotular la lámina como Colombia es correcto.</t>
  </si>
  <si>
    <t>2) NO existe P&amp;G consolidado mensual en el libro. Lo consolidado solo llega hasta la línea de ingresos ('Informe Accionista' fila 58 y 'Consol. Pptos'). Por debajo del ingreso no hay consolidación, así que no es posible producir un puente de EBITDA consolidado sin construir antes el P&amp;G de Coco Delaware.</t>
  </si>
  <si>
    <t>3) Los márgenes que traes son margen EBITDA y a la vez margen EBIT: la depreciación real de ene-jul es cero en el modelo porque en los EEFF viene dentro del costo del servicio. El EBITDA verdadero es MAYOR que el que muestra el cuadro en el monto de esa depreciación. Si la junta pregunta por EBITDA vs EBIT, la respuesta es que hoy el modelo no los separa.</t>
  </si>
  <si>
    <t>4) La utilidad neta de ene-jul NO tiene provisión de renta: la fila de impuestos es cero en los siete meses porque los EEFF no provisionan mensualmente. Con renta al 35% la utilidad acumulada baja de COP 246,7 MM a COP 147,1 MM. Usar la línea memo si la lámina habla de utilidad neta.</t>
  </si>
  <si>
    <t>5) Hay DOS presupuestos y no dan lo mismo. El original de enero (USD 4,56 MM a TRM 4.000) da un cumplimiento de julio del 43,8%; el revisado de mayo (USD 4,07 MM a TRM 3.690) da el 64,9% que ya tienes en el deck. Además ambos son CONSOLIDADOS y se están comparando contra el real de Colombia sola, así que el cumplimiento real de Colombia es mejor que el que muestran esas cifras. Declarar el perimetro en la lámina.</t>
  </si>
  <si>
    <t>6) El presupuesto original de enero no tiene línea de gastos de operación / proyectos y congela costo y gasto en el mismo valor todos los meses (USD 111.362 / 33.545 / 54.010). El puente lo respeta, pero el efecto de 102,9 MM de gastos de operación es contra un presupuesto de cero, no contra un presupuesto bajo.</t>
  </si>
  <si>
    <t>7) Defecto encontrado en 'Ppto Combinado 2026': las celdas de total P17:P20 suman solo D:I (ene-JUN) aunque el rótulo de B21 dice acumulado ene-jul. El acumulado real de ingresos que ahí aparece (COP 4.472,3 MM) excluye julio. El correcto es COP 5.152,2 MM. No usar esa fila del libro para el deck.</t>
  </si>
  <si>
    <t>5. COMPOSICIÓN DEL PRESUPUESTO DE INGRESOS DE JULIO 2026 (USD) — ppto revisado mayo, consolidado</t>
  </si>
  <si>
    <t>One-off (implementación / interoperabilidad)</t>
  </si>
  <si>
    <t>Up / Cross selling (NRR)</t>
  </si>
  <si>
    <t>Subtotal ingresos brutos</t>
  </si>
  <si>
    <t>Total ingresos presupuestados julio</t>
  </si>
  <si>
    <t>Check contra el total declarado del modelo</t>
  </si>
  <si>
    <t>La diferencia de USD 31.733 que aparecía en el deck es exactamente churn (28.000) más contracción (3.733). El total de USD 283.850 es el correcto y ya viene neto de esos dos ajustes; los seis rubros que sumaban 315.583 son ingresos BRUTOS. La cascada debe tener ocho pasos, no seis.</t>
  </si>
  <si>
    <t>CAUSA RAÍZ (hallazgo nuevo de auditoría): en 'Informe Accionista' las filas 56 y 57 (Churn y Contracción) apuntan a 'Consol. Pptos' filas 243 y 244, que pertenecen a otra tabla y devuelven cero. Deben apuntar a las filas 226 y 227. Por eso la composición no cuadraba con su propio total en TODOS los meses: el faltante es 15.867 en mayo, 23.800 en junio y 31.733 en julio.</t>
  </si>
  <si>
    <t>I-10</t>
  </si>
  <si>
    <t>C56:I57</t>
  </si>
  <si>
    <t>Enlace roto: las filas de Churn (-) y Contracción (-) apuntan a 'Consol. Pptos' filas 243 y 244, que pertenecen a otra tabla y devuelven cero. Deben apuntar a las filas 226 y 227. Efecto: la composición de ingresos no cuadra con su propio total en ningún mes — faltan USD 15.867 en mayo, 23.800 en junio y 31.733 en julio.</t>
  </si>
  <si>
    <t>Cambiar C56 a ='Consol. Pptos'!D226 y C57 a ='Consol. Pptos'!D227, y arrastrar hasta la columna I.</t>
  </si>
  <si>
    <t>EBITDA Y MARGEN EBITDA CONSOLIDADO 2026 (USD)</t>
  </si>
  <si>
    <t>El libro solo tiene detalle consolidado por mes desde mayo: enero-abril existe únicamente como bloque acumulado. No hay línea de depreciación, así que EBITDA = resultado de la operación; la depreciación va dentro del costo del servicio y el EBITDA económico es mayor.</t>
  </si>
  <si>
    <t>Ene-Abr (acum)</t>
  </si>
  <si>
    <t>Suma bloque mensual</t>
  </si>
  <si>
    <t>Acum Ene-Jul (P&amp;G reconstruido)</t>
  </si>
  <si>
    <t>EBITDA CONSOLIDADO</t>
  </si>
  <si>
    <t>MARGEN EBITDA %</t>
  </si>
  <si>
    <t>CONCILIACIÓN: SUMA DEL BLOQUE MENSUAL vs P&amp;G ACUMULADO</t>
  </si>
  <si>
    <t>Suma mensual</t>
  </si>
  <si>
    <t>Acum reconstruido</t>
  </si>
  <si>
    <t>CUÁL CIFRA USAR</t>
  </si>
  <si>
    <t>Para el acumulado a julio use USD 127.717 de EBITDA y 7,7% de margen — la columna del P&amp;G reconstruido. Es la cifra defendible: se armó desde los auxiliares contables homologados de cada filial y desde los estados financieros oficiales de Colombia.</t>
  </si>
  <si>
    <t>Para la evolución por mes use las cuatro columnas de arriba SOLO como tendencia, no como cifra auditada. Suman USD 217.562, es decir USD 89.844 MÁS que el acumulado, y el 98% de esa diferencia está en gastos de administración (USD 88.512 menos en el bloque mensual).</t>
  </si>
  <si>
    <t>Causa de la diferencia: en el bloque mensual la administración de Estados Unidos aparece en NEGATIVO en enero-abril (USD (46.372,59)) y la de Costa Rica también (USD (17.320,22)). Un gasto negativo no existe: son netos o signos invertidos que subestiman el gasto y por lo tanto inflan el EBITDA mensual. El P&amp;G acumulado ya trae estas cifras reconstruidas y en positivo (USA 64.117, Costa Rica 24.839).</t>
  </si>
  <si>
    <t>Segunda causa: el acumulado convierte Colombia a una tasa única de 3.505,27 COP/USD mientras los meses usan su propia tasa (3.617,52 ene-abr, 3.714,02 mayo, 3.505,27 junio, 3.268,95 julio). Eso explica la diferencia de ingresos (USD 25.841) y parte de la de costo.</t>
  </si>
  <si>
    <t>Tercera inconsistencia: las fórmulas de administración consolidada toman de Perú la línea de gastos PROINNOVATE en ene-abr, mayo y junio (celdas D22, I22, N22) pero la línea de administración propiamente dicha en julio (S11). No es la misma base en los cuatro períodos.</t>
  </si>
  <si>
    <t>No hay enero, febrero, marzo ni abril por separado: el libro los guarda solo como bloque acumulado. Para un margen mes a mes de los siete meses habría que cargar los auxiliares de esos cuatro meses por filial.</t>
  </si>
  <si>
    <t>I-11</t>
  </si>
  <si>
    <t xml:space="preserve">Consolidado </t>
  </si>
  <si>
    <t>G11, L11, Q11, C11, E11</t>
  </si>
  <si>
    <t>El bloque consolidado por mes no concilia con el P&amp;G acumulado: la suma de los cuatro períodos da USD 217.562 de EBITDA contra USD 127.717 del acumulado, una diferencia de USD 89.844. El 98% está en gastos de administración, porque en enero-abril la administración de Estados Unidos entra en NEGATIVO (USD (46.372,59)) y la de Costa Rica también (USD (17.320,22)). Un gasto negativo infla el EBITDA. Segunda causa: el acumulado convierte Colombia a tasa única de 3.505,27 mientras cada mes usa la suya. Tercera: la fórmula de administración toma de Perú la línea PROINNOVATE en ene-abr, mayo y junio (D22, I22, N22) pero la de administración en julio (S11).</t>
  </si>
  <si>
    <t>Reconstruir el bloque mensual desde los auxiliares con signos correctos, unificar la base de Perú en las cuatro columnas y declarar la tasa de conversión usada. Mientras tanto, para cifras consolidadas usar solo el P&amp;G acumulado (filas 34-49).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</si>
</sst>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 #,##0.00_-;_-* &quot;-&quot;??_-;_-@_-"/>
    <numFmt numFmtId="164" formatCode="#,##0;[Red]\(#,##0\)"/>
    <numFmt numFmtId="165" formatCode="0.0%"/>
    <numFmt numFmtId="166" formatCode="0.0000"/>
    <numFmt numFmtId="167" formatCode="0.00\x"/>
    <numFmt numFmtId="168" formatCode="\$#,##0"/>
    <numFmt numFmtId="169" formatCode="\$#,##0.00"/>
    <numFmt numFmtId="170" formatCode="0.0"/>
    <numFmt numFmtId="171" formatCode="0.0%;\(0.0%\);\-"/>
    <numFmt numFmtId="172" formatCode="_(* #,##0.00_);_(* \(#,##0.00\);_(* \-??_);_(@_)"/>
    <numFmt numFmtId="173" formatCode="#,##0;[Red]\(#,##0\);\-"/>
    <numFmt numFmtId="174" formatCode="_(#,##0_);\(#,##0\);_(&quot;–&quot;_);_(@_)"/>
    <numFmt numFmtId="175" formatCode="#,##0,,_);\(#,##0,,\);_(&quot;–&quot;_);_(@_)"/>
    <numFmt numFmtId="176" formatCode="0.0%;\(0.0%\);_(&quot;–&quot;_)"/>
    <numFmt numFmtId="177" formatCode="_(* #,##0_);_(* \(#,##0\);_(* \-??_);_(@_)"/>
    <numFmt numFmtId="178" formatCode="&quot;$&quot;#,##0;\(&quot;$&quot;#,##0\);\-"/>
    <numFmt numFmtId="179" formatCode="yyyy\-mm\-dd"/>
    <numFmt numFmtId="180" formatCode="#,##0.0;[Red]\(#,##0.0\);\-"/>
    <numFmt numFmtId="181" formatCode="0.0%;[Red]\(0.0%\);\-"/>
    <numFmt numFmtId="182" formatCode="#,##0;\(#,##0\);\-"/>
    <numFmt numFmtId="183" formatCode="#,##0,,_);[Green]\(#,##0,,\);_(&quot;–&quot;_);_(@_)"/>
    <numFmt numFmtId="184" formatCode="0.0&quot; d&quot;"/>
    <numFmt numFmtId="185" formatCode="#,##0.0;\(#,##0.0\);\-"/>
    <numFmt numFmtId="186" formatCode="#,##0.000;[Red]\(#,##0.000\);\-"/>
    <numFmt numFmtId="187" formatCode="_-* #,##0_-;\-* #,##0_-;_-* &quot;-&quot;??_-;_-@_-"/>
    <numFmt numFmtId="188" formatCode="&quot;$&quot;#,##0;\(&quot;$&quot;#,##0\);&quot;-&quot;"/>
    <numFmt numFmtId="189" formatCode="&quot;$&quot;#,##0;[Red]\(&quot;$&quot;#,##0\);\-"/>
    <numFmt numFmtId="190" formatCode="#,##0\ &quot;d&quot;"/>
    <numFmt numFmtId="191" formatCode="#,##0.0\ &quot;d&quot;"/>
    <numFmt numFmtId="192" formatCode="#,##0.0000"/>
    <numFmt numFmtId="193" formatCode="#,##0.00;[Red]\(#,##0.00\);\-"/>
    <numFmt numFmtId="194" formatCode="&quot;$&quot;#,##0.00;[Red]\(&quot;$&quot;#,##0.00\);\-"/>
    <numFmt numFmtId="195" formatCode="0;[Red]\(0\);\-"/>
    <numFmt numFmtId="196" formatCode="0.00%;\(0.00%\);&quot;–&quot;"/>
    <numFmt numFmtId="197" formatCode="d\-mmm"/>
    <numFmt numFmtId="198" formatCode="0.0%;\(0.0%\);&quot;–&quot;"/>
    <numFmt numFmtId="199" formatCode="#,##0.00;\(#,##0.00\);&quot;–&quot;"/>
    <numFmt numFmtId="200" formatCode="#,##0.0;\(#,##0.0\);&quot;–&quot;"/>
    <numFmt numFmtId="201" formatCode="#,##0;\(#,##0\);&quot;–&quot;"/>
    <numFmt numFmtId="202" formatCode="_(* #,##0.00_);_(* \(#,##0.00\);_(* &quot;-&quot;??_);_(@_)"/>
    <numFmt numFmtId="203" formatCode="&quot;$&quot;#,##0;\(&quot;$&quot;#,##0\);&quot;–&quot;"/>
    <numFmt numFmtId="204" formatCode="#,##0.0000;\(#,##0.0000\);&quot;–&quot;"/>
    <numFmt numFmtId="205" formatCode="&quot;$&quot;#,##0.00;\(&quot;$&quot;#,##0.00\);&quot;–&quot;"/>
    <numFmt numFmtId="206" formatCode="#,##0.000000;\(#,##0.000000\);&quot;–&quot;"/>
  </numFmts>
  <fonts count="107">
    <font>
      <sz val="11"/>
      <color theme="1"/>
      <name val="Calibri"/>
      <family val="2"/>
      <charset val="1"/>
    </font>
    <font>
      <sz val="11"/>
      <color theme="1"/>
      <name val="Calibri"/>
      <family val="2"/>
      <scheme val="minor"/>
    </font>
    <font>
      <sz val="10"/>
      <color rgb="FF000000"/>
      <name val="Calibri"/>
      <family val="2"/>
      <charset val="1"/>
    </font>
    <font>
      <sz val="11"/>
      <color theme="1"/>
      <name val="Calibri"/>
      <family val="2"/>
      <charset val="1"/>
    </font>
    <font>
      <b/>
      <sz val="11"/>
      <color theme="1"/>
      <name val="Calibri"/>
      <family val="2"/>
      <charset val="1"/>
    </font>
    <font>
      <sz val="10"/>
      <name val="Arial"/>
      <family val="2"/>
    </font>
    <font>
      <sz val="10"/>
      <name val="Bookman"/>
    </font>
    <font>
      <sz val="10"/>
      <name val="Bookman"/>
      <family val="1"/>
    </font>
    <font>
      <sz val="11"/>
      <color rgb="FF000000"/>
      <name val="Calibri"/>
      <family val="2"/>
      <charset val="1"/>
    </font>
    <font>
      <sz val="10"/>
      <color theme="1"/>
      <name val="Open Sans"/>
      <family val="2"/>
    </font>
    <font>
      <sz val="9"/>
      <color indexed="81"/>
      <name val="Tahoma"/>
      <family val="2"/>
    </font>
    <font>
      <b/>
      <sz val="9"/>
      <color indexed="81"/>
      <name val="Tahoma"/>
      <family val="2"/>
    </font>
    <font>
      <sz val="11"/>
      <name val="Carlito"/>
    </font>
    <font>
      <u/>
      <sz val="11"/>
      <color theme="10"/>
      <name val="Calibri"/>
      <family val="2"/>
      <charset val="1"/>
    </font>
    <font>
      <i/>
      <sz val="11"/>
      <color theme="1"/>
      <name val="Calibri"/>
      <family val="2"/>
      <charset val="1"/>
    </font>
    <font>
      <sz val="10"/>
      <color rgb="FF000000"/>
      <name val="Arial"/>
      <family val="2"/>
    </font>
    <font>
      <sz val="9"/>
      <color indexed="81"/>
      <name val="Tahoma"/>
      <charset val="1"/>
    </font>
    <font>
      <b/>
      <sz val="9"/>
      <color indexed="81"/>
      <name val="Tahoma"/>
      <charset val="1"/>
    </font>
    <font>
      <sz val="11"/>
      <color rgb="FFC00000"/>
      <name val="Calibri"/>
      <family val="2"/>
      <charset val="1"/>
    </font>
    <font>
      <b/>
      <sz val="14"/>
      <color rgb="FFFFFFFF"/>
      <name val="Aptos Narrow"/>
    </font>
    <font>
      <sz val="11"/>
      <color theme="1"/>
      <name val="Aptos Narrow"/>
    </font>
    <font>
      <b/>
      <sz val="11"/>
      <color rgb="FFFFFFFF"/>
      <name val="Aptos Narrow"/>
    </font>
    <font>
      <b/>
      <sz val="10"/>
      <color rgb="FFFFFFFF"/>
      <name val="Aptos Narrow"/>
    </font>
    <font>
      <sz val="10"/>
      <color theme="1"/>
      <name val="Aptos Narrow"/>
    </font>
    <font>
      <b/>
      <sz val="10"/>
      <color theme="1"/>
      <name val="Aptos Narrow"/>
    </font>
    <font>
      <b/>
      <sz val="10"/>
      <color rgb="FF008000"/>
      <name val="Aptos Narrow"/>
    </font>
    <font>
      <i/>
      <sz val="10"/>
      <color theme="1"/>
      <name val="Aptos Narrow"/>
    </font>
    <font>
      <sz val="10"/>
      <color rgb="FF008000"/>
      <name val="Aptos Narrow"/>
    </font>
    <font>
      <b/>
      <sz val="10"/>
      <color rgb="FF000000"/>
      <name val="Aptos Narrow"/>
    </font>
    <font>
      <sz val="10"/>
      <color rgb="FF000000"/>
      <name val="Aptos Narrow"/>
    </font>
    <font>
      <b/>
      <sz val="10"/>
      <color rgb="FFC00000"/>
      <name val="Aptos Narrow"/>
    </font>
    <font>
      <sz val="10"/>
      <color rgb="FFFFFFFF"/>
      <name val="Aptos Narrow"/>
    </font>
    <font>
      <sz val="10"/>
      <color rgb="FF0000FF"/>
      <name val="Aptos Narrow"/>
    </font>
    <font>
      <sz val="10"/>
      <color rgb="FF666666"/>
      <name val="Aptos Narrow"/>
    </font>
    <font>
      <b/>
      <sz val="10"/>
      <color rgb="FF333333"/>
      <name val="Aptos Narrow"/>
    </font>
    <font>
      <sz val="10"/>
      <color rgb="FF003366"/>
      <name val="Aptos Narrow"/>
    </font>
    <font>
      <i/>
      <sz val="10"/>
      <color rgb="FF404040"/>
      <name val="Aptos Narrow"/>
    </font>
    <font>
      <i/>
      <sz val="10"/>
      <color rgb="FF808080"/>
      <name val="Aptos Narrow"/>
    </font>
    <font>
      <sz val="10"/>
      <color rgb="FF808080"/>
      <name val="Aptos Narrow"/>
    </font>
    <font>
      <b/>
      <sz val="13"/>
      <color rgb="FFFFFFFF"/>
      <name val="Aptos Narrow"/>
    </font>
    <font>
      <sz val="10"/>
      <color rgb="FF006100"/>
      <name val="Aptos Narrow"/>
    </font>
    <font>
      <sz val="10"/>
      <color rgb="FF0070C0"/>
      <name val="Aptos Narrow"/>
    </font>
    <font>
      <b/>
      <sz val="10"/>
      <color rgb="FF0070C0"/>
      <name val="Aptos Narrow"/>
    </font>
    <font>
      <i/>
      <sz val="10"/>
      <color rgb="FF0070C0"/>
      <name val="Aptos Narrow"/>
    </font>
    <font>
      <i/>
      <sz val="10"/>
      <color rgb="FF0000FF"/>
      <name val="Aptos Narrow"/>
    </font>
    <font>
      <i/>
      <sz val="9"/>
      <color rgb="FF595959"/>
      <name val="Aptos Narrow"/>
    </font>
    <font>
      <b/>
      <sz val="10"/>
      <color rgb="FF0000FF"/>
      <name val="Aptos Narrow"/>
    </font>
    <font>
      <b/>
      <sz val="9"/>
      <color rgb="FFFFFFFF"/>
      <name val="Aptos Narrow"/>
    </font>
    <font>
      <b/>
      <sz val="10"/>
      <name val="Aptos Narrow"/>
    </font>
    <font>
      <i/>
      <sz val="10"/>
      <color rgb="FF595959"/>
      <name val="Aptos Narrow"/>
    </font>
    <font>
      <b/>
      <sz val="10"/>
      <color rgb="FF1B2A4A"/>
      <name val="Aptos Narrow"/>
    </font>
    <font>
      <sz val="10"/>
      <color rgb="FF374151"/>
      <name val="Aptos Narrow"/>
    </font>
    <font>
      <sz val="10"/>
      <color rgb="FFDC2626"/>
      <name val="Aptos Narrow"/>
    </font>
    <font>
      <b/>
      <sz val="10"/>
      <color rgb="FF374151"/>
      <name val="Aptos Narrow"/>
    </font>
    <font>
      <b/>
      <sz val="10"/>
      <color rgb="FFDC2626"/>
      <name val="Aptos Narrow"/>
    </font>
    <font>
      <b/>
      <sz val="10"/>
      <color rgb="FF4472C4"/>
      <name val="Aptos Narrow"/>
    </font>
    <font>
      <i/>
      <sz val="10"/>
      <color rgb="FF7F7F7F"/>
      <name val="Aptos Narrow"/>
    </font>
    <font>
      <sz val="10"/>
      <color theme="0"/>
      <name val="Aptos Narrow"/>
    </font>
    <font>
      <i/>
      <sz val="10"/>
      <color rgb="FF444444"/>
      <name val="Aptos Narrow"/>
    </font>
    <font>
      <b/>
      <i/>
      <sz val="10"/>
      <color rgb="FF444444"/>
      <name val="Aptos Narrow"/>
    </font>
    <font>
      <i/>
      <sz val="10"/>
      <color rgb="FF008000"/>
      <name val="Aptos Narrow"/>
    </font>
    <font>
      <b/>
      <i/>
      <sz val="10"/>
      <color rgb="FF008000"/>
      <name val="Aptos Narrow"/>
    </font>
    <font>
      <i/>
      <sz val="10"/>
      <color rgb="FF000000"/>
      <name val="Aptos Narrow"/>
    </font>
    <font>
      <b/>
      <i/>
      <sz val="10"/>
      <color rgb="FF000000"/>
      <name val="Aptos Narrow"/>
    </font>
    <font>
      <u/>
      <sz val="10"/>
      <color rgb="FF0563C1"/>
      <name val="Aptos Narrow"/>
    </font>
    <font>
      <b/>
      <sz val="10"/>
      <color rgb="FF222222"/>
      <name val="Aptos Narrow"/>
    </font>
    <font>
      <sz val="10"/>
      <color rgb="FF222222"/>
      <name val="Aptos Narrow"/>
    </font>
    <font>
      <b/>
      <i/>
      <sz val="10"/>
      <color rgb="FF0000FF"/>
      <name val="Aptos Narrow"/>
    </font>
    <font>
      <b/>
      <i/>
      <sz val="9"/>
      <color rgb="FF595959"/>
      <name val="Aptos Narrow"/>
    </font>
    <font>
      <b/>
      <sz val="10"/>
      <color rgb="FF1F4E79"/>
      <name val="Aptos Narrow"/>
    </font>
    <font>
      <i/>
      <sz val="10"/>
      <color rgb="FFFFFFFF"/>
      <name val="Aptos Narrow"/>
    </font>
    <font>
      <b/>
      <i/>
      <sz val="10"/>
      <color theme="1"/>
      <name val="Aptos Narrow"/>
    </font>
    <font>
      <i/>
      <sz val="10"/>
      <color theme="0"/>
      <name val="Aptos Narrow"/>
    </font>
    <font>
      <sz val="10"/>
      <color rgb="FFA6A6A6"/>
      <name val="Aptos Narrow"/>
    </font>
    <font>
      <b/>
      <sz val="10"/>
      <color rgb="FF1F1F1F"/>
      <name val="Aptos Narrow"/>
    </font>
    <font>
      <i/>
      <sz val="10"/>
      <color rgb="FF5B6573"/>
      <name val="Aptos Narrow"/>
    </font>
    <font>
      <b/>
      <sz val="10"/>
      <color rgb="FF44546A"/>
      <name val="Aptos Narrow"/>
    </font>
    <font>
      <b/>
      <sz val="10"/>
      <color rgb="FF7F6000"/>
      <name val="Aptos Narrow"/>
    </font>
    <font>
      <sz val="10"/>
      <color rgb="FF002060"/>
      <name val="Aptos Narrow"/>
    </font>
    <font>
      <b/>
      <sz val="10"/>
      <color rgb="FF666666"/>
      <name val="Aptos Narrow"/>
    </font>
    <font>
      <b/>
      <i/>
      <sz val="10"/>
      <color rgb="FFFFFFFF"/>
      <name val="Aptos Narrow"/>
    </font>
    <font>
      <b/>
      <sz val="10"/>
      <color rgb="FF1F3864"/>
      <name val="Aptos Narrow"/>
    </font>
    <font>
      <b/>
      <sz val="9"/>
      <color rgb="FFFFFFFF"/>
      <name val="Calibri"/>
      <family val="2"/>
      <charset val="1"/>
    </font>
    <font>
      <b/>
      <sz val="16"/>
      <color theme="1"/>
      <name val="Calibri"/>
      <family val="2"/>
      <charset val="1"/>
    </font>
    <font>
      <sz val="8"/>
      <color rgb="FF595959"/>
      <name val="Calibri"/>
      <family val="2"/>
      <charset val="1"/>
    </font>
    <font>
      <b/>
      <sz val="16"/>
      <color theme="1"/>
      <name val="Aptos Narrow"/>
    </font>
    <font>
      <sz val="8"/>
      <color rgb="FF595959"/>
      <name val="Aptos Narrow"/>
    </font>
    <font>
      <i/>
      <sz val="9"/>
      <color rgb="FFC00000"/>
      <name val="Aptos Narrow"/>
    </font>
    <font>
      <b/>
      <sz val="14"/>
      <color rgb="FFFFFFFF"/>
      <name val="Calibri"/>
    </font>
    <font>
      <b/>
      <sz val="10"/>
      <color rgb="FFFFFFFF"/>
      <name val="Calibri"/>
    </font>
    <font>
      <i/>
      <sz val="10"/>
      <color rgb="FF595959"/>
      <name val="Calibri"/>
    </font>
    <font>
      <sz val="10"/>
      <color theme="1"/>
      <name val="Calibri"/>
    </font>
    <font>
      <b/>
      <sz val="10"/>
      <color theme="1"/>
      <name val="Calibri"/>
    </font>
    <font>
      <sz val="10"/>
      <color rgb="FFC00000"/>
      <name val="Calibri"/>
    </font>
    <font>
      <b/>
      <sz val="10"/>
      <color rgb="FFC00000"/>
      <name val="Calibri"/>
    </font>
    <font>
      <b/>
      <sz val="10"/>
      <color rgb="FFBF8F00"/>
      <name val="Calibri"/>
    </font>
    <font>
      <b/>
      <sz val="10"/>
      <color rgb="FF808080"/>
      <name val="Calibri"/>
    </font>
    <font>
      <b/>
      <sz val="13"/>
      <color rgb="FFFFFFFF"/>
      <name val="Calibri"/>
    </font>
    <font>
      <i/>
      <sz val="10"/>
      <color theme="1"/>
      <name val="Calibri"/>
    </font>
    <font>
      <sz val="10"/>
      <color rgb="FF375623"/>
      <name val="Calibri"/>
    </font>
    <font>
      <sz val="10"/>
      <color rgb="FF000000"/>
      <name val="Calibri"/>
    </font>
    <font>
      <b/>
      <sz val="10"/>
      <color rgb="FF000000"/>
      <name val="Calibri"/>
    </font>
    <font>
      <i/>
      <sz val="10"/>
      <color rgb="FF000000"/>
      <name val="Calibri"/>
    </font>
    <font>
      <b/>
      <sz val="12"/>
      <color rgb="FFFFFFFF"/>
      <name val="Calibri"/>
    </font>
    <font>
      <b/>
      <sz val="10"/>
      <color rgb="FF008000"/>
      <name val="Calibri"/>
    </font>
    <font>
      <sz val="10"/>
      <color rgb="FF008000"/>
      <name val="Calibri"/>
    </font>
    <font>
      <i/>
      <sz val="10"/>
      <color rgb="FF008000"/>
      <name val="Calibri"/>
    </font>
  </fonts>
  <fills count="50">
    <fill>
      <patternFill patternType="none"/>
    </fill>
    <fill>
      <patternFill patternType="gray125"/>
    </fill>
    <fill>
      <patternFill patternType="solid">
        <fgColor rgb="FF002060"/>
        <bgColor rgb="FF003366"/>
      </patternFill>
    </fill>
    <fill>
      <patternFill patternType="solid">
        <fgColor rgb="FF1F4E78"/>
        <bgColor rgb="FF1F4E79"/>
      </patternFill>
    </fill>
    <fill>
      <patternFill patternType="solid">
        <fgColor rgb="FFD6DCE4"/>
        <bgColor rgb="FFD9D9D9"/>
      </patternFill>
    </fill>
    <fill>
      <patternFill patternType="solid">
        <fgColor rgb="FFD9EAF7"/>
        <bgColor rgb="FFD9E1F2"/>
      </patternFill>
    </fill>
    <fill>
      <patternFill patternType="solid">
        <fgColor rgb="FFFFF2CC"/>
        <bgColor rgb="FFF2F2F2"/>
      </patternFill>
    </fill>
    <fill>
      <patternFill patternType="solid">
        <fgColor rgb="FFF2F2F2"/>
        <bgColor rgb="FFFFFFFF"/>
      </patternFill>
    </fill>
    <fill>
      <patternFill patternType="solid">
        <fgColor rgb="FFF2F2F2"/>
        <bgColor indexed="64"/>
      </patternFill>
    </fill>
    <fill>
      <patternFill patternType="solid">
        <fgColor rgb="FFFFFFFF"/>
        <bgColor indexed="64"/>
      </patternFill>
    </fill>
    <fill>
      <patternFill patternType="solid">
        <fgColor rgb="FFE8ECF1"/>
        <bgColor indexed="64"/>
      </patternFill>
    </fill>
    <fill>
      <patternFill patternType="solid">
        <fgColor rgb="FFF9FAFB"/>
        <bgColor indexed="64"/>
      </patternFill>
    </fill>
    <fill>
      <patternFill patternType="solid">
        <fgColor rgb="FF1D2330"/>
        <bgColor indexed="64"/>
      </patternFill>
    </fill>
    <fill>
      <patternFill patternType="solid">
        <fgColor rgb="FFE2E3E5"/>
        <bgColor indexed="64"/>
      </patternFill>
    </fill>
    <fill>
      <patternFill patternType="solid">
        <fgColor rgb="FFF0FFF0"/>
        <bgColor indexed="64"/>
      </patternFill>
    </fill>
    <fill>
      <patternFill patternType="solid">
        <fgColor rgb="FF1F4E78"/>
        <bgColor indexed="64"/>
      </patternFill>
    </fill>
    <fill>
      <patternFill patternType="solid">
        <fgColor rgb="FFD9EAF7"/>
        <bgColor indexed="64"/>
      </patternFill>
    </fill>
    <fill>
      <patternFill patternType="solid">
        <fgColor rgb="FFFFF2CC"/>
        <bgColor indexed="64"/>
      </patternFill>
    </fill>
    <fill>
      <patternFill patternType="solid">
        <fgColor rgb="FF2E75B6"/>
        <bgColor indexed="64"/>
      </patternFill>
    </fill>
    <fill>
      <patternFill patternType="solid">
        <fgColor rgb="FF375623"/>
        <bgColor indexed="64"/>
      </patternFill>
    </fill>
    <fill>
      <patternFill patternType="solid">
        <fgColor rgb="FFDDEBF7"/>
        <bgColor indexed="64"/>
      </patternFill>
    </fill>
    <fill>
      <patternFill patternType="solid">
        <fgColor rgb="FFFFE699"/>
        <bgColor indexed="64"/>
      </patternFill>
    </fill>
    <fill>
      <patternFill patternType="solid">
        <fgColor theme="2" tint="-9.9978637043366805E-2"/>
        <bgColor indexed="64"/>
      </patternFill>
    </fill>
    <fill>
      <patternFill patternType="solid">
        <fgColor rgb="FF1F4E79"/>
        <bgColor indexed="64"/>
      </patternFill>
    </fill>
    <fill>
      <patternFill patternType="solid">
        <fgColor rgb="FFD9E1F2"/>
        <bgColor indexed="64"/>
      </patternFill>
    </fill>
    <fill>
      <patternFill patternType="solid">
        <fgColor rgb="FFBDD7EE"/>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1"/>
        <bgColor indexed="64"/>
      </patternFill>
    </fill>
    <fill>
      <patternFill patternType="solid">
        <fgColor rgb="FFFFFF66"/>
        <bgColor indexed="64"/>
      </patternFill>
    </fill>
    <fill>
      <patternFill patternType="solid">
        <fgColor theme="3" tint="0.59999389629810485"/>
        <bgColor indexed="64"/>
      </patternFill>
    </fill>
    <fill>
      <patternFill patternType="solid">
        <fgColor rgb="FF66CCFF"/>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222B45"/>
        <bgColor indexed="64"/>
      </patternFill>
    </fill>
    <fill>
      <patternFill patternType="solid">
        <fgColor rgb="FF002060"/>
        <bgColor indexed="64"/>
      </patternFill>
    </fill>
    <fill>
      <patternFill patternType="solid">
        <fgColor rgb="FF1F3864"/>
        <bgColor indexed="64"/>
      </patternFill>
    </fill>
    <fill>
      <patternFill patternType="solid">
        <fgColor rgb="FFFFFF00"/>
        <bgColor indexed="64"/>
      </patternFill>
    </fill>
    <fill>
      <patternFill patternType="solid">
        <fgColor rgb="FFD9EAD3"/>
        <bgColor indexed="64"/>
      </patternFill>
    </fill>
    <fill>
      <patternFill patternType="solid">
        <fgColor rgb="FFFCE4D6"/>
        <bgColor indexed="64"/>
      </patternFill>
    </fill>
    <fill>
      <patternFill patternType="solid">
        <fgColor rgb="FFE2F0D9"/>
        <bgColor indexed="64"/>
      </patternFill>
    </fill>
    <fill>
      <patternFill patternType="solid">
        <fgColor rgb="FFF4CCCC"/>
        <bgColor indexed="64"/>
      </patternFill>
    </fill>
    <fill>
      <patternFill patternType="solid">
        <fgColor rgb="FF0F243E"/>
        <bgColor indexed="64"/>
      </patternFill>
    </fill>
    <fill>
      <patternFill patternType="solid">
        <fgColor rgb="FF2F5597"/>
        <bgColor indexed="64"/>
      </patternFill>
    </fill>
    <fill>
      <patternFill patternType="solid">
        <fgColor rgb="FFEAF3E6"/>
        <bgColor indexed="64"/>
      </patternFill>
    </fill>
    <fill>
      <patternFill patternType="solid">
        <fgColor rgb="FFFFF6E0"/>
        <bgColor indexed="64"/>
      </patternFill>
    </fill>
    <fill>
      <patternFill patternType="solid">
        <fgColor rgb="FFD9E2F3"/>
        <bgColor indexed="64"/>
      </patternFill>
    </fill>
    <fill>
      <patternFill patternType="solid">
        <fgColor rgb="FFC00000"/>
        <bgColor indexed="64"/>
      </patternFill>
    </fill>
    <fill>
      <patternFill patternType="solid">
        <fgColor rgb="FFBF8F00"/>
        <bgColor indexed="64"/>
      </patternFill>
    </fill>
    <fill>
      <patternFill patternType="solid">
        <fgColor rgb="FF808080"/>
        <bgColor indexed="64"/>
      </patternFill>
    </fill>
  </fills>
  <borders count="145">
    <border>
      <left/>
      <right/>
      <top/>
      <bottom/>
      <diagonal/>
    </border>
    <border>
      <left/>
      <right/>
      <top/>
      <bottom style="medium">
        <color rgb="FF002060"/>
      </bottom>
      <diagonal/>
    </border>
    <border>
      <left style="thin">
        <color rgb="FFBFBFBF"/>
      </left>
      <right style="thin">
        <color rgb="FFBFBFBF"/>
      </right>
      <top style="thin">
        <color rgb="FFBFBFBF"/>
      </top>
      <bottom/>
      <diagonal/>
    </border>
    <border>
      <left/>
      <right/>
      <top/>
      <bottom style="thin">
        <color rgb="FFBFBFBF"/>
      </bottom>
      <diagonal/>
    </border>
    <border>
      <left style="thin">
        <color rgb="FFBFBFBF"/>
      </left>
      <right style="thin">
        <color rgb="FFBFBFBF"/>
      </right>
      <top style="thin">
        <color rgb="FFBFBFBF"/>
      </top>
      <bottom style="thin">
        <color rgb="FF002060"/>
      </bottom>
      <diagonal/>
    </border>
    <border>
      <left style="thin">
        <color rgb="FFBFBFBF"/>
      </left>
      <right style="thin">
        <color rgb="FFBFBFBF"/>
      </right>
      <top/>
      <bottom style="thin">
        <color rgb="FFBFBFBF"/>
      </bottom>
      <diagonal/>
    </border>
    <border>
      <left/>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bottom style="thin">
        <color rgb="FF002060"/>
      </bottom>
      <diagonal/>
    </border>
    <border>
      <left style="thin">
        <color rgb="FFBFBFBF"/>
      </left>
      <right style="thin">
        <color rgb="FFBFBFBF"/>
      </right>
      <top style="thin">
        <color rgb="FFBFBFBF"/>
      </top>
      <bottom style="medium">
        <color rgb="FF002060"/>
      </bottom>
      <diagonal/>
    </border>
    <border>
      <left style="thin">
        <color rgb="FFBFBFBF"/>
      </left>
      <right style="thin">
        <color rgb="FFBFBFBF"/>
      </right>
      <top style="thin">
        <color rgb="FF002060"/>
      </top>
      <bottom style="double">
        <color rgb="FF002060"/>
      </bottom>
      <diagonal/>
    </border>
    <border>
      <left/>
      <right/>
      <top style="thin">
        <color rgb="FF002060"/>
      </top>
      <bottom style="double">
        <color rgb="FF002060"/>
      </bottom>
      <diagonal/>
    </border>
    <border>
      <left/>
      <right/>
      <top style="thin">
        <color rgb="FF002060"/>
      </top>
      <bottom/>
      <diagonal/>
    </border>
    <border>
      <left/>
      <right/>
      <top style="thin">
        <color rgb="FF000000"/>
      </top>
      <bottom/>
      <diagonal/>
    </border>
    <border>
      <left/>
      <right/>
      <top/>
      <bottom style="thin">
        <color rgb="FF1B2A4A"/>
      </bottom>
      <diagonal/>
    </border>
    <border>
      <left/>
      <right/>
      <top style="thin">
        <color rgb="FF1B2A4A"/>
      </top>
      <bottom/>
      <diagonal/>
    </border>
    <border>
      <left/>
      <right/>
      <top style="thin">
        <color rgb="FF1B2A4A"/>
      </top>
      <bottom style="thin">
        <color rgb="FF1B2A4A"/>
      </bottom>
      <diagonal/>
    </border>
    <border>
      <left/>
      <right/>
      <top style="thin">
        <color rgb="FF1B2A4A"/>
      </top>
      <bottom style="thin">
        <color rgb="FFC0C0C0"/>
      </bottom>
      <diagonal/>
    </border>
    <border>
      <left/>
      <right/>
      <top/>
      <bottom style="thin">
        <color rgb="FFC0C0C0"/>
      </bottom>
      <diagonal/>
    </border>
    <border>
      <left/>
      <right/>
      <top style="thin">
        <color rgb="FFC0C0C0"/>
      </top>
      <bottom style="thin">
        <color rgb="FFC0C0C0"/>
      </bottom>
      <diagonal/>
    </border>
    <border>
      <left/>
      <right/>
      <top style="thin">
        <color rgb="FFC0C0C0"/>
      </top>
      <bottom style="thin">
        <color rgb="FF1B2A4A"/>
      </bottom>
      <diagonal/>
    </border>
    <border>
      <left/>
      <right/>
      <top style="thin">
        <color rgb="FFD1D5DB"/>
      </top>
      <bottom style="thin">
        <color rgb="FFC0C0C0"/>
      </bottom>
      <diagonal/>
    </border>
    <border>
      <left/>
      <right/>
      <top style="thin">
        <color rgb="FFD1D5DB"/>
      </top>
      <bottom style="thin">
        <color rgb="FF1B2A4A"/>
      </bottom>
      <diagonal/>
    </border>
    <border>
      <left style="thin">
        <color rgb="FFE5E7EB"/>
      </left>
      <right/>
      <top style="thin">
        <color rgb="FF1B2A4A"/>
      </top>
      <bottom/>
      <diagonal/>
    </border>
    <border>
      <left style="thin">
        <color rgb="FFE5E7EB"/>
      </left>
      <right/>
      <top style="thin">
        <color rgb="FF1B2A4A"/>
      </top>
      <bottom style="thin">
        <color rgb="FFC0C0C0"/>
      </bottom>
      <diagonal/>
    </border>
    <border>
      <left style="thin">
        <color rgb="FFE5E7EB"/>
      </left>
      <right/>
      <top/>
      <bottom/>
      <diagonal/>
    </border>
    <border>
      <left style="thin">
        <color rgb="FFE5E7EB"/>
      </left>
      <right/>
      <top/>
      <bottom style="thin">
        <color rgb="FFC0C0C0"/>
      </bottom>
      <diagonal/>
    </border>
    <border>
      <left style="thin">
        <color rgb="FFE5E7EB"/>
      </left>
      <right/>
      <top style="thin">
        <color rgb="FF1B2A4A"/>
      </top>
      <bottom style="thin">
        <color rgb="FF1B2A4A"/>
      </bottom>
      <diagonal/>
    </border>
    <border>
      <left style="thin">
        <color rgb="FFE5E7EB"/>
      </left>
      <right/>
      <top style="thin">
        <color rgb="FFC0C0C0"/>
      </top>
      <bottom style="thin">
        <color rgb="FFC0C0C0"/>
      </bottom>
      <diagonal/>
    </border>
    <border>
      <left style="thin">
        <color rgb="FFE5E7EB"/>
      </left>
      <right/>
      <top style="thin">
        <color rgb="FFD1D5DB"/>
      </top>
      <bottom style="thin">
        <color rgb="FFC0C0C0"/>
      </bottom>
      <diagonal/>
    </border>
    <border>
      <left style="thin">
        <color rgb="FFE5E7EB"/>
      </left>
      <right/>
      <top style="thin">
        <color rgb="FFC0C0C0"/>
      </top>
      <bottom style="thin">
        <color rgb="FF1B2A4A"/>
      </bottom>
      <diagonal/>
    </border>
    <border>
      <left style="thin">
        <color rgb="FFE5E7EB"/>
      </left>
      <right/>
      <top style="thin">
        <color rgb="FFD1D5DB"/>
      </top>
      <bottom style="thin">
        <color rgb="FF1B2A4A"/>
      </bottom>
      <diagonal/>
    </border>
    <border>
      <left/>
      <right/>
      <top style="thin">
        <color rgb="FF000000"/>
      </top>
      <bottom style="thin">
        <color rgb="FF000000"/>
      </bottom>
      <diagonal/>
    </border>
    <border>
      <left style="thin">
        <color rgb="FFE5E7EB"/>
      </left>
      <right/>
      <top style="thin">
        <color rgb="FFC0C0C0"/>
      </top>
      <bottom/>
      <diagonal/>
    </border>
    <border>
      <left style="thin">
        <color rgb="FFE5E7EB"/>
      </left>
      <right/>
      <top style="thin">
        <color rgb="FFD1D5DB"/>
      </top>
      <bottom/>
      <diagonal/>
    </border>
    <border>
      <left/>
      <right/>
      <top style="thin">
        <color rgb="FFC0C0C0"/>
      </top>
      <bottom/>
      <diagonal/>
    </border>
    <border>
      <left style="thin">
        <color rgb="FFE5E7EB"/>
      </left>
      <right style="thin">
        <color rgb="FFE5E7EB"/>
      </right>
      <top style="thin">
        <color rgb="FFC0C0C0"/>
      </top>
      <bottom/>
      <diagonal/>
    </border>
    <border>
      <left style="thin">
        <color rgb="FFE5E7EB"/>
      </left>
      <right style="thin">
        <color rgb="FFE5E7EB"/>
      </right>
      <top/>
      <bottom/>
      <diagonal/>
    </border>
    <border>
      <left style="thin">
        <color rgb="FFE5E7EB"/>
      </left>
      <right style="thin">
        <color rgb="FFE5E7EB"/>
      </right>
      <top style="thin">
        <color rgb="FFD1D5DB"/>
      </top>
      <bottom style="thin">
        <color rgb="FFC0C0C0"/>
      </bottom>
      <diagonal/>
    </border>
    <border>
      <left/>
      <right/>
      <top style="thin">
        <color rgb="FFD1D5DB"/>
      </top>
      <bottom/>
      <diagonal/>
    </border>
    <border>
      <left style="thin">
        <color rgb="FFE5E7EB"/>
      </left>
      <right style="thin">
        <color rgb="FFE5E7EB"/>
      </right>
      <top/>
      <bottom style="thin">
        <color rgb="FFC0C0C0"/>
      </bottom>
      <diagonal/>
    </border>
    <border>
      <left style="thin">
        <color rgb="FFE5E7EB"/>
      </left>
      <right/>
      <top style="thin">
        <color rgb="FF1B2A4A"/>
      </top>
      <bottom style="thin">
        <color rgb="FFD1D5DB"/>
      </bottom>
      <diagonal/>
    </border>
    <border>
      <left style="thin">
        <color rgb="FFE5E7EB"/>
      </left>
      <right style="thin">
        <color rgb="FFE5E7EB"/>
      </right>
      <top style="thin">
        <color rgb="FF1B2A4A"/>
      </top>
      <bottom style="thin">
        <color rgb="FFD1D5DB"/>
      </bottom>
      <diagonal/>
    </border>
    <border>
      <left style="thin">
        <color rgb="FFE5E7EB"/>
      </left>
      <right style="thin">
        <color rgb="FFE5E7EB"/>
      </right>
      <top style="thin">
        <color rgb="FF1B2A4A"/>
      </top>
      <bottom style="thin">
        <color rgb="FF1B2A4A"/>
      </bottom>
      <diagonal/>
    </border>
    <border>
      <left style="thin">
        <color rgb="FFE5E7EB"/>
      </left>
      <right style="thin">
        <color rgb="FFE5E7EB"/>
      </right>
      <top style="thin">
        <color rgb="FFD1D5DB"/>
      </top>
      <bottom/>
      <diagonal/>
    </border>
    <border>
      <left style="thin">
        <color rgb="FFE5E7EB"/>
      </left>
      <right style="thin">
        <color rgb="FFE5E7EB"/>
      </right>
      <top style="thin">
        <color rgb="FF1B2A4A"/>
      </top>
      <bottom/>
      <diagonal/>
    </border>
    <border>
      <left/>
      <right/>
      <top style="medium">
        <color rgb="FF1B2A4A"/>
      </top>
      <bottom style="thin">
        <color rgb="FF1B2A4A"/>
      </bottom>
      <diagonal/>
    </border>
    <border>
      <left/>
      <right/>
      <top/>
      <bottom style="dotted">
        <color rgb="FFBCC4D1"/>
      </bottom>
      <diagonal/>
    </border>
    <border>
      <left/>
      <right/>
      <top style="thin">
        <color rgb="FF000000"/>
      </top>
      <bottom style="dotted">
        <color rgb="FFBCC4D1"/>
      </bottom>
      <diagonal/>
    </border>
    <border>
      <left/>
      <right/>
      <top style="dotted">
        <color rgb="FFBCC4D1"/>
      </top>
      <bottom style="dotted">
        <color rgb="FFBCC4D1"/>
      </bottom>
      <diagonal/>
    </border>
    <border>
      <left/>
      <right/>
      <top style="dotted">
        <color rgb="FFBCC4D1"/>
      </top>
      <bottom style="thin">
        <color rgb="FFBCC4D1"/>
      </bottom>
      <diagonal/>
    </border>
    <border>
      <left/>
      <right/>
      <top style="dotted">
        <color rgb="FFBCC4D1"/>
      </top>
      <bottom/>
      <diagonal/>
    </border>
    <border>
      <left/>
      <right/>
      <top style="thick">
        <color rgb="FF000000"/>
      </top>
      <bottom style="medium">
        <color rgb="FF000000"/>
      </bottom>
      <diagonal/>
    </border>
    <border>
      <left/>
      <right/>
      <top style="thin">
        <color rgb="FFBFBFBF"/>
      </top>
      <bottom style="thin">
        <color rgb="FFBFBFBF"/>
      </bottom>
      <diagonal/>
    </border>
    <border>
      <left/>
      <right/>
      <top style="thin">
        <color auto="1"/>
      </top>
      <bottom style="thin">
        <color rgb="FFBFBFBF"/>
      </bottom>
      <diagonal/>
    </border>
    <border>
      <left/>
      <right/>
      <top style="thin">
        <color rgb="FFBFBFBF"/>
      </top>
      <bottom style="thin">
        <color auto="1"/>
      </bottom>
      <diagonal/>
    </border>
    <border>
      <left style="thin">
        <color auto="1"/>
      </left>
      <right/>
      <top style="thin">
        <color auto="1"/>
      </top>
      <bottom style="thin">
        <color rgb="FFBFBFBF"/>
      </bottom>
      <diagonal/>
    </border>
    <border>
      <left style="thin">
        <color auto="1"/>
      </left>
      <right/>
      <top style="thin">
        <color rgb="FFBFBFBF"/>
      </top>
      <bottom style="thin">
        <color rgb="FFBFBFBF"/>
      </bottom>
      <diagonal/>
    </border>
    <border>
      <left style="thin">
        <color auto="1"/>
      </left>
      <right/>
      <top style="thin">
        <color rgb="FFBFBFBF"/>
      </top>
      <bottom style="thin">
        <color auto="1"/>
      </bottom>
      <diagonal/>
    </border>
    <border>
      <left/>
      <right style="thin">
        <color auto="1"/>
      </right>
      <top style="thin">
        <color auto="1"/>
      </top>
      <bottom style="thin">
        <color rgb="FFBFBFBF"/>
      </bottom>
      <diagonal/>
    </border>
    <border>
      <left/>
      <right style="thin">
        <color auto="1"/>
      </right>
      <top style="thin">
        <color rgb="FFBFBFBF"/>
      </top>
      <bottom style="thin">
        <color rgb="FFBFBFBF"/>
      </bottom>
      <diagonal/>
    </border>
    <border>
      <left/>
      <right style="thin">
        <color auto="1"/>
      </right>
      <top style="thin">
        <color rgb="FFBFBFBF"/>
      </top>
      <bottom style="thin">
        <color auto="1"/>
      </bottom>
      <diagonal/>
    </border>
    <border>
      <left/>
      <right/>
      <top/>
      <bottom style="thin">
        <color indexed="64"/>
      </bottom>
      <diagonal/>
    </border>
    <border>
      <left/>
      <right/>
      <top/>
      <bottom style="medium">
        <color indexed="64"/>
      </bottom>
      <diagonal/>
    </border>
    <border>
      <left style="thin">
        <color rgb="FFD9D9D9"/>
      </left>
      <right/>
      <top/>
      <bottom/>
      <diagonal/>
    </border>
    <border>
      <left/>
      <right/>
      <top style="thick">
        <color auto="1"/>
      </top>
      <bottom/>
      <diagonal/>
    </border>
    <border>
      <left/>
      <right/>
      <top style="thin">
        <color indexed="64"/>
      </top>
      <bottom style="thin">
        <color indexed="64"/>
      </bottom>
      <diagonal/>
    </border>
    <border>
      <left style="thin">
        <color rgb="FFD9D9D9"/>
      </left>
      <right style="thin">
        <color rgb="FFD9D9D9"/>
      </right>
      <top style="thin">
        <color rgb="FFD9D9D9"/>
      </top>
      <bottom style="thin">
        <color rgb="FFD9D9D9"/>
      </bottom>
      <diagonal/>
    </border>
    <border>
      <left/>
      <right/>
      <top style="medium">
        <color rgb="FF000000"/>
      </top>
      <bottom/>
      <diagonal/>
    </border>
    <border>
      <left style="hair">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right/>
      <top style="thin">
        <color indexed="64"/>
      </top>
      <bottom style="medium">
        <color indexed="64"/>
      </bottom>
      <diagonal/>
    </border>
    <border>
      <left/>
      <right/>
      <top style="thin">
        <color indexed="64"/>
      </top>
      <bottom/>
      <diagonal/>
    </border>
    <border>
      <left/>
      <right/>
      <top style="thin">
        <color indexed="64"/>
      </top>
      <bottom style="double">
        <color indexed="64"/>
      </bottom>
      <diagonal/>
    </border>
    <border>
      <left/>
      <right/>
      <top style="thin">
        <color rgb="FF333333"/>
      </top>
      <bottom style="medium">
        <color rgb="FF333333"/>
      </bottom>
      <diagonal/>
    </border>
    <border>
      <left/>
      <right/>
      <top/>
      <bottom style="double">
        <color auto="1"/>
      </bottom>
      <diagonal/>
    </border>
    <border>
      <left/>
      <right/>
      <top style="thin">
        <color rgb="FFC0C0C0"/>
      </top>
      <bottom style="double">
        <color auto="1"/>
      </bottom>
      <diagonal/>
    </border>
    <border>
      <left style="thin">
        <color rgb="FFE5E7EB"/>
      </left>
      <right/>
      <top style="thin">
        <color rgb="FFC0C0C0"/>
      </top>
      <bottom style="double">
        <color auto="1"/>
      </bottom>
      <diagonal/>
    </border>
    <border>
      <left/>
      <right/>
      <top style="thin">
        <color rgb="FF1B2A4A"/>
      </top>
      <bottom style="double">
        <color auto="1"/>
      </bottom>
      <diagonal/>
    </border>
    <border>
      <left style="thin">
        <color rgb="FFE5E7EB"/>
      </left>
      <right/>
      <top style="thin">
        <color rgb="FF1B2A4A"/>
      </top>
      <bottom style="double">
        <color auto="1"/>
      </bottom>
      <diagonal/>
    </border>
    <border>
      <left/>
      <right/>
      <top style="double">
        <color auto="1"/>
      </top>
      <bottom style="double">
        <color auto="1"/>
      </bottom>
      <diagonal/>
    </border>
    <border>
      <left style="thin">
        <color auto="1"/>
      </left>
      <right style="thin">
        <color auto="1"/>
      </right>
      <top style="thin">
        <color auto="1"/>
      </top>
      <bottom style="thin">
        <color auto="1"/>
      </bottom>
      <diagonal/>
    </border>
    <border>
      <left/>
      <right/>
      <top/>
      <bottom style="thick">
        <color rgb="FF1D2330"/>
      </bottom>
      <diagonal/>
    </border>
    <border>
      <left/>
      <right/>
      <top/>
      <bottom style="thin">
        <color rgb="FF808080"/>
      </bottom>
      <diagonal/>
    </border>
    <border>
      <left/>
      <right/>
      <top style="medium">
        <color rgb="FF70AD47"/>
      </top>
      <bottom/>
      <diagonal/>
    </border>
    <border>
      <left/>
      <right/>
      <top style="medium">
        <color rgb="FF70AD47"/>
      </top>
      <bottom style="medium">
        <color rgb="FF70AD47"/>
      </bottom>
      <diagonal/>
    </border>
    <border>
      <left/>
      <right/>
      <top style="medium">
        <color rgb="FF7F6000"/>
      </top>
      <bottom style="medium">
        <color rgb="FF7F6000"/>
      </bottom>
      <diagonal/>
    </border>
    <border>
      <left/>
      <right/>
      <top style="medium">
        <color rgb="FFC00000"/>
      </top>
      <bottom/>
      <diagonal/>
    </border>
    <border>
      <left/>
      <right/>
      <top style="medium">
        <color rgb="FFC00000"/>
      </top>
      <bottom style="medium">
        <color rgb="FF70AD47"/>
      </bottom>
      <diagonal/>
    </border>
    <border>
      <left/>
      <right/>
      <top/>
      <bottom style="medium">
        <color rgb="FFA6A6A6"/>
      </bottom>
      <diagonal/>
    </border>
    <border>
      <left/>
      <right/>
      <top/>
      <bottom style="medium">
        <color rgb="FFC00000"/>
      </bottom>
      <diagonal/>
    </border>
    <border>
      <left/>
      <right/>
      <top style="thick">
        <color rgb="FF1D2330"/>
      </top>
      <bottom/>
      <diagonal/>
    </border>
    <border>
      <left style="thin">
        <color auto="1"/>
      </left>
      <right style="thin">
        <color auto="1"/>
      </right>
      <top style="thin">
        <color auto="1"/>
      </top>
      <bottom/>
      <diagonal/>
    </border>
    <border>
      <left style="thin">
        <color rgb="FFA6A6A6"/>
      </left>
      <right/>
      <top style="thin">
        <color auto="1"/>
      </top>
      <bottom/>
      <diagonal/>
    </border>
    <border>
      <left/>
      <right/>
      <top style="thin">
        <color rgb="FF7F8C8D"/>
      </top>
      <bottom style="thin">
        <color rgb="FFAAB7B8"/>
      </bottom>
      <diagonal/>
    </border>
    <border>
      <left style="thin">
        <color rgb="FFA6A6A6"/>
      </left>
      <right/>
      <top style="thin">
        <color rgb="FF7F8C8D"/>
      </top>
      <bottom style="thin">
        <color rgb="FFAAB7B8"/>
      </bottom>
      <diagonal/>
    </border>
    <border>
      <left/>
      <right/>
      <top style="thin">
        <color rgb="FF7F8C8D"/>
      </top>
      <bottom/>
      <diagonal/>
    </border>
    <border>
      <left style="thin">
        <color rgb="FFA6A6A6"/>
      </left>
      <right/>
      <top/>
      <bottom/>
      <diagonal/>
    </border>
    <border>
      <left/>
      <right/>
      <top style="thin">
        <color rgb="FFAAB7B8"/>
      </top>
      <bottom/>
      <diagonal/>
    </border>
    <border>
      <left/>
      <right/>
      <top/>
      <bottom style="thin">
        <color rgb="FFB7C9D6"/>
      </bottom>
      <diagonal/>
    </border>
    <border>
      <left style="thin">
        <color rgb="FFA6A6A6"/>
      </left>
      <right/>
      <top/>
      <bottom style="thin">
        <color rgb="FFB7C9D6"/>
      </bottom>
      <diagonal/>
    </border>
    <border>
      <left style="thin">
        <color rgb="FFA6A6A6"/>
      </left>
      <right/>
      <top/>
      <bottom style="thin">
        <color rgb="FFBFBFBF"/>
      </bottom>
      <diagonal/>
    </border>
    <border>
      <left/>
      <right/>
      <top style="thin">
        <color rgb="FF7F8C8D"/>
      </top>
      <bottom style="medium">
        <color rgb="FF1F1F1F"/>
      </bottom>
      <diagonal/>
    </border>
    <border>
      <left style="thin">
        <color rgb="FFA6A6A6"/>
      </left>
      <right/>
      <top style="thin">
        <color rgb="FF7F8C8D"/>
      </top>
      <bottom style="medium">
        <color rgb="FF1F1F1F"/>
      </bottom>
      <diagonal/>
    </border>
    <border>
      <left/>
      <right/>
      <top/>
      <bottom style="medium">
        <color rgb="FF000000"/>
      </bottom>
      <diagonal/>
    </border>
    <border>
      <left/>
      <right/>
      <top style="medium">
        <color rgb="FF000000"/>
      </top>
      <bottom style="medium">
        <color rgb="FF000000"/>
      </bottom>
      <diagonal/>
    </border>
    <border>
      <left/>
      <right/>
      <top style="thick">
        <color rgb="FF1D2330"/>
      </top>
      <bottom style="thin">
        <color rgb="FF808080"/>
      </bottom>
      <diagonal/>
    </border>
    <border>
      <left/>
      <right/>
      <top/>
      <bottom style="medium">
        <color rgb="FF808080"/>
      </bottom>
      <diagonal/>
    </border>
    <border>
      <left/>
      <right/>
      <top style="thin">
        <color rgb="FF808080"/>
      </top>
      <bottom/>
      <diagonal/>
    </border>
    <border>
      <left style="thick">
        <color rgb="FFC9A227"/>
      </left>
      <right/>
      <top/>
      <bottom/>
      <diagonal/>
    </border>
    <border>
      <left style="thick">
        <color rgb="FFC9A227"/>
      </left>
      <right/>
      <top/>
      <bottom style="medium">
        <color indexed="64"/>
      </bottom>
      <diagonal/>
    </border>
    <border>
      <left style="thick">
        <color rgb="FFC9A227"/>
      </left>
      <right/>
      <top style="thin">
        <color indexed="64"/>
      </top>
      <bottom/>
      <diagonal/>
    </border>
    <border>
      <left style="thick">
        <color rgb="FFC9A227"/>
      </left>
      <right/>
      <top/>
      <bottom style="double">
        <color auto="1"/>
      </bottom>
      <diagonal/>
    </border>
    <border>
      <left style="thick">
        <color rgb="FFC9A227"/>
      </left>
      <right/>
      <top/>
      <bottom style="thick">
        <color rgb="FF1D2330"/>
      </bottom>
      <diagonal/>
    </border>
    <border>
      <left/>
      <right/>
      <top/>
      <bottom style="medium">
        <color rgb="FF222222"/>
      </bottom>
      <diagonal/>
    </border>
    <border>
      <left style="thick">
        <color rgb="FFC9A227"/>
      </left>
      <right/>
      <top/>
      <bottom style="medium">
        <color rgb="FF222222"/>
      </bottom>
      <diagonal/>
    </border>
    <border>
      <left style="thin">
        <color rgb="FFE5E7EB"/>
      </left>
      <right/>
      <top style="thin">
        <color auto="1"/>
      </top>
      <bottom style="double">
        <color auto="1"/>
      </bottom>
      <diagonal/>
    </border>
    <border>
      <left/>
      <right/>
      <top style="thick">
        <color auto="1"/>
      </top>
      <bottom style="double">
        <color rgb="FFC0C0C0"/>
      </bottom>
      <diagonal/>
    </border>
    <border>
      <left style="thin">
        <color rgb="FFE5E7EB"/>
      </left>
      <right/>
      <top style="thick">
        <color auto="1"/>
      </top>
      <bottom style="double">
        <color rgb="FFC0C0C0"/>
      </bottom>
      <diagonal/>
    </border>
    <border>
      <left/>
      <right/>
      <top style="thick">
        <color auto="1"/>
      </top>
      <bottom style="double">
        <color auto="1"/>
      </bottom>
      <diagonal/>
    </border>
    <border>
      <left style="thin">
        <color rgb="FFE5E7EB"/>
      </left>
      <right/>
      <top style="thick">
        <color auto="1"/>
      </top>
      <bottom style="double">
        <color auto="1"/>
      </bottom>
      <diagonal/>
    </border>
    <border>
      <left/>
      <right/>
      <top style="thin">
        <color auto="1"/>
      </top>
      <bottom style="thin">
        <color rgb="FF000000"/>
      </bottom>
      <diagonal/>
    </border>
    <border>
      <left style="thin">
        <color rgb="FFBFBFBF"/>
      </left>
      <right style="thin">
        <color rgb="FFBFBFBF"/>
      </right>
      <top style="thin">
        <color rgb="FF7F7F7F"/>
      </top>
      <bottom style="thin">
        <color rgb="FFBFBFBF"/>
      </bottom>
      <diagonal/>
    </border>
    <border>
      <left style="thin">
        <color rgb="FFBFBFBF"/>
      </left>
      <right style="thin">
        <color rgb="FFBFBFBF"/>
      </right>
      <top style="thin">
        <color rgb="FFBFBFBF"/>
      </top>
      <bottom style="thin">
        <color rgb="FF7F7F7F"/>
      </bottom>
      <diagonal/>
    </border>
    <border>
      <left style="thin">
        <color rgb="FF7F7F7F"/>
      </left>
      <right style="thin">
        <color rgb="FFBFBFBF"/>
      </right>
      <top style="thin">
        <color rgb="FF7F7F7F"/>
      </top>
      <bottom style="thin">
        <color rgb="FFBFBFBF"/>
      </bottom>
      <diagonal/>
    </border>
    <border>
      <left style="thin">
        <color rgb="FF7F7F7F"/>
      </left>
      <right style="thin">
        <color rgb="FFBFBFBF"/>
      </right>
      <top style="thin">
        <color rgb="FFBFBFBF"/>
      </top>
      <bottom style="thin">
        <color rgb="FFBFBFBF"/>
      </bottom>
      <diagonal/>
    </border>
    <border>
      <left style="thin">
        <color rgb="FF7F7F7F"/>
      </left>
      <right style="thin">
        <color rgb="FFBFBFBF"/>
      </right>
      <top style="thin">
        <color rgb="FFBFBFBF"/>
      </top>
      <bottom style="thin">
        <color rgb="FF7F7F7F"/>
      </bottom>
      <diagonal/>
    </border>
    <border>
      <left style="thin">
        <color rgb="FFBFBFBF"/>
      </left>
      <right style="thin">
        <color rgb="FF7F7F7F"/>
      </right>
      <top style="thin">
        <color rgb="FF7F7F7F"/>
      </top>
      <bottom style="thin">
        <color rgb="FFBFBFBF"/>
      </bottom>
      <diagonal/>
    </border>
    <border>
      <left style="thin">
        <color rgb="FFBFBFBF"/>
      </left>
      <right style="thin">
        <color rgb="FF7F7F7F"/>
      </right>
      <top style="thin">
        <color rgb="FFBFBFBF"/>
      </top>
      <bottom style="thin">
        <color rgb="FFBFBFBF"/>
      </bottom>
      <diagonal/>
    </border>
    <border>
      <left style="thin">
        <color rgb="FFBFBFBF"/>
      </left>
      <right style="thin">
        <color rgb="FF7F7F7F"/>
      </right>
      <top style="thin">
        <color rgb="FFBFBFBF"/>
      </top>
      <bottom style="thin">
        <color rgb="FF7F7F7F"/>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7F7F7F"/>
      </top>
      <bottom style="thin">
        <color rgb="FFD9D9D9"/>
      </bottom>
      <diagonal/>
    </border>
    <border>
      <left style="thin">
        <color rgb="FFD9D9D9"/>
      </left>
      <right style="thin">
        <color rgb="FFD9D9D9"/>
      </right>
      <top style="thin">
        <color rgb="FFD9D9D9"/>
      </top>
      <bottom style="thin">
        <color rgb="FF7F7F7F"/>
      </bottom>
      <diagonal/>
    </border>
    <border>
      <left style="thin">
        <color rgb="FF7F7F7F"/>
      </left>
      <right style="thin">
        <color rgb="FFD9D9D9"/>
      </right>
      <top style="thin">
        <color rgb="FF7F7F7F"/>
      </top>
      <bottom style="thin">
        <color rgb="FFD9D9D9"/>
      </bottom>
      <diagonal/>
    </border>
    <border>
      <left style="thin">
        <color rgb="FF7F7F7F"/>
      </left>
      <right style="thin">
        <color rgb="FFD9D9D9"/>
      </right>
      <top style="thin">
        <color rgb="FFD9D9D9"/>
      </top>
      <bottom style="thin">
        <color rgb="FFD9D9D9"/>
      </bottom>
      <diagonal/>
    </border>
    <border>
      <left style="thin">
        <color rgb="FF7F7F7F"/>
      </left>
      <right style="thin">
        <color rgb="FFD9D9D9"/>
      </right>
      <top style="thin">
        <color rgb="FFD9D9D9"/>
      </top>
      <bottom style="thin">
        <color rgb="FF7F7F7F"/>
      </bottom>
      <diagonal/>
    </border>
    <border>
      <left style="thin">
        <color rgb="FFD9D9D9"/>
      </left>
      <right style="thin">
        <color rgb="FF7F7F7F"/>
      </right>
      <top style="thin">
        <color rgb="FF7F7F7F"/>
      </top>
      <bottom style="thin">
        <color rgb="FFD9D9D9"/>
      </bottom>
      <diagonal/>
    </border>
    <border>
      <left style="thin">
        <color rgb="FFD9D9D9"/>
      </left>
      <right style="thin">
        <color rgb="FF7F7F7F"/>
      </right>
      <top style="thin">
        <color rgb="FFD9D9D9"/>
      </top>
      <bottom style="thin">
        <color rgb="FFD9D9D9"/>
      </bottom>
      <diagonal/>
    </border>
    <border>
      <left style="thin">
        <color rgb="FFD9D9D9"/>
      </left>
      <right style="thin">
        <color rgb="FF7F7F7F"/>
      </right>
      <top style="thin">
        <color rgb="FFD9D9D9"/>
      </top>
      <bottom style="thin">
        <color rgb="FF7F7F7F"/>
      </bottom>
      <diagonal/>
    </border>
    <border>
      <left style="thin">
        <color rgb="FF7F7F7F"/>
      </left>
      <right style="thin">
        <color rgb="FFD9D9D9"/>
      </right>
      <top style="thin">
        <color rgb="FFD9D9D9"/>
      </top>
      <bottom/>
      <diagonal/>
    </border>
    <border>
      <left style="thin">
        <color rgb="FFD9D9D9"/>
      </left>
      <right style="thin">
        <color rgb="FF7F7F7F"/>
      </right>
      <top style="thin">
        <color rgb="FFD9D9D9"/>
      </top>
      <bottom/>
      <diagonal/>
    </border>
    <border>
      <left style="thin">
        <color rgb="FF7F7F7F"/>
      </left>
      <right style="thin">
        <color rgb="FFD9D9D9"/>
      </right>
      <top/>
      <bottom style="thin">
        <color rgb="FFD9D9D9"/>
      </bottom>
      <diagonal/>
    </border>
    <border>
      <left style="thin">
        <color rgb="FFD9D9D9"/>
      </left>
      <right style="thin">
        <color rgb="FF7F7F7F"/>
      </right>
      <top/>
      <bottom style="thin">
        <color rgb="FFD9D9D9"/>
      </bottom>
      <diagonal/>
    </border>
  </borders>
  <cellStyleXfs count="12">
    <xf numFmtId="0" fontId="0" fillId="0" borderId="0"/>
    <xf numFmtId="172" fontId="3" fillId="0" borderId="0"/>
    <xf numFmtId="9" fontId="3" fillId="0" borderId="0"/>
    <xf numFmtId="0" fontId="5" fillId="0" borderId="0"/>
    <xf numFmtId="9" fontId="6" fillId="0" borderId="0" applyFont="0" applyFill="0" applyBorder="0" applyAlignment="0" applyProtection="0"/>
    <xf numFmtId="43" fontId="7" fillId="0" borderId="0" applyFont="0" applyFill="0" applyBorder="0" applyAlignment="0" applyProtection="0"/>
    <xf numFmtId="0" fontId="12" fillId="0" borderId="0"/>
    <xf numFmtId="0" fontId="13" fillId="0" borderId="0" applyNumberForma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5" fillId="0" borderId="0"/>
  </cellStyleXfs>
  <cellXfs count="1143">
    <xf numFmtId="0" fontId="0" fillId="0" borderId="0" xfId="0"/>
    <xf numFmtId="0" fontId="9" fillId="0" borderId="0" xfId="0" applyFont="1"/>
    <xf numFmtId="0" fontId="8" fillId="0" borderId="0" xfId="0" applyFont="1"/>
    <xf numFmtId="0" fontId="0" fillId="28" borderId="0" xfId="0" applyFill="1"/>
    <xf numFmtId="0" fontId="1" fillId="0" borderId="0" xfId="8"/>
    <xf numFmtId="0" fontId="1" fillId="0" borderId="0" xfId="8" applyAlignment="1">
      <alignment horizontal="left"/>
    </xf>
    <xf numFmtId="0" fontId="15" fillId="0" borderId="0" xfId="11"/>
    <xf numFmtId="180" fontId="29" fillId="9" borderId="0" xfId="0" applyNumberFormat="1" applyFont="1" applyFill="1" applyAlignment="1">
      <alignment horizontal="right" vertical="center"/>
    </xf>
    <xf numFmtId="180" fontId="29" fillId="9" borderId="85" xfId="0" applyNumberFormat="1" applyFont="1" applyFill="1" applyBorder="1" applyAlignment="1">
      <alignment horizontal="right" vertical="center"/>
    </xf>
    <xf numFmtId="180" fontId="29" fillId="9" borderId="86" xfId="0" applyNumberFormat="1" applyFont="1" applyFill="1" applyBorder="1" applyAlignment="1">
      <alignment horizontal="right" vertical="center"/>
    </xf>
    <xf numFmtId="170" fontId="28" fillId="9" borderId="0" xfId="0" applyNumberFormat="1" applyFont="1" applyFill="1" applyAlignment="1">
      <alignment horizontal="right" vertical="center"/>
    </xf>
    <xf numFmtId="180" fontId="28" fillId="9" borderId="88" xfId="0" applyNumberFormat="1" applyFont="1" applyFill="1" applyBorder="1" applyAlignment="1">
      <alignment horizontal="right" vertical="center"/>
    </xf>
    <xf numFmtId="180" fontId="28" fillId="9" borderId="89" xfId="0" applyNumberFormat="1" applyFont="1" applyFill="1" applyBorder="1" applyAlignment="1">
      <alignment horizontal="right" vertical="center"/>
    </xf>
    <xf numFmtId="187" fontId="31" fillId="9" borderId="0" xfId="9" applyNumberFormat="1" applyFont="1" applyFill="1" applyBorder="1" applyAlignment="1">
      <alignment horizontal="center" vertical="center"/>
    </xf>
    <xf numFmtId="187" fontId="23" fillId="9" borderId="0" xfId="9" applyNumberFormat="1" applyFont="1" applyFill="1" applyBorder="1" applyAlignment="1">
      <alignment horizontal="right" vertical="center"/>
    </xf>
    <xf numFmtId="187" fontId="23" fillId="9" borderId="0" xfId="9" applyNumberFormat="1" applyFont="1" applyFill="1" applyBorder="1" applyAlignment="1">
      <alignment horizontal="center" vertical="center"/>
    </xf>
    <xf numFmtId="187" fontId="23" fillId="9" borderId="0" xfId="9" applyNumberFormat="1" applyFont="1" applyFill="1" applyBorder="1" applyAlignment="1">
      <alignment horizontal="left" vertical="center"/>
    </xf>
    <xf numFmtId="187" fontId="23" fillId="9" borderId="0" xfId="9" applyNumberFormat="1" applyFont="1" applyFill="1" applyAlignment="1">
      <alignment vertical="center"/>
    </xf>
    <xf numFmtId="10" fontId="23" fillId="9" borderId="0" xfId="10" applyNumberFormat="1" applyFont="1" applyFill="1" applyAlignment="1">
      <alignment vertical="center"/>
    </xf>
    <xf numFmtId="187" fontId="22" fillId="35" borderId="1" xfId="9" applyNumberFormat="1" applyFont="1" applyFill="1" applyBorder="1" applyAlignment="1">
      <alignment vertical="center"/>
    </xf>
    <xf numFmtId="187" fontId="23" fillId="9" borderId="0" xfId="9" applyNumberFormat="1" applyFont="1" applyFill="1" applyBorder="1" applyAlignment="1">
      <alignment vertical="center"/>
    </xf>
    <xf numFmtId="187" fontId="23" fillId="9" borderId="64" xfId="9" applyNumberFormat="1" applyFont="1" applyFill="1" applyBorder="1" applyAlignment="1">
      <alignment vertical="center"/>
    </xf>
    <xf numFmtId="187" fontId="24" fillId="9" borderId="12" xfId="9" applyNumberFormat="1" applyFont="1" applyFill="1" applyBorder="1" applyAlignment="1">
      <alignment vertical="center"/>
    </xf>
    <xf numFmtId="10" fontId="24" fillId="9" borderId="12" xfId="10" applyNumberFormat="1" applyFont="1" applyFill="1" applyBorder="1" applyAlignment="1">
      <alignment vertical="center"/>
    </xf>
    <xf numFmtId="187" fontId="36" fillId="9" borderId="0" xfId="9" applyNumberFormat="1" applyFont="1" applyFill="1" applyAlignment="1">
      <alignment vertical="center"/>
    </xf>
    <xf numFmtId="10" fontId="36" fillId="9" borderId="0" xfId="10" applyNumberFormat="1" applyFont="1" applyFill="1" applyAlignment="1">
      <alignment vertical="center"/>
    </xf>
    <xf numFmtId="187" fontId="23" fillId="9" borderId="72" xfId="9" applyNumberFormat="1" applyFont="1" applyFill="1" applyBorder="1" applyAlignment="1">
      <alignment vertical="center"/>
    </xf>
    <xf numFmtId="187" fontId="36" fillId="9" borderId="64" xfId="9" applyNumberFormat="1" applyFont="1" applyFill="1" applyBorder="1" applyAlignment="1">
      <alignment vertical="center"/>
    </xf>
    <xf numFmtId="187" fontId="23" fillId="9" borderId="73" xfId="9" applyNumberFormat="1" applyFont="1" applyFill="1" applyBorder="1" applyAlignment="1">
      <alignment vertical="center"/>
    </xf>
    <xf numFmtId="10" fontId="23" fillId="9" borderId="73" xfId="10" applyNumberFormat="1" applyFont="1" applyFill="1" applyBorder="1" applyAlignment="1">
      <alignment vertical="center"/>
    </xf>
    <xf numFmtId="187" fontId="23" fillId="9" borderId="74" xfId="9" applyNumberFormat="1" applyFont="1" applyFill="1" applyBorder="1" applyAlignment="1">
      <alignment vertical="center"/>
    </xf>
    <xf numFmtId="188" fontId="35" fillId="9" borderId="0" xfId="8" applyNumberFormat="1" applyFont="1" applyFill="1" applyAlignment="1">
      <alignment horizontal="right" vertical="center"/>
    </xf>
    <xf numFmtId="1" fontId="22" fillId="2" borderId="2" xfId="0" applyNumberFormat="1" applyFont="1" applyFill="1" applyBorder="1" applyAlignment="1">
      <alignment horizontal="right" vertical="center"/>
    </xf>
    <xf numFmtId="173" fontId="52" fillId="11" borderId="26" xfId="0" applyNumberFormat="1" applyFont="1" applyFill="1" applyBorder="1" applyAlignment="1">
      <alignment horizontal="right" vertical="center"/>
    </xf>
    <xf numFmtId="173" fontId="27" fillId="11" borderId="26" xfId="0" applyNumberFormat="1" applyFont="1" applyFill="1" applyBorder="1" applyAlignment="1">
      <alignment horizontal="right" vertical="center"/>
    </xf>
    <xf numFmtId="173" fontId="32" fillId="11" borderId="26" xfId="0" applyNumberFormat="1" applyFont="1" applyFill="1" applyBorder="1" applyAlignment="1">
      <alignment horizontal="right" vertical="center"/>
    </xf>
    <xf numFmtId="181" fontId="27" fillId="11" borderId="26" xfId="0" applyNumberFormat="1" applyFont="1" applyFill="1" applyBorder="1" applyAlignment="1">
      <alignment vertical="center"/>
    </xf>
    <xf numFmtId="173" fontId="27" fillId="11" borderId="26" xfId="0" applyNumberFormat="1" applyFont="1" applyFill="1" applyBorder="1" applyAlignment="1">
      <alignment vertical="center"/>
    </xf>
    <xf numFmtId="173" fontId="29" fillId="9" borderId="26" xfId="0" applyNumberFormat="1" applyFont="1" applyFill="1" applyBorder="1" applyAlignment="1">
      <alignment horizontal="right" vertical="center"/>
    </xf>
    <xf numFmtId="173" fontId="27" fillId="9" borderId="26" xfId="0" applyNumberFormat="1" applyFont="1" applyFill="1" applyBorder="1" applyAlignment="1">
      <alignment horizontal="right" vertical="center"/>
    </xf>
    <xf numFmtId="173" fontId="32" fillId="9" borderId="26" xfId="0" applyNumberFormat="1" applyFont="1" applyFill="1" applyBorder="1" applyAlignment="1">
      <alignment horizontal="right" vertical="center"/>
    </xf>
    <xf numFmtId="173" fontId="27" fillId="9" borderId="26" xfId="0" applyNumberFormat="1" applyFont="1" applyFill="1" applyBorder="1" applyAlignment="1">
      <alignment vertical="center"/>
    </xf>
    <xf numFmtId="173" fontId="50" fillId="9" borderId="27" xfId="0" applyNumberFormat="1" applyFont="1" applyFill="1" applyBorder="1" applyAlignment="1">
      <alignment horizontal="right" vertical="center"/>
    </xf>
    <xf numFmtId="173" fontId="46" fillId="9" borderId="27" xfId="0" applyNumberFormat="1" applyFont="1" applyFill="1" applyBorder="1" applyAlignment="1">
      <alignment horizontal="right" vertical="center"/>
    </xf>
    <xf numFmtId="173" fontId="25" fillId="9" borderId="27" xfId="0" applyNumberFormat="1" applyFont="1" applyFill="1" applyBorder="1" applyAlignment="1">
      <alignment vertical="center"/>
    </xf>
    <xf numFmtId="173" fontId="28" fillId="9" borderId="78" xfId="0" applyNumberFormat="1" applyFont="1" applyFill="1" applyBorder="1" applyAlignment="1">
      <alignment horizontal="right" vertical="center"/>
    </xf>
    <xf numFmtId="173" fontId="25" fillId="9" borderId="78" xfId="0" applyNumberFormat="1" applyFont="1" applyFill="1" applyBorder="1" applyAlignment="1">
      <alignment vertical="center"/>
    </xf>
    <xf numFmtId="173" fontId="29" fillId="11" borderId="26" xfId="0" applyNumberFormat="1" applyFont="1" applyFill="1" applyBorder="1" applyAlignment="1">
      <alignment horizontal="right" vertical="center"/>
    </xf>
    <xf numFmtId="173" fontId="50" fillId="10" borderId="28" xfId="0" applyNumberFormat="1" applyFont="1" applyFill="1" applyBorder="1" applyAlignment="1">
      <alignment horizontal="right" vertical="center"/>
    </xf>
    <xf numFmtId="173" fontId="46" fillId="10" borderId="28" xfId="0" applyNumberFormat="1" applyFont="1" applyFill="1" applyBorder="1" applyAlignment="1">
      <alignment horizontal="right" vertical="center"/>
    </xf>
    <xf numFmtId="173" fontId="25" fillId="10" borderId="28" xfId="0" applyNumberFormat="1" applyFont="1" applyFill="1" applyBorder="1" applyAlignment="1">
      <alignment vertical="center"/>
    </xf>
    <xf numFmtId="173" fontId="28" fillId="9" borderId="80" xfId="0" applyNumberFormat="1" applyFont="1" applyFill="1" applyBorder="1" applyAlignment="1">
      <alignment horizontal="right" vertical="center"/>
    </xf>
    <xf numFmtId="173" fontId="25" fillId="9" borderId="80" xfId="0" applyNumberFormat="1" applyFont="1" applyFill="1" applyBorder="1" applyAlignment="1">
      <alignment vertical="center"/>
    </xf>
    <xf numFmtId="173" fontId="32" fillId="9" borderId="0" xfId="0" applyNumberFormat="1" applyFont="1" applyFill="1" applyAlignment="1">
      <alignment horizontal="right" vertical="center"/>
    </xf>
    <xf numFmtId="173" fontId="29" fillId="9" borderId="0" xfId="0" applyNumberFormat="1" applyFont="1" applyFill="1" applyAlignment="1">
      <alignment horizontal="left" vertical="center"/>
    </xf>
    <xf numFmtId="181" fontId="29" fillId="9" borderId="0" xfId="0" applyNumberFormat="1" applyFont="1" applyFill="1" applyAlignment="1">
      <alignment vertical="center"/>
    </xf>
    <xf numFmtId="173" fontId="28" fillId="9" borderId="81" xfId="0" applyNumberFormat="1" applyFont="1" applyFill="1" applyBorder="1" applyAlignment="1">
      <alignment horizontal="left" vertical="center"/>
    </xf>
    <xf numFmtId="181" fontId="28" fillId="9" borderId="81" xfId="0" applyNumberFormat="1" applyFont="1" applyFill="1" applyBorder="1" applyAlignment="1">
      <alignment vertical="center"/>
    </xf>
    <xf numFmtId="173" fontId="27" fillId="11" borderId="0" xfId="0" applyNumberFormat="1" applyFont="1" applyFill="1" applyAlignment="1">
      <alignment horizontal="right" vertical="center"/>
    </xf>
    <xf numFmtId="181" fontId="27" fillId="11" borderId="0" xfId="0" applyNumberFormat="1" applyFont="1" applyFill="1" applyAlignment="1">
      <alignment horizontal="right" vertical="center"/>
    </xf>
    <xf numFmtId="173" fontId="27" fillId="9" borderId="0" xfId="0" applyNumberFormat="1" applyFont="1" applyFill="1" applyAlignment="1">
      <alignment horizontal="right" vertical="center"/>
    </xf>
    <xf numFmtId="181" fontId="27" fillId="9" borderId="0" xfId="0" applyNumberFormat="1" applyFont="1" applyFill="1" applyAlignment="1">
      <alignment horizontal="right" vertical="center"/>
    </xf>
    <xf numFmtId="181" fontId="27" fillId="11" borderId="16" xfId="0" applyNumberFormat="1" applyFont="1" applyFill="1" applyBorder="1" applyAlignment="1">
      <alignment horizontal="right" vertical="center"/>
    </xf>
    <xf numFmtId="165" fontId="29" fillId="9" borderId="0" xfId="0" applyNumberFormat="1" applyFont="1" applyFill="1" applyAlignment="1">
      <alignment horizontal="right" vertical="center"/>
    </xf>
    <xf numFmtId="3" fontId="46" fillId="4" borderId="9" xfId="0" applyNumberFormat="1" applyFont="1" applyFill="1" applyBorder="1" applyAlignment="1">
      <alignment horizontal="right" vertical="center"/>
    </xf>
    <xf numFmtId="3" fontId="28" fillId="4" borderId="0" xfId="0" applyNumberFormat="1" applyFont="1" applyFill="1" applyAlignment="1">
      <alignment horizontal="center" vertical="center"/>
    </xf>
    <xf numFmtId="173" fontId="29" fillId="9" borderId="0" xfId="0" applyNumberFormat="1" applyFont="1" applyFill="1" applyAlignment="1">
      <alignment horizontal="right" vertical="center"/>
    </xf>
    <xf numFmtId="183" fontId="60" fillId="27" borderId="0" xfId="0" applyNumberFormat="1" applyFont="1" applyFill="1" applyAlignment="1">
      <alignment horizontal="right" vertical="center"/>
    </xf>
    <xf numFmtId="175" fontId="29" fillId="9" borderId="0" xfId="0" applyNumberFormat="1" applyFont="1" applyFill="1" applyAlignment="1">
      <alignment horizontal="right" vertical="center"/>
    </xf>
    <xf numFmtId="49" fontId="29" fillId="9" borderId="0" xfId="0" applyNumberFormat="1" applyFont="1" applyFill="1" applyAlignment="1">
      <alignment vertical="center"/>
    </xf>
    <xf numFmtId="175" fontId="28" fillId="9" borderId="14" xfId="0" applyNumberFormat="1" applyFont="1" applyFill="1" applyBorder="1" applyAlignment="1">
      <alignment horizontal="right" vertical="center"/>
    </xf>
    <xf numFmtId="176" fontId="58" fillId="9" borderId="48" xfId="0" applyNumberFormat="1" applyFont="1" applyFill="1" applyBorder="1" applyAlignment="1">
      <alignment horizontal="right" vertical="center"/>
    </xf>
    <xf numFmtId="175" fontId="28" fillId="9" borderId="0" xfId="0" applyNumberFormat="1" applyFont="1" applyFill="1" applyAlignment="1">
      <alignment horizontal="right" vertical="center"/>
    </xf>
    <xf numFmtId="173" fontId="60" fillId="27" borderId="0" xfId="0" applyNumberFormat="1" applyFont="1" applyFill="1" applyAlignment="1">
      <alignment horizontal="right" vertical="center"/>
    </xf>
    <xf numFmtId="173" fontId="27" fillId="26" borderId="0" xfId="0" applyNumberFormat="1" applyFont="1" applyFill="1" applyAlignment="1">
      <alignment horizontal="right" vertical="center"/>
    </xf>
    <xf numFmtId="183" fontId="48" fillId="26" borderId="0" xfId="0" applyNumberFormat="1" applyFont="1" applyFill="1" applyAlignment="1">
      <alignment horizontal="right" vertical="center"/>
    </xf>
    <xf numFmtId="173" fontId="48" fillId="26" borderId="0" xfId="0" applyNumberFormat="1" applyFont="1" applyFill="1" applyAlignment="1">
      <alignment horizontal="right" vertical="center"/>
    </xf>
    <xf numFmtId="175" fontId="58" fillId="9" borderId="50" xfId="0" applyNumberFormat="1" applyFont="1" applyFill="1" applyBorder="1" applyAlignment="1">
      <alignment horizontal="right" vertical="center"/>
    </xf>
    <xf numFmtId="174" fontId="29" fillId="9" borderId="0" xfId="0" applyNumberFormat="1" applyFont="1" applyFill="1" applyAlignment="1">
      <alignment horizontal="right" vertical="center"/>
    </xf>
    <xf numFmtId="174" fontId="28" fillId="9" borderId="14" xfId="0" applyNumberFormat="1" applyFont="1" applyFill="1" applyBorder="1" applyAlignment="1">
      <alignment horizontal="right" vertical="center"/>
    </xf>
    <xf numFmtId="174" fontId="28" fillId="9" borderId="33" xfId="0" applyNumberFormat="1" applyFont="1" applyFill="1" applyBorder="1" applyAlignment="1">
      <alignment horizontal="right" vertical="center"/>
    </xf>
    <xf numFmtId="174" fontId="28" fillId="9" borderId="0" xfId="0" applyNumberFormat="1" applyFont="1" applyFill="1" applyAlignment="1">
      <alignment horizontal="right" vertical="center"/>
    </xf>
    <xf numFmtId="174" fontId="50" fillId="9" borderId="47" xfId="0" applyNumberFormat="1" applyFont="1" applyFill="1" applyBorder="1" applyAlignment="1">
      <alignment horizontal="right" vertical="center"/>
    </xf>
    <xf numFmtId="174" fontId="58" fillId="9" borderId="48" xfId="0" applyNumberFormat="1" applyFont="1" applyFill="1" applyBorder="1" applyAlignment="1">
      <alignment horizontal="right" vertical="center"/>
    </xf>
    <xf numFmtId="174" fontId="58" fillId="9" borderId="50" xfId="0" applyNumberFormat="1" applyFont="1" applyFill="1" applyBorder="1" applyAlignment="1">
      <alignment horizontal="right" vertical="center"/>
    </xf>
    <xf numFmtId="49" fontId="28" fillId="9" borderId="0" xfId="0" applyNumberFormat="1" applyFont="1" applyFill="1" applyAlignment="1">
      <alignment horizontal="center" vertical="center"/>
    </xf>
    <xf numFmtId="17" fontId="24" fillId="13" borderId="0" xfId="0" applyNumberFormat="1" applyFont="1" applyFill="1" applyAlignment="1">
      <alignment horizontal="center" vertical="center"/>
    </xf>
    <xf numFmtId="17" fontId="65" fillId="18" borderId="0" xfId="0" applyNumberFormat="1" applyFont="1" applyFill="1" applyAlignment="1">
      <alignment horizontal="center" vertical="center"/>
    </xf>
    <xf numFmtId="173" fontId="24" fillId="20" borderId="0" xfId="0" applyNumberFormat="1" applyFont="1" applyFill="1" applyAlignment="1">
      <alignment vertical="center"/>
    </xf>
    <xf numFmtId="178" fontId="24" fillId="25" borderId="0" xfId="0" applyNumberFormat="1" applyFont="1" applyFill="1" applyAlignment="1">
      <alignment vertical="center"/>
    </xf>
    <xf numFmtId="171" fontId="70" fillId="23" borderId="0" xfId="0" applyNumberFormat="1" applyFont="1" applyFill="1" applyAlignment="1">
      <alignment horizontal="right" vertical="center"/>
    </xf>
    <xf numFmtId="193" fontId="28" fillId="13" borderId="100" xfId="11" applyNumberFormat="1" applyFont="1" applyFill="1" applyBorder="1" applyAlignment="1">
      <alignment horizontal="right" vertical="center"/>
    </xf>
    <xf numFmtId="193" fontId="28" fillId="13" borderId="0" xfId="11" applyNumberFormat="1" applyFont="1" applyFill="1" applyAlignment="1">
      <alignment horizontal="right" vertical="center"/>
    </xf>
    <xf numFmtId="193" fontId="28" fillId="40" borderId="98" xfId="11" applyNumberFormat="1" applyFont="1" applyFill="1" applyBorder="1" applyAlignment="1">
      <alignment horizontal="right" vertical="center"/>
    </xf>
    <xf numFmtId="193" fontId="28" fillId="40" borderId="0" xfId="11" applyNumberFormat="1" applyFont="1" applyFill="1" applyAlignment="1">
      <alignment horizontal="right" vertical="center"/>
    </xf>
    <xf numFmtId="193" fontId="28" fillId="13" borderId="103" xfId="11" applyNumberFormat="1" applyFont="1" applyFill="1" applyBorder="1" applyAlignment="1">
      <alignment horizontal="right" vertical="center"/>
    </xf>
    <xf numFmtId="189" fontId="29" fillId="9" borderId="0" xfId="11" applyNumberFormat="1" applyFont="1" applyFill="1" applyAlignment="1">
      <alignment horizontal="right" vertical="center"/>
    </xf>
    <xf numFmtId="194" fontId="28" fillId="9" borderId="109" xfId="11" applyNumberFormat="1" applyFont="1" applyFill="1" applyBorder="1" applyAlignment="1">
      <alignment horizontal="left" vertical="center"/>
    </xf>
    <xf numFmtId="189" fontId="28" fillId="9" borderId="109" xfId="11" applyNumberFormat="1" applyFont="1" applyFill="1" applyBorder="1" applyAlignment="1">
      <alignment horizontal="right" vertical="center"/>
    </xf>
    <xf numFmtId="194" fontId="28" fillId="9" borderId="106" xfId="11" applyNumberFormat="1" applyFont="1" applyFill="1" applyBorder="1" applyAlignment="1">
      <alignment horizontal="left" vertical="center"/>
    </xf>
    <xf numFmtId="189" fontId="28" fillId="9" borderId="106" xfId="11" applyNumberFormat="1" applyFont="1" applyFill="1" applyBorder="1" applyAlignment="1">
      <alignment horizontal="right" vertical="center"/>
    </xf>
    <xf numFmtId="194" fontId="29" fillId="9" borderId="0" xfId="11" applyNumberFormat="1" applyFont="1" applyFill="1" applyAlignment="1">
      <alignment horizontal="right" vertical="center"/>
    </xf>
    <xf numFmtId="189" fontId="25" fillId="9" borderId="0" xfId="0" applyNumberFormat="1" applyFont="1" applyFill="1" applyAlignment="1">
      <alignment horizontal="right" vertical="center"/>
    </xf>
    <xf numFmtId="189" fontId="25" fillId="9" borderId="110" xfId="0" applyNumberFormat="1" applyFont="1" applyFill="1" applyBorder="1" applyAlignment="1">
      <alignment horizontal="right" vertical="center"/>
    </xf>
    <xf numFmtId="189" fontId="30" fillId="17" borderId="0" xfId="0" applyNumberFormat="1" applyFont="1" applyFill="1" applyAlignment="1">
      <alignment horizontal="right" vertical="center"/>
    </xf>
    <xf numFmtId="165" fontId="65" fillId="17" borderId="115" xfId="0" applyNumberFormat="1" applyFont="1" applyFill="1" applyBorder="1" applyAlignment="1">
      <alignment horizontal="right" vertical="center"/>
    </xf>
    <xf numFmtId="0" fontId="22" fillId="12" borderId="0" xfId="0" applyFont="1" applyFill="1" applyAlignment="1">
      <alignment vertical="center"/>
    </xf>
    <xf numFmtId="0" fontId="23" fillId="12" borderId="0" xfId="0" applyFont="1" applyFill="1" applyAlignment="1">
      <alignment vertical="center"/>
    </xf>
    <xf numFmtId="0" fontId="24" fillId="13" borderId="0" xfId="0" applyFont="1" applyFill="1" applyAlignment="1">
      <alignment vertical="center"/>
    </xf>
    <xf numFmtId="0" fontId="24" fillId="13" borderId="0" xfId="0" applyFont="1" applyFill="1" applyAlignment="1">
      <alignment horizontal="right" vertical="center"/>
    </xf>
    <xf numFmtId="0" fontId="24" fillId="17" borderId="0" xfId="0" applyFont="1" applyFill="1" applyAlignment="1">
      <alignment vertical="center"/>
    </xf>
    <xf numFmtId="0" fontId="28" fillId="13" borderId="84" xfId="0" applyFont="1" applyFill="1" applyBorder="1" applyAlignment="1">
      <alignment horizontal="center" vertical="center"/>
    </xf>
    <xf numFmtId="199" fontId="29" fillId="9" borderId="0" xfId="0" applyNumberFormat="1" applyFont="1" applyFill="1" applyAlignment="1">
      <alignment horizontal="right" vertical="center"/>
    </xf>
    <xf numFmtId="0" fontId="29" fillId="9" borderId="85" xfId="0" applyFont="1" applyFill="1" applyBorder="1" applyAlignment="1">
      <alignment horizontal="left" vertical="center"/>
    </xf>
    <xf numFmtId="0" fontId="28" fillId="38" borderId="86" xfId="0" applyFont="1" applyFill="1" applyBorder="1" applyAlignment="1">
      <alignment horizontal="left" vertical="center"/>
    </xf>
    <xf numFmtId="200" fontId="28" fillId="9" borderId="0" xfId="0" applyNumberFormat="1" applyFont="1" applyFill="1" applyAlignment="1">
      <alignment horizontal="right" vertical="center"/>
    </xf>
    <xf numFmtId="0" fontId="28" fillId="17" borderId="87" xfId="0" applyFont="1" applyFill="1" applyBorder="1" applyAlignment="1">
      <alignment horizontal="left" vertical="center"/>
    </xf>
    <xf numFmtId="0" fontId="30" fillId="39" borderId="88" xfId="0" applyFont="1" applyFill="1" applyBorder="1" applyAlignment="1">
      <alignment horizontal="left" vertical="center"/>
    </xf>
    <xf numFmtId="0" fontId="28" fillId="38" borderId="89" xfId="0" applyFont="1" applyFill="1" applyBorder="1" applyAlignment="1">
      <alignment horizontal="left" vertical="center"/>
    </xf>
    <xf numFmtId="0" fontId="23" fillId="9" borderId="0" xfId="8" applyFont="1" applyFill="1" applyAlignment="1">
      <alignment horizontal="left" vertical="center"/>
    </xf>
    <xf numFmtId="0" fontId="23" fillId="9" borderId="0" xfId="8" applyFont="1" applyFill="1" applyAlignment="1">
      <alignment vertical="center"/>
    </xf>
    <xf numFmtId="202" fontId="23" fillId="9" borderId="0" xfId="9" applyNumberFormat="1" applyFont="1" applyFill="1" applyAlignment="1">
      <alignment vertical="center"/>
    </xf>
    <xf numFmtId="9" fontId="36" fillId="9" borderId="0" xfId="10" applyFont="1" applyFill="1" applyAlignment="1">
      <alignment vertical="center"/>
    </xf>
    <xf numFmtId="9" fontId="24" fillId="9" borderId="12" xfId="10" applyFont="1" applyFill="1" applyBorder="1" applyAlignment="1">
      <alignment vertical="center"/>
    </xf>
    <xf numFmtId="0" fontId="36" fillId="9" borderId="0" xfId="8" applyFont="1" applyFill="1" applyAlignment="1">
      <alignment vertical="center"/>
    </xf>
    <xf numFmtId="198" fontId="32" fillId="9" borderId="0" xfId="8" applyNumberFormat="1" applyFont="1" applyFill="1" applyAlignment="1">
      <alignment horizontal="right" vertical="center"/>
    </xf>
    <xf numFmtId="0" fontId="23" fillId="9" borderId="0" xfId="8" applyFont="1" applyFill="1" applyAlignment="1">
      <alignment horizontal="right" vertical="center"/>
    </xf>
    <xf numFmtId="0" fontId="24" fillId="9" borderId="12" xfId="8" applyFont="1" applyFill="1" applyBorder="1" applyAlignment="1">
      <alignment horizontal="left" vertical="center"/>
    </xf>
    <xf numFmtId="0" fontId="33" fillId="9" borderId="0" xfId="8" applyFont="1" applyFill="1" applyAlignment="1">
      <alignment horizontal="left" vertical="center"/>
    </xf>
    <xf numFmtId="0" fontId="34" fillId="9" borderId="12" xfId="8" applyFont="1" applyFill="1" applyBorder="1" applyAlignment="1">
      <alignment horizontal="left" vertical="center"/>
    </xf>
    <xf numFmtId="0" fontId="35" fillId="9" borderId="0" xfId="8" applyFont="1" applyFill="1" applyAlignment="1">
      <alignment horizontal="left" vertical="center"/>
    </xf>
    <xf numFmtId="0" fontId="22" fillId="2" borderId="1" xfId="0" applyFont="1" applyFill="1" applyBorder="1" applyAlignment="1">
      <alignment vertical="center"/>
    </xf>
    <xf numFmtId="0" fontId="29" fillId="7" borderId="7" xfId="0" applyFont="1" applyFill="1" applyBorder="1" applyAlignment="1">
      <alignment horizontal="left" vertical="center"/>
    </xf>
    <xf numFmtId="201" fontId="29" fillId="7" borderId="7" xfId="1" applyNumberFormat="1" applyFont="1" applyFill="1" applyBorder="1" applyAlignment="1">
      <alignment horizontal="right" vertical="center"/>
    </xf>
    <xf numFmtId="0" fontId="29" fillId="7" borderId="2" xfId="0" applyFont="1" applyFill="1" applyBorder="1" applyAlignment="1">
      <alignment horizontal="left" vertical="center"/>
    </xf>
    <xf numFmtId="201" fontId="29" fillId="7" borderId="2" xfId="1" applyNumberFormat="1" applyFont="1" applyFill="1" applyBorder="1" applyAlignment="1">
      <alignment horizontal="right" vertical="center"/>
    </xf>
    <xf numFmtId="0" fontId="22" fillId="2" borderId="0" xfId="0" applyFont="1" applyFill="1" applyAlignment="1">
      <alignment vertical="center"/>
    </xf>
    <xf numFmtId="0" fontId="22" fillId="2" borderId="0" xfId="0" applyFont="1" applyFill="1" applyAlignment="1">
      <alignment horizontal="center" vertical="center"/>
    </xf>
    <xf numFmtId="0" fontId="29" fillId="7" borderId="0" xfId="0" applyFont="1" applyFill="1" applyAlignment="1">
      <alignment vertical="center"/>
    </xf>
    <xf numFmtId="201" fontId="29" fillId="7" borderId="0" xfId="0" applyNumberFormat="1" applyFont="1" applyFill="1" applyAlignment="1">
      <alignment horizontal="right" vertical="center"/>
    </xf>
    <xf numFmtId="0" fontId="22" fillId="18" borderId="0" xfId="0" applyFont="1" applyFill="1" applyAlignment="1">
      <alignment vertical="center"/>
    </xf>
    <xf numFmtId="0" fontId="22" fillId="18" borderId="0" xfId="0" applyFont="1" applyFill="1" applyAlignment="1">
      <alignment horizontal="center" vertical="center"/>
    </xf>
    <xf numFmtId="0" fontId="22" fillId="15" borderId="0" xfId="0" applyFont="1" applyFill="1" applyAlignment="1">
      <alignment horizontal="center" vertical="center"/>
    </xf>
    <xf numFmtId="0" fontId="22" fillId="2" borderId="2" xfId="0" applyFont="1" applyFill="1" applyBorder="1" applyAlignment="1">
      <alignment horizontal="left" vertical="center"/>
    </xf>
    <xf numFmtId="0" fontId="42" fillId="2" borderId="0" xfId="0" applyFont="1" applyFill="1" applyAlignment="1">
      <alignment vertical="center"/>
    </xf>
    <xf numFmtId="0" fontId="22" fillId="3" borderId="3" xfId="0" applyFont="1" applyFill="1" applyBorder="1" applyAlignment="1">
      <alignment horizontal="center" vertical="center"/>
    </xf>
    <xf numFmtId="0" fontId="22" fillId="2" borderId="3" xfId="0" applyFont="1" applyFill="1" applyBorder="1" applyAlignment="1">
      <alignment horizontal="center" vertical="center"/>
    </xf>
    <xf numFmtId="0" fontId="28" fillId="4" borderId="4" xfId="0" applyFont="1" applyFill="1" applyBorder="1" applyAlignment="1">
      <alignment horizontal="left" vertical="center"/>
    </xf>
    <xf numFmtId="0" fontId="28" fillId="4" borderId="4" xfId="0" applyFont="1" applyFill="1" applyBorder="1" applyAlignment="1">
      <alignment horizontal="right" vertical="center"/>
    </xf>
    <xf numFmtId="0" fontId="48" fillId="6" borderId="3" xfId="0" applyFont="1" applyFill="1" applyBorder="1" applyAlignment="1">
      <alignment horizontal="center" vertical="center"/>
    </xf>
    <xf numFmtId="0" fontId="29" fillId="6" borderId="3" xfId="0" applyFont="1" applyFill="1" applyBorder="1" applyAlignment="1">
      <alignment horizontal="center" vertical="center"/>
    </xf>
    <xf numFmtId="0" fontId="44" fillId="17" borderId="58" xfId="0" applyFont="1" applyFill="1" applyBorder="1" applyAlignment="1">
      <alignment horizontal="center" vertical="center"/>
    </xf>
    <xf numFmtId="0" fontId="44" fillId="17" borderId="54" xfId="0" applyFont="1" applyFill="1" applyBorder="1" applyAlignment="1">
      <alignment horizontal="center" vertical="center"/>
    </xf>
    <xf numFmtId="201" fontId="29" fillId="17" borderId="54" xfId="0" applyNumberFormat="1" applyFont="1" applyFill="1" applyBorder="1" applyAlignment="1">
      <alignment horizontal="center" vertical="center"/>
    </xf>
    <xf numFmtId="201" fontId="29" fillId="17" borderId="61" xfId="0" applyNumberFormat="1" applyFont="1" applyFill="1" applyBorder="1" applyAlignment="1">
      <alignment horizontal="center" vertical="center"/>
    </xf>
    <xf numFmtId="0" fontId="29" fillId="9" borderId="0" xfId="0" applyFont="1" applyFill="1" applyAlignment="1">
      <alignment horizontal="left" vertical="center"/>
    </xf>
    <xf numFmtId="201" fontId="32" fillId="9" borderId="0" xfId="0" applyNumberFormat="1" applyFont="1" applyFill="1" applyAlignment="1">
      <alignment horizontal="right" vertical="center"/>
    </xf>
    <xf numFmtId="198" fontId="32" fillId="9" borderId="0" xfId="0" applyNumberFormat="1" applyFont="1" applyFill="1" applyAlignment="1">
      <alignment horizontal="right" vertical="center"/>
    </xf>
    <xf numFmtId="0" fontId="28" fillId="4" borderId="9" xfId="0" applyFont="1" applyFill="1" applyBorder="1" applyAlignment="1">
      <alignment vertical="center"/>
    </xf>
    <xf numFmtId="0" fontId="28" fillId="4" borderId="9" xfId="0" applyFont="1" applyFill="1" applyBorder="1" applyAlignment="1">
      <alignment horizontal="center" vertical="center"/>
    </xf>
    <xf numFmtId="201" fontId="46" fillId="4" borderId="9" xfId="0" applyNumberFormat="1" applyFont="1" applyFill="1" applyBorder="1" applyAlignment="1">
      <alignment horizontal="right" vertical="center"/>
    </xf>
    <xf numFmtId="0" fontId="28" fillId="4" borderId="0" xfId="0" applyFont="1" applyFill="1" applyAlignment="1">
      <alignment vertical="center"/>
    </xf>
    <xf numFmtId="0" fontId="28" fillId="4" borderId="0" xfId="0" applyFont="1" applyFill="1" applyAlignment="1">
      <alignment horizontal="center" vertical="center"/>
    </xf>
    <xf numFmtId="0" fontId="42" fillId="4" borderId="9" xfId="0" applyFont="1" applyFill="1" applyBorder="1" applyAlignment="1">
      <alignment horizontal="center" vertical="center"/>
    </xf>
    <xf numFmtId="0" fontId="50" fillId="9" borderId="0" xfId="0" applyFont="1" applyFill="1" applyAlignment="1">
      <alignment horizontal="left" vertical="center"/>
    </xf>
    <xf numFmtId="0" fontId="29" fillId="9" borderId="15" xfId="0" applyFont="1" applyFill="1" applyBorder="1" applyAlignment="1">
      <alignment horizontal="left" vertical="center"/>
    </xf>
    <xf numFmtId="0" fontId="28" fillId="9" borderId="0" xfId="0" applyFont="1" applyFill="1" applyAlignment="1">
      <alignment horizontal="left" vertical="center"/>
    </xf>
    <xf numFmtId="0" fontId="51" fillId="11" borderId="0" xfId="0" applyFont="1" applyFill="1" applyAlignment="1">
      <alignment horizontal="left" vertical="center"/>
    </xf>
    <xf numFmtId="0" fontId="51" fillId="9" borderId="0" xfId="0" applyFont="1" applyFill="1" applyAlignment="1">
      <alignment horizontal="left" vertical="center"/>
    </xf>
    <xf numFmtId="0" fontId="50" fillId="9" borderId="19" xfId="0" applyFont="1" applyFill="1" applyBorder="1" applyAlignment="1">
      <alignment horizontal="left" vertical="center"/>
    </xf>
    <xf numFmtId="0" fontId="53" fillId="9" borderId="77" xfId="0" applyFont="1" applyFill="1" applyBorder="1" applyAlignment="1">
      <alignment horizontal="left" vertical="center"/>
    </xf>
    <xf numFmtId="0" fontId="50" fillId="10" borderId="17" xfId="0" applyFont="1" applyFill="1" applyBorder="1" applyAlignment="1">
      <alignment horizontal="left" vertical="center"/>
    </xf>
    <xf numFmtId="0" fontId="53" fillId="9" borderId="79" xfId="0" applyFont="1" applyFill="1" applyBorder="1" applyAlignment="1">
      <alignment horizontal="left" vertical="center"/>
    </xf>
    <xf numFmtId="0" fontId="28" fillId="9" borderId="81" xfId="0" applyFont="1" applyFill="1" applyBorder="1" applyAlignment="1">
      <alignment horizontal="left" vertical="center"/>
    </xf>
    <xf numFmtId="0" fontId="50" fillId="10" borderId="20" xfId="0" applyFont="1" applyFill="1" applyBorder="1" applyAlignment="1">
      <alignment horizontal="left" vertical="center"/>
    </xf>
    <xf numFmtId="0" fontId="50" fillId="9" borderId="22" xfId="0" applyFont="1" applyFill="1" applyBorder="1" applyAlignment="1">
      <alignment horizontal="left" vertical="center"/>
    </xf>
    <xf numFmtId="0" fontId="50" fillId="10" borderId="21" xfId="0" applyFont="1" applyFill="1" applyBorder="1" applyAlignment="1">
      <alignment horizontal="left" vertical="center"/>
    </xf>
    <xf numFmtId="0" fontId="50" fillId="10" borderId="23" xfId="0" applyFont="1" applyFill="1" applyBorder="1" applyAlignment="1">
      <alignment horizontal="left" vertical="center"/>
    </xf>
    <xf numFmtId="0" fontId="22" fillId="12" borderId="0" xfId="0" applyFont="1" applyFill="1" applyAlignment="1">
      <alignment horizontal="left" vertical="center"/>
    </xf>
    <xf numFmtId="0" fontId="25" fillId="9" borderId="0" xfId="0" applyFont="1" applyFill="1" applyAlignment="1">
      <alignment horizontal="center" vertical="center"/>
    </xf>
    <xf numFmtId="0" fontId="30" fillId="9" borderId="0" xfId="0" applyFont="1" applyFill="1" applyAlignment="1">
      <alignment horizontal="center" vertical="center"/>
    </xf>
    <xf numFmtId="0" fontId="22" fillId="12" borderId="0" xfId="0" applyFont="1" applyFill="1" applyAlignment="1">
      <alignment horizontal="right" vertical="center"/>
    </xf>
    <xf numFmtId="201" fontId="25" fillId="22" borderId="0" xfId="0" applyNumberFormat="1" applyFont="1" applyFill="1" applyAlignment="1">
      <alignment horizontal="right" vertical="center"/>
    </xf>
    <xf numFmtId="201" fontId="29" fillId="9" borderId="0" xfId="0" applyNumberFormat="1" applyFont="1" applyFill="1" applyAlignment="1">
      <alignment horizontal="right" vertical="center"/>
    </xf>
    <xf numFmtId="204" fontId="29" fillId="9" borderId="0" xfId="0" applyNumberFormat="1" applyFont="1" applyFill="1" applyAlignment="1">
      <alignment horizontal="right" vertical="center"/>
    </xf>
    <xf numFmtId="0" fontId="46" fillId="37" borderId="0" xfId="0" applyFont="1" applyFill="1" applyAlignment="1">
      <alignment horizontal="center" vertical="center"/>
    </xf>
    <xf numFmtId="0" fontId="29" fillId="9" borderId="0" xfId="0" applyFont="1" applyFill="1" applyAlignment="1">
      <alignment horizontal="right" vertical="center"/>
    </xf>
    <xf numFmtId="0" fontId="29" fillId="9" borderId="0" xfId="0" applyFont="1" applyFill="1" applyAlignment="1">
      <alignment vertical="center"/>
    </xf>
    <xf numFmtId="0" fontId="28" fillId="9" borderId="14" xfId="0" applyFont="1" applyFill="1" applyBorder="1" applyAlignment="1">
      <alignment horizontal="left" vertical="center"/>
    </xf>
    <xf numFmtId="0" fontId="28" fillId="9" borderId="14" xfId="0" applyFont="1" applyFill="1" applyBorder="1" applyAlignment="1">
      <alignment horizontal="right" vertical="center"/>
    </xf>
    <xf numFmtId="201" fontId="28" fillId="9" borderId="14" xfId="0" applyNumberFormat="1" applyFont="1" applyFill="1" applyBorder="1" applyAlignment="1">
      <alignment horizontal="right" vertical="center"/>
    </xf>
    <xf numFmtId="0" fontId="58" fillId="9" borderId="48" xfId="0" applyFont="1" applyFill="1" applyBorder="1" applyAlignment="1">
      <alignment horizontal="left" vertical="center"/>
    </xf>
    <xf numFmtId="0" fontId="58" fillId="9" borderId="48" xfId="0" applyFont="1" applyFill="1" applyBorder="1" applyAlignment="1">
      <alignment horizontal="right" vertical="center"/>
    </xf>
    <xf numFmtId="201" fontId="27" fillId="9" borderId="0" xfId="0" applyNumberFormat="1" applyFont="1" applyFill="1" applyAlignment="1">
      <alignment horizontal="right" vertical="center"/>
    </xf>
    <xf numFmtId="201" fontId="25" fillId="9" borderId="14" xfId="0" applyNumberFormat="1" applyFont="1" applyFill="1" applyBorder="1" applyAlignment="1">
      <alignment horizontal="right" vertical="center"/>
    </xf>
    <xf numFmtId="0" fontId="28" fillId="9" borderId="0" xfId="0" applyFont="1" applyFill="1" applyAlignment="1">
      <alignment horizontal="right" vertical="center"/>
    </xf>
    <xf numFmtId="201" fontId="25" fillId="9" borderId="0" xfId="0" applyNumberFormat="1" applyFont="1" applyFill="1" applyAlignment="1">
      <alignment horizontal="right" vertical="center"/>
    </xf>
    <xf numFmtId="201" fontId="28" fillId="9" borderId="0" xfId="0" applyNumberFormat="1" applyFont="1" applyFill="1" applyAlignment="1">
      <alignment horizontal="right" vertical="center"/>
    </xf>
    <xf numFmtId="201" fontId="29" fillId="26" borderId="0" xfId="0" applyNumberFormat="1" applyFont="1" applyFill="1" applyAlignment="1">
      <alignment horizontal="right" vertical="center"/>
    </xf>
    <xf numFmtId="201" fontId="28" fillId="26" borderId="0" xfId="0" applyNumberFormat="1" applyFont="1" applyFill="1" applyAlignment="1">
      <alignment horizontal="right" vertical="center"/>
    </xf>
    <xf numFmtId="0" fontId="28" fillId="9" borderId="33" xfId="0" applyFont="1" applyFill="1" applyBorder="1" applyAlignment="1">
      <alignment horizontal="left" vertical="center"/>
    </xf>
    <xf numFmtId="0" fontId="28" fillId="9" borderId="33" xfId="0" applyFont="1" applyFill="1" applyBorder="1" applyAlignment="1">
      <alignment horizontal="right" vertical="center"/>
    </xf>
    <xf numFmtId="201" fontId="28" fillId="9" borderId="33" xfId="0" applyNumberFormat="1" applyFont="1" applyFill="1" applyBorder="1" applyAlignment="1">
      <alignment horizontal="right" vertical="center"/>
    </xf>
    <xf numFmtId="0" fontId="25" fillId="14" borderId="0" xfId="0" applyFont="1" applyFill="1" applyAlignment="1">
      <alignment horizontal="left" vertical="center"/>
    </xf>
    <xf numFmtId="0" fontId="25" fillId="14" borderId="0" xfId="0" applyFont="1" applyFill="1" applyAlignment="1">
      <alignment horizontal="right" vertical="center"/>
    </xf>
    <xf numFmtId="0" fontId="50" fillId="9" borderId="47" xfId="0" applyFont="1" applyFill="1" applyBorder="1" applyAlignment="1">
      <alignment horizontal="left" vertical="center"/>
    </xf>
    <xf numFmtId="0" fontId="50" fillId="9" borderId="47" xfId="0" applyFont="1" applyFill="1" applyBorder="1" applyAlignment="1">
      <alignment horizontal="right" vertical="center"/>
    </xf>
    <xf numFmtId="0" fontId="58" fillId="9" borderId="0" xfId="0" applyFont="1" applyFill="1" applyAlignment="1">
      <alignment horizontal="left" vertical="center"/>
    </xf>
    <xf numFmtId="0" fontId="58" fillId="9" borderId="0" xfId="0" applyFont="1" applyFill="1" applyAlignment="1">
      <alignment horizontal="right" vertical="center"/>
    </xf>
    <xf numFmtId="0" fontId="59" fillId="9" borderId="52" xfId="0" applyFont="1" applyFill="1" applyBorder="1" applyAlignment="1">
      <alignment horizontal="left" vertical="center"/>
    </xf>
    <xf numFmtId="0" fontId="59" fillId="9" borderId="52" xfId="0" applyFont="1" applyFill="1" applyBorder="1" applyAlignment="1">
      <alignment horizontal="right" vertical="center"/>
    </xf>
    <xf numFmtId="0" fontId="58" fillId="9" borderId="51" xfId="0" applyFont="1" applyFill="1" applyBorder="1" applyAlignment="1">
      <alignment horizontal="left" vertical="center"/>
    </xf>
    <xf numFmtId="0" fontId="58" fillId="9" borderId="51" xfId="0" applyFont="1" applyFill="1" applyBorder="1" applyAlignment="1">
      <alignment horizontal="right" vertical="center"/>
    </xf>
    <xf numFmtId="198" fontId="29" fillId="9" borderId="0" xfId="0" applyNumberFormat="1" applyFont="1" applyFill="1" applyAlignment="1">
      <alignment horizontal="right" vertical="center"/>
    </xf>
    <xf numFmtId="201" fontId="29" fillId="9" borderId="0" xfId="0" applyNumberFormat="1" applyFont="1" applyFill="1" applyAlignment="1">
      <alignment horizontal="left" vertical="center"/>
    </xf>
    <xf numFmtId="0" fontId="59" fillId="9" borderId="0" xfId="0" applyFont="1" applyFill="1" applyAlignment="1">
      <alignment horizontal="left" vertical="center"/>
    </xf>
    <xf numFmtId="0" fontId="59" fillId="9" borderId="0" xfId="0" applyFont="1" applyFill="1" applyAlignment="1">
      <alignment horizontal="right" vertical="center"/>
    </xf>
    <xf numFmtId="0" fontId="58" fillId="9" borderId="52" xfId="0" applyFont="1" applyFill="1" applyBorder="1" applyAlignment="1">
      <alignment horizontal="left" vertical="center"/>
    </xf>
    <xf numFmtId="0" fontId="58" fillId="9" borderId="52" xfId="0" applyFont="1" applyFill="1" applyBorder="1" applyAlignment="1">
      <alignment horizontal="right" vertical="center"/>
    </xf>
    <xf numFmtId="0" fontId="58" fillId="9" borderId="50" xfId="0" applyFont="1" applyFill="1" applyBorder="1" applyAlignment="1">
      <alignment horizontal="left" vertical="center"/>
    </xf>
    <xf numFmtId="0" fontId="58" fillId="9" borderId="50" xfId="0" applyFont="1" applyFill="1" applyBorder="1" applyAlignment="1">
      <alignment horizontal="right" vertical="center"/>
    </xf>
    <xf numFmtId="0" fontId="46" fillId="9" borderId="0" xfId="0" applyFont="1" applyFill="1" applyAlignment="1">
      <alignment horizontal="left" vertical="center"/>
    </xf>
    <xf numFmtId="0" fontId="24" fillId="20" borderId="0" xfId="0" applyFont="1" applyFill="1" applyAlignment="1">
      <alignment horizontal="left" vertical="center"/>
    </xf>
    <xf numFmtId="0" fontId="24" fillId="21" borderId="0" xfId="0" applyFont="1" applyFill="1" applyAlignment="1">
      <alignment horizontal="left" vertical="center"/>
    </xf>
    <xf numFmtId="0" fontId="24" fillId="20" borderId="0" xfId="0" applyFont="1" applyFill="1" applyAlignment="1">
      <alignment vertical="center"/>
    </xf>
    <xf numFmtId="0" fontId="24" fillId="21" borderId="0" xfId="0" applyFont="1" applyFill="1" applyAlignment="1">
      <alignment vertical="center"/>
    </xf>
    <xf numFmtId="0" fontId="65" fillId="18" borderId="0" xfId="0" applyFont="1" applyFill="1" applyAlignment="1">
      <alignment vertical="center"/>
    </xf>
    <xf numFmtId="0" fontId="65" fillId="18" borderId="0" xfId="0" applyFont="1" applyFill="1" applyAlignment="1">
      <alignment horizontal="center" vertical="center"/>
    </xf>
    <xf numFmtId="0" fontId="65" fillId="8" borderId="0" xfId="0" applyFont="1" applyFill="1" applyAlignment="1">
      <alignment vertical="center"/>
    </xf>
    <xf numFmtId="0" fontId="70" fillId="23" borderId="64" xfId="0" applyFont="1" applyFill="1" applyBorder="1" applyAlignment="1">
      <alignment horizontal="right" vertical="center"/>
    </xf>
    <xf numFmtId="0" fontId="24" fillId="24" borderId="0" xfId="0" applyFont="1" applyFill="1" applyAlignment="1">
      <alignment vertical="center"/>
    </xf>
    <xf numFmtId="0" fontId="24" fillId="25" borderId="0" xfId="0" applyFont="1" applyFill="1" applyAlignment="1">
      <alignment vertical="center"/>
    </xf>
    <xf numFmtId="0" fontId="26" fillId="30" borderId="0" xfId="0" applyFont="1" applyFill="1" applyAlignment="1">
      <alignment vertical="center"/>
    </xf>
    <xf numFmtId="0" fontId="26" fillId="31" borderId="0" xfId="0" applyFont="1" applyFill="1" applyAlignment="1">
      <alignment vertical="center"/>
    </xf>
    <xf numFmtId="0" fontId="26" fillId="32" borderId="0" xfId="0" applyFont="1" applyFill="1" applyAlignment="1">
      <alignment vertical="center"/>
    </xf>
    <xf numFmtId="0" fontId="72" fillId="33" borderId="0" xfId="0" applyFont="1" applyFill="1" applyAlignment="1">
      <alignment vertical="center"/>
    </xf>
    <xf numFmtId="0" fontId="23" fillId="28" borderId="0" xfId="0" applyFont="1" applyFill="1" applyAlignment="1">
      <alignment vertical="center"/>
    </xf>
    <xf numFmtId="0" fontId="28" fillId="40" borderId="0" xfId="11" applyFont="1" applyFill="1" applyAlignment="1">
      <alignment horizontal="left" vertical="center"/>
    </xf>
    <xf numFmtId="0" fontId="58" fillId="9" borderId="0" xfId="11" applyFont="1" applyFill="1" applyAlignment="1">
      <alignment horizontal="left" vertical="center"/>
    </xf>
    <xf numFmtId="0" fontId="29" fillId="9" borderId="0" xfId="11" applyFont="1" applyFill="1" applyAlignment="1">
      <alignment horizontal="left" vertical="center"/>
    </xf>
    <xf numFmtId="0" fontId="28" fillId="9" borderId="0" xfId="11" applyFont="1" applyFill="1" applyAlignment="1">
      <alignment horizontal="left" vertical="center"/>
    </xf>
    <xf numFmtId="0" fontId="28" fillId="9" borderId="107" xfId="11" applyFont="1" applyFill="1" applyBorder="1" applyAlignment="1">
      <alignment horizontal="left" vertical="center"/>
    </xf>
    <xf numFmtId="0" fontId="58" fillId="9" borderId="107" xfId="11" applyFont="1" applyFill="1" applyBorder="1" applyAlignment="1">
      <alignment horizontal="left" vertical="center"/>
    </xf>
    <xf numFmtId="0" fontId="28" fillId="9" borderId="106" xfId="11" applyFont="1" applyFill="1" applyBorder="1" applyAlignment="1">
      <alignment horizontal="left" vertical="center"/>
    </xf>
    <xf numFmtId="0" fontId="58" fillId="9" borderId="106" xfId="11" applyFont="1" applyFill="1" applyBorder="1" applyAlignment="1">
      <alignment horizontal="left" vertical="center"/>
    </xf>
    <xf numFmtId="0" fontId="28" fillId="13" borderId="107" xfId="11" applyFont="1" applyFill="1" applyBorder="1" applyAlignment="1">
      <alignment horizontal="center" vertical="center"/>
    </xf>
    <xf numFmtId="0" fontId="66" fillId="9" borderId="0" xfId="0" applyFont="1" applyFill="1" applyAlignment="1">
      <alignment horizontal="left" vertical="center"/>
    </xf>
    <xf numFmtId="0" fontId="65" fillId="9" borderId="0" xfId="0" applyFont="1" applyFill="1" applyAlignment="1">
      <alignment horizontal="left" vertical="center"/>
    </xf>
    <xf numFmtId="0" fontId="22" fillId="12" borderId="83" xfId="0" applyFont="1" applyFill="1" applyBorder="1" applyAlignment="1">
      <alignment vertical="center"/>
    </xf>
    <xf numFmtId="0" fontId="24" fillId="13" borderId="0" xfId="0" applyFont="1" applyFill="1" applyAlignment="1">
      <alignment horizontal="left" vertical="center"/>
    </xf>
    <xf numFmtId="0" fontId="24" fillId="13" borderId="0" xfId="0" applyFont="1" applyFill="1" applyAlignment="1">
      <alignment horizontal="center" vertical="center"/>
    </xf>
    <xf numFmtId="0" fontId="79" fillId="13" borderId="0" xfId="0" applyFont="1" applyFill="1" applyAlignment="1">
      <alignment horizontal="center" vertical="center"/>
    </xf>
    <xf numFmtId="180" fontId="28" fillId="17" borderId="0" xfId="0" applyNumberFormat="1" applyFont="1" applyFill="1" applyAlignment="1">
      <alignment vertical="center"/>
    </xf>
    <xf numFmtId="191" fontId="28" fillId="17" borderId="0" xfId="0" applyNumberFormat="1" applyFont="1" applyFill="1" applyAlignment="1">
      <alignment vertical="center"/>
    </xf>
    <xf numFmtId="180" fontId="27" fillId="9" borderId="0" xfId="0" applyNumberFormat="1" applyFont="1" applyFill="1" applyAlignment="1">
      <alignment horizontal="right" vertical="center"/>
    </xf>
    <xf numFmtId="180" fontId="32" fillId="9" borderId="0" xfId="0" applyNumberFormat="1" applyFont="1" applyFill="1" applyAlignment="1">
      <alignment horizontal="right" vertical="center"/>
    </xf>
    <xf numFmtId="199" fontId="32" fillId="9" borderId="0" xfId="0" applyNumberFormat="1" applyFont="1" applyFill="1" applyAlignment="1">
      <alignment horizontal="right" vertical="center"/>
    </xf>
    <xf numFmtId="180" fontId="28" fillId="39" borderId="0" xfId="0" applyNumberFormat="1" applyFont="1" applyFill="1" applyAlignment="1">
      <alignment horizontal="right" vertical="center"/>
    </xf>
    <xf numFmtId="199" fontId="27" fillId="9" borderId="0" xfId="0" applyNumberFormat="1" applyFont="1" applyFill="1" applyAlignment="1">
      <alignment horizontal="right" vertical="center"/>
    </xf>
    <xf numFmtId="196" fontId="32" fillId="9" borderId="0" xfId="10" applyNumberFormat="1" applyFont="1" applyFill="1" applyAlignment="1">
      <alignment vertical="center"/>
    </xf>
    <xf numFmtId="201" fontId="32" fillId="9" borderId="0" xfId="9" applyNumberFormat="1" applyFont="1" applyFill="1" applyAlignment="1">
      <alignment vertical="center"/>
    </xf>
    <xf numFmtId="201" fontId="29" fillId="9" borderId="0" xfId="9" applyNumberFormat="1" applyFont="1" applyFill="1" applyBorder="1" applyAlignment="1">
      <alignment horizontal="right" vertical="center"/>
    </xf>
    <xf numFmtId="201" fontId="32" fillId="9" borderId="0" xfId="9" applyNumberFormat="1" applyFont="1" applyFill="1" applyBorder="1" applyAlignment="1">
      <alignment horizontal="right" vertical="center"/>
    </xf>
    <xf numFmtId="199" fontId="29" fillId="9" borderId="0" xfId="9" applyNumberFormat="1" applyFont="1" applyFill="1" applyAlignment="1">
      <alignment vertical="center"/>
    </xf>
    <xf numFmtId="201" fontId="29" fillId="9" borderId="64" xfId="9" applyNumberFormat="1" applyFont="1" applyFill="1" applyBorder="1" applyAlignment="1">
      <alignment vertical="center"/>
    </xf>
    <xf numFmtId="201" fontId="32" fillId="9" borderId="64" xfId="9" applyNumberFormat="1" applyFont="1" applyFill="1" applyBorder="1" applyAlignment="1">
      <alignment vertical="center"/>
    </xf>
    <xf numFmtId="201" fontId="29" fillId="9" borderId="0" xfId="9" applyNumberFormat="1" applyFont="1" applyFill="1" applyAlignment="1">
      <alignment vertical="center"/>
    </xf>
    <xf numFmtId="201" fontId="28" fillId="9" borderId="12" xfId="9" applyNumberFormat="1" applyFont="1" applyFill="1" applyBorder="1" applyAlignment="1">
      <alignment vertical="center"/>
    </xf>
    <xf numFmtId="201" fontId="62" fillId="9" borderId="0" xfId="9" applyNumberFormat="1" applyFont="1" applyFill="1" applyAlignment="1">
      <alignment vertical="center"/>
    </xf>
    <xf numFmtId="201" fontId="28" fillId="35" borderId="1" xfId="9" applyNumberFormat="1" applyFont="1" applyFill="1" applyBorder="1" applyAlignment="1">
      <alignment vertical="center"/>
    </xf>
    <xf numFmtId="198" fontId="29" fillId="9" borderId="0" xfId="10" applyNumberFormat="1" applyFont="1" applyFill="1" applyAlignment="1">
      <alignment vertical="center"/>
    </xf>
    <xf numFmtId="201" fontId="29" fillId="9" borderId="72" xfId="9" applyNumberFormat="1" applyFont="1" applyFill="1" applyBorder="1" applyAlignment="1">
      <alignment vertical="center"/>
    </xf>
    <xf numFmtId="198" fontId="28" fillId="9" borderId="12" xfId="10" applyNumberFormat="1" applyFont="1" applyFill="1" applyBorder="1" applyAlignment="1">
      <alignment vertical="center"/>
    </xf>
    <xf numFmtId="198" fontId="62" fillId="9" borderId="0" xfId="10" applyNumberFormat="1" applyFont="1" applyFill="1" applyAlignment="1">
      <alignment vertical="center"/>
    </xf>
    <xf numFmtId="201" fontId="62" fillId="9" borderId="64" xfId="9" applyNumberFormat="1" applyFont="1" applyFill="1" applyBorder="1" applyAlignment="1">
      <alignment vertical="center"/>
    </xf>
    <xf numFmtId="201" fontId="29" fillId="9" borderId="73" xfId="9" applyNumberFormat="1" applyFont="1" applyFill="1" applyBorder="1" applyAlignment="1">
      <alignment vertical="center"/>
    </xf>
    <xf numFmtId="201" fontId="29" fillId="9" borderId="74" xfId="9" applyNumberFormat="1" applyFont="1" applyFill="1" applyBorder="1" applyAlignment="1">
      <alignment vertical="center"/>
    </xf>
    <xf numFmtId="203" fontId="32" fillId="9" borderId="0" xfId="8" applyNumberFormat="1" applyFont="1" applyFill="1" applyAlignment="1">
      <alignment horizontal="right" vertical="center"/>
    </xf>
    <xf numFmtId="203" fontId="29" fillId="9" borderId="0" xfId="8" applyNumberFormat="1" applyFont="1" applyFill="1" applyAlignment="1">
      <alignment horizontal="right" vertical="center"/>
    </xf>
    <xf numFmtId="203" fontId="28" fillId="9" borderId="12" xfId="8" applyNumberFormat="1" applyFont="1" applyFill="1" applyBorder="1" applyAlignment="1">
      <alignment horizontal="right" vertical="center"/>
    </xf>
    <xf numFmtId="198" fontId="28" fillId="9" borderId="12" xfId="8" applyNumberFormat="1" applyFont="1" applyFill="1" applyBorder="1" applyAlignment="1">
      <alignment horizontal="right" vertical="center"/>
    </xf>
    <xf numFmtId="203" fontId="29" fillId="9" borderId="75" xfId="8" applyNumberFormat="1" applyFont="1" applyFill="1" applyBorder="1" applyAlignment="1">
      <alignment horizontal="right" vertical="center"/>
    </xf>
    <xf numFmtId="203" fontId="27" fillId="9" borderId="0" xfId="8" applyNumberFormat="1" applyFont="1" applyFill="1" applyAlignment="1">
      <alignment horizontal="right" vertical="center"/>
    </xf>
    <xf numFmtId="201" fontId="27" fillId="7" borderId="7" xfId="1" applyNumberFormat="1" applyFont="1" applyFill="1" applyBorder="1" applyAlignment="1">
      <alignment horizontal="right" vertical="center"/>
    </xf>
    <xf numFmtId="201" fontId="27" fillId="7" borderId="2" xfId="1" applyNumberFormat="1" applyFont="1" applyFill="1" applyBorder="1" applyAlignment="1">
      <alignment horizontal="right" vertical="center"/>
    </xf>
    <xf numFmtId="181" fontId="29" fillId="11" borderId="26" xfId="0" applyNumberFormat="1" applyFont="1" applyFill="1" applyBorder="1" applyAlignment="1">
      <alignment vertical="center"/>
    </xf>
    <xf numFmtId="181" fontId="29" fillId="9" borderId="26" xfId="0" applyNumberFormat="1" applyFont="1" applyFill="1" applyBorder="1" applyAlignment="1">
      <alignment vertical="center"/>
    </xf>
    <xf numFmtId="173" fontId="28" fillId="9" borderId="27" xfId="0" applyNumberFormat="1" applyFont="1" applyFill="1" applyBorder="1" applyAlignment="1">
      <alignment horizontal="right" vertical="center"/>
    </xf>
    <xf numFmtId="181" fontId="28" fillId="9" borderId="27" xfId="0" applyNumberFormat="1" applyFont="1" applyFill="1" applyBorder="1" applyAlignment="1">
      <alignment vertical="center"/>
    </xf>
    <xf numFmtId="181" fontId="28" fillId="9" borderId="78" xfId="0" applyNumberFormat="1" applyFont="1" applyFill="1" applyBorder="1" applyAlignment="1">
      <alignment vertical="center"/>
    </xf>
    <xf numFmtId="173" fontId="28" fillId="10" borderId="28" xfId="0" applyNumberFormat="1" applyFont="1" applyFill="1" applyBorder="1" applyAlignment="1">
      <alignment horizontal="right" vertical="center"/>
    </xf>
    <xf numFmtId="181" fontId="28" fillId="10" borderId="28" xfId="0" applyNumberFormat="1" applyFont="1" applyFill="1" applyBorder="1" applyAlignment="1">
      <alignment vertical="center"/>
    </xf>
    <xf numFmtId="181" fontId="28" fillId="9" borderId="80" xfId="0" applyNumberFormat="1" applyFont="1" applyFill="1" applyBorder="1" applyAlignment="1">
      <alignment vertical="center"/>
    </xf>
    <xf numFmtId="173" fontId="28" fillId="10" borderId="29" xfId="0" applyNumberFormat="1" applyFont="1" applyFill="1" applyBorder="1" applyAlignment="1">
      <alignment horizontal="right" vertical="center"/>
    </xf>
    <xf numFmtId="173" fontId="28" fillId="10" borderId="36" xfId="0" applyNumberFormat="1" applyFont="1" applyFill="1" applyBorder="1" applyAlignment="1">
      <alignment horizontal="right" vertical="center"/>
    </xf>
    <xf numFmtId="181" fontId="28" fillId="10" borderId="36" xfId="0" applyNumberFormat="1" applyFont="1" applyFill="1" applyBorder="1" applyAlignment="1">
      <alignment horizontal="right" vertical="center"/>
    </xf>
    <xf numFmtId="173" fontId="32" fillId="9" borderId="36" xfId="0" applyNumberFormat="1" applyFont="1" applyFill="1" applyBorder="1" applyAlignment="1">
      <alignment horizontal="right" vertical="center"/>
    </xf>
    <xf numFmtId="173" fontId="29" fillId="9" borderId="36" xfId="0" applyNumberFormat="1" applyFont="1" applyFill="1" applyBorder="1" applyAlignment="1">
      <alignment horizontal="right" vertical="center"/>
    </xf>
    <xf numFmtId="181" fontId="29" fillId="9" borderId="36" xfId="0" applyNumberFormat="1" applyFont="1" applyFill="1" applyBorder="1" applyAlignment="1">
      <alignment horizontal="right" vertical="center"/>
    </xf>
    <xf numFmtId="173" fontId="32" fillId="11" borderId="0" xfId="0" applyNumberFormat="1" applyFont="1" applyFill="1" applyAlignment="1">
      <alignment horizontal="right" vertical="center"/>
    </xf>
    <xf numFmtId="173" fontId="29" fillId="11" borderId="0" xfId="0" applyNumberFormat="1" applyFont="1" applyFill="1" applyAlignment="1">
      <alignment horizontal="right" vertical="center"/>
    </xf>
    <xf numFmtId="181" fontId="29" fillId="11" borderId="0" xfId="0" applyNumberFormat="1" applyFont="1" applyFill="1" applyAlignment="1">
      <alignment horizontal="right" vertical="center"/>
    </xf>
    <xf numFmtId="173" fontId="46" fillId="9" borderId="30" xfId="0" applyNumberFormat="1" applyFont="1" applyFill="1" applyBorder="1" applyAlignment="1">
      <alignment horizontal="right" vertical="center"/>
    </xf>
    <xf numFmtId="173" fontId="28" fillId="10" borderId="31" xfId="0" applyNumberFormat="1" applyFont="1" applyFill="1" applyBorder="1" applyAlignment="1">
      <alignment horizontal="right" vertical="center"/>
    </xf>
    <xf numFmtId="173" fontId="28" fillId="10" borderId="21" xfId="0" applyNumberFormat="1" applyFont="1" applyFill="1" applyBorder="1" applyAlignment="1">
      <alignment horizontal="right" vertical="center"/>
    </xf>
    <xf numFmtId="181" fontId="28" fillId="10" borderId="21" xfId="0" applyNumberFormat="1" applyFont="1" applyFill="1" applyBorder="1" applyAlignment="1">
      <alignment horizontal="right" vertical="center"/>
    </xf>
    <xf numFmtId="173" fontId="46" fillId="9" borderId="22" xfId="0" applyNumberFormat="1" applyFont="1" applyFill="1" applyBorder="1" applyAlignment="1">
      <alignment horizontal="right" vertical="center"/>
    </xf>
    <xf numFmtId="173" fontId="28" fillId="9" borderId="22" xfId="0" applyNumberFormat="1" applyFont="1" applyFill="1" applyBorder="1" applyAlignment="1">
      <alignment horizontal="right" vertical="center"/>
    </xf>
    <xf numFmtId="181" fontId="28" fillId="9" borderId="22" xfId="0" applyNumberFormat="1" applyFont="1" applyFill="1" applyBorder="1" applyAlignment="1">
      <alignment horizontal="right" vertical="center"/>
    </xf>
    <xf numFmtId="181" fontId="29" fillId="9" borderId="0" xfId="0" applyNumberFormat="1" applyFont="1" applyFill="1" applyAlignment="1">
      <alignment horizontal="right" vertical="center"/>
    </xf>
    <xf numFmtId="173" fontId="28" fillId="9" borderId="30" xfId="0" applyNumberFormat="1" applyFont="1" applyFill="1" applyBorder="1" applyAlignment="1">
      <alignment horizontal="right" vertical="center"/>
    </xf>
    <xf numFmtId="173" fontId="28" fillId="9" borderId="40" xfId="0" applyNumberFormat="1" applyFont="1" applyFill="1" applyBorder="1" applyAlignment="1">
      <alignment horizontal="right" vertical="center"/>
    </xf>
    <xf numFmtId="181" fontId="28" fillId="9" borderId="40" xfId="0" applyNumberFormat="1" applyFont="1" applyFill="1" applyBorder="1" applyAlignment="1">
      <alignment horizontal="right" vertical="center"/>
    </xf>
    <xf numFmtId="173" fontId="28" fillId="10" borderId="32" xfId="0" applyNumberFormat="1" applyFont="1" applyFill="1" applyBorder="1" applyAlignment="1">
      <alignment horizontal="right" vertical="center"/>
    </xf>
    <xf numFmtId="173" fontId="28" fillId="10" borderId="40" xfId="0" applyNumberFormat="1" applyFont="1" applyFill="1" applyBorder="1" applyAlignment="1">
      <alignment horizontal="right" vertical="center"/>
    </xf>
    <xf numFmtId="181" fontId="28" fillId="10" borderId="40" xfId="0" applyNumberFormat="1" applyFont="1" applyFill="1" applyBorder="1" applyAlignment="1">
      <alignment horizontal="right" vertical="center"/>
    </xf>
    <xf numFmtId="173" fontId="32" fillId="11" borderId="16" xfId="0" applyNumberFormat="1" applyFont="1" applyFill="1" applyBorder="1" applyAlignment="1">
      <alignment horizontal="right" vertical="center"/>
    </xf>
    <xf numFmtId="173" fontId="29" fillId="11" borderId="16" xfId="0" applyNumberFormat="1" applyFont="1" applyFill="1" applyBorder="1" applyAlignment="1">
      <alignment horizontal="right" vertical="center"/>
    </xf>
    <xf numFmtId="173" fontId="28" fillId="10" borderId="17" xfId="0" applyNumberFormat="1" applyFont="1" applyFill="1" applyBorder="1" applyAlignment="1">
      <alignment horizontal="right" vertical="center"/>
    </xf>
    <xf numFmtId="181" fontId="28" fillId="10" borderId="17" xfId="0" applyNumberFormat="1" applyFont="1" applyFill="1" applyBorder="1" applyAlignment="1">
      <alignment horizontal="right" vertical="center"/>
    </xf>
    <xf numFmtId="201" fontId="32" fillId="9" borderId="0" xfId="0" applyNumberFormat="1" applyFont="1" applyFill="1" applyAlignment="1">
      <alignment vertical="center"/>
    </xf>
    <xf numFmtId="198" fontId="32" fillId="9" borderId="0" xfId="0" applyNumberFormat="1" applyFont="1" applyFill="1" applyAlignment="1">
      <alignment vertical="center"/>
    </xf>
    <xf numFmtId="201" fontId="32" fillId="29" borderId="0" xfId="1" applyNumberFormat="1" applyFont="1" applyFill="1" applyAlignment="1">
      <alignment horizontal="right" vertical="center"/>
    </xf>
    <xf numFmtId="201" fontId="32" fillId="26" borderId="0" xfId="1" applyNumberFormat="1" applyFont="1" applyFill="1" applyAlignment="1">
      <alignment horizontal="right" vertical="center"/>
    </xf>
    <xf numFmtId="201" fontId="32" fillId="26" borderId="0" xfId="0" applyNumberFormat="1" applyFont="1" applyFill="1" applyAlignment="1">
      <alignment horizontal="right" vertical="center"/>
    </xf>
    <xf numFmtId="198" fontId="62" fillId="9" borderId="48" xfId="0" applyNumberFormat="1" applyFont="1" applyFill="1" applyBorder="1" applyAlignment="1">
      <alignment horizontal="right" vertical="center"/>
    </xf>
    <xf numFmtId="201" fontId="62" fillId="27" borderId="0" xfId="0" applyNumberFormat="1" applyFont="1" applyFill="1" applyAlignment="1">
      <alignment horizontal="right" vertical="center"/>
    </xf>
    <xf numFmtId="201" fontId="63" fillId="27" borderId="0" xfId="0" applyNumberFormat="1" applyFont="1" applyFill="1" applyAlignment="1">
      <alignment horizontal="right" vertical="center"/>
    </xf>
    <xf numFmtId="201" fontId="28" fillId="14" borderId="0" xfId="0" applyNumberFormat="1" applyFont="1" applyFill="1" applyAlignment="1">
      <alignment horizontal="right" vertical="center"/>
    </xf>
    <xf numFmtId="173" fontId="28" fillId="14" borderId="0" xfId="0" applyNumberFormat="1" applyFont="1" applyFill="1" applyAlignment="1">
      <alignment horizontal="right" vertical="center"/>
    </xf>
    <xf numFmtId="201" fontId="62" fillId="9" borderId="0" xfId="0" applyNumberFormat="1" applyFont="1" applyFill="1" applyAlignment="1">
      <alignment horizontal="right" vertical="center"/>
    </xf>
    <xf numFmtId="201" fontId="63" fillId="9" borderId="52" xfId="0" applyNumberFormat="1" applyFont="1" applyFill="1" applyBorder="1" applyAlignment="1">
      <alignment horizontal="right" vertical="center"/>
    </xf>
    <xf numFmtId="201" fontId="62" fillId="9" borderId="51" xfId="0" applyNumberFormat="1" applyFont="1" applyFill="1" applyBorder="1" applyAlignment="1">
      <alignment horizontal="right" vertical="center"/>
    </xf>
    <xf numFmtId="201" fontId="67" fillId="9" borderId="0" xfId="0" applyNumberFormat="1" applyFont="1" applyFill="1" applyAlignment="1">
      <alignment horizontal="right" vertical="center"/>
    </xf>
    <xf numFmtId="201" fontId="63" fillId="9" borderId="0" xfId="0" applyNumberFormat="1" applyFont="1" applyFill="1" applyAlignment="1">
      <alignment horizontal="right" vertical="center"/>
    </xf>
    <xf numFmtId="201" fontId="44" fillId="9" borderId="52" xfId="0" applyNumberFormat="1" applyFont="1" applyFill="1" applyBorder="1" applyAlignment="1">
      <alignment horizontal="right" vertical="center"/>
    </xf>
    <xf numFmtId="201" fontId="62" fillId="9" borderId="52" xfId="0" applyNumberFormat="1" applyFont="1" applyFill="1" applyBorder="1" applyAlignment="1">
      <alignment horizontal="right" vertical="center"/>
    </xf>
    <xf numFmtId="201" fontId="44" fillId="9" borderId="51" xfId="0" applyNumberFormat="1" applyFont="1" applyFill="1" applyBorder="1" applyAlignment="1">
      <alignment horizontal="right" vertical="center"/>
    </xf>
    <xf numFmtId="201" fontId="44" fillId="9" borderId="48" xfId="0" applyNumberFormat="1" applyFont="1" applyFill="1" applyBorder="1" applyAlignment="1">
      <alignment horizontal="right" vertical="center"/>
    </xf>
    <xf numFmtId="201" fontId="62" fillId="9" borderId="48" xfId="0" applyNumberFormat="1" applyFont="1" applyFill="1" applyBorder="1" applyAlignment="1">
      <alignment horizontal="right" vertical="center"/>
    </xf>
    <xf numFmtId="201" fontId="44" fillId="9" borderId="0" xfId="0" applyNumberFormat="1" applyFont="1" applyFill="1" applyAlignment="1">
      <alignment horizontal="right" vertical="center"/>
    </xf>
    <xf numFmtId="201" fontId="62" fillId="9" borderId="50" xfId="0" applyNumberFormat="1" applyFont="1" applyFill="1" applyBorder="1" applyAlignment="1">
      <alignment horizontal="right" vertical="center"/>
    </xf>
    <xf numFmtId="201" fontId="28" fillId="18" borderId="0" xfId="0" applyNumberFormat="1" applyFont="1" applyFill="1" applyAlignment="1">
      <alignment horizontal="center" vertical="center"/>
    </xf>
    <xf numFmtId="17" fontId="46" fillId="13" borderId="0" xfId="0" applyNumberFormat="1" applyFont="1" applyFill="1" applyAlignment="1">
      <alignment horizontal="center" vertical="center"/>
    </xf>
    <xf numFmtId="203" fontId="46" fillId="21" borderId="0" xfId="0" applyNumberFormat="1" applyFont="1" applyFill="1" applyAlignment="1">
      <alignment vertical="center"/>
    </xf>
    <xf numFmtId="173" fontId="28" fillId="21" borderId="0" xfId="0" applyNumberFormat="1" applyFont="1" applyFill="1" applyAlignment="1">
      <alignment vertical="center"/>
    </xf>
    <xf numFmtId="17" fontId="46" fillId="18" borderId="0" xfId="0" applyNumberFormat="1" applyFont="1" applyFill="1" applyAlignment="1">
      <alignment horizontal="center" vertical="center"/>
    </xf>
    <xf numFmtId="173" fontId="46" fillId="8" borderId="0" xfId="0" applyNumberFormat="1" applyFont="1" applyFill="1" applyAlignment="1">
      <alignment vertical="center"/>
    </xf>
    <xf numFmtId="173" fontId="28" fillId="8" borderId="0" xfId="0" applyNumberFormat="1" applyFont="1" applyFill="1" applyAlignment="1">
      <alignment vertical="center"/>
    </xf>
    <xf numFmtId="197" fontId="46" fillId="18" borderId="0" xfId="0" applyNumberFormat="1" applyFont="1" applyFill="1" applyAlignment="1">
      <alignment horizontal="center" vertical="center"/>
    </xf>
    <xf numFmtId="173" fontId="46" fillId="21" borderId="0" xfId="0" applyNumberFormat="1" applyFont="1" applyFill="1" applyAlignment="1">
      <alignment vertical="center"/>
    </xf>
    <xf numFmtId="180" fontId="28" fillId="8" borderId="0" xfId="0" applyNumberFormat="1" applyFont="1" applyFill="1" applyAlignment="1">
      <alignment vertical="center"/>
    </xf>
    <xf numFmtId="203" fontId="28" fillId="25" borderId="0" xfId="0" applyNumberFormat="1" applyFont="1" applyFill="1" applyAlignment="1">
      <alignment vertical="center"/>
    </xf>
    <xf numFmtId="203" fontId="25" fillId="25" borderId="0" xfId="0" applyNumberFormat="1" applyFont="1" applyFill="1" applyAlignment="1">
      <alignment vertical="center"/>
    </xf>
    <xf numFmtId="198" fontId="28" fillId="24" borderId="0" xfId="0" applyNumberFormat="1" applyFont="1" applyFill="1" applyAlignment="1">
      <alignment horizontal="center" vertical="center"/>
    </xf>
    <xf numFmtId="198" fontId="28" fillId="25" borderId="0" xfId="0" applyNumberFormat="1" applyFont="1" applyFill="1" applyAlignment="1">
      <alignment horizontal="center" vertical="center"/>
    </xf>
    <xf numFmtId="203" fontId="29" fillId="25" borderId="0" xfId="0" applyNumberFormat="1" applyFont="1" applyFill="1" applyAlignment="1">
      <alignment vertical="center"/>
    </xf>
    <xf numFmtId="198" fontId="62" fillId="25" borderId="0" xfId="0" applyNumberFormat="1" applyFont="1" applyFill="1" applyAlignment="1">
      <alignment vertical="center"/>
    </xf>
    <xf numFmtId="203" fontId="61" fillId="25" borderId="63" xfId="0" applyNumberFormat="1" applyFont="1" applyFill="1" applyBorder="1" applyAlignment="1">
      <alignment vertical="center"/>
    </xf>
    <xf numFmtId="203" fontId="61" fillId="25" borderId="67" xfId="0" applyNumberFormat="1" applyFont="1" applyFill="1" applyBorder="1" applyAlignment="1">
      <alignment vertical="center"/>
    </xf>
    <xf numFmtId="203" fontId="61" fillId="25" borderId="0" xfId="0" applyNumberFormat="1" applyFont="1" applyFill="1" applyAlignment="1">
      <alignment vertical="center"/>
    </xf>
    <xf numFmtId="203" fontId="60" fillId="30" borderId="0" xfId="0" applyNumberFormat="1" applyFont="1" applyFill="1" applyAlignment="1">
      <alignment vertical="center"/>
    </xf>
    <xf numFmtId="203" fontId="61" fillId="30" borderId="0" xfId="0" applyNumberFormat="1" applyFont="1" applyFill="1" applyAlignment="1">
      <alignment vertical="center"/>
    </xf>
    <xf numFmtId="203" fontId="60" fillId="31" borderId="0" xfId="0" applyNumberFormat="1" applyFont="1" applyFill="1" applyAlignment="1">
      <alignment vertical="center"/>
    </xf>
    <xf numFmtId="203" fontId="61" fillId="31" borderId="0" xfId="0" applyNumberFormat="1" applyFont="1" applyFill="1" applyAlignment="1">
      <alignment vertical="center"/>
    </xf>
    <xf numFmtId="203" fontId="60" fillId="32" borderId="0" xfId="0" applyNumberFormat="1" applyFont="1" applyFill="1" applyAlignment="1">
      <alignment vertical="center"/>
    </xf>
    <xf numFmtId="203" fontId="61" fillId="32" borderId="0" xfId="0" applyNumberFormat="1" applyFont="1" applyFill="1" applyAlignment="1">
      <alignment vertical="center"/>
    </xf>
    <xf numFmtId="203" fontId="60" fillId="33" borderId="0" xfId="0" applyNumberFormat="1" applyFont="1" applyFill="1" applyAlignment="1">
      <alignment vertical="center"/>
    </xf>
    <xf numFmtId="203" fontId="61" fillId="33" borderId="0" xfId="0" applyNumberFormat="1" applyFont="1" applyFill="1" applyAlignment="1">
      <alignment vertical="center"/>
    </xf>
    <xf numFmtId="198" fontId="28" fillId="25" borderId="0" xfId="0" applyNumberFormat="1" applyFont="1" applyFill="1" applyAlignment="1">
      <alignment vertical="center"/>
    </xf>
    <xf numFmtId="203" fontId="62" fillId="25" borderId="0" xfId="0" applyNumberFormat="1" applyFont="1" applyFill="1" applyAlignment="1">
      <alignment vertical="center"/>
    </xf>
    <xf numFmtId="206" fontId="32" fillId="17" borderId="99" xfId="11" applyNumberFormat="1" applyFont="1" applyFill="1" applyBorder="1" applyAlignment="1">
      <alignment horizontal="right" vertical="center"/>
    </xf>
    <xf numFmtId="204" fontId="32" fillId="17" borderId="99" xfId="11" applyNumberFormat="1" applyFont="1" applyFill="1" applyBorder="1" applyAlignment="1">
      <alignment horizontal="right" vertical="center"/>
    </xf>
    <xf numFmtId="199" fontId="32" fillId="17" borderId="99" xfId="11" applyNumberFormat="1" applyFont="1" applyFill="1" applyBorder="1" applyAlignment="1">
      <alignment horizontal="right" vertical="center"/>
    </xf>
    <xf numFmtId="201" fontId="46" fillId="40" borderId="0" xfId="11" applyNumberFormat="1" applyFont="1" applyFill="1" applyAlignment="1">
      <alignment horizontal="left" vertical="center"/>
    </xf>
    <xf numFmtId="204" fontId="46" fillId="9" borderId="0" xfId="11" applyNumberFormat="1" applyFont="1" applyFill="1" applyAlignment="1">
      <alignment horizontal="right" vertical="center"/>
    </xf>
    <xf numFmtId="204" fontId="28" fillId="9" borderId="0" xfId="11" applyNumberFormat="1" applyFont="1" applyFill="1" applyAlignment="1">
      <alignment horizontal="right" vertical="center"/>
    </xf>
    <xf numFmtId="189" fontId="32" fillId="9" borderId="0" xfId="11" applyNumberFormat="1" applyFont="1" applyFill="1" applyAlignment="1">
      <alignment horizontal="right" vertical="center"/>
    </xf>
    <xf numFmtId="189" fontId="28" fillId="9" borderId="0" xfId="0" applyNumberFormat="1" applyFont="1" applyFill="1" applyAlignment="1">
      <alignment horizontal="right" vertical="center"/>
    </xf>
    <xf numFmtId="189" fontId="28" fillId="17" borderId="0" xfId="0" applyNumberFormat="1" applyFont="1" applyFill="1" applyAlignment="1">
      <alignment horizontal="right" vertical="center"/>
    </xf>
    <xf numFmtId="189" fontId="28" fillId="17" borderId="110" xfId="0" applyNumberFormat="1" applyFont="1" applyFill="1" applyBorder="1" applyAlignment="1">
      <alignment horizontal="right" vertical="center"/>
    </xf>
    <xf numFmtId="198" fontId="28" fillId="17" borderId="115" xfId="0" applyNumberFormat="1" applyFont="1" applyFill="1" applyBorder="1" applyAlignment="1">
      <alignment horizontal="right" vertical="center"/>
    </xf>
    <xf numFmtId="198" fontId="28" fillId="17" borderId="116" xfId="0" applyNumberFormat="1" applyFont="1" applyFill="1" applyBorder="1" applyAlignment="1">
      <alignment horizontal="right" vertical="center"/>
    </xf>
    <xf numFmtId="0" fontId="39" fillId="42" borderId="0" xfId="0" applyFont="1" applyFill="1" applyAlignment="1">
      <alignment vertical="center"/>
    </xf>
    <xf numFmtId="0" fontId="22" fillId="43" borderId="107" xfId="0" applyFont="1" applyFill="1" applyBorder="1" applyAlignment="1">
      <alignment horizontal="center" vertical="center" wrapText="1"/>
    </xf>
    <xf numFmtId="0" fontId="22" fillId="43" borderId="84" xfId="0" applyFont="1" applyFill="1" applyBorder="1" applyAlignment="1">
      <alignment horizontal="center" vertical="center" wrapText="1"/>
    </xf>
    <xf numFmtId="0" fontId="22" fillId="43" borderId="0" xfId="0" applyFont="1" applyFill="1" applyAlignment="1">
      <alignment horizontal="center" vertical="center" wrapText="1"/>
    </xf>
    <xf numFmtId="0" fontId="22" fillId="43" borderId="107" xfId="0" applyFont="1" applyFill="1" applyBorder="1" applyAlignment="1">
      <alignment horizontal="left" vertical="center" wrapText="1"/>
    </xf>
    <xf numFmtId="0" fontId="21" fillId="36" borderId="68" xfId="0" applyFont="1" applyFill="1" applyBorder="1" applyAlignment="1">
      <alignment vertical="center"/>
    </xf>
    <xf numFmtId="0" fontId="21" fillId="36" borderId="0" xfId="0" applyFont="1" applyFill="1" applyAlignment="1">
      <alignment vertical="center"/>
    </xf>
    <xf numFmtId="0" fontId="22" fillId="43" borderId="71" xfId="0" applyFont="1" applyFill="1" applyBorder="1" applyAlignment="1">
      <alignment horizontal="center" vertical="center" wrapText="1"/>
    </xf>
    <xf numFmtId="0" fontId="22" fillId="43" borderId="71" xfId="0" applyFont="1" applyFill="1" applyBorder="1" applyAlignment="1">
      <alignment horizontal="left" vertical="center" wrapText="1"/>
    </xf>
    <xf numFmtId="0" fontId="22" fillId="43" borderId="0" xfId="0" applyFont="1" applyFill="1" applyAlignment="1">
      <alignment horizontal="left" vertical="center" wrapText="1"/>
    </xf>
    <xf numFmtId="0" fontId="21" fillId="36" borderId="83" xfId="0" applyFont="1" applyFill="1" applyBorder="1" applyAlignment="1">
      <alignment horizontal="left" vertical="center"/>
    </xf>
    <xf numFmtId="0" fontId="22" fillId="43" borderId="84" xfId="0" applyFont="1" applyFill="1" applyBorder="1" applyAlignment="1">
      <alignment horizontal="left" vertical="center" wrapText="1"/>
    </xf>
    <xf numFmtId="187" fontId="45" fillId="9" borderId="0" xfId="9" applyNumberFormat="1" applyFont="1" applyFill="1" applyAlignment="1">
      <alignment vertical="center"/>
    </xf>
    <xf numFmtId="0" fontId="45" fillId="9" borderId="0" xfId="8" applyFont="1" applyFill="1" applyAlignment="1">
      <alignment vertical="center"/>
    </xf>
    <xf numFmtId="187" fontId="45" fillId="9" borderId="7" xfId="9" applyNumberFormat="1" applyFont="1" applyFill="1" applyBorder="1" applyAlignment="1">
      <alignment horizontal="center" vertical="center"/>
    </xf>
    <xf numFmtId="187" fontId="22" fillId="43" borderId="2" xfId="9" applyNumberFormat="1" applyFont="1" applyFill="1" applyBorder="1" applyAlignment="1">
      <alignment horizontal="center" vertical="center" wrapText="1"/>
    </xf>
    <xf numFmtId="0" fontId="22" fillId="43" borderId="0" xfId="8" applyFont="1" applyFill="1" applyAlignment="1">
      <alignment horizontal="center" vertical="center" wrapText="1"/>
    </xf>
    <xf numFmtId="187" fontId="22" fillId="43" borderId="0" xfId="9" applyNumberFormat="1" applyFont="1" applyFill="1" applyBorder="1" applyAlignment="1">
      <alignment horizontal="center" vertical="center" wrapText="1"/>
    </xf>
    <xf numFmtId="187" fontId="22" fillId="43" borderId="0" xfId="9" applyNumberFormat="1" applyFont="1" applyFill="1" applyAlignment="1">
      <alignment horizontal="center" vertical="center" wrapText="1"/>
    </xf>
    <xf numFmtId="187" fontId="22" fillId="43" borderId="2" xfId="9" applyNumberFormat="1" applyFont="1" applyFill="1" applyBorder="1" applyAlignment="1">
      <alignment horizontal="left" vertical="center" wrapText="1"/>
    </xf>
    <xf numFmtId="0" fontId="45" fillId="9" borderId="0" xfId="8" applyFont="1" applyFill="1" applyAlignment="1">
      <alignment horizontal="left" vertical="center"/>
    </xf>
    <xf numFmtId="187" fontId="45" fillId="9" borderId="0" xfId="9" applyNumberFormat="1" applyFont="1" applyFill="1" applyBorder="1" applyAlignment="1">
      <alignment horizontal="center" vertical="center"/>
    </xf>
    <xf numFmtId="187" fontId="45" fillId="9" borderId="0" xfId="9" applyNumberFormat="1" applyFont="1" applyFill="1" applyBorder="1" applyAlignment="1">
      <alignment horizontal="right" vertical="center"/>
    </xf>
    <xf numFmtId="202" fontId="22" fillId="43" borderId="0" xfId="9" applyNumberFormat="1" applyFont="1" applyFill="1" applyAlignment="1">
      <alignment horizontal="center" vertical="center" wrapText="1"/>
    </xf>
    <xf numFmtId="187" fontId="22" fillId="43" borderId="7" xfId="9" applyNumberFormat="1" applyFont="1" applyFill="1" applyBorder="1" applyAlignment="1">
      <alignment horizontal="center" vertical="center" wrapText="1"/>
    </xf>
    <xf numFmtId="187" fontId="22" fillId="43" borderId="0" xfId="9" applyNumberFormat="1" applyFont="1" applyFill="1" applyAlignment="1">
      <alignment horizontal="left" vertical="center" wrapText="1"/>
    </xf>
    <xf numFmtId="0" fontId="39" fillId="42" borderId="0" xfId="8" applyFont="1" applyFill="1" applyAlignment="1">
      <alignment vertical="center"/>
    </xf>
    <xf numFmtId="0" fontId="22" fillId="43" borderId="9" xfId="8" applyFont="1" applyFill="1" applyBorder="1" applyAlignment="1">
      <alignment horizontal="center" vertical="center" wrapText="1"/>
    </xf>
    <xf numFmtId="0" fontId="22" fillId="43" borderId="9" xfId="8" applyFont="1" applyFill="1" applyBorder="1" applyAlignment="1">
      <alignment horizontal="left" vertical="center" wrapText="1"/>
    </xf>
    <xf numFmtId="198" fontId="28" fillId="9" borderId="13" xfId="8" applyNumberFormat="1" applyFont="1" applyFill="1" applyBorder="1" applyAlignment="1">
      <alignment horizontal="right" vertical="center"/>
    </xf>
    <xf numFmtId="203" fontId="28" fillId="9" borderId="13" xfId="8" applyNumberFormat="1" applyFont="1" applyFill="1" applyBorder="1" applyAlignment="1">
      <alignment horizontal="right" vertical="center"/>
    </xf>
    <xf numFmtId="0" fontId="24" fillId="9" borderId="13" xfId="8" applyFont="1" applyFill="1" applyBorder="1" applyAlignment="1">
      <alignment horizontal="right" vertical="center"/>
    </xf>
    <xf numFmtId="0" fontId="45" fillId="9" borderId="0" xfId="8" applyFont="1" applyFill="1" applyAlignment="1">
      <alignment horizontal="right" vertical="center"/>
    </xf>
    <xf numFmtId="0" fontId="22" fillId="43" borderId="10" xfId="0" applyFont="1" applyFill="1" applyBorder="1" applyAlignment="1">
      <alignment horizontal="center" vertical="center" wrapText="1"/>
    </xf>
    <xf numFmtId="0" fontId="22" fillId="43" borderId="10" xfId="0" applyFont="1" applyFill="1" applyBorder="1" applyAlignment="1">
      <alignment horizontal="left" vertical="center" wrapText="1"/>
    </xf>
    <xf numFmtId="0" fontId="22" fillId="43" borderId="9" xfId="0" applyFont="1" applyFill="1" applyBorder="1" applyAlignment="1">
      <alignment horizontal="center" vertical="center" wrapText="1"/>
    </xf>
    <xf numFmtId="0" fontId="22" fillId="43" borderId="9" xfId="0" applyFont="1" applyFill="1" applyBorder="1" applyAlignment="1">
      <alignment horizontal="left" vertical="center" wrapText="1"/>
    </xf>
    <xf numFmtId="0" fontId="45" fillId="9" borderId="0" xfId="0" applyFont="1" applyFill="1" applyAlignment="1">
      <alignment horizontal="left" vertical="center"/>
    </xf>
    <xf numFmtId="0" fontId="21" fillId="36" borderId="0" xfId="0" applyFont="1" applyFill="1" applyAlignment="1">
      <alignment horizontal="left" vertical="center"/>
    </xf>
    <xf numFmtId="0" fontId="22" fillId="43" borderId="16" xfId="0" applyFont="1" applyFill="1" applyBorder="1" applyAlignment="1">
      <alignment horizontal="center" vertical="center" wrapText="1"/>
    </xf>
    <xf numFmtId="0" fontId="22" fillId="43" borderId="16" xfId="0" applyFont="1" applyFill="1" applyBorder="1" applyAlignment="1">
      <alignment horizontal="left" vertical="center" wrapText="1"/>
    </xf>
    <xf numFmtId="0" fontId="53" fillId="11" borderId="74" xfId="0" applyFont="1" applyFill="1" applyBorder="1" applyAlignment="1">
      <alignment horizontal="left" vertical="center"/>
    </xf>
    <xf numFmtId="173" fontId="54" fillId="11" borderId="117" xfId="0" applyNumberFormat="1" applyFont="1" applyFill="1" applyBorder="1" applyAlignment="1">
      <alignment horizontal="right" vertical="center"/>
    </xf>
    <xf numFmtId="173" fontId="28" fillId="11" borderId="117" xfId="0" applyNumberFormat="1" applyFont="1" applyFill="1" applyBorder="1" applyAlignment="1">
      <alignment horizontal="right" vertical="center"/>
    </xf>
    <xf numFmtId="181" fontId="28" fillId="11" borderId="117" xfId="0" applyNumberFormat="1" applyFont="1" applyFill="1" applyBorder="1" applyAlignment="1">
      <alignment vertical="center"/>
    </xf>
    <xf numFmtId="173" fontId="25" fillId="11" borderId="117" xfId="0" applyNumberFormat="1" applyFont="1" applyFill="1" applyBorder="1" applyAlignment="1">
      <alignment vertical="center"/>
    </xf>
    <xf numFmtId="0" fontId="50" fillId="9" borderId="118" xfId="0" applyFont="1" applyFill="1" applyBorder="1" applyAlignment="1">
      <alignment horizontal="left" vertical="center"/>
    </xf>
    <xf numFmtId="173" fontId="50" fillId="9" borderId="119" xfId="0" applyNumberFormat="1" applyFont="1" applyFill="1" applyBorder="1" applyAlignment="1">
      <alignment horizontal="right" vertical="center"/>
    </xf>
    <xf numFmtId="173" fontId="28" fillId="9" borderId="119" xfId="0" applyNumberFormat="1" applyFont="1" applyFill="1" applyBorder="1" applyAlignment="1">
      <alignment horizontal="right" vertical="center"/>
    </xf>
    <xf numFmtId="181" fontId="28" fillId="9" borderId="119" xfId="0" applyNumberFormat="1" applyFont="1" applyFill="1" applyBorder="1" applyAlignment="1">
      <alignment vertical="center"/>
    </xf>
    <xf numFmtId="173" fontId="25" fillId="9" borderId="119" xfId="0" applyNumberFormat="1" applyFont="1" applyFill="1" applyBorder="1" applyAlignment="1">
      <alignment vertical="center"/>
    </xf>
    <xf numFmtId="0" fontId="28" fillId="9" borderId="74" xfId="0" applyFont="1" applyFill="1" applyBorder="1" applyAlignment="1">
      <alignment horizontal="left" vertical="center"/>
    </xf>
    <xf numFmtId="173" fontId="28" fillId="9" borderId="117" xfId="0" applyNumberFormat="1" applyFont="1" applyFill="1" applyBorder="1" applyAlignment="1">
      <alignment horizontal="right" vertical="center"/>
    </xf>
    <xf numFmtId="173" fontId="28" fillId="9" borderId="74" xfId="0" applyNumberFormat="1" applyFont="1" applyFill="1" applyBorder="1" applyAlignment="1">
      <alignment horizontal="right" vertical="center"/>
    </xf>
    <xf numFmtId="181" fontId="28" fillId="9" borderId="74" xfId="0" applyNumberFormat="1" applyFont="1" applyFill="1" applyBorder="1" applyAlignment="1">
      <alignment vertical="center"/>
    </xf>
    <xf numFmtId="0" fontId="50" fillId="10" borderId="120" xfId="0" applyFont="1" applyFill="1" applyBorder="1" applyAlignment="1">
      <alignment horizontal="left" vertical="center"/>
    </xf>
    <xf numFmtId="173" fontId="50" fillId="10" borderId="121" xfId="0" applyNumberFormat="1" applyFont="1" applyFill="1" applyBorder="1" applyAlignment="1">
      <alignment horizontal="right" vertical="center"/>
    </xf>
    <xf numFmtId="173" fontId="28" fillId="10" borderId="121" xfId="0" applyNumberFormat="1" applyFont="1" applyFill="1" applyBorder="1" applyAlignment="1">
      <alignment horizontal="right" vertical="center"/>
    </xf>
    <xf numFmtId="173" fontId="28" fillId="10" borderId="120" xfId="0" applyNumberFormat="1" applyFont="1" applyFill="1" applyBorder="1" applyAlignment="1">
      <alignment horizontal="right" vertical="center"/>
    </xf>
    <xf numFmtId="181" fontId="28" fillId="10" borderId="120" xfId="0" applyNumberFormat="1" applyFont="1" applyFill="1" applyBorder="1" applyAlignment="1">
      <alignment vertical="center"/>
    </xf>
    <xf numFmtId="173" fontId="21" fillId="36" borderId="0" xfId="0" applyNumberFormat="1" applyFont="1" applyFill="1" applyAlignment="1">
      <alignment horizontal="left" vertical="center"/>
    </xf>
    <xf numFmtId="173" fontId="28" fillId="9" borderId="74" xfId="0" applyNumberFormat="1" applyFont="1" applyFill="1" applyBorder="1" applyAlignment="1">
      <alignment horizontal="left" vertical="center"/>
    </xf>
    <xf numFmtId="0" fontId="28" fillId="9" borderId="120" xfId="0" applyFont="1" applyFill="1" applyBorder="1" applyAlignment="1">
      <alignment horizontal="left" vertical="center"/>
    </xf>
    <xf numFmtId="173" fontId="28" fillId="9" borderId="120" xfId="0" applyNumberFormat="1" applyFont="1" applyFill="1" applyBorder="1" applyAlignment="1">
      <alignment horizontal="left" vertical="center"/>
    </xf>
    <xf numFmtId="181" fontId="28" fillId="9" borderId="120" xfId="0" applyNumberFormat="1" applyFont="1" applyFill="1" applyBorder="1" applyAlignment="1">
      <alignment vertical="center"/>
    </xf>
    <xf numFmtId="165" fontId="21" fillId="36" borderId="0" xfId="0" applyNumberFormat="1" applyFont="1" applyFill="1" applyAlignment="1">
      <alignment horizontal="right" vertical="center"/>
    </xf>
    <xf numFmtId="165" fontId="22" fillId="43" borderId="0" xfId="0" applyNumberFormat="1" applyFont="1" applyFill="1" applyAlignment="1">
      <alignment horizontal="center" vertical="center" wrapText="1"/>
    </xf>
    <xf numFmtId="0" fontId="53" fillId="9" borderId="73" xfId="0" applyFont="1" applyFill="1" applyBorder="1" applyAlignment="1">
      <alignment horizontal="left" vertical="center"/>
    </xf>
    <xf numFmtId="173" fontId="28" fillId="9" borderId="73" xfId="0" applyNumberFormat="1" applyFont="1" applyFill="1" applyBorder="1" applyAlignment="1">
      <alignment horizontal="right" vertical="center"/>
    </xf>
    <xf numFmtId="173" fontId="46" fillId="9" borderId="73" xfId="0" applyNumberFormat="1" applyFont="1" applyFill="1" applyBorder="1" applyAlignment="1">
      <alignment horizontal="right" vertical="center"/>
    </xf>
    <xf numFmtId="0" fontId="25" fillId="9" borderId="73" xfId="0" applyFont="1" applyFill="1" applyBorder="1" applyAlignment="1">
      <alignment horizontal="center" vertical="center"/>
    </xf>
    <xf numFmtId="0" fontId="28" fillId="9" borderId="73" xfId="0" applyFont="1" applyFill="1" applyBorder="1" applyAlignment="1">
      <alignment horizontal="left" vertical="center"/>
    </xf>
    <xf numFmtId="0" fontId="30" fillId="9" borderId="73" xfId="0" applyFont="1" applyFill="1" applyBorder="1" applyAlignment="1">
      <alignment horizontal="center" vertical="center"/>
    </xf>
    <xf numFmtId="0" fontId="39" fillId="42" borderId="47" xfId="0" applyFont="1" applyFill="1" applyBorder="1" applyAlignment="1">
      <alignment horizontal="left" vertical="center"/>
    </xf>
    <xf numFmtId="0" fontId="39" fillId="42" borderId="47" xfId="0" applyFont="1" applyFill="1" applyBorder="1" applyAlignment="1">
      <alignment vertical="center"/>
    </xf>
    <xf numFmtId="0" fontId="39" fillId="42" borderId="47" xfId="0" applyFont="1" applyFill="1" applyBorder="1" applyAlignment="1">
      <alignment horizontal="right" vertical="center"/>
    </xf>
    <xf numFmtId="0" fontId="39" fillId="42" borderId="0" xfId="0" applyFont="1" applyFill="1" applyAlignment="1">
      <alignment horizontal="right" vertical="center"/>
    </xf>
    <xf numFmtId="175" fontId="22" fillId="43" borderId="63" xfId="0" applyNumberFormat="1" applyFont="1" applyFill="1" applyBorder="1" applyAlignment="1">
      <alignment horizontal="center" vertical="center" wrapText="1"/>
    </xf>
    <xf numFmtId="49" fontId="22" fillId="43" borderId="0" xfId="0" applyNumberFormat="1" applyFont="1" applyFill="1" applyAlignment="1">
      <alignment horizontal="center" vertical="center" wrapText="1"/>
    </xf>
    <xf numFmtId="201" fontId="22" fillId="43" borderId="0" xfId="0" applyNumberFormat="1" applyFont="1" applyFill="1" applyAlignment="1">
      <alignment horizontal="center" vertical="center" wrapText="1"/>
    </xf>
    <xf numFmtId="0" fontId="21" fillId="36" borderId="0" xfId="0" applyFont="1" applyFill="1" applyAlignment="1">
      <alignment horizontal="right" vertical="center"/>
    </xf>
    <xf numFmtId="0" fontId="28" fillId="9" borderId="73" xfId="0" applyFont="1" applyFill="1" applyBorder="1" applyAlignment="1">
      <alignment horizontal="right" vertical="center"/>
    </xf>
    <xf numFmtId="201" fontId="63" fillId="27" borderId="73" xfId="0" applyNumberFormat="1" applyFont="1" applyFill="1" applyBorder="1" applyAlignment="1">
      <alignment horizontal="right" vertical="center"/>
    </xf>
    <xf numFmtId="201" fontId="28" fillId="26" borderId="73" xfId="0" applyNumberFormat="1" applyFont="1" applyFill="1" applyBorder="1" applyAlignment="1">
      <alignment horizontal="right" vertical="center"/>
    </xf>
    <xf numFmtId="0" fontId="28" fillId="9" borderId="122" xfId="0" applyFont="1" applyFill="1" applyBorder="1" applyAlignment="1">
      <alignment horizontal="left" vertical="center"/>
    </xf>
    <xf numFmtId="0" fontId="28" fillId="9" borderId="122" xfId="0" applyFont="1" applyFill="1" applyBorder="1" applyAlignment="1">
      <alignment horizontal="right" vertical="center"/>
    </xf>
    <xf numFmtId="201" fontId="63" fillId="27" borderId="122" xfId="0" applyNumberFormat="1" applyFont="1" applyFill="1" applyBorder="1" applyAlignment="1">
      <alignment horizontal="right" vertical="center"/>
    </xf>
    <xf numFmtId="201" fontId="28" fillId="26" borderId="122" xfId="0" applyNumberFormat="1" applyFont="1" applyFill="1" applyBorder="1" applyAlignment="1">
      <alignment horizontal="right" vertical="center"/>
    </xf>
    <xf numFmtId="201" fontId="28" fillId="9" borderId="122" xfId="0" applyNumberFormat="1" applyFont="1" applyFill="1" applyBorder="1" applyAlignment="1">
      <alignment horizontal="right" vertical="center"/>
    </xf>
    <xf numFmtId="201" fontId="28" fillId="9" borderId="73" xfId="0" applyNumberFormat="1" applyFont="1" applyFill="1" applyBorder="1" applyAlignment="1">
      <alignment horizontal="right" vertical="center"/>
    </xf>
    <xf numFmtId="0" fontId="68" fillId="9" borderId="47" xfId="0" applyFont="1" applyFill="1" applyBorder="1" applyAlignment="1">
      <alignment horizontal="left" vertical="center"/>
    </xf>
    <xf numFmtId="0" fontId="68" fillId="9" borderId="47" xfId="0" applyFont="1" applyFill="1" applyBorder="1" applyAlignment="1">
      <alignment horizontal="right" vertical="center"/>
    </xf>
    <xf numFmtId="0" fontId="45" fillId="9" borderId="0" xfId="0" applyFont="1" applyFill="1" applyAlignment="1">
      <alignment horizontal="right" vertical="center"/>
    </xf>
    <xf numFmtId="175" fontId="45" fillId="9" borderId="0" xfId="0" applyNumberFormat="1" applyFont="1" applyFill="1" applyAlignment="1">
      <alignment horizontal="right" vertical="center"/>
    </xf>
    <xf numFmtId="175" fontId="68" fillId="9" borderId="47" xfId="0" applyNumberFormat="1" applyFont="1" applyFill="1" applyBorder="1" applyAlignment="1">
      <alignment horizontal="right" vertical="center"/>
    </xf>
    <xf numFmtId="175" fontId="28" fillId="9" borderId="73" xfId="0" applyNumberFormat="1" applyFont="1" applyFill="1" applyBorder="1" applyAlignment="1">
      <alignment horizontal="right" vertical="center"/>
    </xf>
    <xf numFmtId="0" fontId="21" fillId="36" borderId="53" xfId="0" applyFont="1" applyFill="1" applyBorder="1" applyAlignment="1">
      <alignment horizontal="left" vertical="center"/>
    </xf>
    <xf numFmtId="0" fontId="21" fillId="36" borderId="53" xfId="0" applyFont="1" applyFill="1" applyBorder="1" applyAlignment="1">
      <alignment vertical="center"/>
    </xf>
    <xf numFmtId="0" fontId="21" fillId="36" borderId="53" xfId="0" applyFont="1" applyFill="1" applyBorder="1" applyAlignment="1">
      <alignment horizontal="right" vertical="center"/>
    </xf>
    <xf numFmtId="0" fontId="21" fillId="36" borderId="47" xfId="0" applyFont="1" applyFill="1" applyBorder="1" applyAlignment="1">
      <alignment horizontal="left" vertical="center"/>
    </xf>
    <xf numFmtId="0" fontId="21" fillId="36" borderId="47" xfId="0" applyFont="1" applyFill="1" applyBorder="1" applyAlignment="1">
      <alignment vertical="center"/>
    </xf>
    <xf numFmtId="0" fontId="21" fillId="36" borderId="47" xfId="0" applyFont="1" applyFill="1" applyBorder="1" applyAlignment="1">
      <alignment horizontal="right" vertical="center"/>
    </xf>
    <xf numFmtId="174" fontId="45" fillId="9" borderId="0" xfId="0" applyNumberFormat="1" applyFont="1" applyFill="1" applyAlignment="1">
      <alignment horizontal="right" vertical="center"/>
    </xf>
    <xf numFmtId="174" fontId="68" fillId="9" borderId="47" xfId="0" applyNumberFormat="1" applyFont="1" applyFill="1" applyBorder="1" applyAlignment="1">
      <alignment horizontal="right" vertical="center"/>
    </xf>
    <xf numFmtId="174" fontId="28" fillId="9" borderId="73" xfId="0" applyNumberFormat="1" applyFont="1" applyFill="1" applyBorder="1" applyAlignment="1">
      <alignment horizontal="right" vertical="center"/>
    </xf>
    <xf numFmtId="0" fontId="24" fillId="21" borderId="73" xfId="0" applyFont="1" applyFill="1" applyBorder="1" applyAlignment="1">
      <alignment vertical="center"/>
    </xf>
    <xf numFmtId="173" fontId="28" fillId="21" borderId="73" xfId="0" applyNumberFormat="1" applyFont="1" applyFill="1" applyBorder="1" applyAlignment="1">
      <alignment vertical="center"/>
    </xf>
    <xf numFmtId="0" fontId="65" fillId="21" borderId="73" xfId="0" applyFont="1" applyFill="1" applyBorder="1" applyAlignment="1">
      <alignment vertical="center"/>
    </xf>
    <xf numFmtId="180" fontId="28" fillId="21" borderId="73" xfId="0" applyNumberFormat="1" applyFont="1" applyFill="1" applyBorder="1" applyAlignment="1">
      <alignment vertical="center"/>
    </xf>
    <xf numFmtId="171" fontId="80" fillId="43" borderId="64" xfId="0" applyNumberFormat="1" applyFont="1" applyFill="1" applyBorder="1" applyAlignment="1">
      <alignment horizontal="center" vertical="center" wrapText="1"/>
    </xf>
    <xf numFmtId="0" fontId="80" fillId="43" borderId="64" xfId="0" applyFont="1" applyFill="1" applyBorder="1" applyAlignment="1">
      <alignment horizontal="left" vertical="center" wrapText="1"/>
    </xf>
    <xf numFmtId="0" fontId="71" fillId="25" borderId="73" xfId="0" applyFont="1" applyFill="1" applyBorder="1" applyAlignment="1">
      <alignment vertical="center"/>
    </xf>
    <xf numFmtId="203" fontId="61" fillId="25" borderId="73" xfId="0" applyNumberFormat="1" applyFont="1" applyFill="1" applyBorder="1" applyAlignment="1">
      <alignment vertical="center"/>
    </xf>
    <xf numFmtId="178" fontId="22" fillId="43" borderId="0" xfId="0" applyNumberFormat="1" applyFont="1" applyFill="1" applyAlignment="1">
      <alignment horizontal="center" vertical="center" wrapText="1"/>
    </xf>
    <xf numFmtId="182" fontId="22" fillId="43" borderId="0" xfId="0" applyNumberFormat="1" applyFont="1" applyFill="1" applyAlignment="1">
      <alignment horizontal="center" vertical="center" wrapText="1"/>
    </xf>
    <xf numFmtId="0" fontId="80" fillId="43" borderId="0" xfId="0" applyFont="1" applyFill="1" applyAlignment="1">
      <alignment horizontal="center" vertical="center" wrapText="1"/>
    </xf>
    <xf numFmtId="171" fontId="80" fillId="43" borderId="0" xfId="0" applyNumberFormat="1" applyFont="1" applyFill="1" applyAlignment="1">
      <alignment horizontal="center" vertical="center" wrapText="1"/>
    </xf>
    <xf numFmtId="0" fontId="80" fillId="43" borderId="0" xfId="0" applyFont="1" applyFill="1" applyAlignment="1">
      <alignment horizontal="left" vertical="center" wrapText="1"/>
    </xf>
    <xf numFmtId="203" fontId="63" fillId="25" borderId="73" xfId="0" applyNumberFormat="1" applyFont="1" applyFill="1" applyBorder="1" applyAlignment="1">
      <alignment vertical="center"/>
    </xf>
    <xf numFmtId="0" fontId="22" fillId="43" borderId="95" xfId="11" applyFont="1" applyFill="1" applyBorder="1" applyAlignment="1">
      <alignment horizontal="center" vertical="center" wrapText="1"/>
    </xf>
    <xf numFmtId="0" fontId="22" fillId="43" borderId="96" xfId="11" applyFont="1" applyFill="1" applyBorder="1" applyAlignment="1">
      <alignment horizontal="center" vertical="center" wrapText="1"/>
    </xf>
    <xf numFmtId="0" fontId="22" fillId="43" borderId="97" xfId="11" applyFont="1" applyFill="1" applyBorder="1" applyAlignment="1">
      <alignment horizontal="center" vertical="center" wrapText="1"/>
    </xf>
    <xf numFmtId="0" fontId="22" fillId="43" borderId="0" xfId="11" applyFont="1" applyFill="1" applyAlignment="1">
      <alignment horizontal="center" vertical="center" wrapText="1"/>
    </xf>
    <xf numFmtId="0" fontId="22" fillId="43" borderId="0" xfId="11" applyFont="1" applyFill="1" applyAlignment="1">
      <alignment horizontal="left" vertical="center" wrapText="1"/>
    </xf>
    <xf numFmtId="0" fontId="22" fillId="43" borderId="3" xfId="11" applyFont="1" applyFill="1" applyBorder="1" applyAlignment="1">
      <alignment horizontal="center" vertical="center" wrapText="1"/>
    </xf>
    <xf numFmtId="193" fontId="22" fillId="43" borderId="102" xfId="11" applyNumberFormat="1" applyFont="1" applyFill="1" applyBorder="1" applyAlignment="1">
      <alignment horizontal="center" vertical="center" wrapText="1"/>
    </xf>
    <xf numFmtId="193" fontId="22" fillId="43" borderId="3" xfId="11" applyNumberFormat="1" applyFont="1" applyFill="1" applyBorder="1" applyAlignment="1">
      <alignment horizontal="center" vertical="center" wrapText="1"/>
    </xf>
    <xf numFmtId="0" fontId="39" fillId="42" borderId="0" xfId="11" applyFont="1" applyFill="1" applyAlignment="1">
      <alignment vertical="center"/>
    </xf>
    <xf numFmtId="0" fontId="39" fillId="42" borderId="83" xfId="11" applyFont="1" applyFill="1" applyBorder="1" applyAlignment="1">
      <alignment horizontal="left" vertical="center"/>
    </xf>
    <xf numFmtId="0" fontId="45" fillId="9" borderId="0" xfId="11" applyFont="1" applyFill="1" applyAlignment="1">
      <alignment horizontal="left" vertical="center"/>
    </xf>
    <xf numFmtId="0" fontId="80" fillId="43" borderId="0" xfId="11" applyFont="1" applyFill="1" applyAlignment="1">
      <alignment horizontal="center" vertical="center" wrapText="1"/>
    </xf>
    <xf numFmtId="0" fontId="22" fillId="43" borderId="108" xfId="11" applyFont="1" applyFill="1" applyBorder="1" applyAlignment="1">
      <alignment horizontal="center" vertical="center" wrapText="1"/>
    </xf>
    <xf numFmtId="0" fontId="21" fillId="36" borderId="0" xfId="11" applyFont="1" applyFill="1" applyAlignment="1">
      <alignment vertical="center"/>
    </xf>
    <xf numFmtId="0" fontId="21" fillId="36" borderId="83" xfId="11" applyFont="1" applyFill="1" applyBorder="1" applyAlignment="1">
      <alignment horizontal="left" vertical="center"/>
    </xf>
    <xf numFmtId="0" fontId="21" fillId="36" borderId="0" xfId="11" applyFont="1" applyFill="1" applyAlignment="1">
      <alignment horizontal="left" vertical="center"/>
    </xf>
    <xf numFmtId="194" fontId="28" fillId="9" borderId="73" xfId="11" applyNumberFormat="1" applyFont="1" applyFill="1" applyBorder="1" applyAlignment="1">
      <alignment horizontal="right" vertical="center"/>
    </xf>
    <xf numFmtId="195" fontId="22" fillId="43" borderId="0" xfId="11" applyNumberFormat="1" applyFont="1" applyFill="1" applyAlignment="1">
      <alignment horizontal="center" vertical="center" wrapText="1"/>
    </xf>
    <xf numFmtId="0" fontId="22" fillId="43" borderId="64" xfId="0" applyFont="1" applyFill="1" applyBorder="1" applyAlignment="1">
      <alignment horizontal="center" vertical="center" wrapText="1"/>
    </xf>
    <xf numFmtId="0" fontId="22" fillId="43" borderId="111" xfId="0" applyFont="1" applyFill="1" applyBorder="1" applyAlignment="1">
      <alignment horizontal="center" vertical="center" wrapText="1"/>
    </xf>
    <xf numFmtId="0" fontId="22" fillId="43" borderId="64" xfId="0" applyFont="1" applyFill="1" applyBorder="1" applyAlignment="1">
      <alignment horizontal="left" vertical="center" wrapText="1"/>
    </xf>
    <xf numFmtId="0" fontId="80" fillId="43" borderId="110" xfId="0" applyFont="1" applyFill="1" applyBorder="1" applyAlignment="1">
      <alignment horizontal="center" vertical="center" wrapText="1"/>
    </xf>
    <xf numFmtId="0" fontId="21" fillId="36" borderId="114" xfId="0" applyFont="1" applyFill="1" applyBorder="1" applyAlignment="1">
      <alignment horizontal="left" vertical="center"/>
    </xf>
    <xf numFmtId="0" fontId="45" fillId="9" borderId="110" xfId="0" applyFont="1" applyFill="1" applyBorder="1" applyAlignment="1">
      <alignment horizontal="left" vertical="center"/>
    </xf>
    <xf numFmtId="0" fontId="22" fillId="43" borderId="82" xfId="0" applyFont="1" applyFill="1" applyBorder="1" applyAlignment="1">
      <alignment horizontal="center" vertical="center" wrapText="1"/>
    </xf>
    <xf numFmtId="0" fontId="22" fillId="43" borderId="82" xfId="0" applyFont="1" applyFill="1" applyBorder="1" applyAlignment="1">
      <alignment horizontal="left" vertical="center" wrapText="1"/>
    </xf>
    <xf numFmtId="198" fontId="22" fillId="43" borderId="0" xfId="0" applyNumberFormat="1" applyFont="1" applyFill="1" applyAlignment="1">
      <alignment horizontal="center" vertical="center" wrapText="1"/>
    </xf>
    <xf numFmtId="203" fontId="25" fillId="44" borderId="0" xfId="0" applyNumberFormat="1" applyFont="1" applyFill="1" applyAlignment="1">
      <alignment vertical="center"/>
    </xf>
    <xf numFmtId="203" fontId="27" fillId="44" borderId="0" xfId="0" applyNumberFormat="1" applyFont="1" applyFill="1" applyAlignment="1">
      <alignment vertical="center"/>
    </xf>
    <xf numFmtId="198" fontId="62" fillId="44" borderId="0" xfId="0" applyNumberFormat="1" applyFont="1" applyFill="1" applyAlignment="1">
      <alignment vertical="center"/>
    </xf>
    <xf numFmtId="203" fontId="25" fillId="45" borderId="0" xfId="0" applyNumberFormat="1" applyFont="1" applyFill="1" applyAlignment="1">
      <alignment vertical="center"/>
    </xf>
    <xf numFmtId="203" fontId="27" fillId="45" borderId="0" xfId="0" applyNumberFormat="1" applyFont="1" applyFill="1" applyAlignment="1">
      <alignment vertical="center"/>
    </xf>
    <xf numFmtId="198" fontId="62" fillId="45" borderId="0" xfId="0" applyNumberFormat="1" applyFont="1" applyFill="1" applyAlignment="1">
      <alignment vertical="center"/>
    </xf>
    <xf numFmtId="203" fontId="28" fillId="44" borderId="0" xfId="0" applyNumberFormat="1" applyFont="1" applyFill="1" applyAlignment="1">
      <alignment vertical="center"/>
    </xf>
    <xf numFmtId="203" fontId="29" fillId="44" borderId="0" xfId="0" applyNumberFormat="1" applyFont="1" applyFill="1" applyAlignment="1">
      <alignment vertical="center"/>
    </xf>
    <xf numFmtId="0" fontId="81" fillId="46" borderId="0" xfId="0" applyFont="1" applyFill="1" applyAlignment="1">
      <alignment vertical="center"/>
    </xf>
    <xf numFmtId="0" fontId="81" fillId="46" borderId="16" xfId="0" applyFont="1" applyFill="1" applyBorder="1" applyAlignment="1">
      <alignment horizontal="left" vertical="center"/>
    </xf>
    <xf numFmtId="173" fontId="81" fillId="46" borderId="24" xfId="0" applyNumberFormat="1" applyFont="1" applyFill="1" applyBorder="1" applyAlignment="1">
      <alignment horizontal="right" vertical="center"/>
    </xf>
    <xf numFmtId="181" fontId="81" fillId="46" borderId="24" xfId="0" applyNumberFormat="1" applyFont="1" applyFill="1" applyBorder="1" applyAlignment="1">
      <alignment vertical="center"/>
    </xf>
    <xf numFmtId="173" fontId="81" fillId="46" borderId="24" xfId="0" applyNumberFormat="1" applyFont="1" applyFill="1" applyBorder="1" applyAlignment="1">
      <alignment vertical="center"/>
    </xf>
    <xf numFmtId="0" fontId="81" fillId="46" borderId="18" xfId="0" applyFont="1" applyFill="1" applyBorder="1" applyAlignment="1">
      <alignment horizontal="left" vertical="center"/>
    </xf>
    <xf numFmtId="173" fontId="81" fillId="46" borderId="25" xfId="0" applyNumberFormat="1" applyFont="1" applyFill="1" applyBorder="1" applyAlignment="1">
      <alignment horizontal="right" vertical="center"/>
    </xf>
    <xf numFmtId="181" fontId="81" fillId="46" borderId="25" xfId="0" applyNumberFormat="1" applyFont="1" applyFill="1" applyBorder="1" applyAlignment="1">
      <alignment vertical="center"/>
    </xf>
    <xf numFmtId="173" fontId="81" fillId="46" borderId="25" xfId="0" applyNumberFormat="1" applyFont="1" applyFill="1" applyBorder="1" applyAlignment="1">
      <alignment vertical="center"/>
    </xf>
    <xf numFmtId="0" fontId="81" fillId="46" borderId="0" xfId="0" applyFont="1" applyFill="1" applyAlignment="1">
      <alignment horizontal="left" vertical="center"/>
    </xf>
    <xf numFmtId="173" fontId="81" fillId="46" borderId="26" xfId="0" applyNumberFormat="1" applyFont="1" applyFill="1" applyBorder="1" applyAlignment="1">
      <alignment horizontal="right" vertical="center"/>
    </xf>
    <xf numFmtId="181" fontId="81" fillId="46" borderId="26" xfId="0" applyNumberFormat="1" applyFont="1" applyFill="1" applyBorder="1" applyAlignment="1">
      <alignment vertical="center"/>
    </xf>
    <xf numFmtId="173" fontId="81" fillId="46" borderId="26" xfId="0" applyNumberFormat="1" applyFont="1" applyFill="1" applyBorder="1" applyAlignment="1">
      <alignment vertical="center"/>
    </xf>
    <xf numFmtId="173" fontId="81" fillId="46" borderId="0" xfId="0" applyNumberFormat="1" applyFont="1" applyFill="1" applyAlignment="1">
      <alignment horizontal="right" vertical="center"/>
    </xf>
    <xf numFmtId="173" fontId="81" fillId="46" borderId="0" xfId="0" applyNumberFormat="1" applyFont="1" applyFill="1" applyAlignment="1">
      <alignment vertical="center"/>
    </xf>
    <xf numFmtId="181" fontId="81" fillId="46" borderId="0" xfId="0" applyNumberFormat="1" applyFont="1" applyFill="1" applyAlignment="1">
      <alignment vertical="center"/>
    </xf>
    <xf numFmtId="173" fontId="81" fillId="46" borderId="0" xfId="0" applyNumberFormat="1" applyFont="1" applyFill="1" applyAlignment="1">
      <alignment horizontal="left" vertical="center"/>
    </xf>
    <xf numFmtId="0" fontId="81" fillId="46" borderId="0" xfId="0" applyFont="1" applyFill="1" applyAlignment="1">
      <alignment horizontal="right" vertical="center"/>
    </xf>
    <xf numFmtId="175" fontId="81" fillId="46" borderId="0" xfId="0" applyNumberFormat="1" applyFont="1" applyFill="1" applyAlignment="1">
      <alignment horizontal="right" vertical="center"/>
    </xf>
    <xf numFmtId="174" fontId="81" fillId="46" borderId="0" xfId="0" applyNumberFormat="1" applyFont="1" applyFill="1" applyAlignment="1">
      <alignment horizontal="right" vertical="center"/>
    </xf>
    <xf numFmtId="0" fontId="39" fillId="42" borderId="0" xfId="8" applyFont="1" applyFill="1" applyAlignment="1">
      <alignment horizontal="left" vertical="center"/>
    </xf>
    <xf numFmtId="0" fontId="21" fillId="36" borderId="1" xfId="8" applyFont="1" applyFill="1" applyBorder="1" applyAlignment="1">
      <alignment horizontal="left" vertical="center"/>
    </xf>
    <xf numFmtId="187" fontId="21" fillId="36" borderId="1" xfId="9" applyNumberFormat="1" applyFont="1" applyFill="1" applyBorder="1" applyAlignment="1">
      <alignment vertical="center"/>
    </xf>
    <xf numFmtId="187" fontId="81" fillId="46" borderId="1" xfId="9" applyNumberFormat="1" applyFont="1" applyFill="1" applyBorder="1" applyAlignment="1">
      <alignment vertical="center"/>
    </xf>
    <xf numFmtId="0" fontId="21" fillId="36" borderId="1" xfId="8" applyFont="1" applyFill="1" applyBorder="1" applyAlignment="1">
      <alignment horizontal="right" vertical="center"/>
    </xf>
    <xf numFmtId="0" fontId="21" fillId="36" borderId="0" xfId="8" applyFont="1" applyFill="1" applyAlignment="1">
      <alignment horizontal="right" vertical="center"/>
    </xf>
    <xf numFmtId="0" fontId="21" fillId="36" borderId="0" xfId="8" applyFont="1" applyFill="1" applyAlignment="1">
      <alignment vertical="center"/>
    </xf>
    <xf numFmtId="0" fontId="22" fillId="34" borderId="68" xfId="0" applyFont="1" applyFill="1" applyBorder="1" applyAlignment="1">
      <alignment horizontal="center" vertical="center"/>
    </xf>
    <xf numFmtId="0" fontId="24" fillId="13" borderId="68" xfId="0" applyFont="1" applyFill="1" applyBorder="1" applyAlignment="1">
      <alignment horizontal="left" vertical="center"/>
    </xf>
    <xf numFmtId="180" fontId="28" fillId="13" borderId="68" xfId="0" applyNumberFormat="1" applyFont="1" applyFill="1" applyBorder="1" applyAlignment="1">
      <alignment vertical="center"/>
    </xf>
    <xf numFmtId="0" fontId="48" fillId="5" borderId="6" xfId="0" applyFont="1" applyFill="1" applyBorder="1" applyAlignment="1">
      <alignment horizontal="center" vertical="center"/>
    </xf>
    <xf numFmtId="0" fontId="74" fillId="16" borderId="0" xfId="11" applyFont="1" applyFill="1" applyAlignment="1">
      <alignment horizontal="center" vertical="center"/>
    </xf>
    <xf numFmtId="0" fontId="74" fillId="16" borderId="94" xfId="11" applyFont="1" applyFill="1" applyBorder="1" applyAlignment="1">
      <alignment horizontal="center" vertical="center"/>
    </xf>
    <xf numFmtId="0" fontId="28" fillId="16" borderId="73" xfId="11" applyFont="1" applyFill="1" applyBorder="1" applyAlignment="1">
      <alignment horizontal="center" vertical="center"/>
    </xf>
    <xf numFmtId="0" fontId="74" fillId="16" borderId="73" xfId="11" applyFont="1" applyFill="1" applyBorder="1" applyAlignment="1">
      <alignment horizontal="center" vertical="center"/>
    </xf>
    <xf numFmtId="0" fontId="21" fillId="36" borderId="1" xfId="8" applyFont="1" applyFill="1" applyBorder="1" applyAlignment="1">
      <alignment vertical="center"/>
    </xf>
    <xf numFmtId="0" fontId="21" fillId="36" borderId="1" xfId="0" applyFont="1" applyFill="1" applyBorder="1" applyAlignment="1">
      <alignment vertical="center"/>
    </xf>
    <xf numFmtId="0" fontId="23" fillId="9" borderId="68" xfId="0" applyFont="1" applyFill="1" applyBorder="1" applyAlignment="1">
      <alignment vertical="center"/>
    </xf>
    <xf numFmtId="0" fontId="23" fillId="9" borderId="0" xfId="0" applyFont="1" applyFill="1" applyAlignment="1">
      <alignment vertical="center"/>
    </xf>
    <xf numFmtId="180" fontId="25" fillId="9" borderId="0" xfId="0" applyNumberFormat="1" applyFont="1" applyFill="1" applyAlignment="1">
      <alignment vertical="center"/>
    </xf>
    <xf numFmtId="180" fontId="25" fillId="9" borderId="105" xfId="0" applyNumberFormat="1" applyFont="1" applyFill="1" applyBorder="1" applyAlignment="1">
      <alignment vertical="center"/>
    </xf>
    <xf numFmtId="180" fontId="28" fillId="9" borderId="0" xfId="0" applyNumberFormat="1" applyFont="1" applyFill="1" applyAlignment="1">
      <alignment vertical="center"/>
    </xf>
    <xf numFmtId="0" fontId="24" fillId="9" borderId="0" xfId="0" applyFont="1" applyFill="1" applyAlignment="1">
      <alignment vertical="center"/>
    </xf>
    <xf numFmtId="0" fontId="24" fillId="9" borderId="73" xfId="0" applyFont="1" applyFill="1" applyBorder="1" applyAlignment="1">
      <alignment vertical="center"/>
    </xf>
    <xf numFmtId="196" fontId="28" fillId="9" borderId="73" xfId="2" applyNumberFormat="1" applyFont="1" applyFill="1" applyBorder="1" applyAlignment="1">
      <alignment vertical="center"/>
    </xf>
    <xf numFmtId="180" fontId="27" fillId="9" borderId="0" xfId="0" applyNumberFormat="1" applyFont="1" applyFill="1" applyAlignment="1">
      <alignment vertical="center"/>
    </xf>
    <xf numFmtId="0" fontId="45" fillId="9" borderId="0" xfId="0" applyFont="1" applyFill="1" applyAlignment="1">
      <alignment vertical="center"/>
    </xf>
    <xf numFmtId="49" fontId="23" fillId="9" borderId="68" xfId="0" applyNumberFormat="1" applyFont="1" applyFill="1" applyBorder="1" applyAlignment="1">
      <alignment horizontal="left" vertical="center"/>
    </xf>
    <xf numFmtId="180" fontId="27" fillId="9" borderId="68" xfId="0" applyNumberFormat="1" applyFont="1" applyFill="1" applyBorder="1" applyAlignment="1">
      <alignment vertical="center"/>
    </xf>
    <xf numFmtId="180" fontId="23" fillId="9" borderId="68" xfId="0" applyNumberFormat="1" applyFont="1" applyFill="1" applyBorder="1" applyAlignment="1">
      <alignment vertical="center"/>
    </xf>
    <xf numFmtId="180" fontId="29" fillId="9" borderId="68" xfId="0" applyNumberFormat="1" applyFont="1" applyFill="1" applyBorder="1" applyAlignment="1">
      <alignment vertical="center"/>
    </xf>
    <xf numFmtId="0" fontId="23" fillId="9" borderId="65" xfId="0" applyFont="1" applyFill="1" applyBorder="1" applyAlignment="1">
      <alignment horizontal="left" vertical="center"/>
    </xf>
    <xf numFmtId="0" fontId="23" fillId="9" borderId="0" xfId="0" applyFont="1" applyFill="1" applyAlignment="1">
      <alignment horizontal="left" vertical="center"/>
    </xf>
    <xf numFmtId="49" fontId="32" fillId="9" borderId="68" xfId="0" applyNumberFormat="1" applyFont="1" applyFill="1" applyBorder="1" applyAlignment="1">
      <alignment horizontal="left" vertical="center"/>
    </xf>
    <xf numFmtId="180" fontId="32" fillId="9" borderId="68" xfId="0" applyNumberFormat="1" applyFont="1" applyFill="1" applyBorder="1" applyAlignment="1">
      <alignment vertical="center"/>
    </xf>
    <xf numFmtId="0" fontId="24" fillId="9" borderId="0" xfId="0" applyFont="1" applyFill="1" applyAlignment="1">
      <alignment horizontal="left" vertical="center"/>
    </xf>
    <xf numFmtId="49" fontId="23" fillId="9" borderId="71" xfId="0" applyNumberFormat="1" applyFont="1" applyFill="1" applyBorder="1" applyAlignment="1">
      <alignment horizontal="left" vertical="center"/>
    </xf>
    <xf numFmtId="186" fontId="32" fillId="9" borderId="71" xfId="0" applyNumberFormat="1" applyFont="1" applyFill="1" applyBorder="1" applyAlignment="1">
      <alignment vertical="center"/>
    </xf>
    <xf numFmtId="186" fontId="27" fillId="9" borderId="71" xfId="0" applyNumberFormat="1" applyFont="1" applyFill="1" applyBorder="1" applyAlignment="1">
      <alignment vertical="center"/>
    </xf>
    <xf numFmtId="186" fontId="29" fillId="9" borderId="71" xfId="0" applyNumberFormat="1" applyFont="1" applyFill="1" applyBorder="1" applyAlignment="1">
      <alignment vertical="center"/>
    </xf>
    <xf numFmtId="198" fontId="29" fillId="9" borderId="71" xfId="0" applyNumberFormat="1" applyFont="1" applyFill="1" applyBorder="1" applyAlignment="1">
      <alignment vertical="center"/>
    </xf>
    <xf numFmtId="180" fontId="27" fillId="9" borderId="71" xfId="0" applyNumberFormat="1" applyFont="1" applyFill="1" applyBorder="1" applyAlignment="1">
      <alignment vertical="center"/>
    </xf>
    <xf numFmtId="180" fontId="29" fillId="9" borderId="71" xfId="0" applyNumberFormat="1" applyFont="1" applyFill="1" applyBorder="1" applyAlignment="1">
      <alignment vertical="center"/>
    </xf>
    <xf numFmtId="49" fontId="23" fillId="9" borderId="70" xfId="0" applyNumberFormat="1" applyFont="1" applyFill="1" applyBorder="1" applyAlignment="1">
      <alignment horizontal="left" vertical="center"/>
    </xf>
    <xf numFmtId="186" fontId="32" fillId="9" borderId="70" xfId="0" applyNumberFormat="1" applyFont="1" applyFill="1" applyBorder="1" applyAlignment="1">
      <alignment vertical="center"/>
    </xf>
    <xf numFmtId="186" fontId="27" fillId="9" borderId="70" xfId="0" applyNumberFormat="1" applyFont="1" applyFill="1" applyBorder="1" applyAlignment="1">
      <alignment vertical="center"/>
    </xf>
    <xf numFmtId="186" fontId="29" fillId="9" borderId="70" xfId="0" applyNumberFormat="1" applyFont="1" applyFill="1" applyBorder="1" applyAlignment="1">
      <alignment vertical="center"/>
    </xf>
    <xf numFmtId="198" fontId="29" fillId="9" borderId="70" xfId="0" applyNumberFormat="1" applyFont="1" applyFill="1" applyBorder="1" applyAlignment="1">
      <alignment vertical="center"/>
    </xf>
    <xf numFmtId="180" fontId="27" fillId="9" borderId="70" xfId="0" applyNumberFormat="1" applyFont="1" applyFill="1" applyBorder="1" applyAlignment="1">
      <alignment vertical="center"/>
    </xf>
    <xf numFmtId="180" fontId="29" fillId="9" borderId="70" xfId="0" applyNumberFormat="1" applyFont="1" applyFill="1" applyBorder="1" applyAlignment="1">
      <alignment vertical="center"/>
    </xf>
    <xf numFmtId="49" fontId="23" fillId="9" borderId="0" xfId="0" applyNumberFormat="1" applyFont="1" applyFill="1" applyAlignment="1">
      <alignment horizontal="left" vertical="center"/>
    </xf>
    <xf numFmtId="186" fontId="32" fillId="9" borderId="0" xfId="0" applyNumberFormat="1" applyFont="1" applyFill="1" applyAlignment="1">
      <alignment vertical="center"/>
    </xf>
    <xf numFmtId="186" fontId="27" fillId="9" borderId="0" xfId="0" applyNumberFormat="1" applyFont="1" applyFill="1" applyAlignment="1">
      <alignment vertical="center"/>
    </xf>
    <xf numFmtId="186" fontId="29" fillId="9" borderId="0" xfId="0" applyNumberFormat="1" applyFont="1" applyFill="1" applyAlignment="1">
      <alignment vertical="center"/>
    </xf>
    <xf numFmtId="198" fontId="29" fillId="9" borderId="0" xfId="0" applyNumberFormat="1" applyFont="1" applyFill="1" applyAlignment="1">
      <alignment vertical="center"/>
    </xf>
    <xf numFmtId="180" fontId="29" fillId="9" borderId="0" xfId="0" applyNumberFormat="1" applyFont="1" applyFill="1" applyAlignment="1">
      <alignment vertical="center"/>
    </xf>
    <xf numFmtId="0" fontId="24" fillId="9" borderId="69" xfId="0" applyFont="1" applyFill="1" applyBorder="1" applyAlignment="1">
      <alignment vertical="center"/>
    </xf>
    <xf numFmtId="186" fontId="28" fillId="9" borderId="69" xfId="0" applyNumberFormat="1" applyFont="1" applyFill="1" applyBorder="1" applyAlignment="1">
      <alignment vertical="center"/>
    </xf>
    <xf numFmtId="198" fontId="28" fillId="9" borderId="69" xfId="0" applyNumberFormat="1" applyFont="1" applyFill="1" applyBorder="1" applyAlignment="1">
      <alignment vertical="center"/>
    </xf>
    <xf numFmtId="180" fontId="28" fillId="9" borderId="69" xfId="0" applyNumberFormat="1" applyFont="1" applyFill="1" applyBorder="1" applyAlignment="1">
      <alignment vertical="center"/>
    </xf>
    <xf numFmtId="180" fontId="23" fillId="9" borderId="0" xfId="0" applyNumberFormat="1" applyFont="1" applyFill="1" applyAlignment="1">
      <alignment vertical="center"/>
    </xf>
    <xf numFmtId="180" fontId="28" fillId="9" borderId="105" xfId="0" applyNumberFormat="1" applyFont="1" applyFill="1" applyBorder="1" applyAlignment="1">
      <alignment vertical="center"/>
    </xf>
    <xf numFmtId="199" fontId="27" fillId="9" borderId="0" xfId="0" applyNumberFormat="1" applyFont="1" applyFill="1" applyAlignment="1">
      <alignment vertical="center"/>
    </xf>
    <xf numFmtId="49" fontId="24" fillId="9" borderId="14" xfId="0" quotePrefix="1" applyNumberFormat="1" applyFont="1" applyFill="1" applyBorder="1" applyAlignment="1">
      <alignment vertical="center"/>
    </xf>
    <xf numFmtId="180" fontId="28" fillId="9" borderId="14" xfId="0" applyNumberFormat="1" applyFont="1" applyFill="1" applyBorder="1" applyAlignment="1">
      <alignment vertical="center"/>
    </xf>
    <xf numFmtId="0" fontId="24" fillId="9" borderId="14" xfId="0" applyFont="1" applyFill="1" applyBorder="1" applyAlignment="1">
      <alignment vertical="center"/>
    </xf>
    <xf numFmtId="0" fontId="24" fillId="9" borderId="14" xfId="0" quotePrefix="1" applyFont="1" applyFill="1" applyBorder="1" applyAlignment="1">
      <alignment vertical="center"/>
    </xf>
    <xf numFmtId="200" fontId="27" fillId="9" borderId="0" xfId="0" applyNumberFormat="1" applyFont="1" applyFill="1" applyAlignment="1">
      <alignment vertical="center"/>
    </xf>
    <xf numFmtId="190" fontId="32" fillId="9" borderId="0" xfId="0" applyNumberFormat="1" applyFont="1" applyFill="1" applyAlignment="1">
      <alignment vertical="center"/>
    </xf>
    <xf numFmtId="200" fontId="29" fillId="9" borderId="0" xfId="0" applyNumberFormat="1" applyFont="1" applyFill="1" applyAlignment="1">
      <alignment vertical="center"/>
    </xf>
    <xf numFmtId="0" fontId="0" fillId="9" borderId="0" xfId="0" applyFill="1"/>
    <xf numFmtId="0" fontId="29" fillId="9" borderId="5" xfId="0" applyFont="1" applyFill="1" applyBorder="1" applyAlignment="1">
      <alignment horizontal="left" vertical="center"/>
    </xf>
    <xf numFmtId="201" fontId="27" fillId="9" borderId="5" xfId="1" applyNumberFormat="1" applyFont="1" applyFill="1" applyBorder="1" applyAlignment="1">
      <alignment horizontal="right" vertical="center"/>
    </xf>
    <xf numFmtId="201" fontId="27" fillId="9" borderId="0" xfId="1" applyNumberFormat="1" applyFont="1" applyFill="1" applyAlignment="1">
      <alignment horizontal="right" vertical="center"/>
    </xf>
    <xf numFmtId="201" fontId="29" fillId="9" borderId="5" xfId="1" applyNumberFormat="1" applyFont="1" applyFill="1" applyBorder="1" applyAlignment="1">
      <alignment horizontal="right" vertical="center"/>
    </xf>
    <xf numFmtId="0" fontId="29" fillId="9" borderId="7" xfId="0" applyFont="1" applyFill="1" applyBorder="1" applyAlignment="1">
      <alignment horizontal="left" vertical="center"/>
    </xf>
    <xf numFmtId="201" fontId="27" fillId="9" borderId="7" xfId="1" applyNumberFormat="1" applyFont="1" applyFill="1" applyBorder="1" applyAlignment="1">
      <alignment horizontal="right" vertical="center"/>
    </xf>
    <xf numFmtId="201" fontId="29" fillId="9" borderId="7" xfId="1" applyNumberFormat="1" applyFont="1" applyFill="1" applyBorder="1" applyAlignment="1">
      <alignment horizontal="right" vertical="center"/>
    </xf>
    <xf numFmtId="0" fontId="28" fillId="9" borderId="11" xfId="0" applyFont="1" applyFill="1" applyBorder="1" applyAlignment="1">
      <alignment horizontal="left" vertical="center"/>
    </xf>
    <xf numFmtId="201" fontId="28" fillId="9" borderId="11" xfId="1" applyNumberFormat="1" applyFont="1" applyFill="1" applyBorder="1" applyAlignment="1">
      <alignment horizontal="right" vertical="center"/>
    </xf>
    <xf numFmtId="0" fontId="28" fillId="9" borderId="12" xfId="0" applyFont="1" applyFill="1" applyBorder="1" applyAlignment="1">
      <alignment vertical="center"/>
    </xf>
    <xf numFmtId="201" fontId="28" fillId="9" borderId="12" xfId="0" applyNumberFormat="1" applyFont="1" applyFill="1" applyBorder="1" applyAlignment="1">
      <alignment horizontal="right" vertical="center"/>
    </xf>
    <xf numFmtId="0" fontId="28" fillId="9" borderId="0" xfId="0" applyFont="1" applyFill="1" applyAlignment="1">
      <alignment vertical="center"/>
    </xf>
    <xf numFmtId="0" fontId="28" fillId="9" borderId="73" xfId="0" applyFont="1" applyFill="1" applyBorder="1" applyAlignment="1">
      <alignment vertical="center"/>
    </xf>
    <xf numFmtId="198" fontId="27" fillId="9" borderId="0" xfId="0" applyNumberFormat="1" applyFont="1" applyFill="1" applyAlignment="1">
      <alignment horizontal="right" vertical="center"/>
    </xf>
    <xf numFmtId="0" fontId="38" fillId="9" borderId="0" xfId="0" applyFont="1" applyFill="1" applyAlignment="1">
      <alignment horizontal="right" vertical="center"/>
    </xf>
    <xf numFmtId="203" fontId="27" fillId="9" borderId="0" xfId="0" applyNumberFormat="1" applyFont="1" applyFill="1" applyAlignment="1">
      <alignment vertical="center"/>
    </xf>
    <xf numFmtId="203" fontId="29" fillId="9" borderId="0" xfId="0" applyNumberFormat="1" applyFont="1" applyFill="1" applyAlignment="1">
      <alignment vertical="center"/>
    </xf>
    <xf numFmtId="201" fontId="25" fillId="9" borderId="0" xfId="0" applyNumberFormat="1" applyFont="1" applyFill="1" applyAlignment="1">
      <alignment vertical="center"/>
    </xf>
    <xf numFmtId="201" fontId="27" fillId="9" borderId="0" xfId="0" applyNumberFormat="1" applyFont="1" applyFill="1" applyAlignment="1">
      <alignment vertical="center"/>
    </xf>
    <xf numFmtId="201" fontId="29" fillId="9" borderId="0" xfId="0" applyNumberFormat="1" applyFont="1" applyFill="1" applyAlignment="1">
      <alignment vertical="center"/>
    </xf>
    <xf numFmtId="0" fontId="40" fillId="9" borderId="0" xfId="0" applyFont="1" applyFill="1" applyAlignment="1">
      <alignment vertical="center"/>
    </xf>
    <xf numFmtId="0" fontId="2" fillId="9" borderId="0" xfId="0" applyFont="1" applyFill="1"/>
    <xf numFmtId="0" fontId="41" fillId="9" borderId="0" xfId="0" applyFont="1" applyFill="1" applyAlignment="1">
      <alignment vertical="center"/>
    </xf>
    <xf numFmtId="0" fontId="29" fillId="9" borderId="5" xfId="0" applyFont="1" applyFill="1" applyBorder="1" applyAlignment="1">
      <alignment vertical="center"/>
    </xf>
    <xf numFmtId="201" fontId="29" fillId="9" borderId="5" xfId="1" applyNumberFormat="1" applyFont="1" applyFill="1" applyBorder="1" applyAlignment="1">
      <alignment vertical="center"/>
    </xf>
    <xf numFmtId="164" fontId="32" fillId="9" borderId="5" xfId="0" applyNumberFormat="1" applyFont="1" applyFill="1" applyBorder="1" applyAlignment="1">
      <alignment horizontal="right" vertical="center"/>
    </xf>
    <xf numFmtId="0" fontId="43" fillId="9" borderId="0" xfId="0" applyFont="1" applyFill="1" applyAlignment="1">
      <alignment vertical="center"/>
    </xf>
    <xf numFmtId="164" fontId="32" fillId="9" borderId="7" xfId="1" applyNumberFormat="1" applyFont="1" applyFill="1" applyBorder="1" applyAlignment="1">
      <alignment horizontal="right" vertical="center"/>
    </xf>
    <xf numFmtId="0" fontId="29" fillId="9" borderId="7" xfId="0" applyFont="1" applyFill="1" applyBorder="1" applyAlignment="1">
      <alignment vertical="center"/>
    </xf>
    <xf numFmtId="164" fontId="32" fillId="9" borderId="7" xfId="1" applyNumberFormat="1" applyFont="1" applyFill="1" applyBorder="1" applyAlignment="1">
      <alignment vertical="center"/>
    </xf>
    <xf numFmtId="0" fontId="29" fillId="9" borderId="3" xfId="0" applyFont="1" applyFill="1" applyBorder="1" applyAlignment="1">
      <alignment horizontal="center" vertical="center"/>
    </xf>
    <xf numFmtId="164" fontId="32" fillId="9" borderId="3" xfId="0" applyNumberFormat="1" applyFont="1" applyFill="1" applyBorder="1" applyAlignment="1">
      <alignment horizontal="center" vertical="center"/>
    </xf>
    <xf numFmtId="164" fontId="29" fillId="9" borderId="3" xfId="0" applyNumberFormat="1" applyFont="1" applyFill="1" applyBorder="1" applyAlignment="1">
      <alignment horizontal="center" vertical="center"/>
    </xf>
    <xf numFmtId="201" fontId="32" fillId="9" borderId="7" xfId="1" applyNumberFormat="1" applyFont="1" applyFill="1" applyBorder="1" applyAlignment="1">
      <alignment horizontal="right" vertical="center"/>
    </xf>
    <xf numFmtId="198" fontId="32" fillId="9" borderId="7" xfId="2" applyNumberFormat="1" applyFont="1" applyFill="1" applyBorder="1" applyAlignment="1">
      <alignment horizontal="right" vertical="center"/>
    </xf>
    <xf numFmtId="164" fontId="29" fillId="9" borderId="7" xfId="0" applyNumberFormat="1" applyFont="1" applyFill="1" applyBorder="1" applyAlignment="1">
      <alignment horizontal="right" vertical="center"/>
    </xf>
    <xf numFmtId="164" fontId="29" fillId="9" borderId="7" xfId="1" applyNumberFormat="1" applyFont="1" applyFill="1" applyBorder="1" applyAlignment="1">
      <alignment horizontal="right" vertical="center"/>
    </xf>
    <xf numFmtId="198" fontId="32" fillId="9" borderId="0" xfId="0" applyNumberFormat="1" applyFont="1" applyFill="1" applyAlignment="1">
      <alignment horizontal="center" vertical="center"/>
    </xf>
    <xf numFmtId="165" fontId="43" fillId="9" borderId="0" xfId="0" applyNumberFormat="1" applyFont="1" applyFill="1" applyAlignment="1">
      <alignment horizontal="left" vertical="center"/>
    </xf>
    <xf numFmtId="0" fontId="44" fillId="9" borderId="57" xfId="0" applyFont="1" applyFill="1" applyBorder="1" applyAlignment="1">
      <alignment horizontal="center" vertical="center"/>
    </xf>
    <xf numFmtId="0" fontId="44" fillId="9" borderId="55" xfId="0" applyFont="1" applyFill="1" applyBorder="1" applyAlignment="1">
      <alignment horizontal="center" vertical="center"/>
    </xf>
    <xf numFmtId="201" fontId="29" fillId="9" borderId="55" xfId="0" applyNumberFormat="1" applyFont="1" applyFill="1" applyBorder="1" applyAlignment="1">
      <alignment horizontal="center" vertical="center"/>
    </xf>
    <xf numFmtId="201" fontId="29" fillId="9" borderId="60" xfId="0" applyNumberFormat="1" applyFont="1" applyFill="1" applyBorder="1" applyAlignment="1">
      <alignment horizontal="center" vertical="center"/>
    </xf>
    <xf numFmtId="0" fontId="38" fillId="9" borderId="7" xfId="0" applyFont="1" applyFill="1" applyBorder="1" applyAlignment="1">
      <alignment horizontal="left" vertical="center"/>
    </xf>
    <xf numFmtId="164" fontId="25" fillId="9" borderId="7" xfId="1" applyNumberFormat="1" applyFont="1" applyFill="1" applyBorder="1" applyAlignment="1">
      <alignment horizontal="center" vertical="center"/>
    </xf>
    <xf numFmtId="0" fontId="44" fillId="9" borderId="59" xfId="0" applyFont="1" applyFill="1" applyBorder="1" applyAlignment="1">
      <alignment horizontal="center" vertical="center"/>
    </xf>
    <xf numFmtId="0" fontId="44" fillId="9" borderId="56" xfId="0" applyFont="1" applyFill="1" applyBorder="1" applyAlignment="1">
      <alignment horizontal="center" vertical="center"/>
    </xf>
    <xf numFmtId="201" fontId="29" fillId="9" borderId="56" xfId="0" applyNumberFormat="1" applyFont="1" applyFill="1" applyBorder="1" applyAlignment="1">
      <alignment horizontal="center" vertical="center"/>
    </xf>
    <xf numFmtId="201" fontId="29" fillId="9" borderId="62" xfId="0" applyNumberFormat="1" applyFont="1" applyFill="1" applyBorder="1" applyAlignment="1">
      <alignment horizontal="center" vertical="center"/>
    </xf>
    <xf numFmtId="0" fontId="49" fillId="9" borderId="0" xfId="0" applyFont="1" applyFill="1" applyAlignment="1">
      <alignment vertical="center"/>
    </xf>
    <xf numFmtId="198" fontId="32" fillId="9" borderId="7" xfId="0" applyNumberFormat="1" applyFont="1" applyFill="1" applyBorder="1" applyAlignment="1">
      <alignment horizontal="right" vertical="center"/>
    </xf>
    <xf numFmtId="198" fontId="32" fillId="9" borderId="2" xfId="0" applyNumberFormat="1" applyFont="1" applyFill="1" applyBorder="1" applyAlignment="1">
      <alignment horizontal="right" vertical="center"/>
    </xf>
    <xf numFmtId="0" fontId="29" fillId="9" borderId="8" xfId="0" applyFont="1" applyFill="1" applyBorder="1" applyAlignment="1">
      <alignment horizontal="left" vertical="center"/>
    </xf>
    <xf numFmtId="198" fontId="29" fillId="9" borderId="4" xfId="0" applyNumberFormat="1" applyFont="1" applyFill="1" applyBorder="1" applyAlignment="1">
      <alignment horizontal="right" vertical="center"/>
    </xf>
    <xf numFmtId="166" fontId="29" fillId="9" borderId="0" xfId="0" applyNumberFormat="1" applyFont="1" applyFill="1" applyAlignment="1">
      <alignment horizontal="right" vertical="center"/>
    </xf>
    <xf numFmtId="0" fontId="29" fillId="9" borderId="0" xfId="0" applyFont="1" applyFill="1" applyAlignment="1">
      <alignment horizontal="center" vertical="center"/>
    </xf>
    <xf numFmtId="167" fontId="32" fillId="9" borderId="0" xfId="0" applyNumberFormat="1" applyFont="1" applyFill="1" applyAlignment="1">
      <alignment horizontal="right" vertical="center"/>
    </xf>
    <xf numFmtId="167" fontId="29" fillId="9" borderId="0" xfId="0" applyNumberFormat="1" applyFont="1" applyFill="1" applyAlignment="1">
      <alignment horizontal="right" vertical="center"/>
    </xf>
    <xf numFmtId="0" fontId="29" fillId="9" borderId="9" xfId="0" applyFont="1" applyFill="1" applyBorder="1" applyAlignment="1">
      <alignment vertical="center"/>
    </xf>
    <xf numFmtId="200" fontId="29" fillId="9" borderId="9" xfId="0" applyNumberFormat="1" applyFont="1" applyFill="1" applyBorder="1" applyAlignment="1">
      <alignment vertical="center"/>
    </xf>
    <xf numFmtId="166" fontId="41" fillId="9" borderId="9" xfId="0" applyNumberFormat="1" applyFont="1" applyFill="1" applyBorder="1" applyAlignment="1">
      <alignment vertical="center"/>
    </xf>
    <xf numFmtId="200" fontId="32" fillId="9" borderId="9" xfId="0" applyNumberFormat="1" applyFont="1" applyFill="1" applyBorder="1" applyAlignment="1">
      <alignment vertical="center"/>
    </xf>
    <xf numFmtId="203" fontId="32" fillId="9" borderId="0" xfId="0" applyNumberFormat="1" applyFont="1" applyFill="1" applyAlignment="1">
      <alignment horizontal="right" vertical="center"/>
    </xf>
    <xf numFmtId="168" fontId="32" fillId="9" borderId="0" xfId="0" applyNumberFormat="1" applyFont="1" applyFill="1" applyAlignment="1">
      <alignment horizontal="right" vertical="center"/>
    </xf>
    <xf numFmtId="0" fontId="37" fillId="9" borderId="0" xfId="0" applyFont="1" applyFill="1" applyAlignment="1">
      <alignment vertical="center"/>
    </xf>
    <xf numFmtId="203" fontId="44" fillId="9" borderId="0" xfId="0" applyNumberFormat="1" applyFont="1" applyFill="1" applyAlignment="1">
      <alignment horizontal="right" vertical="center"/>
    </xf>
    <xf numFmtId="201" fontId="32" fillId="9" borderId="0" xfId="1" applyNumberFormat="1" applyFont="1" applyFill="1" applyAlignment="1">
      <alignment vertical="center"/>
    </xf>
    <xf numFmtId="201" fontId="29" fillId="9" borderId="0" xfId="1" applyNumberFormat="1" applyFont="1" applyFill="1" applyAlignment="1">
      <alignment vertical="center"/>
    </xf>
    <xf numFmtId="205" fontId="29" fillId="9" borderId="0" xfId="0" applyNumberFormat="1" applyFont="1" applyFill="1" applyAlignment="1">
      <alignment vertical="center"/>
    </xf>
    <xf numFmtId="205" fontId="32" fillId="9" borderId="0" xfId="0" applyNumberFormat="1" applyFont="1" applyFill="1" applyAlignment="1">
      <alignment vertical="center"/>
    </xf>
    <xf numFmtId="177" fontId="23" fillId="9" borderId="0" xfId="1" applyNumberFormat="1" applyFont="1" applyFill="1" applyAlignment="1">
      <alignment vertical="center"/>
    </xf>
    <xf numFmtId="169" fontId="41" fillId="9" borderId="0" xfId="0" applyNumberFormat="1" applyFont="1" applyFill="1" applyAlignment="1">
      <alignment vertical="center"/>
    </xf>
    <xf numFmtId="205" fontId="28" fillId="9" borderId="73" xfId="0" applyNumberFormat="1" applyFont="1" applyFill="1" applyBorder="1" applyAlignment="1">
      <alignment vertical="center"/>
    </xf>
    <xf numFmtId="0" fontId="42" fillId="9" borderId="73" xfId="0" applyFont="1" applyFill="1" applyBorder="1" applyAlignment="1">
      <alignment horizontal="center" vertical="center"/>
    </xf>
    <xf numFmtId="0" fontId="28" fillId="9" borderId="73" xfId="0" applyFont="1" applyFill="1" applyBorder="1" applyAlignment="1">
      <alignment horizontal="center" vertical="center"/>
    </xf>
    <xf numFmtId="200" fontId="32" fillId="9" borderId="0" xfId="0" applyNumberFormat="1" applyFont="1" applyFill="1" applyAlignment="1">
      <alignment horizontal="center" vertical="center"/>
    </xf>
    <xf numFmtId="0" fontId="32" fillId="9" borderId="0" xfId="0" applyFont="1" applyFill="1" applyAlignment="1">
      <alignment vertical="center"/>
    </xf>
    <xf numFmtId="201" fontId="32" fillId="9" borderId="0" xfId="0" applyNumberFormat="1" applyFont="1" applyFill="1" applyAlignment="1">
      <alignment horizontal="center" vertical="center"/>
    </xf>
    <xf numFmtId="201" fontId="46" fillId="9" borderId="0" xfId="0" applyNumberFormat="1" applyFont="1" applyFill="1" applyAlignment="1">
      <alignment vertical="center"/>
    </xf>
    <xf numFmtId="201" fontId="28" fillId="9" borderId="0" xfId="0" applyNumberFormat="1" applyFont="1" applyFill="1" applyAlignment="1">
      <alignment vertical="center"/>
    </xf>
    <xf numFmtId="3" fontId="28" fillId="9" borderId="0" xfId="0" applyNumberFormat="1" applyFont="1" applyFill="1" applyAlignment="1">
      <alignment vertical="center"/>
    </xf>
    <xf numFmtId="0" fontId="68" fillId="9" borderId="0" xfId="0" applyFont="1" applyFill="1" applyAlignment="1">
      <alignment vertical="center"/>
    </xf>
    <xf numFmtId="3" fontId="68" fillId="9" borderId="0" xfId="0" applyNumberFormat="1" applyFont="1" applyFill="1" applyAlignment="1">
      <alignment vertical="center"/>
    </xf>
    <xf numFmtId="0" fontId="24" fillId="9" borderId="36" xfId="0" applyFont="1" applyFill="1" applyBorder="1" applyAlignment="1">
      <alignment vertical="center"/>
    </xf>
    <xf numFmtId="0" fontId="24" fillId="9" borderId="66" xfId="0" applyFont="1" applyFill="1" applyBorder="1" applyAlignment="1">
      <alignment vertical="center"/>
    </xf>
    <xf numFmtId="0" fontId="24" fillId="9" borderId="16" xfId="0" applyFont="1" applyFill="1" applyBorder="1" applyAlignment="1">
      <alignment vertical="center"/>
    </xf>
    <xf numFmtId="173" fontId="29" fillId="9" borderId="0" xfId="0" applyNumberFormat="1" applyFont="1" applyFill="1" applyAlignment="1">
      <alignment vertical="center"/>
    </xf>
    <xf numFmtId="173" fontId="28" fillId="9" borderId="74" xfId="0" applyNumberFormat="1" applyFont="1" applyFill="1" applyBorder="1" applyAlignment="1">
      <alignment vertical="center"/>
    </xf>
    <xf numFmtId="0" fontId="24" fillId="9" borderId="74" xfId="0" applyFont="1" applyFill="1" applyBorder="1" applyAlignment="1">
      <alignment vertical="center"/>
    </xf>
    <xf numFmtId="173" fontId="28" fillId="9" borderId="120" xfId="0" applyNumberFormat="1" applyFont="1" applyFill="1" applyBorder="1" applyAlignment="1">
      <alignment vertical="center"/>
    </xf>
    <xf numFmtId="0" fontId="24" fillId="9" borderId="120" xfId="0" applyFont="1" applyFill="1" applyBorder="1" applyAlignment="1">
      <alignment vertical="center"/>
    </xf>
    <xf numFmtId="173" fontId="23" fillId="9" borderId="0" xfId="0" applyNumberFormat="1" applyFont="1" applyFill="1" applyAlignment="1">
      <alignment vertical="center"/>
    </xf>
    <xf numFmtId="181" fontId="23" fillId="9" borderId="0" xfId="0" applyNumberFormat="1" applyFont="1" applyFill="1" applyAlignment="1">
      <alignment vertical="center"/>
    </xf>
    <xf numFmtId="173" fontId="32" fillId="9" borderId="0" xfId="0" applyNumberFormat="1" applyFont="1" applyFill="1" applyAlignment="1">
      <alignment vertical="center"/>
    </xf>
    <xf numFmtId="173" fontId="28" fillId="9" borderId="81" xfId="0" applyNumberFormat="1" applyFont="1" applyFill="1" applyBorder="1" applyAlignment="1">
      <alignment vertical="center"/>
    </xf>
    <xf numFmtId="173" fontId="24" fillId="9" borderId="81" xfId="0" applyNumberFormat="1" applyFont="1" applyFill="1" applyBorder="1" applyAlignment="1">
      <alignment vertical="center"/>
    </xf>
    <xf numFmtId="0" fontId="24" fillId="9" borderId="81" xfId="0" applyFont="1" applyFill="1" applyBorder="1" applyAlignment="1">
      <alignment vertical="center"/>
    </xf>
    <xf numFmtId="173" fontId="29" fillId="9" borderId="34" xfId="0" applyNumberFormat="1" applyFont="1" applyFill="1" applyBorder="1" applyAlignment="1">
      <alignment horizontal="right" vertical="center"/>
    </xf>
    <xf numFmtId="173" fontId="29" fillId="9" borderId="37" xfId="0" applyNumberFormat="1" applyFont="1" applyFill="1" applyBorder="1" applyAlignment="1">
      <alignment horizontal="right" vertical="center"/>
    </xf>
    <xf numFmtId="173" fontId="32" fillId="9" borderId="34" xfId="0" applyNumberFormat="1" applyFont="1" applyFill="1" applyBorder="1" applyAlignment="1">
      <alignment horizontal="right" vertical="center"/>
    </xf>
    <xf numFmtId="173" fontId="32" fillId="9" borderId="37" xfId="0" applyNumberFormat="1" applyFont="1" applyFill="1" applyBorder="1" applyAlignment="1">
      <alignment horizontal="right" vertical="center"/>
    </xf>
    <xf numFmtId="173" fontId="32" fillId="9" borderId="38" xfId="0" applyNumberFormat="1" applyFont="1" applyFill="1" applyBorder="1" applyAlignment="1">
      <alignment horizontal="right" vertical="center"/>
    </xf>
    <xf numFmtId="173" fontId="32" fillId="9" borderId="30" xfId="0" applyNumberFormat="1" applyFont="1" applyFill="1" applyBorder="1" applyAlignment="1">
      <alignment horizontal="right" vertical="center"/>
    </xf>
    <xf numFmtId="173" fontId="29" fillId="9" borderId="30" xfId="0" applyNumberFormat="1" applyFont="1" applyFill="1" applyBorder="1" applyAlignment="1">
      <alignment horizontal="right" vertical="center"/>
    </xf>
    <xf numFmtId="181" fontId="29" fillId="9" borderId="30" xfId="0" applyNumberFormat="1" applyFont="1" applyFill="1" applyBorder="1" applyAlignment="1">
      <alignment horizontal="right" vertical="center"/>
    </xf>
    <xf numFmtId="173" fontId="27" fillId="9" borderId="38" xfId="0" applyNumberFormat="1" applyFont="1" applyFill="1" applyBorder="1" applyAlignment="1">
      <alignment horizontal="right" vertical="center"/>
    </xf>
    <xf numFmtId="173" fontId="27" fillId="9" borderId="42" xfId="0" applyNumberFormat="1" applyFont="1" applyFill="1" applyBorder="1" applyAlignment="1">
      <alignment horizontal="right" vertical="center"/>
    </xf>
    <xf numFmtId="173" fontId="27" fillId="9" borderId="43" xfId="0" applyNumberFormat="1" applyFont="1" applyFill="1" applyBorder="1" applyAlignment="1">
      <alignment horizontal="right" vertical="center"/>
    </xf>
    <xf numFmtId="173" fontId="29" fillId="9" borderId="27" xfId="0" applyNumberFormat="1" applyFont="1" applyFill="1" applyBorder="1" applyAlignment="1">
      <alignment horizontal="right" vertical="center"/>
    </xf>
    <xf numFmtId="173" fontId="29" fillId="9" borderId="41" xfId="0" applyNumberFormat="1" applyFont="1" applyFill="1" applyBorder="1" applyAlignment="1">
      <alignment horizontal="right" vertical="center"/>
    </xf>
    <xf numFmtId="173" fontId="29" fillId="9" borderId="39" xfId="0" applyNumberFormat="1" applyFont="1" applyFill="1" applyBorder="1" applyAlignment="1">
      <alignment horizontal="right" vertical="center"/>
    </xf>
    <xf numFmtId="173" fontId="29" fillId="9" borderId="35" xfId="0" applyNumberFormat="1" applyFont="1" applyFill="1" applyBorder="1" applyAlignment="1">
      <alignment horizontal="right" vertical="center"/>
    </xf>
    <xf numFmtId="173" fontId="29" fillId="9" borderId="45" xfId="0" applyNumberFormat="1" applyFont="1" applyFill="1" applyBorder="1" applyAlignment="1">
      <alignment horizontal="right" vertical="center"/>
    </xf>
    <xf numFmtId="173" fontId="32" fillId="9" borderId="24" xfId="0" applyNumberFormat="1" applyFont="1" applyFill="1" applyBorder="1" applyAlignment="1">
      <alignment horizontal="right" vertical="center"/>
    </xf>
    <xf numFmtId="173" fontId="32" fillId="9" borderId="46" xfId="0" applyNumberFormat="1" applyFont="1" applyFill="1" applyBorder="1" applyAlignment="1">
      <alignment horizontal="right" vertical="center"/>
    </xf>
    <xf numFmtId="173" fontId="29" fillId="9" borderId="28" xfId="0" applyNumberFormat="1" applyFont="1" applyFill="1" applyBorder="1" applyAlignment="1">
      <alignment horizontal="right" vertical="center"/>
    </xf>
    <xf numFmtId="173" fontId="29" fillId="9" borderId="44" xfId="0" applyNumberFormat="1" applyFont="1" applyFill="1" applyBorder="1" applyAlignment="1">
      <alignment horizontal="right" vertical="center"/>
    </xf>
    <xf numFmtId="203" fontId="32" fillId="9" borderId="0" xfId="0" applyNumberFormat="1" applyFont="1" applyFill="1" applyAlignment="1">
      <alignment vertical="center"/>
    </xf>
    <xf numFmtId="0" fontId="64" fillId="9" borderId="0" xfId="7" applyNumberFormat="1" applyFont="1" applyFill="1" applyAlignment="1">
      <alignment vertical="center"/>
    </xf>
    <xf numFmtId="173" fontId="27" fillId="9" borderId="0" xfId="0" applyNumberFormat="1" applyFont="1" applyFill="1" applyAlignment="1">
      <alignment vertical="center"/>
    </xf>
    <xf numFmtId="173" fontId="28" fillId="9" borderId="0" xfId="0" applyNumberFormat="1" applyFont="1" applyFill="1" applyAlignment="1">
      <alignment vertical="center"/>
    </xf>
    <xf numFmtId="173" fontId="46" fillId="9" borderId="0" xfId="0" applyNumberFormat="1" applyFont="1" applyFill="1" applyAlignment="1">
      <alignment vertical="center"/>
    </xf>
    <xf numFmtId="0" fontId="66" fillId="9" borderId="0" xfId="0" applyFont="1" applyFill="1" applyAlignment="1">
      <alignment vertical="center"/>
    </xf>
    <xf numFmtId="9" fontId="32" fillId="9" borderId="0" xfId="0" applyNumberFormat="1" applyFont="1" applyFill="1" applyAlignment="1">
      <alignment vertical="center"/>
    </xf>
    <xf numFmtId="201" fontId="44" fillId="9" borderId="0" xfId="0" applyNumberFormat="1" applyFont="1" applyFill="1" applyAlignment="1">
      <alignment vertical="center"/>
    </xf>
    <xf numFmtId="173" fontId="24" fillId="9" borderId="0" xfId="0" applyNumberFormat="1" applyFont="1" applyFill="1" applyAlignment="1">
      <alignment vertical="center"/>
    </xf>
    <xf numFmtId="179" fontId="32" fillId="9" borderId="0" xfId="0" applyNumberFormat="1" applyFont="1" applyFill="1" applyAlignment="1">
      <alignment vertical="center"/>
    </xf>
    <xf numFmtId="0" fontId="69" fillId="9" borderId="0" xfId="0" applyFont="1" applyFill="1" applyAlignment="1">
      <alignment vertical="center"/>
    </xf>
    <xf numFmtId="0" fontId="26" fillId="9" borderId="0" xfId="0" applyFont="1" applyFill="1" applyAlignment="1">
      <alignment horizontal="right" vertical="center"/>
    </xf>
    <xf numFmtId="201" fontId="46" fillId="9" borderId="0" xfId="0" applyNumberFormat="1" applyFont="1" applyFill="1" applyAlignment="1">
      <alignment horizontal="right" vertical="center"/>
    </xf>
    <xf numFmtId="0" fontId="23" fillId="9" borderId="64" xfId="0" applyFont="1" applyFill="1" applyBorder="1" applyAlignment="1">
      <alignment vertical="center"/>
    </xf>
    <xf numFmtId="178" fontId="24" fillId="9" borderId="0" xfId="0" applyNumberFormat="1" applyFont="1" applyFill="1" applyAlignment="1">
      <alignment vertical="center"/>
    </xf>
    <xf numFmtId="198" fontId="29" fillId="9" borderId="0" xfId="2" applyNumberFormat="1" applyFont="1" applyFill="1" applyAlignment="1">
      <alignment vertical="center"/>
    </xf>
    <xf numFmtId="203" fontId="28" fillId="9" borderId="0" xfId="0" applyNumberFormat="1" applyFont="1" applyFill="1" applyAlignment="1">
      <alignment vertical="center"/>
    </xf>
    <xf numFmtId="203" fontId="25" fillId="9" borderId="0" xfId="0" applyNumberFormat="1" applyFont="1" applyFill="1" applyAlignment="1">
      <alignment vertical="center"/>
    </xf>
    <xf numFmtId="0" fontId="71" fillId="9" borderId="0" xfId="0" applyFont="1" applyFill="1" applyAlignment="1">
      <alignment vertical="center"/>
    </xf>
    <xf numFmtId="198" fontId="62" fillId="9" borderId="0" xfId="0" applyNumberFormat="1" applyFont="1" applyFill="1" applyAlignment="1">
      <alignment vertical="center"/>
    </xf>
    <xf numFmtId="171" fontId="23" fillId="9" borderId="0" xfId="0" applyNumberFormat="1" applyFont="1" applyFill="1" applyAlignment="1">
      <alignment vertical="center"/>
    </xf>
    <xf numFmtId="198" fontId="28" fillId="9" borderId="0" xfId="0" applyNumberFormat="1" applyFont="1" applyFill="1" applyAlignment="1">
      <alignment vertical="center"/>
    </xf>
    <xf numFmtId="182" fontId="23" fillId="9" borderId="0" xfId="0" applyNumberFormat="1" applyFont="1" applyFill="1" applyAlignment="1">
      <alignment vertical="center"/>
    </xf>
    <xf numFmtId="182" fontId="45" fillId="9" borderId="0" xfId="0" applyNumberFormat="1" applyFont="1" applyFill="1" applyAlignment="1">
      <alignment vertical="center"/>
    </xf>
    <xf numFmtId="0" fontId="26" fillId="9" borderId="0" xfId="0" applyFont="1" applyFill="1" applyAlignment="1">
      <alignment vertical="center"/>
    </xf>
    <xf numFmtId="171" fontId="26" fillId="9" borderId="0" xfId="0" applyNumberFormat="1" applyFont="1" applyFill="1" applyAlignment="1">
      <alignment vertical="center"/>
    </xf>
    <xf numFmtId="171" fontId="26" fillId="9" borderId="0" xfId="0" applyNumberFormat="1" applyFont="1" applyFill="1" applyAlignment="1">
      <alignment horizontal="right" vertical="center"/>
    </xf>
    <xf numFmtId="201" fontId="61" fillId="9" borderId="0" xfId="0" applyNumberFormat="1" applyFont="1" applyFill="1" applyAlignment="1">
      <alignment horizontal="right" vertical="center"/>
    </xf>
    <xf numFmtId="0" fontId="26" fillId="9" borderId="63" xfId="0" applyFont="1" applyFill="1" applyBorder="1" applyAlignment="1">
      <alignment vertical="center"/>
    </xf>
    <xf numFmtId="203" fontId="60" fillId="9" borderId="63" xfId="0" applyNumberFormat="1" applyFont="1" applyFill="1" applyBorder="1" applyAlignment="1">
      <alignment vertical="center"/>
    </xf>
    <xf numFmtId="0" fontId="26" fillId="9" borderId="67" xfId="0" applyFont="1" applyFill="1" applyBorder="1" applyAlignment="1">
      <alignment vertical="center"/>
    </xf>
    <xf numFmtId="203" fontId="60" fillId="9" borderId="67" xfId="0" applyNumberFormat="1" applyFont="1" applyFill="1" applyBorder="1" applyAlignment="1">
      <alignment vertical="center"/>
    </xf>
    <xf numFmtId="203" fontId="60" fillId="9" borderId="0" xfId="0" applyNumberFormat="1" applyFont="1" applyFill="1" applyAlignment="1">
      <alignment vertical="center"/>
    </xf>
    <xf numFmtId="203" fontId="46" fillId="9" borderId="0" xfId="0" applyNumberFormat="1" applyFont="1" applyFill="1" applyAlignment="1">
      <alignment vertical="center"/>
    </xf>
    <xf numFmtId="178" fontId="23" fillId="9" borderId="0" xfId="0" applyNumberFormat="1" applyFont="1" applyFill="1" applyAlignment="1">
      <alignment vertical="center"/>
    </xf>
    <xf numFmtId="182" fontId="24" fillId="9" borderId="0" xfId="0" applyNumberFormat="1" applyFont="1" applyFill="1" applyAlignment="1">
      <alignment vertical="center"/>
    </xf>
    <xf numFmtId="182" fontId="68" fillId="9" borderId="0" xfId="0" applyNumberFormat="1" applyFont="1" applyFill="1" applyAlignment="1">
      <alignment vertical="center"/>
    </xf>
    <xf numFmtId="0" fontId="73" fillId="9" borderId="0" xfId="0" applyFont="1" applyFill="1" applyAlignment="1">
      <alignment vertical="center"/>
    </xf>
    <xf numFmtId="203" fontId="62" fillId="9" borderId="0" xfId="0" applyNumberFormat="1" applyFont="1" applyFill="1" applyAlignment="1">
      <alignment vertical="center"/>
    </xf>
    <xf numFmtId="201" fontId="32" fillId="9" borderId="110" xfId="0" applyNumberFormat="1" applyFont="1" applyFill="1" applyBorder="1" applyAlignment="1">
      <alignment vertical="center"/>
    </xf>
    <xf numFmtId="0" fontId="23" fillId="9" borderId="110" xfId="0" applyFont="1" applyFill="1" applyBorder="1" applyAlignment="1">
      <alignment vertical="center"/>
    </xf>
    <xf numFmtId="189" fontId="25" fillId="9" borderId="73" xfId="0" applyNumberFormat="1" applyFont="1" applyFill="1" applyBorder="1" applyAlignment="1">
      <alignment vertical="center"/>
    </xf>
    <xf numFmtId="189" fontId="25" fillId="9" borderId="112" xfId="0" applyNumberFormat="1" applyFont="1" applyFill="1" applyBorder="1" applyAlignment="1">
      <alignment vertical="center"/>
    </xf>
    <xf numFmtId="189" fontId="28" fillId="9" borderId="73" xfId="0" applyNumberFormat="1" applyFont="1" applyFill="1" applyBorder="1" applyAlignment="1">
      <alignment vertical="center"/>
    </xf>
    <xf numFmtId="0" fontId="24" fillId="9" borderId="76" xfId="0" applyFont="1" applyFill="1" applyBorder="1" applyAlignment="1">
      <alignment vertical="center"/>
    </xf>
    <xf numFmtId="189" fontId="28" fillId="9" borderId="76" xfId="0" applyNumberFormat="1" applyFont="1" applyFill="1" applyBorder="1" applyAlignment="1">
      <alignment vertical="center"/>
    </xf>
    <xf numFmtId="189" fontId="28" fillId="9" borderId="113" xfId="0" applyNumberFormat="1" applyFont="1" applyFill="1" applyBorder="1" applyAlignment="1">
      <alignment vertical="center"/>
    </xf>
    <xf numFmtId="189" fontId="27" fillId="9" borderId="0" xfId="0" applyNumberFormat="1" applyFont="1" applyFill="1" applyAlignment="1">
      <alignment vertical="center"/>
    </xf>
    <xf numFmtId="189" fontId="27" fillId="9" borderId="110" xfId="0" applyNumberFormat="1" applyFont="1" applyFill="1" applyBorder="1" applyAlignment="1">
      <alignment vertical="center"/>
    </xf>
    <xf numFmtId="189" fontId="28" fillId="9" borderId="0" xfId="0" applyNumberFormat="1" applyFont="1" applyFill="1" applyAlignment="1">
      <alignment vertical="center"/>
    </xf>
    <xf numFmtId="189" fontId="29" fillId="9" borderId="0" xfId="0" applyNumberFormat="1" applyFont="1" applyFill="1" applyAlignment="1">
      <alignment vertical="center"/>
    </xf>
    <xf numFmtId="189" fontId="29" fillId="9" borderId="110" xfId="0" applyNumberFormat="1" applyFont="1" applyFill="1" applyBorder="1" applyAlignment="1">
      <alignment vertical="center"/>
    </xf>
    <xf numFmtId="0" fontId="78" fillId="9" borderId="0" xfId="0" applyFont="1" applyFill="1" applyAlignment="1">
      <alignment vertical="center"/>
    </xf>
    <xf numFmtId="0" fontId="33" fillId="9" borderId="0" xfId="0" applyFont="1" applyFill="1" applyAlignment="1">
      <alignment vertical="center"/>
    </xf>
    <xf numFmtId="0" fontId="24" fillId="9" borderId="82" xfId="0" applyFont="1" applyFill="1" applyBorder="1" applyAlignment="1">
      <alignment vertical="center"/>
    </xf>
    <xf numFmtId="199" fontId="32" fillId="9" borderId="82" xfId="1" applyNumberFormat="1" applyFont="1" applyFill="1" applyBorder="1" applyAlignment="1">
      <alignment vertical="center"/>
    </xf>
    <xf numFmtId="199" fontId="29" fillId="9" borderId="82" xfId="1" applyNumberFormat="1" applyFont="1" applyFill="1" applyBorder="1" applyAlignment="1">
      <alignment vertical="center"/>
    </xf>
    <xf numFmtId="0" fontId="23" fillId="9" borderId="0" xfId="11" applyFont="1" applyFill="1" applyAlignment="1">
      <alignment vertical="center"/>
    </xf>
    <xf numFmtId="0" fontId="24" fillId="9" borderId="0" xfId="11" applyFont="1" applyFill="1" applyAlignment="1">
      <alignment horizontal="center" vertical="center"/>
    </xf>
    <xf numFmtId="0" fontId="29" fillId="9" borderId="98" xfId="11" applyFont="1" applyFill="1" applyBorder="1" applyAlignment="1">
      <alignment horizontal="right" vertical="center"/>
    </xf>
    <xf numFmtId="0" fontId="28" fillId="9" borderId="0" xfId="11" applyFont="1" applyFill="1" applyAlignment="1">
      <alignment horizontal="right" vertical="center"/>
    </xf>
    <xf numFmtId="192" fontId="29" fillId="9" borderId="0" xfId="11" applyNumberFormat="1" applyFont="1" applyFill="1" applyAlignment="1">
      <alignment horizontal="right" vertical="center"/>
    </xf>
    <xf numFmtId="0" fontId="28" fillId="9" borderId="0" xfId="11" applyFont="1" applyFill="1" applyAlignment="1">
      <alignment vertical="center"/>
    </xf>
    <xf numFmtId="201" fontId="32" fillId="9" borderId="100" xfId="11" applyNumberFormat="1" applyFont="1" applyFill="1" applyBorder="1" applyAlignment="1">
      <alignment horizontal="left" vertical="center"/>
    </xf>
    <xf numFmtId="0" fontId="23" fillId="9" borderId="100" xfId="11" applyFont="1" applyFill="1" applyBorder="1" applyAlignment="1">
      <alignment horizontal="left" vertical="center"/>
    </xf>
    <xf numFmtId="193" fontId="32" fillId="9" borderId="101" xfId="11" applyNumberFormat="1" applyFont="1" applyFill="1" applyBorder="1" applyAlignment="1">
      <alignment horizontal="right" vertical="center"/>
    </xf>
    <xf numFmtId="193" fontId="29" fillId="9" borderId="100" xfId="11" applyNumberFormat="1" applyFont="1" applyFill="1" applyBorder="1" applyAlignment="1">
      <alignment horizontal="right" vertical="center"/>
    </xf>
    <xf numFmtId="193" fontId="32" fillId="9" borderId="100" xfId="11" applyNumberFormat="1" applyFont="1" applyFill="1" applyBorder="1" applyAlignment="1">
      <alignment horizontal="right" vertical="center"/>
    </xf>
    <xf numFmtId="193" fontId="23" fillId="9" borderId="100" xfId="11" applyNumberFormat="1" applyFont="1" applyFill="1" applyBorder="1" applyAlignment="1">
      <alignment horizontal="right" vertical="center"/>
    </xf>
    <xf numFmtId="201" fontId="32" fillId="9" borderId="0" xfId="11" applyNumberFormat="1" applyFont="1" applyFill="1" applyAlignment="1">
      <alignment horizontal="left" vertical="center"/>
    </xf>
    <xf numFmtId="0" fontId="23" fillId="9" borderId="0" xfId="11" applyFont="1" applyFill="1" applyAlignment="1">
      <alignment horizontal="left" vertical="center"/>
    </xf>
    <xf numFmtId="193" fontId="23" fillId="9" borderId="98" xfId="11" applyNumberFormat="1" applyFont="1" applyFill="1" applyBorder="1" applyAlignment="1">
      <alignment horizontal="right" vertical="center"/>
    </xf>
    <xf numFmtId="193" fontId="29" fillId="9" borderId="0" xfId="11" applyNumberFormat="1" applyFont="1" applyFill="1" applyAlignment="1">
      <alignment horizontal="right" vertical="center"/>
    </xf>
    <xf numFmtId="193" fontId="32" fillId="9" borderId="0" xfId="11" applyNumberFormat="1" applyFont="1" applyFill="1" applyAlignment="1">
      <alignment horizontal="right" vertical="center"/>
    </xf>
    <xf numFmtId="193" fontId="23" fillId="9" borderId="0" xfId="11" applyNumberFormat="1" applyFont="1" applyFill="1" applyAlignment="1">
      <alignment horizontal="right" vertical="center"/>
    </xf>
    <xf numFmtId="200" fontId="32" fillId="9" borderId="100" xfId="11" applyNumberFormat="1" applyFont="1" applyFill="1" applyBorder="1" applyAlignment="1">
      <alignment horizontal="left" vertical="center"/>
    </xf>
    <xf numFmtId="193" fontId="23" fillId="9" borderId="101" xfId="11" applyNumberFormat="1" applyFont="1" applyFill="1" applyBorder="1" applyAlignment="1">
      <alignment horizontal="right" vertical="center"/>
    </xf>
    <xf numFmtId="200" fontId="32" fillId="9" borderId="0" xfId="11" applyNumberFormat="1" applyFont="1" applyFill="1" applyAlignment="1">
      <alignment horizontal="left" vertical="center"/>
    </xf>
    <xf numFmtId="193" fontId="29" fillId="9" borderId="98" xfId="11" applyNumberFormat="1" applyFont="1" applyFill="1" applyBorder="1" applyAlignment="1">
      <alignment horizontal="right" vertical="center"/>
    </xf>
    <xf numFmtId="0" fontId="29" fillId="9" borderId="100" xfId="11" applyFont="1" applyFill="1" applyBorder="1" applyAlignment="1">
      <alignment horizontal="left" vertical="center"/>
    </xf>
    <xf numFmtId="0" fontId="28" fillId="9" borderId="103" xfId="11" applyFont="1" applyFill="1" applyBorder="1" applyAlignment="1">
      <alignment horizontal="left" vertical="center"/>
    </xf>
    <xf numFmtId="193" fontId="28" fillId="9" borderId="104" xfId="11" applyNumberFormat="1" applyFont="1" applyFill="1" applyBorder="1" applyAlignment="1">
      <alignment horizontal="right" vertical="center"/>
    </xf>
    <xf numFmtId="193" fontId="28" fillId="9" borderId="103" xfId="11" applyNumberFormat="1" applyFont="1" applyFill="1" applyBorder="1" applyAlignment="1">
      <alignment horizontal="right" vertical="center"/>
    </xf>
    <xf numFmtId="0" fontId="29" fillId="9" borderId="0" xfId="11" applyFont="1" applyFill="1" applyAlignment="1">
      <alignment vertical="center"/>
    </xf>
    <xf numFmtId="0" fontId="45" fillId="9" borderId="0" xfId="11" applyFont="1" applyFill="1" applyAlignment="1">
      <alignment vertical="center"/>
    </xf>
    <xf numFmtId="196" fontId="29" fillId="9" borderId="0" xfId="2" applyNumberFormat="1" applyFont="1" applyFill="1" applyAlignment="1">
      <alignment vertical="center"/>
    </xf>
    <xf numFmtId="0" fontId="28" fillId="9" borderId="73" xfId="11" applyFont="1" applyFill="1" applyBorder="1" applyAlignment="1">
      <alignment vertical="center"/>
    </xf>
    <xf numFmtId="195" fontId="29" fillId="9" borderId="0" xfId="11" applyNumberFormat="1" applyFont="1" applyFill="1" applyAlignment="1">
      <alignment vertical="center"/>
    </xf>
    <xf numFmtId="201" fontId="32" fillId="9" borderId="0" xfId="11" applyNumberFormat="1" applyFont="1" applyFill="1" applyAlignment="1">
      <alignment vertical="center"/>
    </xf>
    <xf numFmtId="201" fontId="29" fillId="9" borderId="0" xfId="11" applyNumberFormat="1" applyFont="1" applyFill="1" applyAlignment="1">
      <alignment vertical="center"/>
    </xf>
    <xf numFmtId="200" fontId="29" fillId="9" borderId="0" xfId="11" applyNumberFormat="1" applyFont="1" applyFill="1" applyAlignment="1">
      <alignment vertical="center"/>
    </xf>
    <xf numFmtId="195" fontId="28" fillId="9" borderId="0" xfId="11" applyNumberFormat="1" applyFont="1" applyFill="1" applyAlignment="1">
      <alignment vertical="center"/>
    </xf>
    <xf numFmtId="0" fontId="15" fillId="9" borderId="0" xfId="11" applyFill="1"/>
    <xf numFmtId="0" fontId="50" fillId="9" borderId="53" xfId="0" applyFont="1" applyFill="1" applyBorder="1" applyAlignment="1">
      <alignment horizontal="center" vertical="center"/>
    </xf>
    <xf numFmtId="0" fontId="50" fillId="9" borderId="53" xfId="0" applyFont="1" applyFill="1" applyBorder="1" applyAlignment="1">
      <alignment vertical="center"/>
    </xf>
    <xf numFmtId="0" fontId="50" fillId="9" borderId="0" xfId="0" applyFont="1" applyFill="1" applyAlignment="1">
      <alignment horizontal="center" vertical="center"/>
    </xf>
    <xf numFmtId="0" fontId="23" fillId="9" borderId="0" xfId="0" applyFont="1" applyFill="1" applyAlignment="1">
      <alignment horizontal="right" vertical="center"/>
    </xf>
    <xf numFmtId="49" fontId="24" fillId="9" borderId="0" xfId="0" applyNumberFormat="1" applyFont="1" applyFill="1" applyAlignment="1">
      <alignment horizontal="right" vertical="center"/>
    </xf>
    <xf numFmtId="3" fontId="23" fillId="9" borderId="0" xfId="0" applyNumberFormat="1" applyFont="1" applyFill="1" applyAlignment="1">
      <alignment horizontal="right" vertical="center"/>
    </xf>
    <xf numFmtId="176" fontId="23" fillId="9" borderId="0" xfId="0" applyNumberFormat="1" applyFont="1" applyFill="1" applyAlignment="1">
      <alignment horizontal="right" vertical="center"/>
    </xf>
    <xf numFmtId="0" fontId="55" fillId="9" borderId="0" xfId="0" applyFont="1" applyFill="1" applyAlignment="1">
      <alignment horizontal="left" vertical="center"/>
    </xf>
    <xf numFmtId="49" fontId="24" fillId="9" borderId="0" xfId="0" applyNumberFormat="1" applyFont="1" applyFill="1" applyAlignment="1">
      <alignment horizontal="center" vertical="center"/>
    </xf>
    <xf numFmtId="175" fontId="27" fillId="9" borderId="0" xfId="0" applyNumberFormat="1" applyFont="1" applyFill="1" applyAlignment="1">
      <alignment horizontal="right" vertical="center"/>
    </xf>
    <xf numFmtId="175" fontId="23" fillId="9" borderId="0" xfId="0" applyNumberFormat="1" applyFont="1" applyFill="1" applyAlignment="1">
      <alignment horizontal="right" vertical="center"/>
    </xf>
    <xf numFmtId="0" fontId="56" fillId="9" borderId="0" xfId="0" applyFont="1" applyFill="1" applyAlignment="1">
      <alignment horizontal="right" vertical="center"/>
    </xf>
    <xf numFmtId="201" fontId="29" fillId="9" borderId="0" xfId="0" applyNumberFormat="1" applyFont="1" applyFill="1" applyAlignment="1">
      <alignment horizontal="center" vertical="center"/>
    </xf>
    <xf numFmtId="0" fontId="56" fillId="9" borderId="0" xfId="0" applyFont="1" applyFill="1" applyAlignment="1">
      <alignment vertical="center"/>
    </xf>
    <xf numFmtId="0" fontId="57" fillId="9" borderId="0" xfId="0" applyFont="1" applyFill="1" applyAlignment="1">
      <alignment horizontal="right" vertical="center"/>
    </xf>
    <xf numFmtId="0" fontId="50" fillId="9" borderId="47" xfId="0" applyFont="1" applyFill="1" applyBorder="1" applyAlignment="1">
      <alignment vertical="center"/>
    </xf>
    <xf numFmtId="165" fontId="50" fillId="9" borderId="47" xfId="0" applyNumberFormat="1" applyFont="1" applyFill="1" applyBorder="1" applyAlignment="1">
      <alignment horizontal="right" vertical="center"/>
    </xf>
    <xf numFmtId="0" fontId="50" fillId="9" borderId="0" xfId="0" applyFont="1" applyFill="1" applyAlignment="1">
      <alignment vertical="center"/>
    </xf>
    <xf numFmtId="201" fontId="46" fillId="9" borderId="0" xfId="1" applyNumberFormat="1" applyFont="1" applyFill="1" applyAlignment="1">
      <alignment horizontal="right" vertical="center"/>
    </xf>
    <xf numFmtId="165" fontId="50" fillId="9" borderId="0" xfId="0" applyNumberFormat="1" applyFont="1" applyFill="1" applyAlignment="1">
      <alignment horizontal="right" vertical="center"/>
    </xf>
    <xf numFmtId="201" fontId="32" fillId="9" borderId="0" xfId="1" applyNumberFormat="1" applyFont="1" applyFill="1" applyAlignment="1">
      <alignment horizontal="right" vertical="center"/>
    </xf>
    <xf numFmtId="175" fontId="23" fillId="9" borderId="0" xfId="0" applyNumberFormat="1" applyFont="1" applyFill="1" applyAlignment="1">
      <alignment vertical="center"/>
    </xf>
    <xf numFmtId="0" fontId="68" fillId="9" borderId="47" xfId="0" applyFont="1" applyFill="1" applyBorder="1" applyAlignment="1">
      <alignment vertical="center"/>
    </xf>
    <xf numFmtId="170" fontId="68" fillId="9" borderId="47" xfId="0" applyNumberFormat="1" applyFont="1" applyFill="1" applyBorder="1" applyAlignment="1">
      <alignment horizontal="right" vertical="center"/>
    </xf>
    <xf numFmtId="175" fontId="32" fillId="9" borderId="0" xfId="0" applyNumberFormat="1" applyFont="1" applyFill="1" applyAlignment="1">
      <alignment horizontal="right" vertical="center"/>
    </xf>
    <xf numFmtId="175" fontId="50" fillId="9" borderId="0" xfId="0" applyNumberFormat="1" applyFont="1" applyFill="1" applyAlignment="1">
      <alignment horizontal="right" vertical="center"/>
    </xf>
    <xf numFmtId="175" fontId="45" fillId="9" borderId="0" xfId="0" applyNumberFormat="1" applyFont="1" applyFill="1" applyAlignment="1">
      <alignment vertical="center"/>
    </xf>
    <xf numFmtId="0" fontId="50" fillId="9" borderId="0" xfId="0" applyFont="1" applyFill="1" applyAlignment="1">
      <alignment horizontal="right" vertical="center"/>
    </xf>
    <xf numFmtId="49" fontId="28" fillId="9" borderId="48" xfId="0" applyNumberFormat="1" applyFont="1" applyFill="1" applyBorder="1" applyAlignment="1">
      <alignment horizontal="center" vertical="center"/>
    </xf>
    <xf numFmtId="198" fontId="63" fillId="9" borderId="48" xfId="0" applyNumberFormat="1" applyFont="1" applyFill="1" applyBorder="1" applyAlignment="1">
      <alignment horizontal="center" vertical="center"/>
    </xf>
    <xf numFmtId="173" fontId="25" fillId="9" borderId="0" xfId="0" applyNumberFormat="1" applyFont="1" applyFill="1" applyAlignment="1">
      <alignment horizontal="right" vertical="center"/>
    </xf>
    <xf numFmtId="0" fontId="59" fillId="9" borderId="49" xfId="0" applyFont="1" applyFill="1" applyBorder="1" applyAlignment="1">
      <alignment horizontal="left" vertical="center"/>
    </xf>
    <xf numFmtId="0" fontId="59" fillId="9" borderId="49" xfId="0" applyFont="1" applyFill="1" applyBorder="1" applyAlignment="1">
      <alignment vertical="center"/>
    </xf>
    <xf numFmtId="0" fontId="59" fillId="9" borderId="49" xfId="0" applyFont="1" applyFill="1" applyBorder="1" applyAlignment="1">
      <alignment horizontal="right" vertical="center"/>
    </xf>
    <xf numFmtId="198" fontId="63" fillId="9" borderId="49" xfId="0" applyNumberFormat="1" applyFont="1" applyFill="1" applyBorder="1" applyAlignment="1">
      <alignment horizontal="right" vertical="center"/>
    </xf>
    <xf numFmtId="0" fontId="24" fillId="9" borderId="73" xfId="0" applyFont="1" applyFill="1" applyBorder="1" applyAlignment="1">
      <alignment horizontal="right" vertical="center"/>
    </xf>
    <xf numFmtId="0" fontId="24" fillId="9" borderId="0" xfId="0" applyFont="1" applyFill="1" applyAlignment="1">
      <alignment horizontal="right" vertical="center"/>
    </xf>
    <xf numFmtId="0" fontId="68" fillId="9" borderId="0" xfId="0" applyFont="1" applyFill="1" applyAlignment="1">
      <alignment horizontal="left" vertical="center"/>
    </xf>
    <xf numFmtId="0" fontId="68" fillId="9" borderId="0" xfId="0" applyFont="1" applyFill="1" applyAlignment="1">
      <alignment horizontal="right" vertical="center"/>
    </xf>
    <xf numFmtId="0" fontId="59" fillId="9" borderId="51" xfId="0" applyFont="1" applyFill="1" applyBorder="1" applyAlignment="1">
      <alignment horizontal="left" vertical="center"/>
    </xf>
    <xf numFmtId="0" fontId="59" fillId="9" borderId="51" xfId="0" applyFont="1" applyFill="1" applyBorder="1" applyAlignment="1">
      <alignment horizontal="right" vertical="center"/>
    </xf>
    <xf numFmtId="201" fontId="63" fillId="9" borderId="51" xfId="0" applyNumberFormat="1" applyFont="1" applyFill="1" applyBorder="1" applyAlignment="1">
      <alignment horizontal="right" vertical="center"/>
    </xf>
    <xf numFmtId="0" fontId="50" fillId="9" borderId="14" xfId="0" applyFont="1" applyFill="1" applyBorder="1" applyAlignment="1">
      <alignment horizontal="left" vertical="center"/>
    </xf>
    <xf numFmtId="0" fontId="50" fillId="9" borderId="14" xfId="0" applyFont="1" applyFill="1" applyBorder="1" applyAlignment="1">
      <alignment horizontal="right" vertical="center"/>
    </xf>
    <xf numFmtId="175" fontId="68" fillId="9" borderId="0" xfId="0" applyNumberFormat="1" applyFont="1" applyFill="1" applyAlignment="1">
      <alignment horizontal="center" vertical="center"/>
    </xf>
    <xf numFmtId="0" fontId="24" fillId="9" borderId="33" xfId="0" applyFont="1" applyFill="1" applyBorder="1" applyAlignment="1">
      <alignment vertical="center"/>
    </xf>
    <xf numFmtId="0" fontId="26" fillId="9" borderId="0" xfId="0" applyFont="1" applyFill="1" applyAlignment="1">
      <alignment horizontal="left" vertical="center"/>
    </xf>
    <xf numFmtId="0" fontId="58" fillId="9" borderId="48" xfId="0" applyFont="1" applyFill="1" applyBorder="1" applyAlignment="1">
      <alignment vertical="center"/>
    </xf>
    <xf numFmtId="165" fontId="58" fillId="9" borderId="48" xfId="0" applyNumberFormat="1" applyFont="1" applyFill="1" applyBorder="1" applyAlignment="1">
      <alignment horizontal="right" vertical="center"/>
    </xf>
    <xf numFmtId="0" fontId="24" fillId="9" borderId="14" xfId="0" applyFont="1" applyFill="1" applyBorder="1" applyAlignment="1">
      <alignment horizontal="left" vertical="center"/>
    </xf>
    <xf numFmtId="0" fontId="24" fillId="9" borderId="14" xfId="0" applyFont="1" applyFill="1" applyBorder="1" applyAlignment="1">
      <alignment horizontal="right" vertical="center"/>
    </xf>
    <xf numFmtId="165" fontId="59" fillId="9" borderId="49" xfId="0" applyNumberFormat="1" applyFont="1" applyFill="1" applyBorder="1" applyAlignment="1">
      <alignment horizontal="right" vertical="center"/>
    </xf>
    <xf numFmtId="0" fontId="24" fillId="9" borderId="33" xfId="0" applyFont="1" applyFill="1" applyBorder="1" applyAlignment="1">
      <alignment horizontal="left" vertical="center"/>
    </xf>
    <xf numFmtId="0" fontId="24" fillId="9" borderId="33" xfId="0" applyFont="1" applyFill="1" applyBorder="1" applyAlignment="1">
      <alignment horizontal="right" vertical="center"/>
    </xf>
    <xf numFmtId="177" fontId="45" fillId="9" borderId="0" xfId="1" applyNumberFormat="1" applyFont="1" applyFill="1" applyAlignment="1">
      <alignment vertical="center"/>
    </xf>
    <xf numFmtId="175" fontId="29" fillId="9" borderId="0" xfId="1" applyNumberFormat="1" applyFont="1" applyFill="1" applyAlignment="1">
      <alignment vertical="center"/>
    </xf>
    <xf numFmtId="203" fontId="62" fillId="9" borderId="0" xfId="0" applyNumberFormat="1" applyFont="1" applyFill="1" applyAlignment="1">
      <alignment horizontal="right" vertical="center"/>
    </xf>
    <xf numFmtId="178" fontId="26" fillId="9" borderId="0" xfId="0" applyNumberFormat="1" applyFont="1" applyFill="1" applyAlignment="1">
      <alignment horizontal="right" vertical="center"/>
    </xf>
    <xf numFmtId="49" fontId="50" fillId="9" borderId="0" xfId="0" applyNumberFormat="1" applyFont="1" applyFill="1" applyAlignment="1">
      <alignment horizontal="center" vertical="center"/>
    </xf>
    <xf numFmtId="0" fontId="49" fillId="9" borderId="0" xfId="0" applyFont="1" applyFill="1" applyAlignment="1">
      <alignment horizontal="left" vertical="center"/>
    </xf>
    <xf numFmtId="0" fontId="49" fillId="9" borderId="0" xfId="0" applyFont="1" applyFill="1" applyAlignment="1">
      <alignment horizontal="center" vertical="center"/>
    </xf>
    <xf numFmtId="184" fontId="62" fillId="9" borderId="0" xfId="0" applyNumberFormat="1" applyFont="1" applyFill="1" applyAlignment="1">
      <alignment horizontal="right" vertical="center"/>
    </xf>
    <xf numFmtId="184" fontId="28" fillId="9" borderId="0" xfId="0" applyNumberFormat="1" applyFont="1" applyFill="1" applyAlignment="1">
      <alignment horizontal="right" vertical="center"/>
    </xf>
    <xf numFmtId="184" fontId="63" fillId="9" borderId="0" xfId="0" applyNumberFormat="1" applyFont="1" applyFill="1" applyAlignment="1">
      <alignment horizontal="right" vertical="center"/>
    </xf>
    <xf numFmtId="165" fontId="23" fillId="9" borderId="0" xfId="0" applyNumberFormat="1" applyFont="1" applyFill="1" applyAlignment="1">
      <alignment horizontal="right" vertical="center"/>
    </xf>
    <xf numFmtId="174" fontId="23" fillId="9" borderId="0" xfId="0" applyNumberFormat="1" applyFont="1" applyFill="1" applyAlignment="1">
      <alignment horizontal="right" vertical="center"/>
    </xf>
    <xf numFmtId="165" fontId="68" fillId="9" borderId="47" xfId="0" applyNumberFormat="1" applyFont="1" applyFill="1" applyBorder="1" applyAlignment="1">
      <alignment horizontal="right" vertical="center"/>
    </xf>
    <xf numFmtId="185" fontId="23" fillId="9" borderId="0" xfId="0" applyNumberFormat="1" applyFont="1" applyFill="1" applyAlignment="1">
      <alignment horizontal="right" vertical="center"/>
    </xf>
    <xf numFmtId="200" fontId="29" fillId="9" borderId="0" xfId="0" applyNumberFormat="1" applyFont="1" applyFill="1" applyAlignment="1">
      <alignment horizontal="right" vertical="center"/>
    </xf>
    <xf numFmtId="49" fontId="23" fillId="9" borderId="15" xfId="0" applyNumberFormat="1" applyFont="1" applyFill="1" applyBorder="1" applyAlignment="1">
      <alignment horizontal="left" vertical="center"/>
    </xf>
    <xf numFmtId="185" fontId="23" fillId="9" borderId="15" xfId="0" applyNumberFormat="1" applyFont="1" applyFill="1" applyBorder="1" applyAlignment="1">
      <alignment horizontal="right" vertical="center"/>
    </xf>
    <xf numFmtId="200" fontId="29" fillId="9" borderId="15" xfId="0" applyNumberFormat="1" applyFont="1" applyFill="1" applyBorder="1" applyAlignment="1">
      <alignment horizontal="right" vertical="center"/>
    </xf>
    <xf numFmtId="200" fontId="28" fillId="9" borderId="15" xfId="0" applyNumberFormat="1" applyFont="1" applyFill="1" applyBorder="1" applyAlignment="1">
      <alignment horizontal="right" vertical="center"/>
    </xf>
    <xf numFmtId="173" fontId="28" fillId="9" borderId="66" xfId="0" applyNumberFormat="1" applyFont="1" applyFill="1" applyBorder="1" applyAlignment="1">
      <alignment vertical="center"/>
    </xf>
    <xf numFmtId="173" fontId="24" fillId="9" borderId="66" xfId="0" applyNumberFormat="1" applyFont="1" applyFill="1" applyBorder="1" applyAlignment="1">
      <alignment horizontal="right" vertical="center"/>
    </xf>
    <xf numFmtId="173" fontId="23" fillId="9" borderId="0" xfId="0" applyNumberFormat="1" applyFont="1" applyFill="1" applyAlignment="1">
      <alignment horizontal="right" vertical="center"/>
    </xf>
    <xf numFmtId="173" fontId="24" fillId="9" borderId="66" xfId="0" applyNumberFormat="1" applyFont="1" applyFill="1" applyBorder="1" applyAlignment="1">
      <alignment vertical="center"/>
    </xf>
    <xf numFmtId="199" fontId="32" fillId="9" borderId="99" xfId="11" applyNumberFormat="1" applyFont="1" applyFill="1" applyBorder="1" applyAlignment="1">
      <alignment horizontal="right" vertical="center"/>
    </xf>
    <xf numFmtId="206" fontId="29" fillId="9" borderId="99" xfId="11" applyNumberFormat="1" applyFont="1" applyFill="1" applyBorder="1" applyAlignment="1">
      <alignment horizontal="right" vertical="center"/>
    </xf>
    <xf numFmtId="0" fontId="45" fillId="9" borderId="52" xfId="0" applyFont="1" applyFill="1" applyBorder="1" applyAlignment="1">
      <alignment horizontal="right" vertical="center"/>
    </xf>
    <xf numFmtId="165" fontId="44" fillId="37" borderId="52" xfId="0" applyNumberFormat="1" applyFont="1" applyFill="1" applyBorder="1" applyAlignment="1">
      <alignment horizontal="right" vertical="center"/>
    </xf>
    <xf numFmtId="201" fontId="32" fillId="37" borderId="0" xfId="0" applyNumberFormat="1" applyFont="1" applyFill="1" applyAlignment="1">
      <alignment horizontal="right" vertical="center"/>
    </xf>
    <xf numFmtId="175" fontId="32" fillId="37" borderId="0" xfId="0" applyNumberFormat="1" applyFont="1" applyFill="1" applyAlignment="1">
      <alignment vertical="center"/>
    </xf>
    <xf numFmtId="0" fontId="30" fillId="9" borderId="0" xfId="0" applyFont="1" applyFill="1" applyAlignment="1">
      <alignment horizontal="left" vertical="center"/>
    </xf>
    <xf numFmtId="203" fontId="30" fillId="9" borderId="0" xfId="0" applyNumberFormat="1" applyFont="1" applyFill="1" applyAlignment="1">
      <alignment horizontal="right" vertical="center"/>
    </xf>
    <xf numFmtId="203" fontId="28" fillId="9" borderId="0" xfId="0" applyNumberFormat="1" applyFont="1" applyFill="1" applyAlignment="1">
      <alignment horizontal="right" vertical="center"/>
    </xf>
    <xf numFmtId="0" fontId="19" fillId="42" borderId="0" xfId="0" applyFont="1" applyFill="1"/>
    <xf numFmtId="0" fontId="21" fillId="36" borderId="0" xfId="0" applyFont="1" applyFill="1"/>
    <xf numFmtId="0" fontId="21" fillId="43" borderId="0" xfId="0" applyFont="1" applyFill="1" applyAlignment="1">
      <alignment horizontal="center"/>
    </xf>
    <xf numFmtId="0" fontId="45" fillId="9" borderId="0" xfId="0" applyFont="1" applyFill="1"/>
    <xf numFmtId="0" fontId="20" fillId="9" borderId="0" xfId="0" applyFont="1" applyFill="1"/>
    <xf numFmtId="0" fontId="20" fillId="9" borderId="0" xfId="0" applyFont="1" applyFill="1" applyAlignment="1">
      <alignment horizontal="left"/>
    </xf>
    <xf numFmtId="203" fontId="20" fillId="9" borderId="0" xfId="0" applyNumberFormat="1" applyFont="1" applyFill="1"/>
    <xf numFmtId="0" fontId="87" fillId="9" borderId="0" xfId="0" applyFont="1" applyFill="1"/>
    <xf numFmtId="49" fontId="21" fillId="43" borderId="0" xfId="0" applyNumberFormat="1" applyFont="1" applyFill="1" applyAlignment="1">
      <alignment horizontal="center"/>
    </xf>
    <xf numFmtId="0" fontId="22" fillId="9" borderId="0" xfId="0" applyFont="1" applyFill="1" applyAlignment="1">
      <alignment horizontal="left" vertical="center" wrapText="1"/>
    </xf>
    <xf numFmtId="0" fontId="22" fillId="9" borderId="0" xfId="0" applyFont="1" applyFill="1" applyAlignment="1">
      <alignment horizontal="center" vertical="center" wrapText="1"/>
    </xf>
    <xf numFmtId="0" fontId="91" fillId="9" borderId="0" xfId="0" applyFont="1" applyFill="1"/>
    <xf numFmtId="0" fontId="91" fillId="9" borderId="0" xfId="0" applyFont="1" applyFill="1" applyAlignment="1">
      <alignment vertical="top" wrapText="1"/>
    </xf>
    <xf numFmtId="0" fontId="91" fillId="9" borderId="7" xfId="0" applyFont="1" applyFill="1" applyBorder="1" applyAlignment="1">
      <alignment vertical="top" wrapText="1"/>
    </xf>
    <xf numFmtId="0" fontId="91" fillId="9" borderId="124" xfId="0" applyFont="1" applyFill="1" applyBorder="1" applyAlignment="1">
      <alignment vertical="top" wrapText="1"/>
    </xf>
    <xf numFmtId="0" fontId="91" fillId="9" borderId="129" xfId="0" applyFont="1" applyFill="1" applyBorder="1" applyAlignment="1">
      <alignment vertical="top" wrapText="1"/>
    </xf>
    <xf numFmtId="0" fontId="91" fillId="9" borderId="130" xfId="0" applyFont="1" applyFill="1" applyBorder="1" applyAlignment="1">
      <alignment vertical="top" wrapText="1"/>
    </xf>
    <xf numFmtId="0" fontId="91" fillId="9" borderId="123" xfId="0" applyFont="1" applyFill="1" applyBorder="1" applyAlignment="1">
      <alignment vertical="top" wrapText="1"/>
    </xf>
    <xf numFmtId="0" fontId="91" fillId="9" borderId="128" xfId="0" applyFont="1" applyFill="1" applyBorder="1" applyAlignment="1">
      <alignment vertical="top" wrapText="1"/>
    </xf>
    <xf numFmtId="0" fontId="94" fillId="9" borderId="126" xfId="0" applyFont="1" applyFill="1" applyBorder="1" applyAlignment="1">
      <alignment horizontal="center" vertical="top"/>
    </xf>
    <xf numFmtId="0" fontId="94" fillId="9" borderId="127" xfId="0" applyFont="1" applyFill="1" applyBorder="1" applyAlignment="1">
      <alignment horizontal="center" vertical="top"/>
    </xf>
    <xf numFmtId="0" fontId="91" fillId="9" borderId="0" xfId="0" applyFont="1" applyFill="1" applyAlignment="1">
      <alignment horizontal="center" vertical="top"/>
    </xf>
    <xf numFmtId="0" fontId="91" fillId="9" borderId="0" xfId="0" applyFont="1" applyFill="1" applyAlignment="1">
      <alignment vertical="top"/>
    </xf>
    <xf numFmtId="0" fontId="95" fillId="9" borderId="125" xfId="0" applyFont="1" applyFill="1" applyBorder="1" applyAlignment="1">
      <alignment horizontal="center" vertical="top"/>
    </xf>
    <xf numFmtId="0" fontId="91" fillId="9" borderId="123" xfId="0" applyFont="1" applyFill="1" applyBorder="1" applyAlignment="1">
      <alignment vertical="top"/>
    </xf>
    <xf numFmtId="0" fontId="95" fillId="9" borderId="126" xfId="0" applyFont="1" applyFill="1" applyBorder="1" applyAlignment="1">
      <alignment horizontal="center" vertical="top"/>
    </xf>
    <xf numFmtId="0" fontId="91" fillId="9" borderId="7" xfId="0" applyFont="1" applyFill="1" applyBorder="1" applyAlignment="1">
      <alignment vertical="top"/>
    </xf>
    <xf numFmtId="0" fontId="95" fillId="9" borderId="127" xfId="0" applyFont="1" applyFill="1" applyBorder="1" applyAlignment="1">
      <alignment horizontal="center" vertical="top"/>
    </xf>
    <xf numFmtId="0" fontId="91" fillId="9" borderId="124" xfId="0" applyFont="1" applyFill="1" applyBorder="1" applyAlignment="1">
      <alignment vertical="top"/>
    </xf>
    <xf numFmtId="0" fontId="96" fillId="9" borderId="125" xfId="0" applyFont="1" applyFill="1" applyBorder="1" applyAlignment="1">
      <alignment horizontal="center" vertical="top"/>
    </xf>
    <xf numFmtId="0" fontId="96" fillId="9" borderId="126" xfId="0" applyFont="1" applyFill="1" applyBorder="1" applyAlignment="1">
      <alignment horizontal="center" vertical="top"/>
    </xf>
    <xf numFmtId="0" fontId="96" fillId="9" borderId="127" xfId="0" applyFont="1" applyFill="1" applyBorder="1" applyAlignment="1">
      <alignment horizontal="center" vertical="top"/>
    </xf>
    <xf numFmtId="178" fontId="91" fillId="9" borderId="7" xfId="0" applyNumberFormat="1" applyFont="1" applyFill="1" applyBorder="1" applyAlignment="1">
      <alignment vertical="top"/>
    </xf>
    <xf numFmtId="178" fontId="91" fillId="9" borderId="124" xfId="0" applyNumberFormat="1" applyFont="1" applyFill="1" applyBorder="1" applyAlignment="1">
      <alignment vertical="top"/>
    </xf>
    <xf numFmtId="0" fontId="91" fillId="9" borderId="126" xfId="0" applyFont="1" applyFill="1" applyBorder="1" applyAlignment="1">
      <alignment vertical="top" wrapText="1"/>
    </xf>
    <xf numFmtId="0" fontId="91" fillId="9" borderId="127" xfId="0" applyFont="1" applyFill="1" applyBorder="1" applyAlignment="1">
      <alignment vertical="top" wrapText="1"/>
    </xf>
    <xf numFmtId="178" fontId="92" fillId="9" borderId="7" xfId="0" applyNumberFormat="1" applyFont="1" applyFill="1" applyBorder="1" applyAlignment="1">
      <alignment horizontal="right" vertical="top"/>
    </xf>
    <xf numFmtId="171" fontId="92" fillId="9" borderId="7" xfId="0" applyNumberFormat="1" applyFont="1" applyFill="1" applyBorder="1" applyAlignment="1">
      <alignment horizontal="right" vertical="top"/>
    </xf>
    <xf numFmtId="178" fontId="92" fillId="9" borderId="124" xfId="0" applyNumberFormat="1" applyFont="1" applyFill="1" applyBorder="1" applyAlignment="1">
      <alignment horizontal="right" vertical="top"/>
    </xf>
    <xf numFmtId="185" fontId="91" fillId="9" borderId="68" xfId="0" applyNumberFormat="1" applyFont="1" applyFill="1" applyBorder="1"/>
    <xf numFmtId="171" fontId="91" fillId="9" borderId="68" xfId="0" applyNumberFormat="1" applyFont="1" applyFill="1" applyBorder="1"/>
    <xf numFmtId="185" fontId="91" fillId="9" borderId="132" xfId="0" applyNumberFormat="1" applyFont="1" applyFill="1" applyBorder="1"/>
    <xf numFmtId="17" fontId="92" fillId="9" borderId="133" xfId="0" applyNumberFormat="1" applyFont="1" applyFill="1" applyBorder="1" applyAlignment="1">
      <alignment horizontal="center"/>
    </xf>
    <xf numFmtId="185" fontId="91" fillId="9" borderId="134" xfId="0" applyNumberFormat="1" applyFont="1" applyFill="1" applyBorder="1"/>
    <xf numFmtId="0" fontId="92" fillId="9" borderId="135" xfId="0" applyFont="1" applyFill="1" applyBorder="1"/>
    <xf numFmtId="0" fontId="91" fillId="9" borderId="136" xfId="0" applyFont="1" applyFill="1" applyBorder="1"/>
    <xf numFmtId="0" fontId="92" fillId="9" borderId="136" xfId="0" applyFont="1" applyFill="1" applyBorder="1"/>
    <xf numFmtId="0" fontId="98" fillId="9" borderId="136" xfId="0" applyFont="1" applyFill="1" applyBorder="1"/>
    <xf numFmtId="0" fontId="98" fillId="9" borderId="137" xfId="0" applyFont="1" applyFill="1" applyBorder="1"/>
    <xf numFmtId="0" fontId="92" fillId="9" borderId="138" xfId="0" applyFont="1" applyFill="1" applyBorder="1" applyAlignment="1">
      <alignment horizontal="center"/>
    </xf>
    <xf numFmtId="185" fontId="91" fillId="9" borderId="139" xfId="0" applyNumberFormat="1" applyFont="1" applyFill="1" applyBorder="1"/>
    <xf numFmtId="171" fontId="91" fillId="9" borderId="139" xfId="0" applyNumberFormat="1" applyFont="1" applyFill="1" applyBorder="1"/>
    <xf numFmtId="185" fontId="91" fillId="9" borderId="140" xfId="0" applyNumberFormat="1" applyFont="1" applyFill="1" applyBorder="1"/>
    <xf numFmtId="182" fontId="91" fillId="9" borderId="68" xfId="0" applyNumberFormat="1" applyFont="1" applyFill="1" applyBorder="1"/>
    <xf numFmtId="182" fontId="92" fillId="9" borderId="68" xfId="0" applyNumberFormat="1" applyFont="1" applyFill="1" applyBorder="1"/>
    <xf numFmtId="185" fontId="92" fillId="9" borderId="68" xfId="0" applyNumberFormat="1" applyFont="1" applyFill="1" applyBorder="1"/>
    <xf numFmtId="171" fontId="98" fillId="9" borderId="68" xfId="0" applyNumberFormat="1" applyFont="1" applyFill="1" applyBorder="1"/>
    <xf numFmtId="0" fontId="92" fillId="9" borderId="133" xfId="0" applyFont="1" applyFill="1" applyBorder="1" applyAlignment="1">
      <alignment horizontal="center"/>
    </xf>
    <xf numFmtId="182" fontId="91" fillId="9" borderId="134" xfId="0" applyNumberFormat="1" applyFont="1" applyFill="1" applyBorder="1"/>
    <xf numFmtId="171" fontId="92" fillId="9" borderId="139" xfId="0" applyNumberFormat="1" applyFont="1" applyFill="1" applyBorder="1"/>
    <xf numFmtId="171" fontId="91" fillId="9" borderId="139" xfId="0" applyNumberFormat="1" applyFont="1" applyFill="1" applyBorder="1" applyAlignment="1">
      <alignment horizontal="center"/>
    </xf>
    <xf numFmtId="171" fontId="91" fillId="9" borderId="140" xfId="0" applyNumberFormat="1" applyFont="1" applyFill="1" applyBorder="1"/>
    <xf numFmtId="0" fontId="92" fillId="24" borderId="135" xfId="0" applyFont="1" applyFill="1" applyBorder="1"/>
    <xf numFmtId="0" fontId="92" fillId="25" borderId="136" xfId="0" applyFont="1" applyFill="1" applyBorder="1"/>
    <xf numFmtId="185" fontId="92" fillId="24" borderId="138" xfId="0" applyNumberFormat="1" applyFont="1" applyFill="1" applyBorder="1"/>
    <xf numFmtId="185" fontId="93" fillId="9" borderId="139" xfId="0" applyNumberFormat="1" applyFont="1" applyFill="1" applyBorder="1"/>
    <xf numFmtId="185" fontId="99" fillId="9" borderId="139" xfId="0" applyNumberFormat="1" applyFont="1" applyFill="1" applyBorder="1"/>
    <xf numFmtId="185" fontId="92" fillId="25" borderId="139" xfId="0" applyNumberFormat="1" applyFont="1" applyFill="1" applyBorder="1"/>
    <xf numFmtId="185" fontId="98" fillId="9" borderId="140" xfId="0" applyNumberFormat="1" applyFont="1" applyFill="1" applyBorder="1"/>
    <xf numFmtId="171" fontId="92" fillId="9" borderId="68" xfId="0" applyNumberFormat="1" applyFont="1" applyFill="1" applyBorder="1"/>
    <xf numFmtId="171" fontId="92" fillId="9" borderId="134" xfId="0" applyNumberFormat="1" applyFont="1" applyFill="1" applyBorder="1"/>
    <xf numFmtId="171" fontId="91" fillId="9" borderId="134" xfId="0" applyNumberFormat="1" applyFont="1" applyFill="1" applyBorder="1"/>
    <xf numFmtId="0" fontId="92" fillId="9" borderId="137" xfId="0" applyFont="1" applyFill="1" applyBorder="1"/>
    <xf numFmtId="171" fontId="92" fillId="9" borderId="140" xfId="0" applyNumberFormat="1" applyFont="1" applyFill="1" applyBorder="1"/>
    <xf numFmtId="0" fontId="91" fillId="9" borderId="141" xfId="0" applyFont="1" applyFill="1" applyBorder="1"/>
    <xf numFmtId="185" fontId="91" fillId="9" borderId="142" xfId="0" applyNumberFormat="1" applyFont="1" applyFill="1" applyBorder="1"/>
    <xf numFmtId="0" fontId="98" fillId="9" borderId="143" xfId="0" applyFont="1" applyFill="1" applyBorder="1"/>
    <xf numFmtId="171" fontId="91" fillId="9" borderId="131" xfId="0" applyNumberFormat="1" applyFont="1" applyFill="1" applyBorder="1"/>
    <xf numFmtId="171" fontId="91" fillId="9" borderId="144" xfId="0" applyNumberFormat="1" applyFont="1" applyFill="1" applyBorder="1"/>
    <xf numFmtId="185" fontId="91" fillId="9" borderId="133" xfId="0" applyNumberFormat="1" applyFont="1" applyFill="1" applyBorder="1"/>
    <xf numFmtId="185" fontId="91" fillId="9" borderId="138" xfId="0" applyNumberFormat="1" applyFont="1" applyFill="1" applyBorder="1"/>
    <xf numFmtId="182" fontId="0" fillId="9" borderId="68" xfId="0" applyNumberFormat="1" applyFill="1" applyBorder="1"/>
    <xf numFmtId="182" fontId="4" fillId="24" borderId="68" xfId="0" applyNumberFormat="1" applyFont="1" applyFill="1" applyBorder="1"/>
    <xf numFmtId="182" fontId="18" fillId="9" borderId="68" xfId="0" applyNumberFormat="1" applyFont="1" applyFill="1" applyBorder="1"/>
    <xf numFmtId="182" fontId="4" fillId="25" borderId="68" xfId="0" applyNumberFormat="1" applyFont="1" applyFill="1" applyBorder="1"/>
    <xf numFmtId="182" fontId="14" fillId="9" borderId="134" xfId="0" applyNumberFormat="1" applyFont="1" applyFill="1" applyBorder="1"/>
    <xf numFmtId="0" fontId="0" fillId="9" borderId="136" xfId="0" applyFill="1" applyBorder="1"/>
    <xf numFmtId="0" fontId="4" fillId="24" borderId="136" xfId="0" applyFont="1" applyFill="1" applyBorder="1"/>
    <xf numFmtId="0" fontId="4" fillId="25" borderId="136" xfId="0" applyFont="1" applyFill="1" applyBorder="1"/>
    <xf numFmtId="0" fontId="14" fillId="9" borderId="137" xfId="0" applyFont="1" applyFill="1" applyBorder="1"/>
    <xf numFmtId="171" fontId="0" fillId="9" borderId="139" xfId="0" applyNumberFormat="1" applyFill="1" applyBorder="1"/>
    <xf numFmtId="171" fontId="0" fillId="24" borderId="139" xfId="0" applyNumberFormat="1" applyFill="1" applyBorder="1"/>
    <xf numFmtId="171" fontId="18" fillId="9" borderId="139" xfId="0" applyNumberFormat="1" applyFont="1" applyFill="1" applyBorder="1"/>
    <xf numFmtId="171" fontId="0" fillId="25" borderId="139" xfId="0" applyNumberFormat="1" applyFill="1" applyBorder="1"/>
    <xf numFmtId="0" fontId="0" fillId="9" borderId="140" xfId="0" applyFill="1" applyBorder="1"/>
    <xf numFmtId="0" fontId="100" fillId="9" borderId="0" xfId="11" applyFont="1" applyFill="1"/>
    <xf numFmtId="182" fontId="100" fillId="9" borderId="68" xfId="11" applyNumberFormat="1" applyFont="1" applyFill="1" applyBorder="1"/>
    <xf numFmtId="182" fontId="101" fillId="9" borderId="68" xfId="11" applyNumberFormat="1" applyFont="1" applyFill="1" applyBorder="1"/>
    <xf numFmtId="171" fontId="102" fillId="9" borderId="68" xfId="11" applyNumberFormat="1" applyFont="1" applyFill="1" applyBorder="1"/>
    <xf numFmtId="182" fontId="101" fillId="25" borderId="68" xfId="11" applyNumberFormat="1" applyFont="1" applyFill="1" applyBorder="1"/>
    <xf numFmtId="182" fontId="94" fillId="25" borderId="68" xfId="11" applyNumberFormat="1" applyFont="1" applyFill="1" applyBorder="1"/>
    <xf numFmtId="0" fontId="101" fillId="9" borderId="133" xfId="11" applyFont="1" applyFill="1" applyBorder="1" applyAlignment="1">
      <alignment horizontal="center"/>
    </xf>
    <xf numFmtId="171" fontId="101" fillId="25" borderId="134" xfId="11" applyNumberFormat="1" applyFont="1" applyFill="1" applyBorder="1"/>
    <xf numFmtId="171" fontId="94" fillId="25" borderId="134" xfId="11" applyNumberFormat="1" applyFont="1" applyFill="1" applyBorder="1"/>
    <xf numFmtId="0" fontId="101" fillId="9" borderId="135" xfId="11" applyFont="1" applyFill="1" applyBorder="1"/>
    <xf numFmtId="0" fontId="100" fillId="9" borderId="136" xfId="11" applyFont="1" applyFill="1" applyBorder="1"/>
    <xf numFmtId="0" fontId="101" fillId="9" borderId="136" xfId="11" applyFont="1" applyFill="1" applyBorder="1"/>
    <xf numFmtId="0" fontId="102" fillId="9" borderId="136" xfId="11" applyFont="1" applyFill="1" applyBorder="1"/>
    <xf numFmtId="0" fontId="101" fillId="25" borderId="136" xfId="11" applyFont="1" applyFill="1" applyBorder="1"/>
    <xf numFmtId="0" fontId="101" fillId="25" borderId="137" xfId="11" applyFont="1" applyFill="1" applyBorder="1"/>
    <xf numFmtId="182" fontId="105" fillId="9" borderId="139" xfId="11" applyNumberFormat="1" applyFont="1" applyFill="1" applyBorder="1"/>
    <xf numFmtId="182" fontId="104" fillId="9" borderId="139" xfId="11" applyNumberFormat="1" applyFont="1" applyFill="1" applyBorder="1"/>
    <xf numFmtId="171" fontId="106" fillId="9" borderId="139" xfId="11" applyNumberFormat="1" applyFont="1" applyFill="1" applyBorder="1"/>
    <xf numFmtId="182" fontId="104" fillId="25" borderId="139" xfId="11" applyNumberFormat="1" applyFont="1" applyFill="1" applyBorder="1"/>
    <xf numFmtId="171" fontId="104" fillId="25" borderId="140" xfId="11" applyNumberFormat="1" applyFont="1" applyFill="1" applyBorder="1"/>
    <xf numFmtId="182" fontId="100" fillId="39" borderId="68" xfId="11" applyNumberFormat="1" applyFont="1" applyFill="1" applyBorder="1"/>
    <xf numFmtId="182" fontId="101" fillId="9" borderId="134" xfId="11" applyNumberFormat="1" applyFont="1" applyFill="1" applyBorder="1"/>
    <xf numFmtId="0" fontId="101" fillId="9" borderId="137" xfId="11" applyFont="1" applyFill="1" applyBorder="1"/>
    <xf numFmtId="0" fontId="101" fillId="9" borderId="138" xfId="11" applyFont="1" applyFill="1" applyBorder="1" applyAlignment="1">
      <alignment horizontal="center"/>
    </xf>
    <xf numFmtId="182" fontId="93" fillId="9" borderId="139" xfId="11" applyNumberFormat="1" applyFont="1" applyFill="1" applyBorder="1"/>
    <xf numFmtId="182" fontId="93" fillId="39" borderId="139" xfId="11" applyNumberFormat="1" applyFont="1" applyFill="1" applyBorder="1"/>
    <xf numFmtId="182" fontId="94" fillId="9" borderId="140" xfId="11" applyNumberFormat="1" applyFont="1" applyFill="1" applyBorder="1"/>
    <xf numFmtId="0" fontId="95" fillId="9" borderId="0" xfId="0" applyFont="1" applyFill="1" applyAlignment="1">
      <alignment horizontal="center" vertical="top"/>
    </xf>
    <xf numFmtId="0" fontId="100" fillId="9" borderId="0" xfId="0" applyFont="1" applyFill="1" applyAlignment="1">
      <alignment vertical="top" wrapText="1"/>
    </xf>
    <xf numFmtId="0" fontId="100" fillId="9" borderId="0" xfId="0" applyFont="1" applyFill="1" applyAlignment="1">
      <alignment vertical="top"/>
    </xf>
    <xf numFmtId="0" fontId="101" fillId="24" borderId="125" xfId="0" applyFont="1" applyFill="1" applyBorder="1" applyAlignment="1">
      <alignment vertical="top"/>
    </xf>
    <xf numFmtId="0" fontId="101" fillId="24" borderId="123" xfId="0" applyFont="1" applyFill="1" applyBorder="1" applyAlignment="1">
      <alignment vertical="top"/>
    </xf>
    <xf numFmtId="0" fontId="101" fillId="24" borderId="128" xfId="0" applyFont="1" applyFill="1" applyBorder="1" applyAlignment="1">
      <alignment vertical="top"/>
    </xf>
    <xf numFmtId="0" fontId="100" fillId="24" borderId="123" xfId="0" applyFont="1" applyFill="1" applyBorder="1" applyAlignment="1">
      <alignment vertical="top"/>
    </xf>
    <xf numFmtId="0" fontId="101" fillId="9" borderId="135" xfId="11" applyFont="1" applyFill="1" applyBorder="1" applyAlignment="1">
      <alignment vertical="center"/>
    </xf>
    <xf numFmtId="0" fontId="101" fillId="9" borderId="133" xfId="11" applyFont="1" applyFill="1" applyBorder="1" applyAlignment="1">
      <alignment horizontal="center" vertical="center"/>
    </xf>
    <xf numFmtId="0" fontId="104" fillId="9" borderId="138" xfId="11" applyFont="1" applyFill="1" applyBorder="1" applyAlignment="1">
      <alignment horizontal="center" vertical="center" wrapText="1"/>
    </xf>
    <xf numFmtId="0" fontId="100" fillId="9" borderId="0" xfId="11" applyFont="1" applyFill="1" applyAlignment="1">
      <alignment vertical="top" wrapText="1"/>
    </xf>
    <xf numFmtId="0" fontId="101" fillId="9" borderId="0" xfId="11" applyFont="1" applyFill="1" applyAlignment="1">
      <alignment vertical="top" wrapText="1"/>
    </xf>
    <xf numFmtId="0" fontId="93" fillId="9" borderId="0" xfId="11" applyFont="1" applyFill="1" applyAlignment="1">
      <alignment vertical="top" wrapText="1"/>
    </xf>
    <xf numFmtId="0" fontId="22" fillId="15" borderId="93" xfId="11" applyFont="1" applyFill="1" applyBorder="1" applyAlignment="1">
      <alignment horizontal="center" vertical="center"/>
    </xf>
    <xf numFmtId="0" fontId="22" fillId="15" borderId="82" xfId="11" applyFont="1" applyFill="1" applyBorder="1" applyAlignment="1">
      <alignment horizontal="center" vertical="center"/>
    </xf>
    <xf numFmtId="0" fontId="103" fillId="23" borderId="0" xfId="0" applyFont="1" applyFill="1" applyAlignment="1">
      <alignment vertical="center" indent="1"/>
    </xf>
    <xf numFmtId="0" fontId="90" fillId="9" borderId="0" xfId="11" applyFont="1" applyFill="1" applyAlignment="1">
      <alignment vertical="top" wrapText="1"/>
    </xf>
    <xf numFmtId="0" fontId="89" fillId="47" borderId="0" xfId="11" applyFont="1" applyFill="1" applyAlignment="1">
      <alignment vertical="center" indent="1"/>
    </xf>
    <xf numFmtId="0" fontId="101" fillId="24" borderId="0" xfId="11" applyFont="1" applyFill="1" applyAlignment="1">
      <alignment vertical="center" indent="1"/>
    </xf>
    <xf numFmtId="0" fontId="91" fillId="9" borderId="0" xfId="0" applyFont="1" applyFill="1" applyAlignment="1">
      <alignment vertical="top" wrapText="1"/>
    </xf>
    <xf numFmtId="0" fontId="89" fillId="23" borderId="0" xfId="0" applyFont="1" applyFill="1" applyAlignment="1">
      <alignment vertical="center" indent="1"/>
    </xf>
    <xf numFmtId="0" fontId="89" fillId="47" borderId="0" xfId="0" applyFont="1" applyFill="1" applyAlignment="1">
      <alignment vertical="center" indent="1"/>
    </xf>
    <xf numFmtId="0" fontId="89" fillId="48" borderId="0" xfId="0" applyFont="1" applyFill="1" applyAlignment="1">
      <alignment horizontal="center" vertical="top" indent="1"/>
    </xf>
    <xf numFmtId="0" fontId="89" fillId="48" borderId="0" xfId="0" applyFont="1" applyFill="1" applyAlignment="1">
      <alignment vertical="top" wrapText="1" indent="1"/>
    </xf>
    <xf numFmtId="0" fontId="89" fillId="48" borderId="0" xfId="0" applyFont="1" applyFill="1" applyAlignment="1">
      <alignment vertical="top" indent="1"/>
    </xf>
    <xf numFmtId="0" fontId="89" fillId="49" borderId="0" xfId="0" applyFont="1" applyFill="1" applyAlignment="1">
      <alignment horizontal="center" vertical="top" indent="1"/>
    </xf>
    <xf numFmtId="0" fontId="89" fillId="49" borderId="0" xfId="0" applyFont="1" applyFill="1" applyAlignment="1">
      <alignment vertical="top" indent="1"/>
    </xf>
    <xf numFmtId="0" fontId="89" fillId="23" borderId="0" xfId="0" applyFont="1" applyFill="1" applyAlignment="1">
      <alignment vertical="top" indent="1"/>
    </xf>
    <xf numFmtId="0" fontId="89" fillId="19" borderId="0" xfId="0" applyFont="1" applyFill="1" applyAlignment="1">
      <alignment vertical="center" indent="1"/>
    </xf>
    <xf numFmtId="0" fontId="89" fillId="49" borderId="0" xfId="0" applyFont="1" applyFill="1" applyAlignment="1">
      <alignment vertical="center" indent="1"/>
    </xf>
    <xf numFmtId="0" fontId="88" fillId="23" borderId="0" xfId="0" applyFont="1" applyFill="1" applyAlignment="1">
      <alignment horizontal="left" vertical="center" indent="1"/>
    </xf>
    <xf numFmtId="0" fontId="90" fillId="9" borderId="0" xfId="0" applyFont="1" applyFill="1" applyAlignment="1">
      <alignment vertical="top" wrapText="1"/>
    </xf>
    <xf numFmtId="0" fontId="98" fillId="9" borderId="0" xfId="0" applyFont="1" applyFill="1" applyAlignment="1">
      <alignment wrapText="1"/>
    </xf>
    <xf numFmtId="0" fontId="0" fillId="9" borderId="0" xfId="0" applyFill="1" applyAlignment="1">
      <alignment vertical="top" wrapText="1"/>
    </xf>
    <xf numFmtId="0" fontId="18" fillId="9" borderId="0" xfId="0" applyFont="1" applyFill="1" applyAlignment="1">
      <alignment vertical="top" wrapText="1"/>
    </xf>
    <xf numFmtId="0" fontId="89" fillId="9" borderId="0" xfId="0" applyFont="1" applyFill="1" applyAlignment="1">
      <alignment vertical="center" indent="1"/>
    </xf>
    <xf numFmtId="0" fontId="97" fillId="9" borderId="0" xfId="0" applyFont="1" applyFill="1" applyAlignment="1">
      <alignment vertical="center" indent="1"/>
    </xf>
    <xf numFmtId="0" fontId="90" fillId="9" borderId="0" xfId="0" applyFont="1" applyFill="1" applyAlignment="1">
      <alignment wrapText="1"/>
    </xf>
    <xf numFmtId="0" fontId="91" fillId="9" borderId="0" xfId="0" applyFont="1" applyFill="1"/>
    <xf numFmtId="0" fontId="24" fillId="9" borderId="65" xfId="0" applyFont="1" applyFill="1" applyBorder="1" applyAlignment="1">
      <alignment horizontal="left" vertical="center"/>
    </xf>
    <xf numFmtId="0" fontId="24" fillId="9" borderId="0" xfId="0" applyFont="1" applyFill="1" applyAlignment="1">
      <alignment horizontal="left" vertical="center"/>
    </xf>
    <xf numFmtId="0" fontId="28" fillId="17" borderId="87" xfId="0" applyFont="1" applyFill="1" applyBorder="1" applyAlignment="1">
      <alignment horizontal="center" vertical="center"/>
    </xf>
    <xf numFmtId="0" fontId="28" fillId="17" borderId="87" xfId="0" applyFont="1" applyFill="1" applyBorder="1" applyAlignment="1">
      <alignment horizontal="left" vertical="center"/>
    </xf>
    <xf numFmtId="0" fontId="23" fillId="9" borderId="65" xfId="0" applyFont="1" applyFill="1" applyBorder="1" applyAlignment="1">
      <alignment horizontal="left" vertical="center"/>
    </xf>
    <xf numFmtId="0" fontId="23" fillId="9" borderId="0" xfId="0" applyFont="1" applyFill="1" applyAlignment="1">
      <alignment horizontal="left" vertical="center"/>
    </xf>
    <xf numFmtId="0" fontId="39" fillId="42" borderId="68" xfId="0" applyFont="1" applyFill="1" applyBorder="1" applyAlignment="1">
      <alignment horizontal="left" vertical="center"/>
    </xf>
    <xf numFmtId="0" fontId="22" fillId="34" borderId="65" xfId="0" applyFont="1" applyFill="1" applyBorder="1" applyAlignment="1">
      <alignment horizontal="center" vertical="center"/>
    </xf>
    <xf numFmtId="0" fontId="22" fillId="34" borderId="0" xfId="0" applyFont="1" applyFill="1" applyAlignment="1">
      <alignment horizontal="center" vertical="center"/>
    </xf>
    <xf numFmtId="0" fontId="39" fillId="42" borderId="1" xfId="0" applyFont="1" applyFill="1" applyBorder="1" applyAlignment="1">
      <alignment vertical="center"/>
    </xf>
    <xf numFmtId="0" fontId="21" fillId="36" borderId="0" xfId="0" applyFont="1" applyFill="1" applyAlignment="1">
      <alignment horizontal="center" vertical="center"/>
    </xf>
    <xf numFmtId="0" fontId="48" fillId="5" borderId="6" xfId="0" applyFont="1" applyFill="1" applyBorder="1" applyAlignment="1">
      <alignment horizontal="center" vertical="center"/>
    </xf>
    <xf numFmtId="0" fontId="23" fillId="9" borderId="0" xfId="0" applyFont="1" applyFill="1" applyAlignment="1">
      <alignment vertical="center"/>
    </xf>
    <xf numFmtId="0" fontId="22" fillId="2" borderId="1" xfId="0" applyFont="1" applyFill="1" applyBorder="1" applyAlignment="1">
      <alignment vertical="center"/>
    </xf>
    <xf numFmtId="0" fontId="23" fillId="9" borderId="1" xfId="0" applyFont="1" applyFill="1" applyBorder="1" applyAlignment="1">
      <alignment vertical="center"/>
    </xf>
    <xf numFmtId="0" fontId="50" fillId="9" borderId="53" xfId="0" applyFont="1" applyFill="1" applyBorder="1" applyAlignment="1">
      <alignment horizontal="left" vertical="center"/>
    </xf>
    <xf numFmtId="0" fontId="50" fillId="9" borderId="53" xfId="0" applyFont="1" applyFill="1" applyBorder="1" applyAlignment="1">
      <alignment horizontal="center" vertical="center"/>
    </xf>
    <xf numFmtId="0" fontId="68" fillId="9" borderId="0" xfId="0" applyFont="1" applyFill="1" applyAlignment="1">
      <alignment horizontal="left" vertical="center"/>
    </xf>
    <xf numFmtId="0" fontId="39" fillId="42" borderId="0" xfId="0" applyFont="1" applyFill="1" applyAlignment="1">
      <alignment horizontal="left" vertical="center"/>
    </xf>
    <xf numFmtId="0" fontId="39" fillId="42" borderId="0" xfId="0" applyFont="1" applyFill="1" applyAlignment="1">
      <alignment horizontal="center" vertical="center"/>
    </xf>
    <xf numFmtId="0" fontId="21" fillId="36" borderId="0" xfId="0" applyFont="1" applyFill="1" applyAlignment="1">
      <alignment horizontal="left" vertical="center"/>
    </xf>
    <xf numFmtId="0" fontId="22" fillId="23" borderId="64" xfId="0" applyFont="1" applyFill="1" applyBorder="1" applyAlignment="1">
      <alignment horizontal="left" vertical="center"/>
    </xf>
    <xf numFmtId="0" fontId="22" fillId="23" borderId="0" xfId="0" applyFont="1" applyFill="1" applyAlignment="1">
      <alignment horizontal="center" vertical="center"/>
    </xf>
    <xf numFmtId="0" fontId="39" fillId="42" borderId="83" xfId="0" applyFont="1" applyFill="1" applyBorder="1" applyAlignment="1">
      <alignment horizontal="center" vertical="center"/>
    </xf>
    <xf numFmtId="0" fontId="75" fillId="9" borderId="92" xfId="0" applyFont="1" applyFill="1" applyBorder="1" applyAlignment="1">
      <alignment horizontal="center" vertical="center"/>
    </xf>
    <xf numFmtId="180" fontId="76" fillId="16" borderId="0" xfId="0" applyNumberFormat="1" applyFont="1" applyFill="1" applyAlignment="1">
      <alignment horizontal="center" vertical="center"/>
    </xf>
    <xf numFmtId="180" fontId="25" fillId="16" borderId="0" xfId="0" applyNumberFormat="1" applyFont="1" applyFill="1" applyAlignment="1">
      <alignment horizontal="center" vertical="center"/>
    </xf>
    <xf numFmtId="180" fontId="76" fillId="16" borderId="90" xfId="0" applyNumberFormat="1" applyFont="1" applyFill="1" applyBorder="1" applyAlignment="1">
      <alignment horizontal="center" vertical="center"/>
    </xf>
    <xf numFmtId="180" fontId="76" fillId="20" borderId="0" xfId="0" applyNumberFormat="1" applyFont="1" applyFill="1" applyAlignment="1">
      <alignment horizontal="center" vertical="center"/>
    </xf>
    <xf numFmtId="180" fontId="25" fillId="20" borderId="0" xfId="0" applyNumberFormat="1" applyFont="1" applyFill="1" applyAlignment="1">
      <alignment horizontal="center" vertical="center"/>
    </xf>
    <xf numFmtId="180" fontId="76" fillId="20" borderId="90" xfId="0" applyNumberFormat="1" applyFont="1" applyFill="1" applyBorder="1" applyAlignment="1">
      <alignment horizontal="center" vertical="center"/>
    </xf>
    <xf numFmtId="181" fontId="76" fillId="40" borderId="0" xfId="0" applyNumberFormat="1" applyFont="1" applyFill="1" applyAlignment="1">
      <alignment horizontal="center" vertical="center"/>
    </xf>
    <xf numFmtId="181" fontId="25" fillId="40" borderId="0" xfId="0" applyNumberFormat="1" applyFont="1" applyFill="1" applyAlignment="1">
      <alignment horizontal="center" vertical="center"/>
    </xf>
    <xf numFmtId="181" fontId="76" fillId="40" borderId="90" xfId="0" applyNumberFormat="1" applyFont="1" applyFill="1" applyBorder="1" applyAlignment="1">
      <alignment horizontal="center" vertical="center"/>
    </xf>
    <xf numFmtId="180" fontId="76" fillId="40" borderId="0" xfId="0" applyNumberFormat="1" applyFont="1" applyFill="1" applyAlignment="1">
      <alignment horizontal="center" vertical="center"/>
    </xf>
    <xf numFmtId="180" fontId="25" fillId="40" borderId="0" xfId="0" applyNumberFormat="1" applyFont="1" applyFill="1" applyAlignment="1">
      <alignment horizontal="center" vertical="center"/>
    </xf>
    <xf numFmtId="180" fontId="76" fillId="40" borderId="90" xfId="0" applyNumberFormat="1" applyFont="1" applyFill="1" applyBorder="1" applyAlignment="1">
      <alignment horizontal="center" vertical="center"/>
    </xf>
    <xf numFmtId="0" fontId="22" fillId="12" borderId="83" xfId="0" applyFont="1" applyFill="1" applyBorder="1" applyAlignment="1">
      <alignment horizontal="center" vertical="center"/>
    </xf>
    <xf numFmtId="180" fontId="77" fillId="17" borderId="0" xfId="0" applyNumberFormat="1" applyFont="1" applyFill="1" applyAlignment="1">
      <alignment horizontal="center" vertical="center"/>
    </xf>
    <xf numFmtId="180" fontId="25" fillId="17" borderId="0" xfId="0" applyNumberFormat="1" applyFont="1" applyFill="1" applyAlignment="1">
      <alignment horizontal="center" vertical="center"/>
    </xf>
    <xf numFmtId="180" fontId="77" fillId="17" borderId="90" xfId="0" applyNumberFormat="1" applyFont="1" applyFill="1" applyBorder="1" applyAlignment="1">
      <alignment horizontal="center" vertical="center"/>
    </xf>
    <xf numFmtId="180" fontId="30" fillId="41" borderId="0" xfId="0" applyNumberFormat="1" applyFont="1" applyFill="1" applyAlignment="1">
      <alignment horizontal="center" vertical="center"/>
    </xf>
    <xf numFmtId="180" fontId="25" fillId="41" borderId="0" xfId="0" applyNumberFormat="1" applyFont="1" applyFill="1" applyAlignment="1">
      <alignment horizontal="center" vertical="center"/>
    </xf>
    <xf numFmtId="180" fontId="30" fillId="41" borderId="91" xfId="0" applyNumberFormat="1" applyFont="1" applyFill="1" applyBorder="1" applyAlignment="1">
      <alignment horizontal="center" vertical="center"/>
    </xf>
    <xf numFmtId="0" fontId="22" fillId="43" borderId="83" xfId="0" applyFont="1" applyFill="1" applyBorder="1" applyAlignment="1">
      <alignment horizontal="left" vertical="center" wrapText="1"/>
    </xf>
    <xf numFmtId="0" fontId="22" fillId="43" borderId="83" xfId="0" applyFont="1" applyFill="1" applyBorder="1" applyAlignment="1">
      <alignment horizontal="center" vertical="center" wrapText="1"/>
    </xf>
    <xf numFmtId="0" fontId="47" fillId="43" borderId="0" xfId="0" applyFont="1" applyFill="1" applyAlignment="1">
      <alignment horizontal="center" wrapText="1"/>
    </xf>
    <xf numFmtId="203" fontId="85" fillId="46" borderId="0" xfId="0" applyNumberFormat="1" applyFont="1" applyFill="1" applyAlignment="1">
      <alignment horizontal="center"/>
    </xf>
    <xf numFmtId="0" fontId="86" fillId="9" borderId="0" xfId="0" applyFont="1" applyFill="1" applyAlignment="1">
      <alignment horizontal="center"/>
    </xf>
    <xf numFmtId="0" fontId="82" fillId="43" borderId="0" xfId="0" applyFont="1" applyFill="1" applyAlignment="1">
      <alignment horizontal="center" wrapText="1"/>
    </xf>
    <xf numFmtId="203" fontId="83" fillId="46" borderId="0" xfId="0" applyNumberFormat="1" applyFont="1" applyFill="1" applyAlignment="1">
      <alignment horizontal="center"/>
    </xf>
    <xf numFmtId="0" fontId="84" fillId="9" borderId="0" xfId="0" applyFont="1" applyFill="1" applyAlignment="1">
      <alignment horizontal="center"/>
    </xf>
    <xf numFmtId="165" fontId="85" fillId="46" borderId="0" xfId="0" applyNumberFormat="1" applyFont="1" applyFill="1" applyAlignment="1">
      <alignment horizontal="center"/>
    </xf>
    <xf numFmtId="0" fontId="39" fillId="42" borderId="0" xfId="0" applyFont="1" applyFill="1" applyAlignment="1">
      <alignment vertical="center"/>
    </xf>
    <xf numFmtId="0" fontId="45" fillId="9" borderId="0" xfId="0" applyFont="1" applyFill="1" applyAlignment="1">
      <alignment vertical="center"/>
    </xf>
    <xf numFmtId="0" fontId="81" fillId="46" borderId="0" xfId="0" applyFont="1" applyFill="1" applyAlignment="1">
      <alignment vertical="center"/>
    </xf>
    <xf numFmtId="0" fontId="81" fillId="46" borderId="110" xfId="0" applyFont="1" applyFill="1" applyBorder="1" applyAlignment="1">
      <alignment vertical="center"/>
    </xf>
    <xf numFmtId="0" fontId="22" fillId="43" borderId="82" xfId="0" applyFont="1" applyFill="1" applyBorder="1" applyAlignment="1">
      <alignment horizontal="center" vertical="center" wrapText="1"/>
    </xf>
  </cellXfs>
  <cellStyles count="12">
    <cellStyle name="Comma" xfId="1" builtinId="3"/>
    <cellStyle name="Comma 2" xfId="5" xr:uid="{7EF122C8-8450-439D-B18C-D012484432C0}"/>
    <cellStyle name="Comma 3" xfId="9" xr:uid="{3902AEA9-CCBD-46C5-BB84-023875095FE1}"/>
    <cellStyle name="Hyperlink" xfId="7" builtinId="8"/>
    <cellStyle name="Normal" xfId="0" builtinId="0"/>
    <cellStyle name="Normal 2" xfId="3" xr:uid="{058E1E32-9E07-443B-A8FD-A7B19998B659}"/>
    <cellStyle name="Normal 3" xfId="6" xr:uid="{10431F5C-9205-4667-9F2A-CBDB1F73C4B8}"/>
    <cellStyle name="Normal 4" xfId="8" xr:uid="{94FDDBAF-D795-439A-9906-3BDC64FBB777}"/>
    <cellStyle name="Normal 5" xfId="11" xr:uid="{1C13EBA2-4DA1-4A1C-8B24-E6D1FAFF54C4}"/>
    <cellStyle name="Percent" xfId="2" builtinId="5"/>
    <cellStyle name="Percent 2" xfId="4" xr:uid="{A9B5BA3B-64FF-4880-8A61-435F7FF7D305}"/>
    <cellStyle name="Percent 3" xfId="10" xr:uid="{BC43F628-F772-4D64-8BF1-9AF90A21F098}"/>
  </cellStyles>
  <dxfs count="22">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C00000"/>
      </font>
      <fill>
        <patternFill patternType="solid">
          <fgColor indexed="64"/>
          <bgColor rgb="FFFCE4D6"/>
        </patternFill>
      </fill>
    </dxf>
    <dxf>
      <font>
        <color rgb="FF7F6000"/>
      </font>
      <fill>
        <patternFill patternType="solid">
          <fgColor indexed="64"/>
          <bgColor rgb="FFFFF2CC"/>
        </patternFill>
      </fill>
    </dxf>
    <dxf>
      <font>
        <b/>
        <i val="0"/>
        <color rgb="FF385723"/>
      </font>
      <fill>
        <patternFill patternType="solid">
          <fgColor indexed="64"/>
          <bgColor rgb="FFE2EFDA"/>
        </patternFill>
      </fill>
    </dxf>
    <dxf>
      <fill>
        <patternFill patternType="solid">
          <fgColor indexed="64"/>
          <bgColor rgb="FFC6EFCE"/>
        </patternFill>
      </fill>
    </dxf>
    <dxf>
      <fill>
        <patternFill patternType="solid">
          <fgColor indexed="64"/>
          <bgColor rgb="FFF8CBAD"/>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B0000"/>
      <rgbColor rgb="FF008000"/>
      <rgbColor rgb="FF002060"/>
      <rgbColor rgb="FFBF8F00"/>
      <rgbColor rgb="FF800080"/>
      <rgbColor rgb="FF1F4E79"/>
      <rgbColor rgb="FFBFBFBF"/>
      <rgbColor rgb="FF808080"/>
      <rgbColor rgb="FF878787"/>
      <rgbColor rgb="FFC0504D"/>
      <rgbColor rgb="FFFFF2CC"/>
      <rgbColor rgb="FFD9EAF7"/>
      <rgbColor rgb="FF375623"/>
      <rgbColor rgb="FF7F7F7F"/>
      <rgbColor rgb="FF376092"/>
      <rgbColor rgb="FFC6D9F1"/>
      <rgbColor rgb="FF006100"/>
      <rgbColor rgb="FFFF00FF"/>
      <rgbColor rgb="FFFFFF00"/>
      <rgbColor rgb="FF00FFFF"/>
      <rgbColor rgb="FF800080"/>
      <rgbColor rgb="FF9C0006"/>
      <rgbColor rgb="FF1F4E78"/>
      <rgbColor rgb="FF0000FF"/>
      <rgbColor rgb="FF4F81BD"/>
      <rgbColor rgb="FFF2F2F2"/>
      <rgbColor rgb="FFC6EFCE"/>
      <rgbColor rgb="FFD9D9D9"/>
      <rgbColor rgb="FFBDD7EE"/>
      <rgbColor rgb="FFD6DCE4"/>
      <rgbColor rgb="FFCCCCCC"/>
      <rgbColor rgb="FFFFC7CE"/>
      <rgbColor rgb="FF4472C4"/>
      <rgbColor rgb="FF4BACC6"/>
      <rgbColor rgb="FF9BBB59"/>
      <rgbColor rgb="FFD9E1F2"/>
      <rgbColor rgb="FFF79646"/>
      <rgbColor rgb="FFFF6600"/>
      <rgbColor rgb="FF8064A2"/>
      <rgbColor rgb="FF999999"/>
      <rgbColor rgb="FF003366"/>
      <rgbColor rgb="FF00B050"/>
      <rgbColor rgb="FF1B2A4A"/>
      <rgbColor rgb="FF404040"/>
      <rgbColor rgb="FF666666"/>
      <rgbColor rgb="FF595959"/>
      <rgbColor rgb="FF1F497D"/>
      <rgbColor rgb="FF333333"/>
      <rgbColor rgb="00003366"/>
      <rgbColor rgb="00339966"/>
      <rgbColor rgb="00003300"/>
      <rgbColor rgb="00333300"/>
      <rgbColor rgb="00993300"/>
      <rgbColor rgb="00993366"/>
      <rgbColor rgb="00333399"/>
      <rgbColor rgb="00333333"/>
    </indexedColors>
    <mruColors>
      <color rgb="FFFFFF66"/>
      <color rgb="FF01AF1A"/>
      <color rgb="FF66CCFF"/>
      <color rgb="FF66FFFF"/>
      <color rgb="FF66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US" sz="1400" b="0" strike="noStrike">
                <a:solidFill>
                  <a:srgbClr val="595959"/>
                </a:solidFill>
                <a:uFillTx/>
                <a:latin typeface="Calibri"/>
              </a:rPr>
              <a:t>Ventas por Rubro</a:t>
            </a:r>
          </a:p>
        </c:rich>
      </c:tx>
      <c:overlay val="0"/>
      <c:spPr>
        <a:noFill/>
        <a:ln w="0">
          <a:noFill/>
          <a:prstDash val="solid"/>
        </a:ln>
      </c:spPr>
    </c:title>
    <c:autoTitleDeleted val="0"/>
    <c:plotArea>
      <c:layout/>
      <c:barChart>
        <c:barDir val="col"/>
        <c:grouping val="stacked"/>
        <c:varyColors val="0"/>
        <c:ser>
          <c:idx val="0"/>
          <c:order val="0"/>
          <c:tx>
            <c:strRef>
              <c:f>Revenue!$B$6</c:f>
              <c:strCache>
                <c:ptCount val="1"/>
                <c:pt idx="0">
                  <c:v>MRR</c:v>
                </c:pt>
              </c:strCache>
            </c:strRef>
          </c:tx>
          <c:spPr>
            <a:solidFill>
              <a:srgbClr val="4F81B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Revenue!$D$6:$O$6</c:f>
              <c:numCache>
                <c:formatCode>#,##0;\(#,##0\);"–"</c:formatCode>
                <c:ptCount val="12"/>
                <c:pt idx="0">
                  <c:v>79848.385775613511</c:v>
                </c:pt>
                <c:pt idx="1">
                  <c:v>86653.101639764005</c:v>
                </c:pt>
                <c:pt idx="2">
                  <c:v>106779.86560105957</c:v>
                </c:pt>
                <c:pt idx="3">
                  <c:v>88804.184635266327</c:v>
                </c:pt>
                <c:pt idx="4">
                  <c:v>110006.49009431306</c:v>
                </c:pt>
                <c:pt idx="5">
                  <c:v>96642.160267526633</c:v>
                </c:pt>
                <c:pt idx="6">
                  <c:v>102662.68217723571</c:v>
                </c:pt>
                <c:pt idx="7">
                  <c:v>100444.21267511751</c:v>
                </c:pt>
                <c:pt idx="8">
                  <c:v>120090.02196174303</c:v>
                </c:pt>
                <c:pt idx="9">
                  <c:v>117961.40113511265</c:v>
                </c:pt>
                <c:pt idx="10">
                  <c:v>119498.07774676449</c:v>
                </c:pt>
                <c:pt idx="11">
                  <c:v>128545.70723798205</c:v>
                </c:pt>
              </c:numCache>
            </c:numRef>
          </c:val>
          <c:extLst>
            <c:ext xmlns:c16="http://schemas.microsoft.com/office/drawing/2014/chart" uri="{C3380CC4-5D6E-409C-BE32-E72D297353CC}">
              <c16:uniqueId val="{00000000-B5DB-4D74-B55C-5AE32D51986F}"/>
            </c:ext>
          </c:extLst>
        </c:ser>
        <c:ser>
          <c:idx val="1"/>
          <c:order val="1"/>
          <c:tx>
            <c:strRef>
              <c:f>Revenue!$B$7</c:f>
              <c:strCache>
                <c:ptCount val="1"/>
                <c:pt idx="0">
                  <c:v>Upsell / Cross-sell (expansion)</c:v>
                </c:pt>
              </c:strCache>
            </c:strRef>
          </c:tx>
          <c:spPr>
            <a:solidFill>
              <a:srgbClr val="C0504D"/>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Revenue!$D$7:$O$7</c:f>
              <c:numCache>
                <c:formatCode>#,##0;\(#,##0\);"–"</c:formatCode>
                <c:ptCount val="12"/>
                <c:pt idx="0">
                  <c:v>16654.34505435203</c:v>
                </c:pt>
                <c:pt idx="1">
                  <c:v>18073.635937912975</c:v>
                </c:pt>
                <c:pt idx="2">
                  <c:v>22271.567662930844</c:v>
                </c:pt>
                <c:pt idx="3">
                  <c:v>18522.297211395926</c:v>
                </c:pt>
                <c:pt idx="4">
                  <c:v>22944.559573155275</c:v>
                </c:pt>
                <c:pt idx="5">
                  <c:v>20157.099836887868</c:v>
                </c:pt>
                <c:pt idx="6">
                  <c:v>21412.827780760766</c:v>
                </c:pt>
                <c:pt idx="7">
                  <c:v>20950.111393673615</c:v>
                </c:pt>
                <c:pt idx="8">
                  <c:v>25047.728190222326</c:v>
                </c:pt>
                <c:pt idx="9">
                  <c:v>24603.751954607436</c:v>
                </c:pt>
                <c:pt idx="10">
                  <c:v>24924.263662875663</c:v>
                </c:pt>
                <c:pt idx="11">
                  <c:v>26811.369357086056</c:v>
                </c:pt>
              </c:numCache>
            </c:numRef>
          </c:val>
          <c:extLst>
            <c:ext xmlns:c16="http://schemas.microsoft.com/office/drawing/2014/chart" uri="{C3380CC4-5D6E-409C-BE32-E72D297353CC}">
              <c16:uniqueId val="{00000001-B5DB-4D74-B55C-5AE32D51986F}"/>
            </c:ext>
          </c:extLst>
        </c:ser>
        <c:ser>
          <c:idx val="2"/>
          <c:order val="2"/>
          <c:tx>
            <c:strRef>
              <c:f>Revenue!$B$8</c:f>
              <c:strCache>
                <c:ptCount val="1"/>
                <c:pt idx="0">
                  <c:v>New Business LATAM</c:v>
                </c:pt>
              </c:strCache>
            </c:strRef>
          </c:tx>
          <c:spPr>
            <a:solidFill>
              <a:srgbClr val="9BBB59"/>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Revenue!$D$8:$O$8</c:f>
              <c:numCache>
                <c:formatCode>#,##0;\(#,##0\);"–"</c:formatCode>
                <c:ptCount val="12"/>
                <c:pt idx="0">
                  <c:v>49963.039688690886</c:v>
                </c:pt>
                <c:pt idx="1">
                  <c:v>54220.912725050373</c:v>
                </c:pt>
                <c:pt idx="2">
                  <c:v>66814.709040845672</c:v>
                </c:pt>
                <c:pt idx="3">
                  <c:v>55566.89666741799</c:v>
                </c:pt>
                <c:pt idx="4">
                  <c:v>68833.684954397104</c:v>
                </c:pt>
                <c:pt idx="5">
                  <c:v>60471.304988133408</c:v>
                </c:pt>
                <c:pt idx="6">
                  <c:v>64238.489160982346</c:v>
                </c:pt>
                <c:pt idx="7">
                  <c:v>62850.339873982812</c:v>
                </c:pt>
                <c:pt idx="8">
                  <c:v>75143.191377111158</c:v>
                </c:pt>
                <c:pt idx="9">
                  <c:v>73811.262549620849</c:v>
                </c:pt>
                <c:pt idx="10">
                  <c:v>74772.79776152104</c:v>
                </c:pt>
                <c:pt idx="11">
                  <c:v>80434.115356952418</c:v>
                </c:pt>
              </c:numCache>
            </c:numRef>
          </c:val>
          <c:extLst>
            <c:ext xmlns:c16="http://schemas.microsoft.com/office/drawing/2014/chart" uri="{C3380CC4-5D6E-409C-BE32-E72D297353CC}">
              <c16:uniqueId val="{00000002-B5DB-4D74-B55C-5AE32D51986F}"/>
            </c:ext>
          </c:extLst>
        </c:ser>
        <c:ser>
          <c:idx val="3"/>
          <c:order val="3"/>
          <c:tx>
            <c:strRef>
              <c:f>Revenue!$B$9</c:f>
              <c:strCache>
                <c:ptCount val="1"/>
                <c:pt idx="0">
                  <c:v>New Business Gobierno y Enterprise</c:v>
                </c:pt>
              </c:strCache>
            </c:strRef>
          </c:tx>
          <c:spPr>
            <a:solidFill>
              <a:srgbClr val="8064A2"/>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Revenue!$D$9:$O$9</c:f>
              <c:numCache>
                <c:formatCode>#,##0;\(#,##0\);"–"</c:formatCode>
                <c:ptCount val="12"/>
                <c:pt idx="0">
                  <c:v>46246.452635481262</c:v>
                </c:pt>
                <c:pt idx="1">
                  <c:v>50187.596427588505</c:v>
                </c:pt>
                <c:pt idx="2">
                  <c:v>61844.581439874622</c:v>
                </c:pt>
                <c:pt idx="3">
                  <c:v>51433.457028277939</c:v>
                </c:pt>
                <c:pt idx="4">
                  <c:v>63713.372340908776</c:v>
                </c:pt>
                <c:pt idx="5">
                  <c:v>55973.042460274075</c:v>
                </c:pt>
                <c:pt idx="6">
                  <c:v>59459.998127989937</c:v>
                </c:pt>
                <c:pt idx="7">
                  <c:v>58175.108724699043</c:v>
                </c:pt>
                <c:pt idx="8">
                  <c:v>69553.5352243003</c:v>
                </c:pt>
                <c:pt idx="9">
                  <c:v>68320.684224478027</c:v>
                </c:pt>
                <c:pt idx="10">
                  <c:v>69210.693977918927</c:v>
                </c:pt>
                <c:pt idx="11">
                  <c:v>74450.884680143063</c:v>
                </c:pt>
              </c:numCache>
            </c:numRef>
          </c:val>
          <c:extLst>
            <c:ext xmlns:c16="http://schemas.microsoft.com/office/drawing/2014/chart" uri="{C3380CC4-5D6E-409C-BE32-E72D297353CC}">
              <c16:uniqueId val="{00000003-B5DB-4D74-B55C-5AE32D51986F}"/>
            </c:ext>
          </c:extLst>
        </c:ser>
        <c:ser>
          <c:idx val="4"/>
          <c:order val="4"/>
          <c:tx>
            <c:strRef>
              <c:f>Revenue!$B$10</c:f>
              <c:strCache>
                <c:ptCount val="1"/>
                <c:pt idx="0">
                  <c:v>One-off (Implementation)</c:v>
                </c:pt>
              </c:strCache>
            </c:strRef>
          </c:tx>
          <c:spPr>
            <a:solidFill>
              <a:srgbClr val="4BACC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Revenue!$D$10:$O$10</c:f>
              <c:numCache>
                <c:formatCode>#,##0;\(#,##0\);"–"</c:formatCode>
                <c:ptCount val="12"/>
                <c:pt idx="0">
                  <c:v>10892.430004364305</c:v>
                </c:pt>
                <c:pt idx="1">
                  <c:v>11820.687858670028</c:v>
                </c:pt>
                <c:pt idx="2">
                  <c:v>14566.258298614084</c:v>
                </c:pt>
                <c:pt idx="3">
                  <c:v>12114.125487176767</c:v>
                </c:pt>
                <c:pt idx="4">
                  <c:v>15006.414741374196</c:v>
                </c:pt>
                <c:pt idx="5">
                  <c:v>13183.334339942114</c:v>
                </c:pt>
                <c:pt idx="6">
                  <c:v>14004.617235698235</c:v>
                </c:pt>
                <c:pt idx="7">
                  <c:v>13701.987150770214</c:v>
                </c:pt>
                <c:pt idx="8">
                  <c:v>16381.94868606043</c:v>
                </c:pt>
                <c:pt idx="9">
                  <c:v>16091.575209694116</c:v>
                </c:pt>
                <c:pt idx="10">
                  <c:v>16301.199264948009</c:v>
                </c:pt>
                <c:pt idx="11">
                  <c:v>17535.421722687508</c:v>
                </c:pt>
              </c:numCache>
            </c:numRef>
          </c:val>
          <c:extLst>
            <c:ext xmlns:c16="http://schemas.microsoft.com/office/drawing/2014/chart" uri="{C3380CC4-5D6E-409C-BE32-E72D297353CC}">
              <c16:uniqueId val="{00000004-B5DB-4D74-B55C-5AE32D51986F}"/>
            </c:ext>
          </c:extLst>
        </c:ser>
        <c:ser>
          <c:idx val="5"/>
          <c:order val="5"/>
          <c:tx>
            <c:strRef>
              <c:f>Revenue!$B$11</c:f>
              <c:strCache>
                <c:ptCount val="1"/>
                <c:pt idx="0">
                  <c:v>One-off (Interoperability)</c:v>
                </c:pt>
              </c:strCache>
            </c:strRef>
          </c:tx>
          <c:spPr>
            <a:solidFill>
              <a:srgbClr val="F79646"/>
            </a:solidFill>
            <a:ln w="0">
              <a:noFill/>
              <a:prstDash val="solid"/>
            </a:ln>
          </c:spPr>
          <c:invertIfNegative val="0"/>
          <c:dLbls>
            <c:spPr>
              <a:noFill/>
              <a:ln>
                <a:noFill/>
                <a:prstDash val="solid"/>
              </a:ln>
            </c:spPr>
            <c:txPr>
              <a:bodyPr wrap="square"/>
              <a:lstStyle/>
              <a:p>
                <a:pPr>
                  <a:defRPr sz="1000" b="0" strike="noStrike">
                    <a:solidFill>
                      <a:srgbClr val="000000"/>
                    </a:solidFill>
                    <a:uFillTx/>
                    <a:latin typeface="Calibri"/>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Revenue!$D$5:$O$5</c:f>
              <c:strCache>
                <c:ptCount val="12"/>
                <c:pt idx="0">
                  <c:v>2026-01</c:v>
                </c:pt>
                <c:pt idx="1">
                  <c:v>2026-02</c:v>
                </c:pt>
                <c:pt idx="2">
                  <c:v>2026-03</c:v>
                </c:pt>
                <c:pt idx="3">
                  <c:v>2026-04</c:v>
                </c:pt>
                <c:pt idx="4">
                  <c:v>2026-05</c:v>
                </c:pt>
                <c:pt idx="5">
                  <c:v>2026-06</c:v>
                </c:pt>
                <c:pt idx="6">
                  <c:v>2026-07</c:v>
                </c:pt>
                <c:pt idx="7">
                  <c:v>2026-08</c:v>
                </c:pt>
                <c:pt idx="8">
                  <c:v>2026-09</c:v>
                </c:pt>
                <c:pt idx="9">
                  <c:v>2026-10</c:v>
                </c:pt>
                <c:pt idx="10">
                  <c:v>2026-11</c:v>
                </c:pt>
                <c:pt idx="11">
                  <c:v>2026-12</c:v>
                </c:pt>
              </c:strCache>
            </c:strRef>
          </c:cat>
          <c:val>
            <c:numRef>
              <c:f>Revenue!$D$11:$O$11</c:f>
              <c:numCache>
                <c:formatCode>#,##0;\(#,##0\);"–"</c:formatCode>
                <c:ptCount val="12"/>
                <c:pt idx="0">
                  <c:v>5865.1546177346254</c:v>
                </c:pt>
                <c:pt idx="1">
                  <c:v>6364.985770053092</c:v>
                </c:pt>
                <c:pt idx="2">
                  <c:v>7843.3698530998918</c:v>
                </c:pt>
                <c:pt idx="3">
                  <c:v>6522.9906469413363</c:v>
                </c:pt>
                <c:pt idx="4">
                  <c:v>8080.3771684322592</c:v>
                </c:pt>
                <c:pt idx="5">
                  <c:v>7098.7184907380606</c:v>
                </c:pt>
                <c:pt idx="6">
                  <c:v>7540.9477422990494</c:v>
                </c:pt>
                <c:pt idx="7">
                  <c:v>7377.9930811839613</c:v>
                </c:pt>
                <c:pt idx="8">
                  <c:v>8821.0492924940772</c:v>
                </c:pt>
                <c:pt idx="9">
                  <c:v>8664.6943436814472</c:v>
                </c:pt>
                <c:pt idx="10">
                  <c:v>8777.568834972004</c:v>
                </c:pt>
                <c:pt idx="11">
                  <c:v>9442.1501583701975</c:v>
                </c:pt>
              </c:numCache>
            </c:numRef>
          </c:val>
          <c:extLst>
            <c:ext xmlns:c16="http://schemas.microsoft.com/office/drawing/2014/chart" uri="{C3380CC4-5D6E-409C-BE32-E72D297353CC}">
              <c16:uniqueId val="{00000005-B5DB-4D74-B55C-5AE32D51986F}"/>
            </c:ext>
          </c:extLst>
        </c:ser>
        <c:dLbls>
          <c:showLegendKey val="0"/>
          <c:showVal val="0"/>
          <c:showCatName val="0"/>
          <c:showSerName val="0"/>
          <c:showPercent val="0"/>
          <c:showBubbleSize val="0"/>
        </c:dLbls>
        <c:gapWidth val="150"/>
        <c:overlap val="100"/>
        <c:axId val="85690820"/>
        <c:axId val="9744405"/>
      </c:barChart>
      <c:catAx>
        <c:axId val="85690820"/>
        <c:scaling>
          <c:orientation val="minMax"/>
        </c:scaling>
        <c:delete val="0"/>
        <c:axPos val="b"/>
        <c:numFmt formatCode="General" sourceLinked="0"/>
        <c:majorTickMark val="none"/>
        <c:minorTickMark val="none"/>
        <c:tickLblPos val="nextTo"/>
        <c:spPr>
          <a:ln w="9360">
            <a:solidFill>
              <a:srgbClr val="D9D9D9"/>
            </a:solidFill>
            <a:prstDash val="solid"/>
            <a:round/>
          </a:ln>
        </c:spPr>
        <c:txPr>
          <a:bodyPr/>
          <a:lstStyle/>
          <a:p>
            <a:pPr>
              <a:defRPr sz="900" b="0" strike="noStrike">
                <a:solidFill>
                  <a:srgbClr val="595959"/>
                </a:solidFill>
                <a:uFillTx/>
                <a:latin typeface="Calibri"/>
              </a:defRPr>
            </a:pPr>
            <a:endParaRPr lang="en-US"/>
          </a:p>
        </c:txPr>
        <c:crossAx val="9744405"/>
        <c:crosses val="autoZero"/>
        <c:auto val="1"/>
        <c:lblAlgn val="ctr"/>
        <c:lblOffset val="100"/>
        <c:noMultiLvlLbl val="0"/>
      </c:catAx>
      <c:valAx>
        <c:axId val="9744405"/>
        <c:scaling>
          <c:orientation val="minMax"/>
        </c:scaling>
        <c:delete val="0"/>
        <c:axPos val="l"/>
        <c:majorGridlines>
          <c:spPr>
            <a:ln w="9360">
              <a:solidFill>
                <a:srgbClr val="D9D9D9"/>
              </a:solidFill>
              <a:prstDash val="solid"/>
              <a:round/>
            </a:ln>
          </c:spPr>
        </c:majorGridlines>
        <c:numFmt formatCode="_-* #,##0_-;\-* #,##0_-;_-* \-??_-;_-@_-" sourceLinked="0"/>
        <c:majorTickMark val="none"/>
        <c:minorTickMark val="none"/>
        <c:tickLblPos val="nextTo"/>
        <c:spPr>
          <a:ln w="9360">
            <a:noFill/>
            <a:prstDash val="solid"/>
          </a:ln>
        </c:spPr>
        <c:txPr>
          <a:bodyPr/>
          <a:lstStyle/>
          <a:p>
            <a:pPr>
              <a:defRPr sz="900" b="0" strike="noStrike">
                <a:solidFill>
                  <a:srgbClr val="595959"/>
                </a:solidFill>
                <a:uFillTx/>
                <a:latin typeface="Calibri"/>
              </a:defRPr>
            </a:pPr>
            <a:endParaRPr lang="en-US"/>
          </a:p>
        </c:txPr>
        <c:crossAx val="85690820"/>
        <c:crosses val="autoZero"/>
        <c:crossBetween val="between"/>
      </c:valAx>
    </c:plotArea>
    <c:legend>
      <c:legendPos val="b"/>
      <c:overlay val="0"/>
      <c:spPr>
        <a:noFill/>
        <a:ln w="0">
          <a:noFill/>
          <a:prstDash val="solid"/>
        </a:ln>
      </c:spPr>
      <c:txPr>
        <a:bodyPr/>
        <a:lstStyle/>
        <a:p>
          <a:pPr>
            <a:defRPr sz="900" b="0" strike="noStrike">
              <a:solidFill>
                <a:srgbClr val="595959"/>
              </a:solidFill>
              <a:uFillTx/>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Inputs!$D$32:$Q$32</c:f>
              <c:numCache>
                <c:formatCode>0.00\x</c:formatCode>
                <c:ptCount val="14"/>
                <c:pt idx="0">
                  <c:v>0.76170839191358797</c:v>
                </c:pt>
                <c:pt idx="1">
                  <c:v>0.82662152857832405</c:v>
                </c:pt>
                <c:pt idx="2">
                  <c:v>1.01861946144154</c:v>
                </c:pt>
                <c:pt idx="3">
                  <c:v>0.84718761962596101</c:v>
                </c:pt>
                <c:pt idx="4">
                  <c:v>1.0493890710813101</c:v>
                </c:pt>
                <c:pt idx="5">
                  <c:v>0.92190076279325195</c:v>
                </c:pt>
                <c:pt idx="6">
                  <c:v>0.97934386263624396</c:v>
                </c:pt>
                <c:pt idx="7">
                  <c:v>0.95818091963435204</c:v>
                </c:pt>
                <c:pt idx="10">
                  <c:v>1.14591081720879</c:v>
                </c:pt>
                <c:pt idx="11">
                  <c:v>1.12511730086689</c:v>
                </c:pt>
                <c:pt idx="12">
                  <c:v>1.1397767085167101</c:v>
                </c:pt>
                <c:pt idx="13">
                  <c:v>1.2265049908938901</c:v>
                </c:pt>
              </c:numCache>
            </c:numRef>
          </c:val>
          <c:extLst>
            <c:ext xmlns:c16="http://schemas.microsoft.com/office/drawing/2014/chart" uri="{C3380CC4-5D6E-409C-BE32-E72D297353CC}">
              <c16:uniqueId val="{00000000-27FE-4D93-A97A-BCC8332682AD}"/>
            </c:ext>
          </c:extLst>
        </c:ser>
        <c:dLbls>
          <c:showLegendKey val="0"/>
          <c:showVal val="0"/>
          <c:showCatName val="0"/>
          <c:showSerName val="0"/>
          <c:showPercent val="0"/>
          <c:showBubbleSize val="0"/>
        </c:dLbls>
        <c:gapWidth val="219"/>
        <c:axId val="1445918224"/>
        <c:axId val="1445912464"/>
      </c:barChart>
      <c:catAx>
        <c:axId val="144591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2464"/>
        <c:crosses val="autoZero"/>
        <c:auto val="1"/>
        <c:lblAlgn val="ctr"/>
        <c:lblOffset val="100"/>
        <c:noMultiLvlLbl val="0"/>
      </c:catAx>
      <c:valAx>
        <c:axId val="1445912464"/>
        <c:scaling>
          <c:orientation val="minMax"/>
        </c:scaling>
        <c:delete val="0"/>
        <c:axPos val="l"/>
        <c:majorGridlines>
          <c:spPr>
            <a:ln w="9525" cap="flat" cmpd="sng" algn="ctr">
              <a:solidFill>
                <a:schemeClr val="tx1">
                  <a:lumMod val="15000"/>
                  <a:lumOff val="85000"/>
                </a:schemeClr>
              </a:solidFill>
              <a:round/>
            </a:ln>
            <a:effectLst/>
          </c:spPr>
        </c:majorGridlines>
        <c:numFmt formatCode="0.00\x"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918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Estado de Resultados (COP)</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Ingreos</c:v>
          </c:tx>
          <c:spPr>
            <a:solidFill>
              <a:schemeClr val="accent1"/>
            </a:solidFill>
            <a:ln>
              <a:noFill/>
            </a:ln>
            <a:effectLst/>
          </c:spPr>
          <c:invertIfNegative val="0"/>
          <c:cat>
            <c:strRef>
              <c:f>'Modelo Base'!$F$194:$Q$194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'Modelo Base'!$F$197:$Q$197</c:f>
              <c:numCache>
                <c:formatCode>#,##0;\(#,##0\);"–"</c:formatCode>
                <c:ptCount val="12"/>
                <c:pt idx="0">
                  <c:v>612247701</c:v>
                </c:pt>
                <c:pt idx="1">
                  <c:v>744218137</c:v>
                </c:pt>
                <c:pt idx="2">
                  <c:v>787041187</c:v>
                </c:pt>
                <c:pt idx="3">
                  <c:v>750867662</c:v>
                </c:pt>
                <c:pt idx="4">
                  <c:v>826514746</c:v>
                </c:pt>
                <c:pt idx="5">
                  <c:v>751453314</c:v>
                </c:pt>
                <c:pt idx="6">
                  <c:v>679890552</c:v>
                </c:pt>
                <c:pt idx="7">
                  <c:v>1573626071.4285715</c:v>
                </c:pt>
                <c:pt idx="8">
                  <c:v>1665041428.5714285</c:v>
                </c:pt>
                <c:pt idx="9">
                  <c:v>1756456785.7142859</c:v>
                </c:pt>
                <c:pt idx="10">
                  <c:v>1847872142.8571429</c:v>
                </c:pt>
                <c:pt idx="11">
                  <c:v>1939287500</c:v>
                </c:pt>
              </c:numCache>
            </c:numRef>
          </c:val>
          <c:extLst>
            <c:ext xmlns:c16="http://schemas.microsoft.com/office/drawing/2014/chart" uri="{C3380CC4-5D6E-409C-BE32-E72D297353CC}">
              <c16:uniqueId val="{00000000-1446-45E4-93AB-E261C256C148}"/>
            </c:ext>
          </c:extLst>
        </c:ser>
        <c:dLbls>
          <c:showLegendKey val="0"/>
          <c:showVal val="0"/>
          <c:showCatName val="0"/>
          <c:showSerName val="0"/>
          <c:showPercent val="0"/>
          <c:showBubbleSize val="0"/>
        </c:dLbls>
        <c:gapWidth val="219"/>
        <c:overlap val="-27"/>
        <c:axId val="1620272896"/>
        <c:axId val="1620273856"/>
      </c:barChart>
      <c:catAx>
        <c:axId val="162027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3856"/>
        <c:crosses val="autoZero"/>
        <c:auto val="1"/>
        <c:lblAlgn val="ctr"/>
        <c:lblOffset val="100"/>
        <c:noMultiLvlLbl val="0"/>
      </c:catAx>
      <c:valAx>
        <c:axId val="1620273856"/>
        <c:scaling>
          <c:orientation val="minMax"/>
        </c:scaling>
        <c:delete val="0"/>
        <c:axPos val="l"/>
        <c:majorGridlines>
          <c:spPr>
            <a:ln w="9525" cap="flat" cmpd="sng" algn="ctr">
              <a:solidFill>
                <a:schemeClr val="tx1">
                  <a:lumMod val="15000"/>
                  <a:lumOff val="85000"/>
                </a:schemeClr>
              </a:solidFill>
              <a:round/>
            </a:ln>
            <a:effectLst/>
          </c:spPr>
        </c:majorGridlines>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02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Gráficos'!$X$3</c:f>
              <c:strCache>
                <c:ptCount val="1"/>
                <c:pt idx="0">
                  <c:v>Ingresos</c:v>
                </c:pt>
              </c:strCache>
            </c:strRef>
          </c:tx>
          <c:spPr>
            <a:solidFill>
              <a:schemeClr val="accent1"/>
            </a:solidFill>
            <a:ln>
              <a:noFill/>
            </a:ln>
            <a:effectLst/>
          </c:spPr>
          <c:invertIfNegative val="0"/>
          <c:cat>
            <c:strRef>
              <c:f>'Dashboard Gráficos'!$Y$2:$AJ$2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Gráficos'!$Y$3:$AJ$3</c:f>
              <c:numCache>
                <c:formatCode>#,##0.0;\(#,##0.0\);"–"</c:formatCode>
                <c:ptCount val="12"/>
                <c:pt idx="0">
                  <c:v>612.24770100000001</c:v>
                </c:pt>
                <c:pt idx="1">
                  <c:v>744.21813699999996</c:v>
                </c:pt>
                <c:pt idx="2">
                  <c:v>787.04118700000004</c:v>
                </c:pt>
                <c:pt idx="3">
                  <c:v>750.867662</c:v>
                </c:pt>
                <c:pt idx="4">
                  <c:v>826.51474599999995</c:v>
                </c:pt>
                <c:pt idx="5">
                  <c:v>751.45331399999998</c:v>
                </c:pt>
                <c:pt idx="6">
                  <c:v>679.89055199999996</c:v>
                </c:pt>
                <c:pt idx="7" formatCode="#,##0;\(#,##0\);&quot;–&quot;">
                  <c:v>1573.6260714285715</c:v>
                </c:pt>
                <c:pt idx="8" formatCode="#,##0;\(#,##0\);&quot;–&quot;">
                  <c:v>1665.0414285714285</c:v>
                </c:pt>
                <c:pt idx="9" formatCode="#,##0;\(#,##0\);&quot;–&quot;">
                  <c:v>1756.4567857142858</c:v>
                </c:pt>
                <c:pt idx="10" formatCode="#,##0;\(#,##0\);&quot;–&quot;">
                  <c:v>1847.872142857143</c:v>
                </c:pt>
                <c:pt idx="11" formatCode="#,##0;\(#,##0\);&quot;–&quot;">
                  <c:v>1939.2874999999999</c:v>
                </c:pt>
              </c:numCache>
            </c:numRef>
          </c:val>
          <c:extLst>
            <c:ext xmlns:c16="http://schemas.microsoft.com/office/drawing/2014/chart" uri="{C3380CC4-5D6E-409C-BE32-E72D297353CC}">
              <c16:uniqueId val="{00000000-8E90-4CC7-BDAB-C7D5DC39EA5E}"/>
            </c:ext>
          </c:extLst>
        </c:ser>
        <c:dLbls>
          <c:showLegendKey val="0"/>
          <c:showVal val="0"/>
          <c:showCatName val="0"/>
          <c:showSerName val="0"/>
          <c:showPercent val="0"/>
          <c:showBubbleSize val="0"/>
        </c:dLbls>
        <c:gapWidth val="219"/>
        <c:axId val="1150306016"/>
        <c:axId val="1722100976"/>
      </c:barChart>
      <c:catAx>
        <c:axId val="11503060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0976"/>
        <c:crosses val="autoZero"/>
        <c:auto val="1"/>
        <c:lblAlgn val="ctr"/>
        <c:lblOffset val="100"/>
        <c:noMultiLvlLbl val="0"/>
      </c:catAx>
      <c:valAx>
        <c:axId val="1722100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30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EBITDA vs Utilidad Neta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Gráficos'!$X$83</c:f>
              <c:strCache>
                <c:ptCount val="1"/>
                <c:pt idx="0">
                  <c:v>EBITDA</c:v>
                </c:pt>
              </c:strCache>
            </c:strRef>
          </c:tx>
          <c:spPr>
            <a:solidFill>
              <a:schemeClr val="accent1"/>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Gráficos'!$Y$83:$AJ$83</c:f>
              <c:numCache>
                <c:formatCode>#,##0.0;\(#,##0.0\);"–"</c:formatCode>
                <c:ptCount val="12"/>
                <c:pt idx="0">
                  <c:v>69.979360999999997</c:v>
                </c:pt>
                <c:pt idx="1">
                  <c:v>46.134031999999998</c:v>
                </c:pt>
                <c:pt idx="2">
                  <c:v>-22.242792999999999</c:v>
                </c:pt>
                <c:pt idx="3">
                  <c:v>4.8382519999999998</c:v>
                </c:pt>
                <c:pt idx="4">
                  <c:v>113.00947499999999</c:v>
                </c:pt>
                <c:pt idx="5">
                  <c:v>34.975495000000002</c:v>
                </c:pt>
                <c:pt idx="6">
                  <c:v>29.342362000000001</c:v>
                </c:pt>
                <c:pt idx="7">
                  <c:v>741.79675842857137</c:v>
                </c:pt>
                <c:pt idx="8">
                  <c:v>833.2121155714284</c:v>
                </c:pt>
                <c:pt idx="9">
                  <c:v>924.627472714286</c:v>
                </c:pt>
                <c:pt idx="10">
                  <c:v>999.2322858571431</c:v>
                </c:pt>
                <c:pt idx="11" formatCode="#,##0;\(#,##0\);&quot;–&quot;">
                  <c:v>1090.647643</c:v>
                </c:pt>
              </c:numCache>
            </c:numRef>
          </c:val>
          <c:extLst>
            <c:ext xmlns:c16="http://schemas.microsoft.com/office/drawing/2014/chart" uri="{C3380CC4-5D6E-409C-BE32-E72D297353CC}">
              <c16:uniqueId val="{00000000-514C-4E92-972C-3F750C77DAD7}"/>
            </c:ext>
          </c:extLst>
        </c:ser>
        <c:ser>
          <c:idx val="1"/>
          <c:order val="1"/>
          <c:tx>
            <c:strRef>
              <c:f>'Dashboard Gráficos'!$X$84</c:f>
              <c:strCache>
                <c:ptCount val="1"/>
                <c:pt idx="0">
                  <c:v>Utilidad Neta</c:v>
                </c:pt>
              </c:strCache>
            </c:strRef>
          </c:tx>
          <c:spPr>
            <a:solidFill>
              <a:schemeClr val="accent2"/>
            </a:solidFill>
            <a:ln>
              <a:noFill/>
            </a:ln>
            <a:effectLst/>
          </c:spPr>
          <c:invertIfNegative val="0"/>
          <c:cat>
            <c:strRef>
              <c:f>'Dashboard Gráficos'!$Y$82:$AJ$82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Gráficos'!$Y$84:$AJ$84</c:f>
              <c:numCache>
                <c:formatCode>#,##0.0;\(#,##0.0\);"–"</c:formatCode>
                <c:ptCount val="12"/>
                <c:pt idx="0">
                  <c:v>63.485497000000002</c:v>
                </c:pt>
                <c:pt idx="1">
                  <c:v>54.048915000000001</c:v>
                </c:pt>
                <c:pt idx="2">
                  <c:v>-37.938006999999999</c:v>
                </c:pt>
                <c:pt idx="3">
                  <c:v>0.70620300000000003</c:v>
                </c:pt>
                <c:pt idx="4">
                  <c:v>108.374968</c:v>
                </c:pt>
                <c:pt idx="5">
                  <c:v>33.343649999999997</c:v>
                </c:pt>
                <c:pt idx="6">
                  <c:v>24.707052000000001</c:v>
                </c:pt>
                <c:pt idx="7">
                  <c:v>481.52293311648799</c:v>
                </c:pt>
                <c:pt idx="8">
                  <c:v>540.90398206381735</c:v>
                </c:pt>
                <c:pt idx="9">
                  <c:v>600.28567989773921</c:v>
                </c:pt>
                <c:pt idx="10">
                  <c:v>648.74116220347616</c:v>
                </c:pt>
                <c:pt idx="11">
                  <c:v>708.12412554649859</c:v>
                </c:pt>
              </c:numCache>
            </c:numRef>
          </c:val>
          <c:extLst>
            <c:ext xmlns:c16="http://schemas.microsoft.com/office/drawing/2014/chart" uri="{C3380CC4-5D6E-409C-BE32-E72D297353CC}">
              <c16:uniqueId val="{00000001-514C-4E92-972C-3F750C77DAD7}"/>
            </c:ext>
          </c:extLst>
        </c:ser>
        <c:dLbls>
          <c:showLegendKey val="0"/>
          <c:showVal val="0"/>
          <c:showCatName val="0"/>
          <c:showSerName val="0"/>
          <c:showPercent val="0"/>
          <c:showBubbleSize val="0"/>
        </c:dLbls>
        <c:gapWidth val="219"/>
        <c:axId val="1371459680"/>
        <c:axId val="1722072176"/>
      </c:barChart>
      <c:catAx>
        <c:axId val="1371459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2176"/>
        <c:crosses val="autoZero"/>
        <c:auto val="1"/>
        <c:lblAlgn val="ctr"/>
        <c:lblOffset val="100"/>
        <c:noMultiLvlLbl val="0"/>
      </c:catAx>
      <c:valAx>
        <c:axId val="1722072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45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EBITDA vs Margen Neto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Gráficos'!$X$52</c:f>
              <c:strCache>
                <c:ptCount val="1"/>
                <c:pt idx="0">
                  <c:v>Margen EBITDA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Gráficos'!$Y$52:$AJ$52</c:f>
              <c:numCache>
                <c:formatCode>#,##0.0;\(#,##0.0\);"–"</c:formatCode>
                <c:ptCount val="12"/>
                <c:pt idx="0">
                  <c:v>0.11429909967109864</c:v>
                </c:pt>
                <c:pt idx="1">
                  <c:v>6.1989932395318657E-2</c:v>
                </c:pt>
                <c:pt idx="2">
                  <c:v>-2.8261282087134278E-2</c:v>
                </c:pt>
                <c:pt idx="3">
                  <c:v>6.4435482373989888E-3</c:v>
                </c:pt>
                <c:pt idx="4">
                  <c:v>0.13673013766169395</c:v>
                </c:pt>
                <c:pt idx="5">
                  <c:v>4.6543802986009589E-2</c:v>
                </c:pt>
                <c:pt idx="6">
                  <c:v>4.3157478676067854E-2</c:v>
                </c:pt>
                <c:pt idx="7">
                  <c:v>0.47139328198544167</c:v>
                </c:pt>
                <c:pt idx="8">
                  <c:v>0.50041524569530227</c:v>
                </c:pt>
                <c:pt idx="9">
                  <c:v>0.5264162945735521</c:v>
                </c:pt>
                <c:pt idx="10">
                  <c:v>0.54074752396675563</c:v>
                </c:pt>
                <c:pt idx="11">
                  <c:v>0.56239605679921101</c:v>
                </c:pt>
              </c:numCache>
            </c:numRef>
          </c:val>
          <c:smooth val="0"/>
          <c:extLst>
            <c:ext xmlns:c16="http://schemas.microsoft.com/office/drawing/2014/chart" uri="{C3380CC4-5D6E-409C-BE32-E72D297353CC}">
              <c16:uniqueId val="{00000000-5C0D-4602-98EE-5A8F954F2CEE}"/>
            </c:ext>
          </c:extLst>
        </c:ser>
        <c:ser>
          <c:idx val="1"/>
          <c:order val="1"/>
          <c:tx>
            <c:strRef>
              <c:f>'Dashboard Gráficos'!$X$53</c:f>
              <c:strCache>
                <c:ptCount val="1"/>
                <c:pt idx="0">
                  <c:v>Margen Neto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Gráficos'!$Y$51:$AJ$51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Gráficos'!$Y$53:$AJ$53</c:f>
              <c:numCache>
                <c:formatCode>#,##0.0;\(#,##0.0\);"–"</c:formatCode>
                <c:ptCount val="12"/>
                <c:pt idx="0">
                  <c:v>0.10369250369794365</c:v>
                </c:pt>
                <c:pt idx="1">
                  <c:v>7.2625097821285692E-2</c:v>
                </c:pt>
                <c:pt idx="2">
                  <c:v>-4.820333119364438E-2</c:v>
                </c:pt>
                <c:pt idx="3">
                  <c:v>9.4051593341890386E-4</c:v>
                </c:pt>
                <c:pt idx="4">
                  <c:v>0.13112284871442573</c:v>
                </c:pt>
                <c:pt idx="5">
                  <c:v>4.4372217646511038E-2</c:v>
                </c:pt>
                <c:pt idx="6">
                  <c:v>3.6339748989481474E-2</c:v>
                </c:pt>
                <c:pt idx="7">
                  <c:v>0.3059957774335495</c:v>
                </c:pt>
                <c:pt idx="8">
                  <c:v>0.32485917334075098</c:v>
                </c:pt>
                <c:pt idx="9">
                  <c:v>0.34175943568894879</c:v>
                </c:pt>
                <c:pt idx="10">
                  <c:v>0.35107470217090109</c:v>
                </c:pt>
                <c:pt idx="11">
                  <c:v>0.36514654250414058</c:v>
                </c:pt>
              </c:numCache>
            </c:numRef>
          </c:val>
          <c:smooth val="0"/>
          <c:extLst>
            <c:ext xmlns:c16="http://schemas.microsoft.com/office/drawing/2014/chart" uri="{C3380CC4-5D6E-409C-BE32-E72D297353CC}">
              <c16:uniqueId val="{00000001-5C0D-4602-98EE-5A8F954F2CEE}"/>
            </c:ext>
          </c:extLst>
        </c:ser>
        <c:dLbls>
          <c:showLegendKey val="0"/>
          <c:showVal val="0"/>
          <c:showCatName val="0"/>
          <c:showSerName val="0"/>
          <c:showPercent val="0"/>
          <c:showBubbleSize val="0"/>
        </c:dLbls>
        <c:marker val="1"/>
        <c:smooth val="0"/>
        <c:axId val="1798882256"/>
        <c:axId val="1722215216"/>
      </c:lineChart>
      <c:catAx>
        <c:axId val="179888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5216"/>
        <c:crosses val="autoZero"/>
        <c:auto val="1"/>
        <c:lblAlgn val="ctr"/>
        <c:lblOffset val="100"/>
        <c:noMultiLvlLbl val="0"/>
      </c:catAx>
      <c:valAx>
        <c:axId val="172221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8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Caja Final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Gráficos'!$X$22</c:f>
              <c:strCache>
                <c:ptCount val="1"/>
                <c:pt idx="0">
                  <c:v>Caja Final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Gráficos'!$Y$22:$AJ$22</c:f>
              <c:numCache>
                <c:formatCode>#,##0.0;\(#,##0.0\);"–"</c:formatCode>
                <c:ptCount val="12"/>
                <c:pt idx="0" formatCode="#,##0;\(#,##0\);&quot;–&quot;">
                  <c:v>425.59495399999997</c:v>
                </c:pt>
                <c:pt idx="1">
                  <c:v>120.30154</c:v>
                </c:pt>
                <c:pt idx="2">
                  <c:v>269.48871000000003</c:v>
                </c:pt>
                <c:pt idx="3" formatCode="#,##0;\(#,##0\);&quot;–&quot;">
                  <c:v>357.757161</c:v>
                </c:pt>
                <c:pt idx="4">
                  <c:v>244.82234500000001</c:v>
                </c:pt>
                <c:pt idx="5">
                  <c:v>115.441362</c:v>
                </c:pt>
                <c:pt idx="6">
                  <c:v>174.26692600000001</c:v>
                </c:pt>
                <c:pt idx="7" formatCode="#,##0;\(#,##0\);&quot;–&quot;">
                  <c:v>-867.73382151070666</c:v>
                </c:pt>
                <c:pt idx="8" formatCode="#,##0;\(#,##0\);&quot;–&quot;">
                  <c:v>-554.35236468469498</c:v>
                </c:pt>
                <c:pt idx="9">
                  <c:v>-181.52996168746446</c:v>
                </c:pt>
                <c:pt idx="10">
                  <c:v>200</c:v>
                </c:pt>
                <c:pt idx="11">
                  <c:v>200</c:v>
                </c:pt>
              </c:numCache>
            </c:numRef>
          </c:val>
          <c:smooth val="0"/>
          <c:extLst>
            <c:ext xmlns:c16="http://schemas.microsoft.com/office/drawing/2014/chart" uri="{C3380CC4-5D6E-409C-BE32-E72D297353CC}">
              <c16:uniqueId val="{00000000-72FE-473D-BC7E-CB1B5653F97E}"/>
            </c:ext>
          </c:extLst>
        </c:ser>
        <c:ser>
          <c:idx val="1"/>
          <c:order val="1"/>
          <c:tx>
            <c:strRef>
              <c:f>'Dashboard Gráficos'!$X$23</c:f>
              <c:strCache>
                <c:ptCount val="1"/>
                <c:pt idx="0">
                  <c:v>Caja Mínima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Gráficos'!$Y$21:$AJ$21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Gráficos'!$Y$23:$AJ$23</c:f>
              <c:numCache>
                <c:formatCode>#,##0.0;\(#,##0.0\);"–"</c:formatCode>
                <c:ptCount val="12"/>
                <c:pt idx="0">
                  <c:v>200</c:v>
                </c:pt>
                <c:pt idx="1">
                  <c:v>200</c:v>
                </c:pt>
                <c:pt idx="2">
                  <c:v>200</c:v>
                </c:pt>
                <c:pt idx="3">
                  <c:v>200</c:v>
                </c:pt>
                <c:pt idx="4">
                  <c:v>200</c:v>
                </c:pt>
                <c:pt idx="5">
                  <c:v>200</c:v>
                </c:pt>
                <c:pt idx="6">
                  <c:v>200</c:v>
                </c:pt>
                <c:pt idx="7">
                  <c:v>200</c:v>
                </c:pt>
                <c:pt idx="8">
                  <c:v>200</c:v>
                </c:pt>
                <c:pt idx="9">
                  <c:v>200</c:v>
                </c:pt>
                <c:pt idx="10">
                  <c:v>200</c:v>
                </c:pt>
                <c:pt idx="11">
                  <c:v>200</c:v>
                </c:pt>
              </c:numCache>
            </c:numRef>
          </c:val>
          <c:smooth val="0"/>
          <c:extLst>
            <c:ext xmlns:c16="http://schemas.microsoft.com/office/drawing/2014/chart" uri="{C3380CC4-5D6E-409C-BE32-E72D297353CC}">
              <c16:uniqueId val="{00000001-72FE-473D-BC7E-CB1B5653F97E}"/>
            </c:ext>
          </c:extLst>
        </c:ser>
        <c:dLbls>
          <c:showLegendKey val="0"/>
          <c:showVal val="0"/>
          <c:showCatName val="0"/>
          <c:showSerName val="0"/>
          <c:showPercent val="0"/>
          <c:showBubbleSize val="0"/>
        </c:dLbls>
        <c:marker val="1"/>
        <c:smooth val="0"/>
        <c:axId val="1798895712"/>
        <c:axId val="1722071696"/>
      </c:lineChart>
      <c:catAx>
        <c:axId val="1798895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071696"/>
        <c:crosses val="autoZero"/>
        <c:auto val="1"/>
        <c:lblAlgn val="ctr"/>
        <c:lblOffset val="100"/>
        <c:noMultiLvlLbl val="0"/>
      </c:catAx>
      <c:valAx>
        <c:axId val="17220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9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Escenarios de Ingresos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Gráficos'!$X$27</c:f>
              <c:strCache>
                <c:ptCount val="1"/>
                <c:pt idx="0">
                  <c:v>Optimista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Gráficos'!$Y$27:$AJ$27</c:f>
              <c:numCache>
                <c:formatCode>#,##0.0;\(#,##0.0\);"–"</c:formatCode>
                <c:ptCount val="12"/>
                <c:pt idx="0">
                  <c:v>612.24770100000001</c:v>
                </c:pt>
                <c:pt idx="1">
                  <c:v>744.21813699999996</c:v>
                </c:pt>
                <c:pt idx="2">
                  <c:v>787.04118700000004</c:v>
                </c:pt>
                <c:pt idx="3">
                  <c:v>750.867662</c:v>
                </c:pt>
                <c:pt idx="4" formatCode="#,##0;\(#,##0\);&quot;–&quot;">
                  <c:v>1013.2</c:v>
                </c:pt>
                <c:pt idx="5" formatCode="#,##0;\(#,##0\);&quot;–&quot;">
                  <c:v>1186.615357142857</c:v>
                </c:pt>
                <c:pt idx="6" formatCode="#,##0;\(#,##0\);&quot;–&quot;">
                  <c:v>1360.0307142857143</c:v>
                </c:pt>
                <c:pt idx="7" formatCode="#,##0;\(#,##0\);&quot;–&quot;">
                  <c:v>1533.4460714285715</c:v>
                </c:pt>
                <c:pt idx="8" formatCode="#,##0;\(#,##0\);&quot;–&quot;">
                  <c:v>1706.8614285714286</c:v>
                </c:pt>
                <c:pt idx="9" formatCode="#,##0;\(#,##0\);&quot;–&quot;">
                  <c:v>1880.2767857142858</c:v>
                </c:pt>
                <c:pt idx="10" formatCode="#,##0;\(#,##0\);&quot;–&quot;">
                  <c:v>2053.6921428571427</c:v>
                </c:pt>
                <c:pt idx="11" formatCode="#,##0;\(#,##0\);&quot;–&quot;">
                  <c:v>2227.1075000000001</c:v>
                </c:pt>
              </c:numCache>
            </c:numRef>
          </c:val>
          <c:smooth val="0"/>
          <c:extLst>
            <c:ext xmlns:c16="http://schemas.microsoft.com/office/drawing/2014/chart" uri="{C3380CC4-5D6E-409C-BE32-E72D297353CC}">
              <c16:uniqueId val="{00000000-2562-472D-9059-C80B83DDA55D}"/>
            </c:ext>
          </c:extLst>
        </c:ser>
        <c:ser>
          <c:idx val="1"/>
          <c:order val="1"/>
          <c:tx>
            <c:strRef>
              <c:f>'Dashboard Gráficos'!$X$28</c:f>
              <c:strCache>
                <c:ptCount val="1"/>
                <c:pt idx="0">
                  <c:v>Conservador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Gráficos'!$Y$28:$AJ$28</c:f>
              <c:numCache>
                <c:formatCode>#,##0.0;\(#,##0.0\);"–"</c:formatCode>
                <c:ptCount val="12"/>
                <c:pt idx="0">
                  <c:v>612.24770100000001</c:v>
                </c:pt>
                <c:pt idx="1">
                  <c:v>744.21813699999996</c:v>
                </c:pt>
                <c:pt idx="2">
                  <c:v>787.04118700000004</c:v>
                </c:pt>
                <c:pt idx="3">
                  <c:v>750.867662</c:v>
                </c:pt>
                <c:pt idx="4" formatCode="#,##0;\(#,##0\);&quot;–&quot;">
                  <c:v>1218.4027094999999</c:v>
                </c:pt>
                <c:pt idx="5">
                  <c:v>759.47893950000002</c:v>
                </c:pt>
                <c:pt idx="6">
                  <c:v>803.43646333333334</c:v>
                </c:pt>
                <c:pt idx="7" formatCode="#,##0;\(#,##0\);&quot;–&quot;">
                  <c:v>1243.6402333333333</c:v>
                </c:pt>
                <c:pt idx="8" formatCode="#,##0;\(#,##0\);&quot;–&quot;">
                  <c:v>1249.0402333333332</c:v>
                </c:pt>
                <c:pt idx="9" formatCode="#,##0;\(#,##0\);&quot;–&quot;">
                  <c:v>1350.4209306666667</c:v>
                </c:pt>
                <c:pt idx="10" formatCode="#,##0;\(#,##0\);&quot;–&quot;">
                  <c:v>1355.8209306666668</c:v>
                </c:pt>
                <c:pt idx="11" formatCode="#,##0;\(#,##0\);&quot;–&quot;">
                  <c:v>1361.2209306666668</c:v>
                </c:pt>
              </c:numCache>
            </c:numRef>
          </c:val>
          <c:smooth val="0"/>
          <c:extLst>
            <c:ext xmlns:c16="http://schemas.microsoft.com/office/drawing/2014/chart" uri="{C3380CC4-5D6E-409C-BE32-E72D297353CC}">
              <c16:uniqueId val="{00000001-2562-472D-9059-C80B83DDA55D}"/>
            </c:ext>
          </c:extLst>
        </c:ser>
        <c:ser>
          <c:idx val="2"/>
          <c:order val="2"/>
          <c:tx>
            <c:strRef>
              <c:f>'Dashboard Gráficos'!$X$29</c:f>
              <c:strCache>
                <c:ptCount val="1"/>
                <c:pt idx="0">
                  <c:v>Base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 Gráficos'!$Y$26:$AJ$26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Gráficos'!$Y$29:$AJ$29</c:f>
              <c:numCache>
                <c:formatCode>#,##0.0;\(#,##0.0\);"–"</c:formatCode>
                <c:ptCount val="12"/>
                <c:pt idx="0">
                  <c:v>612.24770100000001</c:v>
                </c:pt>
                <c:pt idx="1">
                  <c:v>744.21813699999996</c:v>
                </c:pt>
                <c:pt idx="2">
                  <c:v>787.04118700000004</c:v>
                </c:pt>
                <c:pt idx="3">
                  <c:v>750.867662</c:v>
                </c:pt>
                <c:pt idx="4">
                  <c:v>826.51474599999995</c:v>
                </c:pt>
                <c:pt idx="5">
                  <c:v>751.45331399999998</c:v>
                </c:pt>
                <c:pt idx="6" formatCode="#,##0;\(#,##0\);&quot;–&quot;">
                  <c:v>1047.4069442857144</c:v>
                </c:pt>
                <c:pt idx="7" formatCode="#,##0;\(#,##0\);&quot;–&quot;">
                  <c:v>1573.6260714285715</c:v>
                </c:pt>
                <c:pt idx="8" formatCode="#,##0;\(#,##0\);&quot;–&quot;">
                  <c:v>1665.0414285714285</c:v>
                </c:pt>
                <c:pt idx="9" formatCode="#,##0;\(#,##0\);&quot;–&quot;">
                  <c:v>1756.4567857142858</c:v>
                </c:pt>
                <c:pt idx="10" formatCode="#,##0;\(#,##0\);&quot;–&quot;">
                  <c:v>1847.872142857143</c:v>
                </c:pt>
                <c:pt idx="11" formatCode="#,##0;\(#,##0\);&quot;–&quot;">
                  <c:v>1939.2874999999999</c:v>
                </c:pt>
              </c:numCache>
            </c:numRef>
          </c:val>
          <c:smooth val="0"/>
          <c:extLst>
            <c:ext xmlns:c16="http://schemas.microsoft.com/office/drawing/2014/chart" uri="{C3380CC4-5D6E-409C-BE32-E72D297353CC}">
              <c16:uniqueId val="{00000002-2562-472D-9059-C80B83DDA55D}"/>
            </c:ext>
          </c:extLst>
        </c:ser>
        <c:dLbls>
          <c:showLegendKey val="0"/>
          <c:showVal val="0"/>
          <c:showCatName val="0"/>
          <c:showSerName val="0"/>
          <c:showPercent val="0"/>
          <c:showBubbleSize val="0"/>
        </c:dLbls>
        <c:marker val="1"/>
        <c:smooth val="0"/>
        <c:axId val="1960360176"/>
        <c:axId val="1722210416"/>
      </c:lineChart>
      <c:catAx>
        <c:axId val="1960360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10416"/>
        <c:crosses val="autoZero"/>
        <c:auto val="1"/>
        <c:lblAlgn val="ctr"/>
        <c:lblOffset val="100"/>
        <c:noMultiLvlLbl val="0"/>
      </c:catAx>
      <c:valAx>
        <c:axId val="172221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60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Días de Cobro vs Días de Pago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Gráficos'!$X$33</c:f>
              <c:strCache>
                <c:ptCount val="1"/>
                <c:pt idx="0">
                  <c:v>DSO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Gráficos'!$Y$33:$AJ$33</c:f>
              <c:numCache>
                <c:formatCode>#,##0.0;\(#,##0.0\);"–"</c:formatCode>
                <c:ptCount val="12"/>
                <c:pt idx="0">
                  <c:v>83.883618266130497</c:v>
                </c:pt>
                <c:pt idx="1">
                  <c:v>68.288405970412413</c:v>
                </c:pt>
                <c:pt idx="2">
                  <c:v>66.479627634786041</c:v>
                </c:pt>
                <c:pt idx="3">
                  <c:v>65.987250853266872</c:v>
                </c:pt>
                <c:pt idx="4">
                  <c:v>59.671102274562443</c:v>
                </c:pt>
                <c:pt idx="5">
                  <c:v>69.36115117059687</c:v>
                </c:pt>
                <c:pt idx="6">
                  <c:v>76.951113824273293</c:v>
                </c:pt>
                <c:pt idx="7">
                  <c:v>58.094591456538161</c:v>
                </c:pt>
                <c:pt idx="8">
                  <c:v>81.6940844028763</c:v>
                </c:pt>
                <c:pt idx="9">
                  <c:v>81.814096520206363</c:v>
                </c:pt>
                <c:pt idx="10">
                  <c:v>81.922234492878104</c:v>
                </c:pt>
                <c:pt idx="11">
                  <c:v>82.020177513648704</c:v>
                </c:pt>
              </c:numCache>
            </c:numRef>
          </c:val>
          <c:smooth val="0"/>
          <c:extLst>
            <c:ext xmlns:c16="http://schemas.microsoft.com/office/drawing/2014/chart" uri="{C3380CC4-5D6E-409C-BE32-E72D297353CC}">
              <c16:uniqueId val="{00000000-4BE9-408D-8B53-9302DDE1A601}"/>
            </c:ext>
          </c:extLst>
        </c:ser>
        <c:ser>
          <c:idx val="1"/>
          <c:order val="1"/>
          <c:tx>
            <c:strRef>
              <c:f>'Dashboard Gráficos'!$X$34</c:f>
              <c:strCache>
                <c:ptCount val="1"/>
                <c:pt idx="0">
                  <c:v>DPO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Gráficos'!$Y$32:$AJ$32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Gráficos'!$Y$34:$AJ$34</c:f>
              <c:numCache>
                <c:formatCode>#,##0.0;\(#,##0.0\);"–"</c:formatCode>
                <c:ptCount val="12"/>
                <c:pt idx="0">
                  <c:v>9.614560886405167</c:v>
                </c:pt>
                <c:pt idx="1">
                  <c:v>7.6089761418314508</c:v>
                </c:pt>
                <c:pt idx="2">
                  <c:v>6.7670344830580103</c:v>
                </c:pt>
                <c:pt idx="3">
                  <c:v>8.5724442762023649</c:v>
                </c:pt>
                <c:pt idx="4">
                  <c:v>8.9523556781668781</c:v>
                </c:pt>
                <c:pt idx="5">
                  <c:v>7.8811540905730393</c:v>
                </c:pt>
                <c:pt idx="6">
                  <c:v>8.7627549548838601</c:v>
                </c:pt>
                <c:pt idx="7">
                  <c:v>8.8977828623702386</c:v>
                </c:pt>
                <c:pt idx="8">
                  <c:v>8.8977828623702386</c:v>
                </c:pt>
                <c:pt idx="9">
                  <c:v>8.8977828623702386</c:v>
                </c:pt>
                <c:pt idx="10">
                  <c:v>8.6516451570400186</c:v>
                </c:pt>
                <c:pt idx="11">
                  <c:v>8.6516451570400186</c:v>
                </c:pt>
              </c:numCache>
            </c:numRef>
          </c:val>
          <c:smooth val="0"/>
          <c:extLst>
            <c:ext xmlns:c16="http://schemas.microsoft.com/office/drawing/2014/chart" uri="{C3380CC4-5D6E-409C-BE32-E72D297353CC}">
              <c16:uniqueId val="{00000001-4BE9-408D-8B53-9302DDE1A601}"/>
            </c:ext>
          </c:extLst>
        </c:ser>
        <c:dLbls>
          <c:showLegendKey val="0"/>
          <c:showVal val="0"/>
          <c:showCatName val="0"/>
          <c:showSerName val="0"/>
          <c:showPercent val="0"/>
          <c:showBubbleSize val="0"/>
        </c:dLbls>
        <c:marker val="1"/>
        <c:smooth val="0"/>
        <c:axId val="1798923088"/>
        <c:axId val="1722146096"/>
      </c:lineChart>
      <c:catAx>
        <c:axId val="179892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46096"/>
        <c:crosses val="autoZero"/>
        <c:auto val="1"/>
        <c:lblAlgn val="ctr"/>
        <c:lblOffset val="100"/>
        <c:noMultiLvlLbl val="0"/>
      </c:catAx>
      <c:valAx>
        <c:axId val="1722146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923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Financiera vs Coco Delaware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Gráficos'!$X$39</c:f>
              <c:strCache>
                <c:ptCount val="1"/>
                <c:pt idx="0">
                  <c:v>Deuda Financiera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Gráficos'!$Y$39:$AJ$39</c:f>
              <c:numCache>
                <c:formatCode>#,##0.0;\(#,##0.0\);"–"</c:formatCode>
                <c:ptCount val="12"/>
                <c:pt idx="0">
                  <c:v>72.783461000000003</c:v>
                </c:pt>
                <c:pt idx="1">
                  <c:v>101.365099</c:v>
                </c:pt>
                <c:pt idx="2">
                  <c:v>104.18998000000001</c:v>
                </c:pt>
                <c:pt idx="3">
                  <c:v>112.56347</c:v>
                </c:pt>
                <c:pt idx="4">
                  <c:v>99.589766999999995</c:v>
                </c:pt>
                <c:pt idx="5">
                  <c:v>83.503946999999997</c:v>
                </c:pt>
                <c:pt idx="6">
                  <c:v>83.503946999999997</c:v>
                </c:pt>
                <c:pt idx="7">
                  <c:v>104.555195</c:v>
                </c:pt>
                <c:pt idx="8">
                  <c:v>104.555195</c:v>
                </c:pt>
                <c:pt idx="9">
                  <c:v>104.555195</c:v>
                </c:pt>
                <c:pt idx="10">
                  <c:v>104.555195</c:v>
                </c:pt>
                <c:pt idx="11">
                  <c:v>104.555195</c:v>
                </c:pt>
              </c:numCache>
            </c:numRef>
          </c:val>
          <c:smooth val="0"/>
          <c:extLst>
            <c:ext xmlns:c16="http://schemas.microsoft.com/office/drawing/2014/chart" uri="{C3380CC4-5D6E-409C-BE32-E72D297353CC}">
              <c16:uniqueId val="{00000000-8661-4AAC-A96D-8065F7E57788}"/>
            </c:ext>
          </c:extLst>
        </c:ser>
        <c:ser>
          <c:idx val="1"/>
          <c:order val="1"/>
          <c:tx>
            <c:strRef>
              <c:f>'Dashboard Gráficos'!$X$40</c:f>
              <c:strCache>
                <c:ptCount val="1"/>
                <c:pt idx="0">
                  <c:v>CxP Coco Delaware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Gráficos'!$Y$38:$AJ$38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Gráficos'!$Y$40:$AJ$40</c:f>
              <c:numCache>
                <c:formatCode>#,##0;\(#,##0\);"–"</c:formatCode>
                <c:ptCount val="12"/>
                <c:pt idx="0">
                  <c:v>0</c:v>
                </c:pt>
                <c:pt idx="1">
                  <c:v>0</c:v>
                </c:pt>
                <c:pt idx="2">
                  <c:v>0</c:v>
                </c:pt>
                <c:pt idx="3">
                  <c:v>0</c:v>
                </c:pt>
                <c:pt idx="4">
                  <c:v>2642.6491810000002</c:v>
                </c:pt>
                <c:pt idx="5">
                  <c:v>2641.5664809999998</c:v>
                </c:pt>
                <c:pt idx="6">
                  <c:v>2641.5664809999998</c:v>
                </c:pt>
                <c:pt idx="7">
                  <c:v>3392.2242127135</c:v>
                </c:pt>
                <c:pt idx="8">
                  <c:v>3392.2242127135</c:v>
                </c:pt>
                <c:pt idx="9">
                  <c:v>3392.2242127135</c:v>
                </c:pt>
                <c:pt idx="10">
                  <c:v>3340.9178430329885</c:v>
                </c:pt>
                <c:pt idx="11">
                  <c:v>2860.1414436713985</c:v>
                </c:pt>
              </c:numCache>
            </c:numRef>
          </c:val>
          <c:smooth val="0"/>
          <c:extLst>
            <c:ext xmlns:c16="http://schemas.microsoft.com/office/drawing/2014/chart" uri="{C3380CC4-5D6E-409C-BE32-E72D297353CC}">
              <c16:uniqueId val="{00000001-8661-4AAC-A96D-8065F7E57788}"/>
            </c:ext>
          </c:extLst>
        </c:ser>
        <c:dLbls>
          <c:showLegendKey val="0"/>
          <c:showVal val="0"/>
          <c:showCatName val="0"/>
          <c:showSerName val="0"/>
          <c:showPercent val="0"/>
          <c:showBubbleSize val="0"/>
        </c:dLbls>
        <c:marker val="1"/>
        <c:smooth val="0"/>
        <c:axId val="1806707760"/>
        <c:axId val="1722103856"/>
      </c:lineChart>
      <c:catAx>
        <c:axId val="1806707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103856"/>
        <c:crosses val="autoZero"/>
        <c:auto val="1"/>
        <c:lblAlgn val="ctr"/>
        <c:lblOffset val="100"/>
        <c:noMultiLvlLbl val="0"/>
      </c:catAx>
      <c:valAx>
        <c:axId val="172210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707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Cuentas por Cobrar vs Cuentas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Gráficos'!$X$45</c:f>
              <c:strCache>
                <c:ptCount val="1"/>
                <c:pt idx="0">
                  <c:v>Cuentas por Cobrar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Gráficos'!$Y$45:$AJ$45</c:f>
              <c:numCache>
                <c:formatCode>#,##0.0;\(#,##0.0\);"–"</c:formatCode>
                <c:ptCount val="12"/>
                <c:pt idx="0">
                  <c:v>1590.540829</c:v>
                </c:pt>
                <c:pt idx="1">
                  <c:v>1797.5571890000001</c:v>
                </c:pt>
                <c:pt idx="2">
                  <c:v>1690.5898139999999</c:v>
                </c:pt>
                <c:pt idx="3">
                  <c:v>1612.589704</c:v>
                </c:pt>
                <c:pt idx="4" formatCode="#,##0;\(#,##0\);&quot;–&quot;">
                  <c:v>1675.3466920000001</c:v>
                </c:pt>
                <c:pt idx="5" formatCode="#,##0;\(#,##0\);&quot;–&quot;">
                  <c:v>1799.431102</c:v>
                </c:pt>
                <c:pt idx="6" formatCode="#,##0;\(#,##0\);&quot;–&quot;">
                  <c:v>1688.457915</c:v>
                </c:pt>
                <c:pt idx="7" formatCode="#,##0;\(#,##0\);&quot;–&quot;">
                  <c:v>4406.1530000000002</c:v>
                </c:pt>
                <c:pt idx="8" formatCode="#,##0;\(#,##0\);&quot;–&quot;">
                  <c:v>4662.116</c:v>
                </c:pt>
                <c:pt idx="9" formatCode="#,##0;\(#,##0\);&quot;–&quot;">
                  <c:v>4918.0789999999997</c:v>
                </c:pt>
                <c:pt idx="10" formatCode="#,##0;\(#,##0\);&quot;–&quot;">
                  <c:v>5174.0420000000004</c:v>
                </c:pt>
                <c:pt idx="11" formatCode="#,##0;\(#,##0\);&quot;–&quot;">
                  <c:v>5430.0050000000001</c:v>
                </c:pt>
              </c:numCache>
            </c:numRef>
          </c:val>
          <c:smooth val="0"/>
          <c:extLst>
            <c:ext xmlns:c16="http://schemas.microsoft.com/office/drawing/2014/chart" uri="{C3380CC4-5D6E-409C-BE32-E72D297353CC}">
              <c16:uniqueId val="{00000000-D4F3-4ABB-B6E3-C776F8CA8306}"/>
            </c:ext>
          </c:extLst>
        </c:ser>
        <c:ser>
          <c:idx val="1"/>
          <c:order val="1"/>
          <c:tx>
            <c:strRef>
              <c:f>'Dashboard Gráficos'!$X$46</c:f>
              <c:strCache>
                <c:ptCount val="1"/>
                <c:pt idx="0">
                  <c:v>Cuentas por Pagar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Gráficos'!$Y$44:$AJ$44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Gráficos'!$Y$46:$AJ$46</c:f>
              <c:numCache>
                <c:formatCode>#,##0.0;\(#,##0.0\);"–"</c:formatCode>
                <c:ptCount val="12"/>
                <c:pt idx="0">
                  <c:v>502.128241</c:v>
                </c:pt>
                <c:pt idx="1">
                  <c:v>493.78229700000003</c:v>
                </c:pt>
                <c:pt idx="2">
                  <c:v>571.03756499999997</c:v>
                </c:pt>
                <c:pt idx="3">
                  <c:v>563.84176300000001</c:v>
                </c:pt>
                <c:pt idx="4">
                  <c:v>502.31105000000002</c:v>
                </c:pt>
                <c:pt idx="5">
                  <c:v>483.39090599999997</c:v>
                </c:pt>
                <c:pt idx="6">
                  <c:v>403.76030400000002</c:v>
                </c:pt>
                <c:pt idx="7">
                  <c:v>611.03650472222205</c:v>
                </c:pt>
                <c:pt idx="8">
                  <c:v>611.03650472222205</c:v>
                </c:pt>
                <c:pt idx="9">
                  <c:v>611.03650472222205</c:v>
                </c:pt>
                <c:pt idx="10">
                  <c:v>628.42038032222206</c:v>
                </c:pt>
                <c:pt idx="11">
                  <c:v>628.42038032222206</c:v>
                </c:pt>
              </c:numCache>
            </c:numRef>
          </c:val>
          <c:smooth val="0"/>
          <c:extLst>
            <c:ext xmlns:c16="http://schemas.microsoft.com/office/drawing/2014/chart" uri="{C3380CC4-5D6E-409C-BE32-E72D297353CC}">
              <c16:uniqueId val="{00000001-D4F3-4ABB-B6E3-C776F8CA8306}"/>
            </c:ext>
          </c:extLst>
        </c:ser>
        <c:dLbls>
          <c:showLegendKey val="0"/>
          <c:showVal val="0"/>
          <c:showCatName val="0"/>
          <c:showSerName val="0"/>
          <c:showPercent val="0"/>
          <c:showBubbleSize val="0"/>
        </c:dLbls>
        <c:marker val="1"/>
        <c:smooth val="0"/>
        <c:axId val="1806825616"/>
        <c:axId val="1722249296"/>
      </c:lineChart>
      <c:catAx>
        <c:axId val="1806825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249296"/>
        <c:crosses val="autoZero"/>
        <c:auto val="1"/>
        <c:lblAlgn val="ctr"/>
        <c:lblOffset val="100"/>
        <c:noMultiLvlLbl val="0"/>
      </c:catAx>
      <c:valAx>
        <c:axId val="1722249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82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Flujo Operativo vs Cambio Neto de Caja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Gráficos'!$X$57</c:f>
              <c:strCache>
                <c:ptCount val="1"/>
                <c:pt idx="0">
                  <c:v>Flujo Operativo</c:v>
                </c:pt>
              </c:strCache>
            </c:strRef>
          </c:tx>
          <c:spPr>
            <a:solidFill>
              <a:schemeClr val="accent1"/>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Gráficos'!$Y$57:$AJ$57</c:f>
              <c:numCache>
                <c:formatCode>#,##0.0;\(#,##0.0\);"–"</c:formatCode>
                <c:ptCount val="12"/>
                <c:pt idx="0" formatCode="#,##0;\(#,##0\);&quot;–&quot;">
                  <c:v>218.72726599999999</c:v>
                </c:pt>
                <c:pt idx="1">
                  <c:v>-304.71859899999998</c:v>
                </c:pt>
                <c:pt idx="2">
                  <c:v>125.650513</c:v>
                </c:pt>
                <c:pt idx="3">
                  <c:v>73.339722366666663</c:v>
                </c:pt>
                <c:pt idx="4" formatCode="#,##0;\(#,##0\);&quot;–&quot;">
                  <c:v>-29.144814083333337</c:v>
                </c:pt>
                <c:pt idx="5">
                  <c:v>-108.44620243333334</c:v>
                </c:pt>
                <c:pt idx="6">
                  <c:v>41.319773566666669</c:v>
                </c:pt>
                <c:pt idx="7" formatCode="#,##0;\(#,##0\);&quot;–&quot;">
                  <c:v>-1785.0775872242066</c:v>
                </c:pt>
                <c:pt idx="8">
                  <c:v>320.74154882601169</c:v>
                </c:pt>
                <c:pt idx="9">
                  <c:v>380.18249499723055</c:v>
                </c:pt>
                <c:pt idx="10">
                  <c:v>440.19642336797591</c:v>
                </c:pt>
                <c:pt idx="11">
                  <c:v>488.13649136158989</c:v>
                </c:pt>
              </c:numCache>
            </c:numRef>
          </c:val>
          <c:extLst>
            <c:ext xmlns:c16="http://schemas.microsoft.com/office/drawing/2014/chart" uri="{C3380CC4-5D6E-409C-BE32-E72D297353CC}">
              <c16:uniqueId val="{00000000-1651-4DF6-95C4-0AF1054B1481}"/>
            </c:ext>
          </c:extLst>
        </c:ser>
        <c:ser>
          <c:idx val="1"/>
          <c:order val="1"/>
          <c:tx>
            <c:strRef>
              <c:f>'Dashboard Gráficos'!$X$58</c:f>
              <c:strCache>
                <c:ptCount val="1"/>
                <c:pt idx="0">
                  <c:v>Cambio Neto de Caja</c:v>
                </c:pt>
              </c:strCache>
            </c:strRef>
          </c:tx>
          <c:spPr>
            <a:solidFill>
              <a:schemeClr val="accent2"/>
            </a:solidFill>
            <a:ln>
              <a:noFill/>
            </a:ln>
            <a:effectLst/>
          </c:spPr>
          <c:invertIfNegative val="0"/>
          <c:cat>
            <c:strRef>
              <c:f>'Dashboard Gráficos'!$Y$56:$AJ$56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Gráficos'!$Y$58:$AJ$58</c:f>
              <c:numCache>
                <c:formatCode>#,##0.0;\(#,##0.0\);"–"</c:formatCode>
                <c:ptCount val="12"/>
                <c:pt idx="0" formatCode="#,##0;\(#,##0\);&quot;–&quot;">
                  <c:v>194.135954</c:v>
                </c:pt>
                <c:pt idx="1">
                  <c:v>-305.29308600000002</c:v>
                </c:pt>
                <c:pt idx="2">
                  <c:v>149.18717100000001</c:v>
                </c:pt>
                <c:pt idx="3">
                  <c:v>88.268448000000006</c:v>
                </c:pt>
                <c:pt idx="4" formatCode="#,##0;\(#,##0\);&quot;–&quot;">
                  <c:v>-112.934814</c:v>
                </c:pt>
                <c:pt idx="5">
                  <c:v>-129.38098099999999</c:v>
                </c:pt>
                <c:pt idx="6">
                  <c:v>58.825563000000002</c:v>
                </c:pt>
                <c:pt idx="7">
                  <c:v>-1042.0007475107066</c:v>
                </c:pt>
                <c:pt idx="8">
                  <c:v>313.38145682601174</c:v>
                </c:pt>
                <c:pt idx="9">
                  <c:v>372.82240299723054</c:v>
                </c:pt>
                <c:pt idx="10">
                  <c:v>381.52996168746444</c:v>
                </c:pt>
                <c:pt idx="11">
                  <c:v>0</c:v>
                </c:pt>
              </c:numCache>
            </c:numRef>
          </c:val>
          <c:extLst>
            <c:ext xmlns:c16="http://schemas.microsoft.com/office/drawing/2014/chart" uri="{C3380CC4-5D6E-409C-BE32-E72D297353CC}">
              <c16:uniqueId val="{00000001-1651-4DF6-95C4-0AF1054B1481}"/>
            </c:ext>
          </c:extLst>
        </c:ser>
        <c:dLbls>
          <c:showLegendKey val="0"/>
          <c:showVal val="0"/>
          <c:showCatName val="0"/>
          <c:showSerName val="0"/>
          <c:showPercent val="0"/>
          <c:showBubbleSize val="0"/>
        </c:dLbls>
        <c:gapWidth val="219"/>
        <c:axId val="1493692912"/>
        <c:axId val="1328060272"/>
      </c:barChart>
      <c:catAx>
        <c:axId val="1493692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60272"/>
        <c:crosses val="autoZero"/>
        <c:auto val="1"/>
        <c:lblAlgn val="ctr"/>
        <c:lblOffset val="100"/>
        <c:noMultiLvlLbl val="0"/>
      </c:catAx>
      <c:valAx>
        <c:axId val="1328060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2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Inversión vs Financiamiento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Gráficos'!$X$62</c:f>
              <c:strCache>
                <c:ptCount val="1"/>
                <c:pt idx="0">
                  <c:v>Inversión</c:v>
                </c:pt>
              </c:strCache>
            </c:strRef>
          </c:tx>
          <c:spPr>
            <a:solidFill>
              <a:schemeClr val="accent1"/>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Gráficos'!$Y$62:$AJ$62</c:f>
              <c:numCache>
                <c:formatCode>#,##0.0;\(#,##0.0\);"–"</c:formatCode>
                <c:ptCount val="12"/>
                <c:pt idx="0" formatCode="#,##0;\(#,##0\);&quot;–&quot;">
                  <c:v>-7.3599540000000001</c:v>
                </c:pt>
                <c:pt idx="1">
                  <c:v>-6.2690000000000001</c:v>
                </c:pt>
                <c:pt idx="2">
                  <c:v>-0.28904800000000003</c:v>
                </c:pt>
                <c:pt idx="3">
                  <c:v>1.2286356333333333</c:v>
                </c:pt>
                <c:pt idx="4" formatCode="#,##0;\(#,##0\);&quot;–&quot;">
                  <c:v>-65.009996916666665</c:v>
                </c:pt>
                <c:pt idx="5">
                  <c:v>-3.766258566666667</c:v>
                </c:pt>
                <c:pt idx="6">
                  <c:v>-3.766258566666667</c:v>
                </c:pt>
                <c:pt idx="7">
                  <c:v>-7.3600919999999999</c:v>
                </c:pt>
                <c:pt idx="8">
                  <c:v>-7.3600919999999999</c:v>
                </c:pt>
                <c:pt idx="9">
                  <c:v>-7.3600919999999999</c:v>
                </c:pt>
                <c:pt idx="10">
                  <c:v>-7.3600919999999999</c:v>
                </c:pt>
                <c:pt idx="11">
                  <c:v>-7.3600919999999999</c:v>
                </c:pt>
              </c:numCache>
            </c:numRef>
          </c:val>
          <c:extLst>
            <c:ext xmlns:c16="http://schemas.microsoft.com/office/drawing/2014/chart" uri="{C3380CC4-5D6E-409C-BE32-E72D297353CC}">
              <c16:uniqueId val="{00000000-1821-4E71-A715-A2A1DB69AC71}"/>
            </c:ext>
          </c:extLst>
        </c:ser>
        <c:ser>
          <c:idx val="1"/>
          <c:order val="1"/>
          <c:tx>
            <c:strRef>
              <c:f>'Dashboard Gráficos'!$X$63</c:f>
              <c:strCache>
                <c:ptCount val="1"/>
                <c:pt idx="0">
                  <c:v>Financiamiento</c:v>
                </c:pt>
              </c:strCache>
            </c:strRef>
          </c:tx>
          <c:spPr>
            <a:solidFill>
              <a:schemeClr val="accent2"/>
            </a:solidFill>
            <a:ln>
              <a:noFill/>
            </a:ln>
            <a:effectLst/>
          </c:spPr>
          <c:invertIfNegative val="0"/>
          <c:cat>
            <c:strRef>
              <c:f>'Dashboard Gráficos'!$Y$61:$AJ$61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Gráficos'!$Y$63:$AJ$63</c:f>
              <c:numCache>
                <c:formatCode>#,##0.0;\(#,##0.0\);"–"</c:formatCode>
                <c:ptCount val="12"/>
                <c:pt idx="0" formatCode="#,##0;\(#,##0\);&quot;–&quot;">
                  <c:v>-17.231358</c:v>
                </c:pt>
                <c:pt idx="1">
                  <c:v>5.6945129999999997</c:v>
                </c:pt>
                <c:pt idx="2" formatCode="#,##0;\(#,##0\);&quot;–&quot;">
                  <c:v>23.825706</c:v>
                </c:pt>
                <c:pt idx="3">
                  <c:v>13.700089999999999</c:v>
                </c:pt>
                <c:pt idx="4" formatCode="#,##0;\(#,##0\);&quot;–&quot;">
                  <c:v>-18.780003000000001</c:v>
                </c:pt>
                <c:pt idx="5">
                  <c:v>-17.168520000000001</c:v>
                </c:pt>
                <c:pt idx="6">
                  <c:v>21.272048000000002</c:v>
                </c:pt>
                <c:pt idx="7" formatCode="#,##0;\(#,##0\);&quot;–&quot;">
                  <c:v>750.43693171350003</c:v>
                </c:pt>
                <c:pt idx="8" formatCode="#,##0;\(#,##0\);&quot;–&quot;">
                  <c:v>0</c:v>
                </c:pt>
                <c:pt idx="9" formatCode="#,##0;\(#,##0\);&quot;–&quot;">
                  <c:v>0</c:v>
                </c:pt>
                <c:pt idx="10" formatCode="#,##0;\(#,##0\);&quot;–&quot;">
                  <c:v>-51.306369680511473</c:v>
                </c:pt>
                <c:pt idx="11" formatCode="#,##0;\(#,##0\);&quot;–&quot;">
                  <c:v>-480.77639936158988</c:v>
                </c:pt>
              </c:numCache>
            </c:numRef>
          </c:val>
          <c:extLst>
            <c:ext xmlns:c16="http://schemas.microsoft.com/office/drawing/2014/chart" uri="{C3380CC4-5D6E-409C-BE32-E72D297353CC}">
              <c16:uniqueId val="{00000001-1821-4E71-A715-A2A1DB69AC71}"/>
            </c:ext>
          </c:extLst>
        </c:ser>
        <c:dLbls>
          <c:showLegendKey val="0"/>
          <c:showVal val="0"/>
          <c:showCatName val="0"/>
          <c:showSerName val="0"/>
          <c:showPercent val="0"/>
          <c:showBubbleSize val="0"/>
        </c:dLbls>
        <c:gapWidth val="219"/>
        <c:axId val="1493701728"/>
        <c:axId val="1328147152"/>
      </c:barChart>
      <c:catAx>
        <c:axId val="149370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47152"/>
        <c:crosses val="autoZero"/>
        <c:auto val="1"/>
        <c:lblAlgn val="ctr"/>
        <c:lblOffset val="100"/>
        <c:noMultiLvlLbl val="0"/>
      </c:catAx>
      <c:valAx>
        <c:axId val="132814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701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Ciclo de Conversión de Caja (días)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Gráficos'!$X$67</c:f>
              <c:strCache>
                <c:ptCount val="1"/>
                <c:pt idx="0">
                  <c:v>Ciclo de Conversión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Gráficos'!$Y$66:$AJ$66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Gráficos'!$Y$67:$AJ$67</c:f>
              <c:numCache>
                <c:formatCode>#,##0.0;\(#,##0.0\);"–"</c:formatCode>
                <c:ptCount val="12"/>
                <c:pt idx="0">
                  <c:v>74.269057379725325</c:v>
                </c:pt>
                <c:pt idx="1">
                  <c:v>60.679429828580965</c:v>
                </c:pt>
                <c:pt idx="2">
                  <c:v>59.712593151728029</c:v>
                </c:pt>
                <c:pt idx="3">
                  <c:v>57.41480657706451</c:v>
                </c:pt>
                <c:pt idx="4">
                  <c:v>50.718746596395562</c:v>
                </c:pt>
                <c:pt idx="5">
                  <c:v>61.479997080023828</c:v>
                </c:pt>
                <c:pt idx="6">
                  <c:v>68.188358869389432</c:v>
                </c:pt>
                <c:pt idx="7">
                  <c:v>49.196808594167919</c:v>
                </c:pt>
                <c:pt idx="8">
                  <c:v>72.796301540506064</c:v>
                </c:pt>
                <c:pt idx="9">
                  <c:v>72.916313657836128</c:v>
                </c:pt>
                <c:pt idx="10">
                  <c:v>73.270589335838082</c:v>
                </c:pt>
                <c:pt idx="11">
                  <c:v>73.368532356608682</c:v>
                </c:pt>
              </c:numCache>
            </c:numRef>
          </c:val>
          <c:smooth val="0"/>
          <c:extLst>
            <c:ext xmlns:c16="http://schemas.microsoft.com/office/drawing/2014/chart" uri="{C3380CC4-5D6E-409C-BE32-E72D297353CC}">
              <c16:uniqueId val="{00000000-B971-47CA-8DAC-2C28CB0A2AFE}"/>
            </c:ext>
          </c:extLst>
        </c:ser>
        <c:dLbls>
          <c:showLegendKey val="0"/>
          <c:showVal val="0"/>
          <c:showCatName val="0"/>
          <c:showSerName val="0"/>
          <c:showPercent val="0"/>
          <c:showBubbleSize val="0"/>
        </c:dLbls>
        <c:marker val="1"/>
        <c:smooth val="0"/>
        <c:axId val="1493645120"/>
        <c:axId val="1328035792"/>
      </c:lineChart>
      <c:catAx>
        <c:axId val="1493645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35792"/>
        <c:crosses val="autoZero"/>
        <c:auto val="1"/>
        <c:lblAlgn val="ctr"/>
        <c:lblOffset val="100"/>
        <c:noMultiLvlLbl val="0"/>
      </c:catAx>
      <c:valAx>
        <c:axId val="132803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Días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451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Total Mensual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Gráficos'!$X$71</c:f>
              <c:strCache>
                <c:ptCount val="1"/>
                <c:pt idx="0">
                  <c:v>Deuda 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Gráficos'!$Y$70:$AJ$70</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Gráficos'!$Y$71:$AJ$71</c:f>
              <c:numCache>
                <c:formatCode>#,##0.0;\(#,##0.0\);"–"</c:formatCode>
                <c:ptCount val="12"/>
                <c:pt idx="0">
                  <c:v>72.783461000000003</c:v>
                </c:pt>
                <c:pt idx="1">
                  <c:v>101.365099</c:v>
                </c:pt>
                <c:pt idx="2">
                  <c:v>104.18998000000001</c:v>
                </c:pt>
                <c:pt idx="3">
                  <c:v>112.56347</c:v>
                </c:pt>
                <c:pt idx="4" formatCode="#,##0;\(#,##0\);&quot;–&quot;">
                  <c:v>2742.2389480000002</c:v>
                </c:pt>
                <c:pt idx="5" formatCode="#,##0;\(#,##0\);&quot;–&quot;">
                  <c:v>2725.070428</c:v>
                </c:pt>
                <c:pt idx="6" formatCode="#,##0;\(#,##0\);&quot;–&quot;">
                  <c:v>2725.070428</c:v>
                </c:pt>
                <c:pt idx="7" formatCode="#,##0;\(#,##0\);&quot;–&quot;">
                  <c:v>3496.7794077134999</c:v>
                </c:pt>
                <c:pt idx="8" formatCode="#,##0;\(#,##0\);&quot;–&quot;">
                  <c:v>3496.7794077134999</c:v>
                </c:pt>
                <c:pt idx="9" formatCode="#,##0;\(#,##0\);&quot;–&quot;">
                  <c:v>3496.7794077134999</c:v>
                </c:pt>
                <c:pt idx="10" formatCode="#,##0;\(#,##0\);&quot;–&quot;">
                  <c:v>3445.4730380329884</c:v>
                </c:pt>
                <c:pt idx="11" formatCode="#,##0;\(#,##0\);&quot;–&quot;">
                  <c:v>2964.6966386713984</c:v>
                </c:pt>
              </c:numCache>
            </c:numRef>
          </c:val>
          <c:smooth val="0"/>
          <c:extLst>
            <c:ext xmlns:c16="http://schemas.microsoft.com/office/drawing/2014/chart" uri="{C3380CC4-5D6E-409C-BE32-E72D297353CC}">
              <c16:uniqueId val="{00000000-A3C3-408D-920F-95B9FE60B878}"/>
            </c:ext>
          </c:extLst>
        </c:ser>
        <c:dLbls>
          <c:showLegendKey val="0"/>
          <c:showVal val="0"/>
          <c:showCatName val="0"/>
          <c:showSerName val="0"/>
          <c:showPercent val="0"/>
          <c:showBubbleSize val="0"/>
        </c:dLbls>
        <c:marker val="1"/>
        <c:smooth val="0"/>
        <c:axId val="1493447920"/>
        <c:axId val="1328117392"/>
      </c:lineChart>
      <c:catAx>
        <c:axId val="149344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17392"/>
        <c:crosses val="autoZero"/>
        <c:auto val="1"/>
        <c:lblAlgn val="ctr"/>
        <c:lblOffset val="100"/>
        <c:noMultiLvlLbl val="0"/>
      </c:catAx>
      <c:valAx>
        <c:axId val="132811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44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Impuestos por Pagar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Gráficos'!$X$75</c:f>
              <c:strCache>
                <c:ptCount val="1"/>
                <c:pt idx="0">
                  <c:v>Impuestos por Pagar</c:v>
                </c:pt>
              </c:strCache>
            </c:strRef>
          </c:tx>
          <c:spPr>
            <a:solidFill>
              <a:schemeClr val="accent1"/>
            </a:solidFill>
            <a:ln>
              <a:noFill/>
            </a:ln>
            <a:effectLst/>
          </c:spPr>
          <c:invertIfNegative val="0"/>
          <c:cat>
            <c:strRef>
              <c:f>'Dashboard Gráficos'!$Y$74:$AJ$74</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Gráficos'!$Y$75:$AJ$75</c:f>
              <c:numCache>
                <c:formatCode>#,##0;\(#,##0\);"–"</c:formatCode>
                <c:ptCount val="12"/>
                <c:pt idx="0">
                  <c:v>14.35008</c:v>
                </c:pt>
                <c:pt idx="1">
                  <c:v>1.7917000000000001</c:v>
                </c:pt>
                <c:pt idx="2">
                  <c:v>25.570584</c:v>
                </c:pt>
                <c:pt idx="3">
                  <c:v>24.496645000000001</c:v>
                </c:pt>
                <c:pt idx="4" formatCode="#,##0.0;\(#,##0.0\);&quot;–&quot;">
                  <c:v>22.513415999999999</c:v>
                </c:pt>
                <c:pt idx="5" formatCode="#,##0.0;\(#,##0.0\);&quot;–&quot;">
                  <c:v>23.325495</c:v>
                </c:pt>
                <c:pt idx="6" formatCode="#,##0.0;\(#,##0.0\);&quot;–&quot;">
                  <c:v>19.229474</c:v>
                </c:pt>
                <c:pt idx="7" formatCode="#,##0.0;\(#,##0.0\);&quot;–&quot;">
                  <c:v>259.28157937041664</c:v>
                </c:pt>
                <c:pt idx="8" formatCode="#,##0.0;\(#,##0.0\);&quot;–&quot;">
                  <c:v>291.25599034205544</c:v>
                </c:pt>
                <c:pt idx="9" formatCode="#,##0.0;\(#,##0.0\);&quot;–&quot;">
                  <c:v>323.23075071416719</c:v>
                </c:pt>
                <c:pt idx="10" formatCode="#,##0.0;\(#,##0.0\);&quot;–&quot;">
                  <c:v>349.32216426341023</c:v>
                </c:pt>
                <c:pt idx="11" formatCode="#,##0.0;\(#,##0.0\);&quot;–&quot;">
                  <c:v>381.29760606349919</c:v>
                </c:pt>
              </c:numCache>
            </c:numRef>
          </c:val>
          <c:extLst>
            <c:ext xmlns:c16="http://schemas.microsoft.com/office/drawing/2014/chart" uri="{C3380CC4-5D6E-409C-BE32-E72D297353CC}">
              <c16:uniqueId val="{00000000-4D24-41ED-830A-0FF616CA2869}"/>
            </c:ext>
          </c:extLst>
        </c:ser>
        <c:dLbls>
          <c:showLegendKey val="0"/>
          <c:showVal val="0"/>
          <c:showCatName val="0"/>
          <c:showSerName val="0"/>
          <c:showPercent val="0"/>
          <c:showBubbleSize val="0"/>
        </c:dLbls>
        <c:gapWidth val="219"/>
        <c:axId val="1493657648"/>
        <c:axId val="1328028592"/>
      </c:barChart>
      <c:catAx>
        <c:axId val="149365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28592"/>
        <c:crosses val="autoZero"/>
        <c:auto val="1"/>
        <c:lblAlgn val="ctr"/>
        <c:lblOffset val="100"/>
        <c:noMultiLvlLbl val="0"/>
      </c:catAx>
      <c:valAx>
        <c:axId val="13280285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576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Capital de Trabajo Neto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Gráficos'!$X$79</c:f>
              <c:strCache>
                <c:ptCount val="1"/>
                <c:pt idx="0">
                  <c:v>Capital de Trabajo Neto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Gráficos'!$Y$78:$AJ$78</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Gráficos'!$Y$79:$AJ$79</c:f>
              <c:numCache>
                <c:formatCode>#,##0;\(#,##0\);"–"</c:formatCode>
                <c:ptCount val="12"/>
                <c:pt idx="0">
                  <c:v>1074.062508</c:v>
                </c:pt>
                <c:pt idx="1">
                  <c:v>1301.9831919999999</c:v>
                </c:pt>
                <c:pt idx="2">
                  <c:v>1093.981665</c:v>
                </c:pt>
                <c:pt idx="3">
                  <c:v>1024.2512959999999</c:v>
                </c:pt>
                <c:pt idx="4">
                  <c:v>1150.522226</c:v>
                </c:pt>
                <c:pt idx="5">
                  <c:v>1292.7147010000001</c:v>
                </c:pt>
                <c:pt idx="6">
                  <c:v>1265.4681370000001</c:v>
                </c:pt>
                <c:pt idx="7">
                  <c:v>3535.8349159073609</c:v>
                </c:pt>
                <c:pt idx="8">
                  <c:v>3759.8235049357222</c:v>
                </c:pt>
                <c:pt idx="9">
                  <c:v>3983.8117445636108</c:v>
                </c:pt>
                <c:pt idx="10">
                  <c:v>4196.2994554143679</c:v>
                </c:pt>
                <c:pt idx="11">
                  <c:v>4420.2870136142792</c:v>
                </c:pt>
              </c:numCache>
            </c:numRef>
          </c:val>
          <c:smooth val="0"/>
          <c:extLst>
            <c:ext xmlns:c16="http://schemas.microsoft.com/office/drawing/2014/chart" uri="{C3380CC4-5D6E-409C-BE32-E72D297353CC}">
              <c16:uniqueId val="{00000000-FD99-4430-B088-843A4A25FACF}"/>
            </c:ext>
          </c:extLst>
        </c:ser>
        <c:dLbls>
          <c:showLegendKey val="0"/>
          <c:showVal val="0"/>
          <c:showCatName val="0"/>
          <c:showSerName val="0"/>
          <c:showPercent val="0"/>
          <c:showBubbleSize val="0"/>
        </c:dLbls>
        <c:marker val="1"/>
        <c:smooth val="0"/>
        <c:axId val="1493672032"/>
        <c:axId val="1328074672"/>
      </c:lineChart>
      <c:catAx>
        <c:axId val="1493672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74672"/>
        <c:crosses val="autoZero"/>
        <c:auto val="1"/>
        <c:lblAlgn val="ctr"/>
        <c:lblOffset val="100"/>
        <c:noMultiLvlLbl val="0"/>
      </c:catAx>
      <c:valAx>
        <c:axId val="1328074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72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Intereses Totales Mensuales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Gráficos'!$X$88</c:f>
              <c:strCache>
                <c:ptCount val="1"/>
                <c:pt idx="0">
                  <c:v>Intereses Totales</c:v>
                </c:pt>
              </c:strCache>
            </c:strRef>
          </c:tx>
          <c:spPr>
            <a:solidFill>
              <a:schemeClr val="accent1"/>
            </a:solidFill>
            <a:ln>
              <a:noFill/>
            </a:ln>
            <a:effectLst/>
          </c:spPr>
          <c:invertIfNegative val="0"/>
          <c:cat>
            <c:strRef>
              <c:f>'Dashboard Gráficos'!$Y$87:$AJ$87</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Gráficos'!$Y$88:$AJ$88</c:f>
              <c:numCache>
                <c:formatCode>#,##0.0;\(#,##0.0\);"–"</c:formatCode>
                <c:ptCount val="12"/>
                <c:pt idx="0">
                  <c:v>0.63706025416666678</c:v>
                </c:pt>
                <c:pt idx="1">
                  <c:v>0.72561900000000001</c:v>
                </c:pt>
                <c:pt idx="2">
                  <c:v>0.85647949583333349</c:v>
                </c:pt>
                <c:pt idx="3">
                  <c:v>0.90313937499999997</c:v>
                </c:pt>
                <c:pt idx="4">
                  <c:v>0.93802891666666666</c:v>
                </c:pt>
                <c:pt idx="5">
                  <c:v>0.82991472500000008</c:v>
                </c:pt>
                <c:pt idx="6">
                  <c:v>0.69586622499999995</c:v>
                </c:pt>
                <c:pt idx="7">
                  <c:v>0.87129329166666658</c:v>
                </c:pt>
                <c:pt idx="8">
                  <c:v>0.87129329166666658</c:v>
                </c:pt>
                <c:pt idx="9">
                  <c:v>0.87129329166666658</c:v>
                </c:pt>
                <c:pt idx="10">
                  <c:v>0.87129329166666658</c:v>
                </c:pt>
                <c:pt idx="11">
                  <c:v>0.87129329166666658</c:v>
                </c:pt>
              </c:numCache>
            </c:numRef>
          </c:val>
          <c:extLst>
            <c:ext xmlns:c16="http://schemas.microsoft.com/office/drawing/2014/chart" uri="{C3380CC4-5D6E-409C-BE32-E72D297353CC}">
              <c16:uniqueId val="{00000000-4C26-4020-B9D0-EE2206ABE63F}"/>
            </c:ext>
          </c:extLst>
        </c:ser>
        <c:dLbls>
          <c:showLegendKey val="0"/>
          <c:showVal val="0"/>
          <c:showCatName val="0"/>
          <c:showSerName val="0"/>
          <c:showPercent val="0"/>
          <c:showBubbleSize val="0"/>
        </c:dLbls>
        <c:gapWidth val="219"/>
        <c:axId val="1493696624"/>
        <c:axId val="1328015152"/>
      </c:barChart>
      <c:catAx>
        <c:axId val="1493696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015152"/>
        <c:crosses val="autoZero"/>
        <c:auto val="1"/>
        <c:lblAlgn val="ctr"/>
        <c:lblOffset val="100"/>
        <c:noMultiLvlLbl val="0"/>
      </c:catAx>
      <c:valAx>
        <c:axId val="1328015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66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Margen Bruto Mensual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Gráficos'!$X$93</c:f>
              <c:strCache>
                <c:ptCount val="1"/>
                <c:pt idx="0">
                  <c:v>Margen Bruto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Gráficos'!$Y$92:$AJ$92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Gráficos'!$Y$93:$AJ$93</c:f>
              <c:numCache>
                <c:formatCode>#,##0.0;\(#,##0.0\);"–"</c:formatCode>
                <c:ptCount val="12"/>
                <c:pt idx="0">
                  <c:v>0.6103933202029288</c:v>
                </c:pt>
                <c:pt idx="1">
                  <c:v>0.53869870414082643</c:v>
                </c:pt>
                <c:pt idx="2">
                  <c:v>0.42107324429007298</c:v>
                </c:pt>
                <c:pt idx="3">
                  <c:v>0.49488623202952642</c:v>
                </c:pt>
                <c:pt idx="4">
                  <c:v>0.56991629644802488</c:v>
                </c:pt>
                <c:pt idx="5">
                  <c:v>0.53626180162138459</c:v>
                </c:pt>
                <c:pt idx="6">
                  <c:v>0.52651520593567536</c:v>
                </c:pt>
                <c:pt idx="7">
                  <c:v>0.7759816853462268</c:v>
                </c:pt>
                <c:pt idx="8">
                  <c:v>0.78828090738911971</c:v>
                </c:pt>
                <c:pt idx="9">
                  <c:v>0.79929989551475966</c:v>
                </c:pt>
                <c:pt idx="10">
                  <c:v>0.80380124197548719</c:v>
                </c:pt>
                <c:pt idx="11">
                  <c:v>0.81304978275956175</c:v>
                </c:pt>
              </c:numCache>
            </c:numRef>
          </c:val>
          <c:smooth val="0"/>
          <c:extLst>
            <c:ext xmlns:c16="http://schemas.microsoft.com/office/drawing/2014/chart" uri="{C3380CC4-5D6E-409C-BE32-E72D297353CC}">
              <c16:uniqueId val="{00000000-4D3E-4E1C-A42F-CBA35EF3FB84}"/>
            </c:ext>
          </c:extLst>
        </c:ser>
        <c:dLbls>
          <c:showLegendKey val="0"/>
          <c:showVal val="0"/>
          <c:showCatName val="0"/>
          <c:showSerName val="0"/>
          <c:showPercent val="0"/>
          <c:showBubbleSize val="0"/>
        </c:dLbls>
        <c:marker val="1"/>
        <c:smooth val="0"/>
        <c:axId val="2063130368"/>
        <c:axId val="2063790416"/>
      </c:lineChart>
      <c:catAx>
        <c:axId val="2063130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790416"/>
        <c:crosses val="autoZero"/>
        <c:auto val="1"/>
        <c:lblAlgn val="ctr"/>
        <c:lblOffset val="100"/>
        <c:noMultiLvlLbl val="0"/>
      </c:catAx>
      <c:valAx>
        <c:axId val="2063790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30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 de Ventas vs Opex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Gráficos'!$X$97</c:f>
              <c:strCache>
                <c:ptCount val="1"/>
                <c:pt idx="0">
                  <c:v>Costo de Ventas (COP MM)</c:v>
                </c:pt>
              </c:strCache>
            </c:strRef>
          </c:tx>
          <c:spPr>
            <a:solidFill>
              <a:schemeClr val="accent1"/>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Gráficos'!$Y$97:$AJ$97</c:f>
              <c:numCache>
                <c:formatCode>#,##0.0;\(#,##0.0\);"–"</c:formatCode>
                <c:ptCount val="12"/>
                <c:pt idx="0">
                  <c:v>238.53579400000001</c:v>
                </c:pt>
                <c:pt idx="1">
                  <c:v>343.30879099999999</c:v>
                </c:pt>
                <c:pt idx="2">
                  <c:v>455.63920100000001</c:v>
                </c:pt>
                <c:pt idx="3">
                  <c:v>379.273594</c:v>
                </c:pt>
                <c:pt idx="4">
                  <c:v>355.47052300000001</c:v>
                </c:pt>
                <c:pt idx="5">
                  <c:v>348.47760599999998</c:v>
                </c:pt>
                <c:pt idx="6">
                  <c:v>321.91783800000002</c:v>
                </c:pt>
                <c:pt idx="7">
                  <c:v>352.52106041666661</c:v>
                </c:pt>
                <c:pt idx="8">
                  <c:v>352.52106041666661</c:v>
                </c:pt>
                <c:pt idx="9">
                  <c:v>352.52106041666661</c:v>
                </c:pt>
                <c:pt idx="10">
                  <c:v>362.55021941666661</c:v>
                </c:pt>
                <c:pt idx="11">
                  <c:v>362.55021941666661</c:v>
                </c:pt>
              </c:numCache>
            </c:numRef>
          </c:val>
          <c:extLst>
            <c:ext xmlns:c16="http://schemas.microsoft.com/office/drawing/2014/chart" uri="{C3380CC4-5D6E-409C-BE32-E72D297353CC}">
              <c16:uniqueId val="{00000000-B4F9-46B8-AD1C-C19D6187EF7B}"/>
            </c:ext>
          </c:extLst>
        </c:ser>
        <c:ser>
          <c:idx val="1"/>
          <c:order val="1"/>
          <c:tx>
            <c:strRef>
              <c:f>'Dashboard Gráficos'!$X$98</c:f>
              <c:strCache>
                <c:ptCount val="1"/>
                <c:pt idx="0">
                  <c:v>Opex Total (COP MM)</c:v>
                </c:pt>
              </c:strCache>
            </c:strRef>
          </c:tx>
          <c:spPr>
            <a:solidFill>
              <a:schemeClr val="accent2"/>
            </a:solidFill>
            <a:ln>
              <a:noFill/>
            </a:ln>
            <a:effectLst/>
          </c:spPr>
          <c:invertIfNegative val="0"/>
          <c:cat>
            <c:strRef>
              <c:f>'Dashboard Gráficos'!$Y$96:$AJ$96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Gráficos'!$Y$98:$AJ$98</c:f>
              <c:numCache>
                <c:formatCode>#,##0.0;\(#,##0.0\);"–"</c:formatCode>
                <c:ptCount val="12"/>
                <c:pt idx="0">
                  <c:v>303.73254600000001</c:v>
                </c:pt>
                <c:pt idx="1">
                  <c:v>354.77531399999998</c:v>
                </c:pt>
                <c:pt idx="2">
                  <c:v>353.64477900000003</c:v>
                </c:pt>
                <c:pt idx="3">
                  <c:v>366.75581599999998</c:v>
                </c:pt>
                <c:pt idx="4">
                  <c:v>358.03474799999998</c:v>
                </c:pt>
                <c:pt idx="5">
                  <c:v>368.00021299999997</c:v>
                </c:pt>
                <c:pt idx="6">
                  <c:v>328.63035200000002</c:v>
                </c:pt>
                <c:pt idx="7">
                  <c:v>479.30825258333323</c:v>
                </c:pt>
                <c:pt idx="8">
                  <c:v>479.30825258333323</c:v>
                </c:pt>
                <c:pt idx="9">
                  <c:v>479.30825258333323</c:v>
                </c:pt>
                <c:pt idx="10">
                  <c:v>486.08963758333323</c:v>
                </c:pt>
                <c:pt idx="11">
                  <c:v>486.08963758333323</c:v>
                </c:pt>
              </c:numCache>
            </c:numRef>
          </c:val>
          <c:extLst>
            <c:ext xmlns:c16="http://schemas.microsoft.com/office/drawing/2014/chart" uri="{C3380CC4-5D6E-409C-BE32-E72D297353CC}">
              <c16:uniqueId val="{00000001-B4F9-46B8-AD1C-C19D6187EF7B}"/>
            </c:ext>
          </c:extLst>
        </c:ser>
        <c:dLbls>
          <c:showLegendKey val="0"/>
          <c:showVal val="0"/>
          <c:showCatName val="0"/>
          <c:showSerName val="0"/>
          <c:showPercent val="0"/>
          <c:showBubbleSize val="0"/>
        </c:dLbls>
        <c:gapWidth val="219"/>
        <c:axId val="2063264928"/>
        <c:axId val="2063806736"/>
      </c:barChart>
      <c:catAx>
        <c:axId val="206326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6736"/>
        <c:crosses val="autoZero"/>
        <c:auto val="1"/>
        <c:lblAlgn val="ctr"/>
        <c:lblOffset val="100"/>
        <c:noMultiLvlLbl val="0"/>
      </c:catAx>
      <c:valAx>
        <c:axId val="2063806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264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Déficit vs Caja Mínima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Gráficos'!$X$103</c:f>
              <c:strCache>
                <c:ptCount val="1"/>
                <c:pt idx="0">
                  <c:v>Déficit vs Caja Mínima (COP MM)</c:v>
                </c:pt>
              </c:strCache>
            </c:strRef>
          </c:tx>
          <c:spPr>
            <a:solidFill>
              <a:schemeClr val="accent1"/>
            </a:solidFill>
            <a:ln>
              <a:noFill/>
            </a:ln>
            <a:effectLst/>
          </c:spPr>
          <c:invertIfNegative val="0"/>
          <c:cat>
            <c:strRef>
              <c:f>'Dashboard Gráficos'!$Y$102:$AJ$102</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Gráficos'!$Y$103:$AJ$103</c:f>
              <c:numCache>
                <c:formatCode>#,##0.0;\(#,##0.0\);"–"</c:formatCode>
                <c:ptCount val="12"/>
                <c:pt idx="0" formatCode="#,##0;\(#,##0\);&quot;–&quot;">
                  <c:v>0</c:v>
                </c:pt>
                <c:pt idx="1">
                  <c:v>79.698459999999997</c:v>
                </c:pt>
                <c:pt idx="2">
                  <c:v>0</c:v>
                </c:pt>
                <c:pt idx="3">
                  <c:v>0</c:v>
                </c:pt>
                <c:pt idx="4" formatCode="#,##0;\(#,##0\);&quot;–&quot;">
                  <c:v>0</c:v>
                </c:pt>
                <c:pt idx="5">
                  <c:v>84.558638000000002</c:v>
                </c:pt>
                <c:pt idx="6">
                  <c:v>25.733073999999998</c:v>
                </c:pt>
                <c:pt idx="7" formatCode="#,##0;\(#,##0\);&quot;–&quot;">
                  <c:v>1067.7338215107068</c:v>
                </c:pt>
                <c:pt idx="8" formatCode="#,##0;\(#,##0\);&quot;–&quot;">
                  <c:v>754.35236468469498</c:v>
                </c:pt>
                <c:pt idx="9" formatCode="#,##0;\(#,##0\);&quot;–&quot;">
                  <c:v>381.52996168746449</c:v>
                </c:pt>
                <c:pt idx="10">
                  <c:v>0</c:v>
                </c:pt>
                <c:pt idx="11">
                  <c:v>0</c:v>
                </c:pt>
              </c:numCache>
            </c:numRef>
          </c:val>
          <c:extLst>
            <c:ext xmlns:c16="http://schemas.microsoft.com/office/drawing/2014/chart" uri="{C3380CC4-5D6E-409C-BE32-E72D297353CC}">
              <c16:uniqueId val="{00000000-404B-45E1-9058-13A94CC33AE7}"/>
            </c:ext>
          </c:extLst>
        </c:ser>
        <c:dLbls>
          <c:showLegendKey val="0"/>
          <c:showVal val="0"/>
          <c:showCatName val="0"/>
          <c:showSerName val="0"/>
          <c:showPercent val="0"/>
          <c:showBubbleSize val="0"/>
        </c:dLbls>
        <c:gapWidth val="219"/>
        <c:axId val="2063196256"/>
        <c:axId val="2063842736"/>
      </c:barChart>
      <c:catAx>
        <c:axId val="2063196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42736"/>
        <c:crosses val="autoZero"/>
        <c:auto val="1"/>
        <c:lblAlgn val="ctr"/>
        <c:lblOffset val="100"/>
        <c:noMultiLvlLbl val="0"/>
      </c:catAx>
      <c:valAx>
        <c:axId val="206384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9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Activos vs Pasivos Corrientes Op.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Gráficos'!$X$107</c:f>
              <c:strCache>
                <c:ptCount val="1"/>
                <c:pt idx="0">
                  <c:v>Activos Corrientes Op. (COP MM)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Gráficos'!$Y$107:$AJ$107</c:f>
              <c:numCache>
                <c:formatCode>#,##0;\(#,##0\);"–"</c:formatCode>
                <c:ptCount val="12"/>
                <c:pt idx="0">
                  <c:v>5014.8351750000002</c:v>
                </c:pt>
                <c:pt idx="1">
                  <c:v>5250.0737929999996</c:v>
                </c:pt>
                <c:pt idx="2">
                  <c:v>5182.1901049999997</c:v>
                </c:pt>
                <c:pt idx="3">
                  <c:v>5140.184816</c:v>
                </c:pt>
                <c:pt idx="4">
                  <c:v>5320.1716649999998</c:v>
                </c:pt>
                <c:pt idx="5">
                  <c:v>5374.856769</c:v>
                </c:pt>
                <c:pt idx="6">
                  <c:v>5296.4249920000002</c:v>
                </c:pt>
                <c:pt idx="7">
                  <c:v>8014.1200769999996</c:v>
                </c:pt>
                <c:pt idx="8">
                  <c:v>8270.0830769999993</c:v>
                </c:pt>
                <c:pt idx="9">
                  <c:v>8526.0460770000009</c:v>
                </c:pt>
                <c:pt idx="10">
                  <c:v>8782.0090770000006</c:v>
                </c:pt>
                <c:pt idx="11">
                  <c:v>9037.9720770000004</c:v>
                </c:pt>
              </c:numCache>
            </c:numRef>
          </c:val>
          <c:smooth val="0"/>
          <c:extLst>
            <c:ext xmlns:c16="http://schemas.microsoft.com/office/drawing/2014/chart" uri="{C3380CC4-5D6E-409C-BE32-E72D297353CC}">
              <c16:uniqueId val="{00000000-270C-4348-B2EC-D96BEC53DDE9}"/>
            </c:ext>
          </c:extLst>
        </c:ser>
        <c:ser>
          <c:idx val="1"/>
          <c:order val="1"/>
          <c:tx>
            <c:strRef>
              <c:f>'Dashboard Gráficos'!$X$108</c:f>
              <c:strCache>
                <c:ptCount val="1"/>
                <c:pt idx="0">
                  <c:v>Pasivos Corrientes Op. (COP MM)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 Gráficos'!$Y$106:$AJ$106</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Gráficos'!$Y$108:$AJ$108</c:f>
              <c:numCache>
                <c:formatCode>#,##0;\(#,##0\);"–"</c:formatCode>
                <c:ptCount val="12"/>
                <c:pt idx="0">
                  <c:v>516.47832100000005</c:v>
                </c:pt>
                <c:pt idx="1">
                  <c:v>495.57399700000002</c:v>
                </c:pt>
                <c:pt idx="2">
                  <c:v>596.60814900000003</c:v>
                </c:pt>
                <c:pt idx="3">
                  <c:v>588.33840799999996</c:v>
                </c:pt>
                <c:pt idx="4" formatCode="#,##0.0;\(#,##0.0\);&quot;–&quot;">
                  <c:v>524.82446600000003</c:v>
                </c:pt>
                <c:pt idx="5" formatCode="#,##0.0;\(#,##0.0\);&quot;–&quot;">
                  <c:v>506.71640100000002</c:v>
                </c:pt>
                <c:pt idx="6" formatCode="#,##0.0;\(#,##0.0\);&quot;–&quot;">
                  <c:v>422.989778</c:v>
                </c:pt>
                <c:pt idx="7" formatCode="#,##0.0;\(#,##0.0\);&quot;–&quot;">
                  <c:v>870.31808409263874</c:v>
                </c:pt>
                <c:pt idx="8" formatCode="#,##0.0;\(#,##0.0\);&quot;–&quot;">
                  <c:v>902.29249506427755</c:v>
                </c:pt>
                <c:pt idx="9" formatCode="#,##0.0;\(#,##0.0\);&quot;–&quot;">
                  <c:v>934.26725543638918</c:v>
                </c:pt>
                <c:pt idx="10" formatCode="#,##0.0;\(#,##0.0\);&quot;–&quot;">
                  <c:v>977.74254458563234</c:v>
                </c:pt>
                <c:pt idx="11">
                  <c:v>1009.7179863857214</c:v>
                </c:pt>
              </c:numCache>
            </c:numRef>
          </c:val>
          <c:smooth val="0"/>
          <c:extLst>
            <c:ext xmlns:c16="http://schemas.microsoft.com/office/drawing/2014/chart" uri="{C3380CC4-5D6E-409C-BE32-E72D297353CC}">
              <c16:uniqueId val="{00000001-270C-4348-B2EC-D96BEC53DDE9}"/>
            </c:ext>
          </c:extLst>
        </c:ser>
        <c:dLbls>
          <c:showLegendKey val="0"/>
          <c:showVal val="0"/>
          <c:showCatName val="0"/>
          <c:showSerName val="0"/>
          <c:showPercent val="0"/>
          <c:showBubbleSize val="0"/>
        </c:dLbls>
        <c:marker val="1"/>
        <c:smooth val="0"/>
        <c:axId val="2063154960"/>
        <c:axId val="2063863376"/>
      </c:lineChart>
      <c:catAx>
        <c:axId val="2063154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63376"/>
        <c:crosses val="autoZero"/>
        <c:auto val="1"/>
        <c:lblAlgn val="ctr"/>
        <c:lblOffset val="100"/>
        <c:noMultiLvlLbl val="0"/>
      </c:catAx>
      <c:valAx>
        <c:axId val="206386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154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Deuda / EBITDA Anual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Gráficos'!$X$112</c:f>
              <c:strCache>
                <c:ptCount val="1"/>
                <c:pt idx="0">
                  <c:v>Deuda / EBITDA Anual (x)</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 Gráficos'!$Y$111:$AJ$111</c:f>
              <c:strCache>
                <c:ptCount val="12"/>
                <c:pt idx="0">
                  <c:v>ene-26</c:v>
                </c:pt>
                <c:pt idx="1">
                  <c:v>feb-26</c:v>
                </c:pt>
                <c:pt idx="2">
                  <c:v>mar-26</c:v>
                </c:pt>
                <c:pt idx="3">
                  <c:v>abr-26</c:v>
                </c:pt>
                <c:pt idx="4">
                  <c:v>may-26</c:v>
                </c:pt>
                <c:pt idx="5">
                  <c:v>jun-26</c:v>
                </c:pt>
                <c:pt idx="6">
                  <c:v>jul-26</c:v>
                </c:pt>
                <c:pt idx="7">
                  <c:v>ago-26</c:v>
                </c:pt>
                <c:pt idx="8">
                  <c:v>sep-26</c:v>
                </c:pt>
                <c:pt idx="9">
                  <c:v>oct-26</c:v>
                </c:pt>
                <c:pt idx="10">
                  <c:v>nov-26</c:v>
                </c:pt>
                <c:pt idx="11">
                  <c:v>dic-26</c:v>
                </c:pt>
              </c:strCache>
            </c:strRef>
          </c:cat>
          <c:val>
            <c:numRef>
              <c:f>'Dashboard Gráficos'!$Y$112:$AJ$112</c:f>
              <c:numCache>
                <c:formatCode>#,##0.0;\(#,##0.0\);"–"</c:formatCode>
                <c:ptCount val="12"/>
                <c:pt idx="0">
                  <c:v>1.4958930482153505E-2</c:v>
                </c:pt>
                <c:pt idx="1">
                  <c:v>2.083321469499242E-2</c:v>
                </c:pt>
                <c:pt idx="2">
                  <c:v>2.1413802618660358E-2</c:v>
                </c:pt>
                <c:pt idx="3">
                  <c:v>2.3134776766935716E-2</c:v>
                </c:pt>
                <c:pt idx="4">
                  <c:v>0.56360279141693692</c:v>
                </c:pt>
                <c:pt idx="5">
                  <c:v>0.56007420547676756</c:v>
                </c:pt>
                <c:pt idx="6">
                  <c:v>0.56007420547676756</c:v>
                </c:pt>
                <c:pt idx="7">
                  <c:v>0.71868085623754763</c:v>
                </c:pt>
                <c:pt idx="8">
                  <c:v>0.71868085623754763</c:v>
                </c:pt>
                <c:pt idx="9">
                  <c:v>0.71868085623754763</c:v>
                </c:pt>
                <c:pt idx="10">
                  <c:v>0.70813603730756525</c:v>
                </c:pt>
                <c:pt idx="11">
                  <c:v>0.60932374346088902</c:v>
                </c:pt>
              </c:numCache>
            </c:numRef>
          </c:val>
          <c:smooth val="0"/>
          <c:extLst>
            <c:ext xmlns:c16="http://schemas.microsoft.com/office/drawing/2014/chart" uri="{C3380CC4-5D6E-409C-BE32-E72D297353CC}">
              <c16:uniqueId val="{00000000-4D5C-4934-85C0-C642E2D1B54C}"/>
            </c:ext>
          </c:extLst>
        </c:ser>
        <c:dLbls>
          <c:showLegendKey val="0"/>
          <c:showVal val="0"/>
          <c:showCatName val="0"/>
          <c:showSerName val="0"/>
          <c:showPercent val="0"/>
          <c:showBubbleSize val="0"/>
        </c:dLbls>
        <c:marker val="1"/>
        <c:smooth val="0"/>
        <c:axId val="1968083792"/>
        <c:axId val="2063624816"/>
      </c:lineChart>
      <c:catAx>
        <c:axId val="196808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624816"/>
        <c:crosses val="autoZero"/>
        <c:auto val="1"/>
        <c:lblAlgn val="ctr"/>
        <c:lblOffset val="100"/>
        <c:noMultiLvlLbl val="0"/>
      </c:catAx>
      <c:valAx>
        <c:axId val="2063624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Veces (x)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83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netos y utilidad neta por país — ene-jul 2026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Consolidado'!$B$12</c:f>
              <c:strCache>
                <c:ptCount val="1"/>
                <c:pt idx="0">
                  <c:v>Ingresos netos</c:v>
                </c:pt>
              </c:strCache>
            </c:strRef>
          </c:tx>
          <c:spPr>
            <a:solidFill>
              <a:schemeClr val="accent1"/>
            </a:solidFill>
            <a:ln>
              <a:noFill/>
            </a:ln>
            <a:effectLst/>
          </c:spPr>
          <c:invertIfNegative val="0"/>
          <c:cat>
            <c:strRef>
              <c:f>'Dashboard Consolidado'!$C$11:$F$11</c:f>
              <c:strCache>
                <c:ptCount val="4"/>
                <c:pt idx="0">
                  <c:v>Estados Unidos</c:v>
                </c:pt>
                <c:pt idx="1">
                  <c:v>Perú</c:v>
                </c:pt>
                <c:pt idx="2">
                  <c:v>Costa Rica</c:v>
                </c:pt>
                <c:pt idx="3">
                  <c:v>Colombia</c:v>
                </c:pt>
              </c:strCache>
            </c:strRef>
          </c:cat>
          <c:val>
            <c:numRef>
              <c:f>'Dashboard Consolidado'!$C$12:$F$12</c:f>
              <c:numCache>
                <c:formatCode>"$"#,##0;\("$"#,##0\);"–"</c:formatCode>
                <c:ptCount val="4"/>
                <c:pt idx="0">
                  <c:v>39010.5</c:v>
                </c:pt>
                <c:pt idx="1">
                  <c:v>8442.19</c:v>
                </c:pt>
                <c:pt idx="2">
                  <c:v>134104</c:v>
                </c:pt>
                <c:pt idx="3">
                  <c:v>1469854.1763564479</c:v>
                </c:pt>
              </c:numCache>
            </c:numRef>
          </c:val>
          <c:extLst>
            <c:ext xmlns:c16="http://schemas.microsoft.com/office/drawing/2014/chart" uri="{C3380CC4-5D6E-409C-BE32-E72D297353CC}">
              <c16:uniqueId val="{00000000-509E-409B-B370-9AA885C1E7FA}"/>
            </c:ext>
          </c:extLst>
        </c:ser>
        <c:ser>
          <c:idx val="1"/>
          <c:order val="1"/>
          <c:tx>
            <c:strRef>
              <c:f>'Dashboard Consolidado'!$B$13</c:f>
              <c:strCache>
                <c:ptCount val="1"/>
                <c:pt idx="0">
                  <c:v>Utilidad neta</c:v>
                </c:pt>
              </c:strCache>
            </c:strRef>
          </c:tx>
          <c:spPr>
            <a:solidFill>
              <a:schemeClr val="accent2"/>
            </a:solidFill>
            <a:ln>
              <a:noFill/>
            </a:ln>
            <a:effectLst/>
          </c:spPr>
          <c:invertIfNegative val="0"/>
          <c:cat>
            <c:strRef>
              <c:f>'Dashboard Consolidado'!$C$11:$F$11</c:f>
              <c:strCache>
                <c:ptCount val="4"/>
                <c:pt idx="0">
                  <c:v>Estados Unidos</c:v>
                </c:pt>
                <c:pt idx="1">
                  <c:v>Perú</c:v>
                </c:pt>
                <c:pt idx="2">
                  <c:v>Costa Rica</c:v>
                </c:pt>
                <c:pt idx="3">
                  <c:v>Colombia</c:v>
                </c:pt>
              </c:strCache>
            </c:strRef>
          </c:cat>
          <c:val>
            <c:numRef>
              <c:f>'Dashboard Consolidado'!$C$13:$F$13</c:f>
              <c:numCache>
                <c:formatCode>"$"#,##0;\("$"#,##0\);"–"</c:formatCode>
                <c:ptCount val="4"/>
                <c:pt idx="0">
                  <c:v>-48547.93</c:v>
                </c:pt>
                <c:pt idx="1">
                  <c:v>6897.0800000000008</c:v>
                </c:pt>
                <c:pt idx="2">
                  <c:v>109028.68</c:v>
                </c:pt>
                <c:pt idx="3">
                  <c:v>70387.842965897682</c:v>
                </c:pt>
              </c:numCache>
            </c:numRef>
          </c:val>
          <c:extLst>
            <c:ext xmlns:c16="http://schemas.microsoft.com/office/drawing/2014/chart" uri="{C3380CC4-5D6E-409C-BE32-E72D297353CC}">
              <c16:uniqueId val="{00000001-509E-409B-B370-9AA885C1E7FA}"/>
            </c:ext>
          </c:extLst>
        </c:ser>
        <c:dLbls>
          <c:showLegendKey val="0"/>
          <c:showVal val="0"/>
          <c:showCatName val="0"/>
          <c:showSerName val="0"/>
          <c:showPercent val="0"/>
          <c:showBubbleSize val="0"/>
        </c:dLbls>
        <c:gapWidth val="219"/>
        <c:overlap val="-27"/>
        <c:axId val="1682206447"/>
        <c:axId val="1714730127"/>
      </c:barChart>
      <c:catAx>
        <c:axId val="168220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30127"/>
        <c:crosses val="autoZero"/>
        <c:auto val="1"/>
        <c:lblAlgn val="ctr"/>
        <c:lblOffset val="100"/>
        <c:noMultiLvlLbl val="0"/>
      </c:catAx>
      <c:valAx>
        <c:axId val="17147301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206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Evolución consolidada (la 1ª barra es ene-abr acumulado)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Consolidado'!$B$19</c:f>
              <c:strCache>
                <c:ptCount val="1"/>
                <c:pt idx="0">
                  <c:v>Ingresos netos</c:v>
                </c:pt>
              </c:strCache>
            </c:strRef>
          </c:tx>
          <c:spPr>
            <a:solidFill>
              <a:schemeClr val="accent1"/>
            </a:solidFill>
            <a:ln>
              <a:noFill/>
            </a:ln>
            <a:effectLst/>
          </c:spPr>
          <c:invertIfNegative val="0"/>
          <c:cat>
            <c:strRef>
              <c:f>'Dashboard Consolidado'!$C$18:$F$18</c:f>
              <c:strCache>
                <c:ptCount val="4"/>
                <c:pt idx="0">
                  <c:v>Ene-Abr</c:v>
                </c:pt>
                <c:pt idx="1">
                  <c:v>May-26</c:v>
                </c:pt>
                <c:pt idx="2">
                  <c:v>Jun-26</c:v>
                </c:pt>
                <c:pt idx="3">
                  <c:v>Jul-26</c:v>
                </c:pt>
              </c:strCache>
            </c:strRef>
          </c:cat>
          <c:val>
            <c:numRef>
              <c:f>'Dashboard Consolidado'!$C$19:$F$19</c:f>
              <c:numCache>
                <c:formatCode>"$"#,##0;\("$"#,##0\);"–"</c:formatCode>
                <c:ptCount val="4"/>
                <c:pt idx="0">
                  <c:v>820704.56945932319</c:v>
                </c:pt>
                <c:pt idx="1">
                  <c:v>233074.72084884156</c:v>
                </c:pt>
                <c:pt idx="2">
                  <c:v>221864.21895463957</c:v>
                </c:pt>
                <c:pt idx="3">
                  <c:v>349926.0251529768</c:v>
                </c:pt>
              </c:numCache>
            </c:numRef>
          </c:val>
          <c:extLst>
            <c:ext xmlns:c16="http://schemas.microsoft.com/office/drawing/2014/chart" uri="{C3380CC4-5D6E-409C-BE32-E72D297353CC}">
              <c16:uniqueId val="{00000000-F180-476E-94A6-A2EBC0845233}"/>
            </c:ext>
          </c:extLst>
        </c:ser>
        <c:ser>
          <c:idx val="1"/>
          <c:order val="1"/>
          <c:tx>
            <c:strRef>
              <c:f>'Dashboard Consolidado'!$B$20</c:f>
              <c:strCache>
                <c:ptCount val="1"/>
                <c:pt idx="0">
                  <c:v>Utilidad neta</c:v>
                </c:pt>
              </c:strCache>
            </c:strRef>
          </c:tx>
          <c:spPr>
            <a:solidFill>
              <a:schemeClr val="accent2"/>
            </a:solidFill>
            <a:ln>
              <a:noFill/>
            </a:ln>
            <a:effectLst/>
          </c:spPr>
          <c:invertIfNegative val="0"/>
          <c:cat>
            <c:strRef>
              <c:f>'Dashboard Consolidado'!$C$18:$F$18</c:f>
              <c:strCache>
                <c:ptCount val="4"/>
                <c:pt idx="0">
                  <c:v>Ene-Abr</c:v>
                </c:pt>
                <c:pt idx="1">
                  <c:v>May-26</c:v>
                </c:pt>
                <c:pt idx="2">
                  <c:v>Jun-26</c:v>
                </c:pt>
                <c:pt idx="3">
                  <c:v>Jul-26</c:v>
                </c:pt>
              </c:strCache>
            </c:strRef>
          </c:cat>
          <c:val>
            <c:numRef>
              <c:f>'Dashboard Consolidado'!$C$20:$F$20</c:f>
              <c:numCache>
                <c:formatCode>"$"#,##0;\("$"#,##0\);"–"</c:formatCode>
                <c:ptCount val="4"/>
                <c:pt idx="0">
                  <c:v>-20528.874232526061</c:v>
                </c:pt>
                <c:pt idx="1">
                  <c:v>695.10279716243895</c:v>
                </c:pt>
                <c:pt idx="2">
                  <c:v>-13653.826908864597</c:v>
                </c:pt>
                <c:pt idx="3">
                  <c:v>130647.39618979108</c:v>
                </c:pt>
              </c:numCache>
            </c:numRef>
          </c:val>
          <c:extLst>
            <c:ext xmlns:c16="http://schemas.microsoft.com/office/drawing/2014/chart" uri="{C3380CC4-5D6E-409C-BE32-E72D297353CC}">
              <c16:uniqueId val="{00000001-F180-476E-94A6-A2EBC0845233}"/>
            </c:ext>
          </c:extLst>
        </c:ser>
        <c:dLbls>
          <c:showLegendKey val="0"/>
          <c:showVal val="0"/>
          <c:showCatName val="0"/>
          <c:showSerName val="0"/>
          <c:showPercent val="0"/>
          <c:showBubbleSize val="0"/>
        </c:dLbls>
        <c:gapWidth val="219"/>
        <c:overlap val="-27"/>
        <c:axId val="1682392511"/>
        <c:axId val="1714727247"/>
      </c:barChart>
      <c:catAx>
        <c:axId val="168239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27247"/>
        <c:crosses val="autoZero"/>
        <c:auto val="1"/>
        <c:lblAlgn val="ctr"/>
        <c:lblOffset val="100"/>
        <c:noMultiLvlLbl val="0"/>
      </c:catAx>
      <c:valAx>
        <c:axId val="1714727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quot;#,##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392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Estructura de costos y gastos consolidados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F9-4C13-AA4A-15B70E66D0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F9-4C13-AA4A-15B70E66D0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F9-4C13-AA4A-15B70E66D0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F9-4C13-AA4A-15B70E66D085}"/>
              </c:ext>
            </c:extLst>
          </c:dPt>
          <c:cat>
            <c:strRef>
              <c:f>'Dashboard Consolidado'!$B$25:$B$28</c:f>
              <c:strCache>
                <c:ptCount val="4"/>
                <c:pt idx="0">
                  <c:v>Administración</c:v>
                </c:pt>
                <c:pt idx="1">
                  <c:v>Ventas</c:v>
                </c:pt>
                <c:pt idx="2">
                  <c:v>Operación / proyectos</c:v>
                </c:pt>
                <c:pt idx="3">
                  <c:v>Costo del servicio</c:v>
                </c:pt>
              </c:strCache>
            </c:strRef>
          </c:cat>
          <c:val>
            <c:numRef>
              <c:f>'Dashboard Consolidado'!$C$25:$C$28</c:f>
              <c:numCache>
                <c:formatCode>"$"#,##0;\("$"#,##0\);"–"</c:formatCode>
                <c:ptCount val="4"/>
                <c:pt idx="0">
                  <c:v>318309.61471943918</c:v>
                </c:pt>
                <c:pt idx="1">
                  <c:v>315585.82491740317</c:v>
                </c:pt>
                <c:pt idx="2">
                  <c:v>192954.78196866545</c:v>
                </c:pt>
                <c:pt idx="3">
                  <c:v>696843.46952040354</c:v>
                </c:pt>
              </c:numCache>
            </c:numRef>
          </c:val>
          <c:extLst>
            <c:ext xmlns:c16="http://schemas.microsoft.com/office/drawing/2014/chart" uri="{C3380CC4-5D6E-409C-BE32-E72D297353CC}">
              <c16:uniqueId val="{00000000-6E25-402D-B30E-F7A528BDBC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reales vs presupuesto combinado — 2026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2026'!$B$53</c:f>
              <c:strCache>
                <c:ptCount val="1"/>
                <c:pt idx="0">
                  <c:v>Presupuesto Ingresos Colombia</c:v>
                </c:pt>
              </c:strCache>
            </c:strRef>
          </c:tx>
          <c:spPr>
            <a:solidFill>
              <a:schemeClr val="accent1"/>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2026'!$C$53:$N$53</c:f>
              <c:numCache>
                <c:formatCode>#,##0;\(#,##0\);"–"</c:formatCode>
                <c:ptCount val="12"/>
                <c:pt idx="0">
                  <c:v>186232</c:v>
                </c:pt>
                <c:pt idx="1">
                  <c:v>354321</c:v>
                </c:pt>
                <c:pt idx="2">
                  <c:v>396239</c:v>
                </c:pt>
                <c:pt idx="3">
                  <c:v>359191</c:v>
                </c:pt>
                <c:pt idx="4">
                  <c:v>360135.50135501358</c:v>
                </c:pt>
                <c:pt idx="5">
                  <c:v>259076.31087882307</c:v>
                </c:pt>
                <c:pt idx="6">
                  <c:v>283850.12040263263</c:v>
                </c:pt>
                <c:pt idx="7">
                  <c:v>426456.92992644216</c:v>
                </c:pt>
                <c:pt idx="8">
                  <c:v>451230.73945025163</c:v>
                </c:pt>
                <c:pt idx="9">
                  <c:v>476004.54897406121</c:v>
                </c:pt>
                <c:pt idx="10">
                  <c:v>500778.35849787074</c:v>
                </c:pt>
                <c:pt idx="11">
                  <c:v>525552.16802168021</c:v>
                </c:pt>
              </c:numCache>
            </c:numRef>
          </c:val>
          <c:extLst>
            <c:ext xmlns:c16="http://schemas.microsoft.com/office/drawing/2014/chart" uri="{C3380CC4-5D6E-409C-BE32-E72D297353CC}">
              <c16:uniqueId val="{00000000-FDA2-47FF-9467-9852A7966D2C}"/>
            </c:ext>
          </c:extLst>
        </c:ser>
        <c:ser>
          <c:idx val="1"/>
          <c:order val="1"/>
          <c:tx>
            <c:strRef>
              <c:f>'Ppto Combinado 2026'!$B$54</c:f>
              <c:strCache>
                <c:ptCount val="1"/>
                <c:pt idx="0">
                  <c:v>Real</c:v>
                </c:pt>
              </c:strCache>
            </c:strRef>
          </c:tx>
          <c:spPr>
            <a:solidFill>
              <a:schemeClr val="accent2"/>
            </a:solidFill>
            <a:ln>
              <a:noFill/>
            </a:ln>
            <a:effectLst/>
          </c:spPr>
          <c:invertIfNegative val="0"/>
          <c:cat>
            <c:strRef>
              <c:f>'Ppto Combinado 2026'!$C$52:$N$52</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'Ppto Combinado 2026'!$C$54:$N$54</c:f>
              <c:numCache>
                <c:formatCode>#,##0;\(#,##0\);"–"</c:formatCode>
                <c:ptCount val="12"/>
                <c:pt idx="0">
                  <c:v>165920.7861788618</c:v>
                </c:pt>
                <c:pt idx="1">
                  <c:v>201685.13197831978</c:v>
                </c:pt>
                <c:pt idx="2">
                  <c:v>213290.2945799458</c:v>
                </c:pt>
                <c:pt idx="3">
                  <c:v>203487.17127371274</c:v>
                </c:pt>
                <c:pt idx="4">
                  <c:v>223987.73604336043</c:v>
                </c:pt>
                <c:pt idx="5">
                  <c:v>203645.88455284553</c:v>
                </c:pt>
              </c:numCache>
            </c:numRef>
          </c:val>
          <c:extLst>
            <c:ext xmlns:c16="http://schemas.microsoft.com/office/drawing/2014/chart" uri="{C3380CC4-5D6E-409C-BE32-E72D297353CC}">
              <c16:uniqueId val="{00000001-FDA2-47FF-9467-9852A7966D2C}"/>
            </c:ext>
          </c:extLst>
        </c:ser>
        <c:dLbls>
          <c:showLegendKey val="0"/>
          <c:showVal val="0"/>
          <c:showCatName val="0"/>
          <c:showSerName val="0"/>
          <c:showPercent val="0"/>
          <c:showBubbleSize val="0"/>
        </c:dLbls>
        <c:gapWidth val="219"/>
        <c:axId val="1374470544"/>
        <c:axId val="1374455664"/>
      </c:barChart>
      <c:catAx>
        <c:axId val="1374470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55664"/>
        <c:crosses val="autoZero"/>
        <c:auto val="1"/>
        <c:lblAlgn val="ctr"/>
        <c:lblOffset val="100"/>
        <c:noMultiLvlLbl val="0"/>
      </c:catAx>
      <c:valAx>
        <c:axId val="1374455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47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Consumo mensual de caja disponible — Real 2026 (COP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'Ppto Combinado 2026'!$J$58</c:f>
              <c:strCache>
                <c:ptCount val="1"/>
                <c:pt idx="0">
                  <c:v>Consumo / (reposición)</c:v>
                </c:pt>
              </c:strCache>
            </c:strRef>
          </c:tx>
          <c:spPr>
            <a:solidFill>
              <a:schemeClr val="accent1"/>
            </a:solidFill>
            <a:ln>
              <a:noFill/>
            </a:ln>
            <a:effectLst/>
          </c:spPr>
          <c:invertIfNegative val="0"/>
          <c:cat>
            <c:strRef>
              <c:f>'Ppto Combinado 2026'!$K$57:$P$57</c:f>
              <c:strCache>
                <c:ptCount val="6"/>
                <c:pt idx="0">
                  <c:v>Ene</c:v>
                </c:pt>
                <c:pt idx="1">
                  <c:v>Feb</c:v>
                </c:pt>
                <c:pt idx="2">
                  <c:v>Mar</c:v>
                </c:pt>
                <c:pt idx="3">
                  <c:v>Abr</c:v>
                </c:pt>
                <c:pt idx="4">
                  <c:v>May</c:v>
                </c:pt>
                <c:pt idx="5">
                  <c:v>Jun</c:v>
                </c:pt>
              </c:strCache>
            </c:strRef>
          </c:cat>
          <c:val>
            <c:numRef>
              <c:f>'Ppto Combinado 2026'!$K$58:$P$58</c:f>
              <c:numCache>
                <c:formatCode>#,##0.0;\(#,##0.0\);"–"</c:formatCode>
                <c:ptCount val="6"/>
                <c:pt idx="0">
                  <c:v>-194.135626</c:v>
                </c:pt>
                <c:pt idx="1">
                  <c:v>305.29308700000001</c:v>
                </c:pt>
                <c:pt idx="2">
                  <c:v>-149.18717200000003</c:v>
                </c:pt>
                <c:pt idx="3">
                  <c:v>-88.268449999999973</c:v>
                </c:pt>
                <c:pt idx="4">
                  <c:v>112.93481599999998</c:v>
                </c:pt>
                <c:pt idx="5">
                  <c:v>129.38098300000001</c:v>
                </c:pt>
              </c:numCache>
            </c:numRef>
          </c:val>
          <c:extLst>
            <c:ext xmlns:c16="http://schemas.microsoft.com/office/drawing/2014/chart" uri="{C3380CC4-5D6E-409C-BE32-E72D297353CC}">
              <c16:uniqueId val="{00000000-1238-4267-91C8-D06DFDD7E596}"/>
            </c:ext>
          </c:extLst>
        </c:ser>
        <c:dLbls>
          <c:showLegendKey val="0"/>
          <c:showVal val="0"/>
          <c:showCatName val="0"/>
          <c:showSerName val="0"/>
          <c:showPercent val="0"/>
          <c:showBubbleSize val="0"/>
        </c:dLbls>
        <c:gapWidth val="219"/>
        <c:axId val="1743857920"/>
        <c:axId val="1743858400"/>
      </c:barChart>
      <c:catAx>
        <c:axId val="174385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8400"/>
        <c:crosses val="autoZero"/>
        <c:auto val="1"/>
        <c:lblAlgn val="ctr"/>
        <c:lblOffset val="100"/>
        <c:noMultiLvlLbl val="0"/>
      </c:catAx>
      <c:valAx>
        <c:axId val="174385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COP millones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857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chart" Target="../charts/chart5.xml"/><Relationship Id="rId16" Type="http://schemas.openxmlformats.org/officeDocument/2006/relationships/chart" Target="../charts/chart19.xml"/><Relationship Id="rId20" Type="http://schemas.openxmlformats.org/officeDocument/2006/relationships/chart" Target="../charts/chart23.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20</xdr:col>
      <xdr:colOff>0</xdr:colOff>
      <xdr:row>4</xdr:row>
      <xdr:rowOff>0</xdr:rowOff>
    </xdr:from>
    <xdr:to>
      <xdr:col>32</xdr:col>
      <xdr:colOff>143281</xdr:colOff>
      <xdr:row>25</xdr:row>
      <xdr:rowOff>133755</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1196787</xdr:colOff>
      <xdr:row>38</xdr:row>
      <xdr:rowOff>116541</xdr:rowOff>
    </xdr:from>
    <xdr:to>
      <xdr:col>17</xdr:col>
      <xdr:colOff>3966881</xdr:colOff>
      <xdr:row>53</xdr:row>
      <xdr:rowOff>170329</xdr:rowOff>
    </xdr:to>
    <xdr:graphicFrame macro="">
      <xdr:nvGraphicFramePr>
        <xdr:cNvPr id="2" name="Chart 1">
          <a:extLst>
            <a:ext uri="{FF2B5EF4-FFF2-40B4-BE49-F238E27FC236}">
              <a16:creationId xmlns:a16="http://schemas.microsoft.com/office/drawing/2014/main" id="{1EAB944C-3523-B530-0BFF-39A1905A8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25</xdr:col>
      <xdr:colOff>299084</xdr:colOff>
      <xdr:row>199</xdr:row>
      <xdr:rowOff>47623</xdr:rowOff>
    </xdr:from>
    <xdr:to>
      <xdr:col>35</xdr:col>
      <xdr:colOff>46037</xdr:colOff>
      <xdr:row>241</xdr:row>
      <xdr:rowOff>106361</xdr:rowOff>
    </xdr:to>
    <xdr:graphicFrame macro="">
      <xdr:nvGraphicFramePr>
        <xdr:cNvPr id="5" name="COP_IS_Chart">
          <a:extLst>
            <a:ext uri="{FF2B5EF4-FFF2-40B4-BE49-F238E27FC236}">
              <a16:creationId xmlns:a16="http://schemas.microsoft.com/office/drawing/2014/main" id="{34508CEB-9883-2CDF-8846-C3CDB9499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9</xdr:col>
      <xdr:colOff>0</xdr:colOff>
      <xdr:row>27</xdr:row>
      <xdr:rowOff>0</xdr:rowOff>
    </xdr:to>
    <xdr:graphicFrame macro="">
      <xdr:nvGraphicFramePr>
        <xdr:cNvPr id="2" name="Ingresos_Mensuales_2026">
          <a:extLst>
            <a:ext uri="{FF2B5EF4-FFF2-40B4-BE49-F238E27FC236}">
              <a16:creationId xmlns:a16="http://schemas.microsoft.com/office/drawing/2014/main" id="{CBD136C9-E3EE-FB2B-20BA-CA2E851E0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9</xdr:row>
      <xdr:rowOff>0</xdr:rowOff>
    </xdr:from>
    <xdr:to>
      <xdr:col>18</xdr:col>
      <xdr:colOff>0</xdr:colOff>
      <xdr:row>27</xdr:row>
      <xdr:rowOff>0</xdr:rowOff>
    </xdr:to>
    <xdr:graphicFrame macro="">
      <xdr:nvGraphicFramePr>
        <xdr:cNvPr id="3" name="Rentabilidad_Mensual_2026">
          <a:extLst>
            <a:ext uri="{FF2B5EF4-FFF2-40B4-BE49-F238E27FC236}">
              <a16:creationId xmlns:a16="http://schemas.microsoft.com/office/drawing/2014/main" id="{98AFD56E-CFD6-194F-5A25-C71EF7628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9</xdr:col>
      <xdr:colOff>0</xdr:colOff>
      <xdr:row>46</xdr:row>
      <xdr:rowOff>0</xdr:rowOff>
    </xdr:to>
    <xdr:graphicFrame macro="">
      <xdr:nvGraphicFramePr>
        <xdr:cNvPr id="4" name="Margenes_Clave_2026">
          <a:extLst>
            <a:ext uri="{FF2B5EF4-FFF2-40B4-BE49-F238E27FC236}">
              <a16:creationId xmlns:a16="http://schemas.microsoft.com/office/drawing/2014/main" id="{4668F104-BB3C-6734-7DB5-A22804D5F9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28</xdr:row>
      <xdr:rowOff>0</xdr:rowOff>
    </xdr:from>
    <xdr:to>
      <xdr:col>18</xdr:col>
      <xdr:colOff>0</xdr:colOff>
      <xdr:row>46</xdr:row>
      <xdr:rowOff>0</xdr:rowOff>
    </xdr:to>
    <xdr:graphicFrame macro="">
      <xdr:nvGraphicFramePr>
        <xdr:cNvPr id="5" name="Liquidez_2026">
          <a:extLst>
            <a:ext uri="{FF2B5EF4-FFF2-40B4-BE49-F238E27FC236}">
              <a16:creationId xmlns:a16="http://schemas.microsoft.com/office/drawing/2014/main" id="{36FC9614-8559-E71E-7FD0-DB7A29583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68</xdr:row>
      <xdr:rowOff>0</xdr:rowOff>
    </xdr:from>
    <xdr:to>
      <xdr:col>9</xdr:col>
      <xdr:colOff>0</xdr:colOff>
      <xdr:row>86</xdr:row>
      <xdr:rowOff>0</xdr:rowOff>
    </xdr:to>
    <xdr:graphicFrame macro="">
      <xdr:nvGraphicFramePr>
        <xdr:cNvPr id="6" name="Escenarios_Ingresos_2026">
          <a:extLst>
            <a:ext uri="{FF2B5EF4-FFF2-40B4-BE49-F238E27FC236}">
              <a16:creationId xmlns:a16="http://schemas.microsoft.com/office/drawing/2014/main" id="{35C2AD5B-79FD-9A82-F809-F0AD50544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68</xdr:row>
      <xdr:rowOff>0</xdr:rowOff>
    </xdr:from>
    <xdr:to>
      <xdr:col>18</xdr:col>
      <xdr:colOff>0</xdr:colOff>
      <xdr:row>86</xdr:row>
      <xdr:rowOff>0</xdr:rowOff>
    </xdr:to>
    <xdr:graphicFrame macro="">
      <xdr:nvGraphicFramePr>
        <xdr:cNvPr id="7" name="DSO_DPO_2026">
          <a:extLst>
            <a:ext uri="{FF2B5EF4-FFF2-40B4-BE49-F238E27FC236}">
              <a16:creationId xmlns:a16="http://schemas.microsoft.com/office/drawing/2014/main" id="{764E94FB-B422-E77F-8188-A9C96BC38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108</xdr:row>
      <xdr:rowOff>0</xdr:rowOff>
    </xdr:from>
    <xdr:to>
      <xdr:col>18</xdr:col>
      <xdr:colOff>0</xdr:colOff>
      <xdr:row>126</xdr:row>
      <xdr:rowOff>0</xdr:rowOff>
    </xdr:to>
    <xdr:graphicFrame macro="">
      <xdr:nvGraphicFramePr>
        <xdr:cNvPr id="8" name="Composicion_Deuda_2026">
          <a:extLst>
            <a:ext uri="{FF2B5EF4-FFF2-40B4-BE49-F238E27FC236}">
              <a16:creationId xmlns:a16="http://schemas.microsoft.com/office/drawing/2014/main" id="{AFDAFEB6-1805-3E84-1F0E-FC5F1B51D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126</xdr:row>
      <xdr:rowOff>228599</xdr:rowOff>
    </xdr:from>
    <xdr:to>
      <xdr:col>18</xdr:col>
      <xdr:colOff>0</xdr:colOff>
      <xdr:row>144</xdr:row>
      <xdr:rowOff>228599</xdr:rowOff>
    </xdr:to>
    <xdr:graphicFrame macro="">
      <xdr:nvGraphicFramePr>
        <xdr:cNvPr id="9" name="CxC_CxP_2026">
          <a:extLst>
            <a:ext uri="{FF2B5EF4-FFF2-40B4-BE49-F238E27FC236}">
              <a16:creationId xmlns:a16="http://schemas.microsoft.com/office/drawing/2014/main" id="{B4047D54-A76D-AE8D-828D-A50207504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49</xdr:row>
      <xdr:rowOff>0</xdr:rowOff>
    </xdr:from>
    <xdr:to>
      <xdr:col>9</xdr:col>
      <xdr:colOff>0</xdr:colOff>
      <xdr:row>67</xdr:row>
      <xdr:rowOff>0</xdr:rowOff>
    </xdr:to>
    <xdr:graphicFrame macro="">
      <xdr:nvGraphicFramePr>
        <xdr:cNvPr id="10" name="Caja_Operativa_2026">
          <a:extLst>
            <a:ext uri="{FF2B5EF4-FFF2-40B4-BE49-F238E27FC236}">
              <a16:creationId xmlns:a16="http://schemas.microsoft.com/office/drawing/2014/main" id="{EDCB36AE-4583-0893-C1EB-B2019C061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49</xdr:row>
      <xdr:rowOff>0</xdr:rowOff>
    </xdr:from>
    <xdr:to>
      <xdr:col>18</xdr:col>
      <xdr:colOff>0</xdr:colOff>
      <xdr:row>67</xdr:row>
      <xdr:rowOff>0</xdr:rowOff>
    </xdr:to>
    <xdr:graphicFrame macro="">
      <xdr:nvGraphicFramePr>
        <xdr:cNvPr id="11" name="Inversion_Financiacion_2026">
          <a:extLst>
            <a:ext uri="{FF2B5EF4-FFF2-40B4-BE49-F238E27FC236}">
              <a16:creationId xmlns:a16="http://schemas.microsoft.com/office/drawing/2014/main" id="{85047648-4932-8C86-56C7-DE361502C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87</xdr:row>
      <xdr:rowOff>0</xdr:rowOff>
    </xdr:from>
    <xdr:to>
      <xdr:col>9</xdr:col>
      <xdr:colOff>0</xdr:colOff>
      <xdr:row>105</xdr:row>
      <xdr:rowOff>0</xdr:rowOff>
    </xdr:to>
    <xdr:graphicFrame macro="">
      <xdr:nvGraphicFramePr>
        <xdr:cNvPr id="12" name="CCC_2026">
          <a:extLst>
            <a:ext uri="{FF2B5EF4-FFF2-40B4-BE49-F238E27FC236}">
              <a16:creationId xmlns:a16="http://schemas.microsoft.com/office/drawing/2014/main" id="{B3A95E69-3D47-4E5D-170F-51BC3D161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108</xdr:row>
      <xdr:rowOff>0</xdr:rowOff>
    </xdr:from>
    <xdr:to>
      <xdr:col>9</xdr:col>
      <xdr:colOff>0</xdr:colOff>
      <xdr:row>126</xdr:row>
      <xdr:rowOff>0</xdr:rowOff>
    </xdr:to>
    <xdr:graphicFrame macro="">
      <xdr:nvGraphicFramePr>
        <xdr:cNvPr id="13" name="Deuda_Total_2026">
          <a:extLst>
            <a:ext uri="{FF2B5EF4-FFF2-40B4-BE49-F238E27FC236}">
              <a16:creationId xmlns:a16="http://schemas.microsoft.com/office/drawing/2014/main" id="{56658FE6-287E-C83E-86D3-756F9A14B0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126</xdr:row>
      <xdr:rowOff>228599</xdr:rowOff>
    </xdr:from>
    <xdr:to>
      <xdr:col>9</xdr:col>
      <xdr:colOff>0</xdr:colOff>
      <xdr:row>144</xdr:row>
      <xdr:rowOff>228599</xdr:rowOff>
    </xdr:to>
    <xdr:graphicFrame macro="">
      <xdr:nvGraphicFramePr>
        <xdr:cNvPr id="14" name="Impuestos_Pagar_2026">
          <a:extLst>
            <a:ext uri="{FF2B5EF4-FFF2-40B4-BE49-F238E27FC236}">
              <a16:creationId xmlns:a16="http://schemas.microsoft.com/office/drawing/2014/main" id="{C1BC8D4A-B622-038D-E1C5-AA1EF0DDCA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146</xdr:row>
      <xdr:rowOff>1</xdr:rowOff>
    </xdr:from>
    <xdr:to>
      <xdr:col>9</xdr:col>
      <xdr:colOff>0</xdr:colOff>
      <xdr:row>164</xdr:row>
      <xdr:rowOff>1</xdr:rowOff>
    </xdr:to>
    <xdr:graphicFrame macro="">
      <xdr:nvGraphicFramePr>
        <xdr:cNvPr id="15" name="Capital_Trabajo_Neto_2026">
          <a:extLst>
            <a:ext uri="{FF2B5EF4-FFF2-40B4-BE49-F238E27FC236}">
              <a16:creationId xmlns:a16="http://schemas.microsoft.com/office/drawing/2014/main" id="{B2635E3C-A7B1-5439-49ED-4F36E3B18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0</xdr:colOff>
      <xdr:row>146</xdr:row>
      <xdr:rowOff>1</xdr:rowOff>
    </xdr:from>
    <xdr:to>
      <xdr:col>18</xdr:col>
      <xdr:colOff>0</xdr:colOff>
      <xdr:row>164</xdr:row>
      <xdr:rowOff>1</xdr:rowOff>
    </xdr:to>
    <xdr:graphicFrame macro="">
      <xdr:nvGraphicFramePr>
        <xdr:cNvPr id="16" name="Intereses_2026">
          <a:extLst>
            <a:ext uri="{FF2B5EF4-FFF2-40B4-BE49-F238E27FC236}">
              <a16:creationId xmlns:a16="http://schemas.microsoft.com/office/drawing/2014/main" id="{190D7C74-E25D-1ACA-AA38-3F3721B8C7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166</xdr:row>
      <xdr:rowOff>228599</xdr:rowOff>
    </xdr:from>
    <xdr:to>
      <xdr:col>9</xdr:col>
      <xdr:colOff>0</xdr:colOff>
      <xdr:row>184</xdr:row>
      <xdr:rowOff>228599</xdr:rowOff>
    </xdr:to>
    <xdr:graphicFrame macro="">
      <xdr:nvGraphicFramePr>
        <xdr:cNvPr id="17" name="Margen_Bruto_2026">
          <a:extLst>
            <a:ext uri="{FF2B5EF4-FFF2-40B4-BE49-F238E27FC236}">
              <a16:creationId xmlns:a16="http://schemas.microsoft.com/office/drawing/2014/main" id="{E81BE816-AD26-DC94-B16D-9F99A7EAE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0</xdr:colOff>
      <xdr:row>166</xdr:row>
      <xdr:rowOff>228599</xdr:rowOff>
    </xdr:from>
    <xdr:to>
      <xdr:col>18</xdr:col>
      <xdr:colOff>0</xdr:colOff>
      <xdr:row>184</xdr:row>
      <xdr:rowOff>228599</xdr:rowOff>
    </xdr:to>
    <xdr:graphicFrame macro="">
      <xdr:nvGraphicFramePr>
        <xdr:cNvPr id="18" name="Costos_Opex_2026">
          <a:extLst>
            <a:ext uri="{FF2B5EF4-FFF2-40B4-BE49-F238E27FC236}">
              <a16:creationId xmlns:a16="http://schemas.microsoft.com/office/drawing/2014/main" id="{85681A01-42D1-D8F8-BDB4-713329933B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185</xdr:row>
      <xdr:rowOff>228599</xdr:rowOff>
    </xdr:from>
    <xdr:to>
      <xdr:col>9</xdr:col>
      <xdr:colOff>0</xdr:colOff>
      <xdr:row>203</xdr:row>
      <xdr:rowOff>228599</xdr:rowOff>
    </xdr:to>
    <xdr:graphicFrame macro="">
      <xdr:nvGraphicFramePr>
        <xdr:cNvPr id="19" name="Deficit_Caja_2026">
          <a:extLst>
            <a:ext uri="{FF2B5EF4-FFF2-40B4-BE49-F238E27FC236}">
              <a16:creationId xmlns:a16="http://schemas.microsoft.com/office/drawing/2014/main" id="{02B9D474-7D9A-519C-C9DC-480FAD054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0</xdr:colOff>
      <xdr:row>185</xdr:row>
      <xdr:rowOff>228599</xdr:rowOff>
    </xdr:from>
    <xdr:to>
      <xdr:col>18</xdr:col>
      <xdr:colOff>0</xdr:colOff>
      <xdr:row>203</xdr:row>
      <xdr:rowOff>228599</xdr:rowOff>
    </xdr:to>
    <xdr:graphicFrame macro="">
      <xdr:nvGraphicFramePr>
        <xdr:cNvPr id="20" name="Activos_Pasivos_Corrientes_2026">
          <a:extLst>
            <a:ext uri="{FF2B5EF4-FFF2-40B4-BE49-F238E27FC236}">
              <a16:creationId xmlns:a16="http://schemas.microsoft.com/office/drawing/2014/main" id="{1DB352A9-9D8B-A1CF-B6B1-E3E03606A3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204</xdr:row>
      <xdr:rowOff>228599</xdr:rowOff>
    </xdr:from>
    <xdr:to>
      <xdr:col>9</xdr:col>
      <xdr:colOff>0</xdr:colOff>
      <xdr:row>222</xdr:row>
      <xdr:rowOff>228599</xdr:rowOff>
    </xdr:to>
    <xdr:graphicFrame macro="">
      <xdr:nvGraphicFramePr>
        <xdr:cNvPr id="21" name="Apalancamiento_2026">
          <a:extLst>
            <a:ext uri="{FF2B5EF4-FFF2-40B4-BE49-F238E27FC236}">
              <a16:creationId xmlns:a16="http://schemas.microsoft.com/office/drawing/2014/main" id="{74AD7E70-796A-0258-D60E-4DF6A1A99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9</xdr:row>
      <xdr:rowOff>0</xdr:rowOff>
    </xdr:from>
    <xdr:to>
      <xdr:col>13</xdr:col>
      <xdr:colOff>0</xdr:colOff>
      <xdr:row>22</xdr:row>
      <xdr:rowOff>0</xdr:rowOff>
    </xdr:to>
    <xdr:graphicFrame macro="">
      <xdr:nvGraphicFramePr>
        <xdr:cNvPr id="2" name="Chart 1">
          <a:extLst>
            <a:ext uri="{FF2B5EF4-FFF2-40B4-BE49-F238E27FC236}">
              <a16:creationId xmlns:a16="http://schemas.microsoft.com/office/drawing/2014/main" id="{5F79EC72-28B8-B4F2-4A49-62D5F9A24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30</xdr:row>
      <xdr:rowOff>0</xdr:rowOff>
    </xdr:from>
    <xdr:to>
      <xdr:col>7</xdr:col>
      <xdr:colOff>0</xdr:colOff>
      <xdr:row>45</xdr:row>
      <xdr:rowOff>0</xdr:rowOff>
    </xdr:to>
    <xdr:graphicFrame macro="">
      <xdr:nvGraphicFramePr>
        <xdr:cNvPr id="3" name="Chart 2">
          <a:extLst>
            <a:ext uri="{FF2B5EF4-FFF2-40B4-BE49-F238E27FC236}">
              <a16:creationId xmlns:a16="http://schemas.microsoft.com/office/drawing/2014/main" id="{714A1BF0-8CBE-4057-BAAA-AC7FD1760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30</xdr:row>
      <xdr:rowOff>0</xdr:rowOff>
    </xdr:from>
    <xdr:to>
      <xdr:col>13</xdr:col>
      <xdr:colOff>0</xdr:colOff>
      <xdr:row>45</xdr:row>
      <xdr:rowOff>0</xdr:rowOff>
    </xdr:to>
    <xdr:graphicFrame macro="">
      <xdr:nvGraphicFramePr>
        <xdr:cNvPr id="4" name="Chart 3">
          <a:extLst>
            <a:ext uri="{FF2B5EF4-FFF2-40B4-BE49-F238E27FC236}">
              <a16:creationId xmlns:a16="http://schemas.microsoft.com/office/drawing/2014/main" id="{3BD725E1-921E-2313-2EF0-B7F1BB32B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467591</xdr:colOff>
      <xdr:row>60</xdr:row>
      <xdr:rowOff>173182</xdr:rowOff>
    </xdr:from>
    <xdr:to>
      <xdr:col>13</xdr:col>
      <xdr:colOff>848591</xdr:colOff>
      <xdr:row>76</xdr:row>
      <xdr:rowOff>173182</xdr:rowOff>
    </xdr:to>
    <xdr:graphicFrame macro="">
      <xdr:nvGraphicFramePr>
        <xdr:cNvPr id="4" name="Real_vs_Ppto_Combinado">
          <a:extLst>
            <a:ext uri="{FF2B5EF4-FFF2-40B4-BE49-F238E27FC236}">
              <a16:creationId xmlns:a16="http://schemas.microsoft.com/office/drawing/2014/main" id="{75C5BA58-EB81-C0D1-ACA3-E303E21AE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81</xdr:row>
      <xdr:rowOff>0</xdr:rowOff>
    </xdr:from>
    <xdr:to>
      <xdr:col>15</xdr:col>
      <xdr:colOff>1082039</xdr:colOff>
      <xdr:row>99</xdr:row>
      <xdr:rowOff>0</xdr:rowOff>
    </xdr:to>
    <xdr:graphicFrame macro="">
      <xdr:nvGraphicFramePr>
        <xdr:cNvPr id="5" name="Consumo_Caja_Disponible">
          <a:extLst>
            <a:ext uri="{FF2B5EF4-FFF2-40B4-BE49-F238E27FC236}">
              <a16:creationId xmlns:a16="http://schemas.microsoft.com/office/drawing/2014/main" id="{B53C5660-AA4F-A76A-A710-6205BB0E2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6" row="8">
    <wetp:webextensionref xmlns:r="http://schemas.openxmlformats.org/officeDocument/2006/relationships" r:id="rId1"/>
  </wetp:taskpane>
  <wetp:taskpane dockstate="right" visibility="0" width="438" row="8">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9455ABD-C997-4E42-B706-27081D43F7CF}">
  <we:reference id="29673e3c-d826-4f00-92ee-162334a52b1a" version="1.0.0.8" store="EXCatalog" storeType="EXCatalog"/>
  <we:alternateReferences>
    <we:reference id="WA200009404" version="1.0.0.8" store="en-US" storeType="OMEX"/>
  </we:alternateReferences>
  <we:properties>
    <we:property name="claude.fileId" value="&quot;1df612ae-0fdb-445d-8924-888de93c934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ED82674-F764-4614-B6E1-9252A5AE83E9}">
  <we:reference id="WA200010215" version="1.0.0.0" store="Omex" storeType="OMEX"/>
  <we:alternateReferences>
    <we:reference id="WA200010215" version="1.0.0.0" store="WA200010215" storeType="OMEX"/>
  </we:alternateReferences>
  <we:properties>
    <we:property name="bps.codex_control.document_id" value="&quot;e1419f0d-e577-4492-9a44-b74c288599a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BD00B-A80A-4528-9D89-23E4B3D760CB}">
  <dimension ref="A1:F50"/>
  <sheetViews>
    <sheetView workbookViewId="0"/>
  </sheetViews>
  <sheetFormatPr defaultRowHeight="14.4"/>
  <cols>
    <col min="1" max="1" width="38" customWidth="1"/>
    <col min="2" max="2" width="16.6640625" customWidth="1"/>
    <col min="3" max="3" width="24.109375" customWidth="1"/>
    <col min="4" max="4" width="19.44140625" customWidth="1"/>
    <col min="5" max="5" width="79.6640625" customWidth="1"/>
    <col min="6" max="6" width="61.109375" customWidth="1"/>
  </cols>
  <sheetData>
    <row r="1" spans="1:6" ht="25.95" customHeight="1">
      <c r="A1" s="1076" t="s">
        <v>1229</v>
      </c>
      <c r="B1" s="1076"/>
      <c r="C1" s="1076"/>
      <c r="D1" s="1076"/>
      <c r="E1" s="1076"/>
      <c r="F1" s="1076"/>
    </row>
    <row r="2" spans="1:6">
      <c r="A2" s="1077" t="s">
        <v>1230</v>
      </c>
      <c r="B2" s="1077"/>
      <c r="C2" s="1077"/>
      <c r="D2" s="1077"/>
      <c r="E2" s="1077"/>
      <c r="F2" s="1077"/>
    </row>
    <row r="3" spans="1:6">
      <c r="A3" s="935"/>
      <c r="B3" s="935"/>
      <c r="C3" s="935"/>
      <c r="D3" s="935"/>
      <c r="E3" s="935"/>
      <c r="F3" s="935"/>
    </row>
    <row r="4" spans="1:6" ht="19.95" customHeight="1">
      <c r="A4" s="1066" t="s">
        <v>1231</v>
      </c>
      <c r="B4" s="1066"/>
      <c r="C4" s="1066"/>
      <c r="D4" s="1066"/>
      <c r="E4" s="1066"/>
      <c r="F4" s="1066"/>
    </row>
    <row r="5" spans="1:6" ht="84" customHeight="1">
      <c r="A5" s="1065" t="s">
        <v>1232</v>
      </c>
      <c r="B5" s="1065"/>
      <c r="C5" s="1065"/>
      <c r="D5" s="1065"/>
      <c r="E5" s="1065"/>
      <c r="F5" s="1065"/>
    </row>
    <row r="6" spans="1:6">
      <c r="A6" s="935"/>
      <c r="B6" s="935"/>
      <c r="C6" s="935"/>
      <c r="D6" s="935"/>
      <c r="E6" s="935"/>
      <c r="F6" s="935"/>
    </row>
    <row r="7" spans="1:6" ht="19.95" customHeight="1">
      <c r="A7" s="1067" t="s">
        <v>1233</v>
      </c>
      <c r="B7" s="1067"/>
      <c r="C7" s="1067"/>
      <c r="D7" s="1067"/>
      <c r="E7" s="1067"/>
      <c r="F7" s="1067"/>
    </row>
    <row r="8" spans="1:6">
      <c r="A8" s="1049" t="s">
        <v>908</v>
      </c>
      <c r="B8" s="1050" t="s">
        <v>909</v>
      </c>
      <c r="C8" s="1050" t="s">
        <v>1234</v>
      </c>
      <c r="D8" s="1050" t="s">
        <v>1235</v>
      </c>
      <c r="E8" s="1050" t="s">
        <v>1236</v>
      </c>
      <c r="F8" s="1051" t="s">
        <v>1237</v>
      </c>
    </row>
    <row r="9" spans="1:6" ht="96" customHeight="1">
      <c r="A9" s="943" t="s">
        <v>1238</v>
      </c>
      <c r="B9" s="937" t="s">
        <v>803</v>
      </c>
      <c r="C9" s="937" t="s">
        <v>1239</v>
      </c>
      <c r="D9" s="960">
        <f>-('Modelo Base'!M51+'Modelo Base'!N51+'Modelo Base'!O51+'Modelo Base'!P51+'Modelo Base'!Q51)*(1-'Modelo Base'!L54)+SUM('Modelo Base'!M52:Q52)</f>
        <v>-2375614277.2507377</v>
      </c>
      <c r="E9" s="937" t="s">
        <v>1240</v>
      </c>
      <c r="F9" s="939" t="s">
        <v>1241</v>
      </c>
    </row>
    <row r="10" spans="1:6" ht="96" customHeight="1">
      <c r="A10" s="943" t="s">
        <v>1242</v>
      </c>
      <c r="B10" s="937" t="s">
        <v>1243</v>
      </c>
      <c r="C10" s="937" t="s">
        <v>1244</v>
      </c>
      <c r="D10" s="961">
        <f>('Modelo Base'!M51/'Modelo Base'!L51-1)</f>
        <v>1.3145285175672972</v>
      </c>
      <c r="E10" s="937" t="s">
        <v>1245</v>
      </c>
      <c r="F10" s="939" t="s">
        <v>1246</v>
      </c>
    </row>
    <row r="11" spans="1:6" ht="96" customHeight="1">
      <c r="A11" s="944" t="s">
        <v>1247</v>
      </c>
      <c r="B11" s="938" t="s">
        <v>803</v>
      </c>
      <c r="C11" s="938" t="s">
        <v>1248</v>
      </c>
      <c r="D11" s="962">
        <f>'Modelo Base'!M189</f>
        <v>-867733821.51070666</v>
      </c>
      <c r="E11" s="938" t="s">
        <v>1249</v>
      </c>
      <c r="F11" s="940" t="s">
        <v>1250</v>
      </c>
    </row>
    <row r="12" spans="1:6">
      <c r="A12" s="945"/>
      <c r="B12" s="936"/>
      <c r="C12" s="936"/>
      <c r="D12" s="946"/>
      <c r="E12" s="946"/>
      <c r="F12" s="946"/>
    </row>
    <row r="13" spans="1:6" ht="19.95" customHeight="1">
      <c r="A13" s="1068" t="s">
        <v>1251</v>
      </c>
      <c r="B13" s="1069"/>
      <c r="C13" s="1069"/>
      <c r="D13" s="1070"/>
      <c r="E13" s="1070"/>
      <c r="F13" s="1070"/>
    </row>
    <row r="14" spans="1:6" ht="73.95" customHeight="1">
      <c r="A14" s="947" t="s">
        <v>1252</v>
      </c>
      <c r="B14" s="941" t="s">
        <v>803</v>
      </c>
      <c r="C14" s="941" t="s">
        <v>1253</v>
      </c>
      <c r="D14" s="948"/>
      <c r="E14" s="941" t="s">
        <v>1254</v>
      </c>
      <c r="F14" s="942" t="s">
        <v>1255</v>
      </c>
    </row>
    <row r="15" spans="1:6" ht="73.95" customHeight="1">
      <c r="A15" s="949" t="s">
        <v>1256</v>
      </c>
      <c r="B15" s="937" t="s">
        <v>803</v>
      </c>
      <c r="C15" s="937" t="s">
        <v>1257</v>
      </c>
      <c r="D15" s="950"/>
      <c r="E15" s="937" t="s">
        <v>1258</v>
      </c>
      <c r="F15" s="939" t="s">
        <v>1259</v>
      </c>
    </row>
    <row r="16" spans="1:6" ht="73.95" customHeight="1">
      <c r="A16" s="949" t="s">
        <v>1260</v>
      </c>
      <c r="B16" s="937" t="s">
        <v>803</v>
      </c>
      <c r="C16" s="937" t="s">
        <v>1261</v>
      </c>
      <c r="D16" s="950"/>
      <c r="E16" s="937" t="s">
        <v>1262</v>
      </c>
      <c r="F16" s="939" t="s">
        <v>1263</v>
      </c>
    </row>
    <row r="17" spans="1:6" ht="73.95" customHeight="1">
      <c r="A17" s="949" t="s">
        <v>1264</v>
      </c>
      <c r="B17" s="937" t="s">
        <v>803</v>
      </c>
      <c r="C17" s="937" t="s">
        <v>1265</v>
      </c>
      <c r="D17" s="950"/>
      <c r="E17" s="937" t="s">
        <v>1266</v>
      </c>
      <c r="F17" s="939" t="s">
        <v>1267</v>
      </c>
    </row>
    <row r="18" spans="1:6" ht="73.95" customHeight="1">
      <c r="A18" s="949" t="s">
        <v>1268</v>
      </c>
      <c r="B18" s="937" t="s">
        <v>803</v>
      </c>
      <c r="C18" s="937" t="s">
        <v>1269</v>
      </c>
      <c r="D18" s="950"/>
      <c r="E18" s="937" t="s">
        <v>1270</v>
      </c>
      <c r="F18" s="939" t="s">
        <v>1271</v>
      </c>
    </row>
    <row r="19" spans="1:6" ht="73.95" customHeight="1">
      <c r="A19" s="949" t="s">
        <v>1272</v>
      </c>
      <c r="B19" s="937" t="s">
        <v>803</v>
      </c>
      <c r="C19" s="937" t="s">
        <v>1273</v>
      </c>
      <c r="D19" s="950"/>
      <c r="E19" s="937" t="s">
        <v>1274</v>
      </c>
      <c r="F19" s="939" t="s">
        <v>1275</v>
      </c>
    </row>
    <row r="20" spans="1:6" ht="73.95" customHeight="1">
      <c r="A20" s="949" t="s">
        <v>1276</v>
      </c>
      <c r="B20" s="937" t="s">
        <v>803</v>
      </c>
      <c r="C20" s="937" t="s">
        <v>1277</v>
      </c>
      <c r="D20" s="950"/>
      <c r="E20" s="937" t="s">
        <v>1278</v>
      </c>
      <c r="F20" s="939" t="s">
        <v>1279</v>
      </c>
    </row>
    <row r="21" spans="1:6" ht="73.95" customHeight="1">
      <c r="A21" s="949" t="s">
        <v>1280</v>
      </c>
      <c r="B21" s="937" t="s">
        <v>803</v>
      </c>
      <c r="C21" s="937" t="s">
        <v>1281</v>
      </c>
      <c r="D21" s="950"/>
      <c r="E21" s="937" t="s">
        <v>1282</v>
      </c>
      <c r="F21" s="939" t="s">
        <v>1283</v>
      </c>
    </row>
    <row r="22" spans="1:6" ht="73.95" customHeight="1">
      <c r="A22" s="949" t="s">
        <v>1284</v>
      </c>
      <c r="B22" s="937" t="s">
        <v>803</v>
      </c>
      <c r="C22" s="937" t="s">
        <v>1285</v>
      </c>
      <c r="D22" s="950"/>
      <c r="E22" s="937" t="s">
        <v>1286</v>
      </c>
      <c r="F22" s="939" t="s">
        <v>1287</v>
      </c>
    </row>
    <row r="23" spans="1:6" ht="73.95" customHeight="1">
      <c r="A23" s="951" t="s">
        <v>1376</v>
      </c>
      <c r="B23" s="938" t="s">
        <v>910</v>
      </c>
      <c r="C23" s="938" t="s">
        <v>1377</v>
      </c>
      <c r="D23" s="952"/>
      <c r="E23" s="938" t="s">
        <v>1378</v>
      </c>
      <c r="F23" s="940" t="s">
        <v>1379</v>
      </c>
    </row>
    <row r="24" spans="1:6" ht="127.95" customHeight="1">
      <c r="A24" s="1046" t="s">
        <v>1397</v>
      </c>
      <c r="B24" s="1047" t="s">
        <v>1398</v>
      </c>
      <c r="C24" s="1047" t="s">
        <v>1399</v>
      </c>
      <c r="D24" s="1048"/>
      <c r="E24" s="1047" t="s">
        <v>1400</v>
      </c>
      <c r="F24" s="1047" t="s">
        <v>1401</v>
      </c>
    </row>
    <row r="25" spans="1:6" ht="19.95" customHeight="1">
      <c r="A25" s="1071" t="s">
        <v>1288</v>
      </c>
      <c r="B25" s="1072"/>
      <c r="C25" s="1072"/>
      <c r="D25" s="1072"/>
      <c r="E25" s="1072"/>
      <c r="F25" s="1072"/>
    </row>
    <row r="26" spans="1:6" ht="43.95" customHeight="1">
      <c r="A26" s="953" t="s">
        <v>1289</v>
      </c>
      <c r="B26" s="948" t="s">
        <v>803</v>
      </c>
      <c r="C26" s="948" t="s">
        <v>1290</v>
      </c>
      <c r="D26" s="948"/>
      <c r="E26" s="942" t="s">
        <v>1291</v>
      </c>
      <c r="F26" s="946"/>
    </row>
    <row r="27" spans="1:6" ht="43.95" customHeight="1">
      <c r="A27" s="954" t="s">
        <v>1292</v>
      </c>
      <c r="B27" s="950" t="s">
        <v>803</v>
      </c>
      <c r="C27" s="950" t="s">
        <v>1293</v>
      </c>
      <c r="D27" s="950"/>
      <c r="E27" s="939" t="s">
        <v>1294</v>
      </c>
      <c r="F27" s="946"/>
    </row>
    <row r="28" spans="1:6" ht="43.95" customHeight="1">
      <c r="A28" s="954" t="s">
        <v>1295</v>
      </c>
      <c r="B28" s="950" t="s">
        <v>803</v>
      </c>
      <c r="C28" s="950" t="s">
        <v>1296</v>
      </c>
      <c r="D28" s="950"/>
      <c r="E28" s="939" t="s">
        <v>1297</v>
      </c>
      <c r="F28" s="946"/>
    </row>
    <row r="29" spans="1:6" ht="43.95" customHeight="1">
      <c r="A29" s="954" t="s">
        <v>1298</v>
      </c>
      <c r="B29" s="950" t="s">
        <v>1299</v>
      </c>
      <c r="C29" s="950" t="s">
        <v>1300</v>
      </c>
      <c r="D29" s="950"/>
      <c r="E29" s="939" t="s">
        <v>1301</v>
      </c>
      <c r="F29" s="946"/>
    </row>
    <row r="30" spans="1:6" ht="43.95" customHeight="1">
      <c r="A30" s="955" t="s">
        <v>1302</v>
      </c>
      <c r="B30" s="952" t="s">
        <v>1303</v>
      </c>
      <c r="C30" s="952" t="s">
        <v>1304</v>
      </c>
      <c r="D30" s="952"/>
      <c r="E30" s="940" t="s">
        <v>1305</v>
      </c>
      <c r="F30" s="946"/>
    </row>
    <row r="31" spans="1:6">
      <c r="A31" s="946"/>
      <c r="B31" s="946"/>
      <c r="C31" s="946"/>
      <c r="D31" s="946"/>
      <c r="E31" s="946"/>
      <c r="F31" s="946"/>
    </row>
    <row r="32" spans="1:6" ht="19.95" customHeight="1">
      <c r="A32" s="1073" t="s">
        <v>1306</v>
      </c>
      <c r="B32" s="1073"/>
      <c r="C32" s="1073"/>
      <c r="D32" s="1073"/>
      <c r="E32" s="1073"/>
      <c r="F32" s="1073"/>
    </row>
    <row r="33" spans="1:6">
      <c r="A33" s="1049" t="s">
        <v>1307</v>
      </c>
      <c r="B33" s="1050" t="s">
        <v>1308</v>
      </c>
      <c r="C33" s="1050" t="s">
        <v>1309</v>
      </c>
      <c r="D33" s="1052"/>
      <c r="E33" s="1051" t="s">
        <v>808</v>
      </c>
      <c r="F33" s="946"/>
    </row>
    <row r="34" spans="1:6" ht="34.049999999999997" customHeight="1">
      <c r="A34" s="958" t="s">
        <v>1310</v>
      </c>
      <c r="B34" s="956">
        <v>200000000</v>
      </c>
      <c r="C34" s="956">
        <v>-867733822</v>
      </c>
      <c r="D34" s="950"/>
      <c r="E34" s="939" t="s">
        <v>1311</v>
      </c>
      <c r="F34" s="946"/>
    </row>
    <row r="35" spans="1:6" ht="34.049999999999997" customHeight="1">
      <c r="A35" s="958" t="s">
        <v>1312</v>
      </c>
      <c r="B35" s="956">
        <v>-1595000000</v>
      </c>
      <c r="C35" s="956">
        <v>-2756000000</v>
      </c>
      <c r="D35" s="950"/>
      <c r="E35" s="939" t="s">
        <v>1313</v>
      </c>
      <c r="F35" s="946"/>
    </row>
    <row r="36" spans="1:6" ht="34.049999999999997" customHeight="1">
      <c r="A36" s="959" t="s">
        <v>1314</v>
      </c>
      <c r="B36" s="957">
        <v>200000000</v>
      </c>
      <c r="C36" s="957">
        <v>-1127000000</v>
      </c>
      <c r="D36" s="952"/>
      <c r="E36" s="940" t="s">
        <v>1315</v>
      </c>
      <c r="F36" s="946"/>
    </row>
    <row r="37" spans="1:6">
      <c r="A37" s="935"/>
      <c r="B37" s="935"/>
      <c r="C37" s="935"/>
      <c r="D37" s="935"/>
      <c r="E37" s="935"/>
      <c r="F37" s="935"/>
    </row>
    <row r="38" spans="1:6" ht="19.95" customHeight="1">
      <c r="A38" s="1074" t="s">
        <v>1316</v>
      </c>
      <c r="B38" s="1074"/>
      <c r="C38" s="1074"/>
      <c r="D38" s="1074"/>
      <c r="E38" s="1074"/>
      <c r="F38" s="1074"/>
    </row>
    <row r="39" spans="1:6" ht="30" customHeight="1">
      <c r="A39" s="1065" t="s">
        <v>1317</v>
      </c>
      <c r="B39" s="1065"/>
      <c r="C39" s="1065"/>
      <c r="D39" s="1065"/>
      <c r="E39" s="1065"/>
      <c r="F39" s="1065"/>
    </row>
    <row r="40" spans="1:6" ht="30" customHeight="1">
      <c r="A40" s="1065" t="s">
        <v>1318</v>
      </c>
      <c r="B40" s="1065"/>
      <c r="C40" s="1065"/>
      <c r="D40" s="1065"/>
      <c r="E40" s="1065"/>
      <c r="F40" s="1065"/>
    </row>
    <row r="41" spans="1:6" ht="30" customHeight="1">
      <c r="A41" s="1065" t="s">
        <v>1319</v>
      </c>
      <c r="B41" s="1065"/>
      <c r="C41" s="1065"/>
      <c r="D41" s="1065"/>
      <c r="E41" s="1065"/>
      <c r="F41" s="1065"/>
    </row>
    <row r="42" spans="1:6" ht="30" customHeight="1">
      <c r="A42" s="1065" t="s">
        <v>1320</v>
      </c>
      <c r="B42" s="1065"/>
      <c r="C42" s="1065"/>
      <c r="D42" s="1065"/>
      <c r="E42" s="1065"/>
      <c r="F42" s="1065"/>
    </row>
    <row r="43" spans="1:6" ht="30" customHeight="1">
      <c r="A43" s="1065" t="s">
        <v>1321</v>
      </c>
      <c r="B43" s="1065"/>
      <c r="C43" s="1065"/>
      <c r="D43" s="1065"/>
      <c r="E43" s="1065"/>
      <c r="F43" s="1065"/>
    </row>
    <row r="44" spans="1:6" ht="30" customHeight="1">
      <c r="A44" s="1065" t="s">
        <v>1322</v>
      </c>
      <c r="B44" s="1065"/>
      <c r="C44" s="1065"/>
      <c r="D44" s="1065"/>
      <c r="E44" s="1065"/>
      <c r="F44" s="1065"/>
    </row>
    <row r="45" spans="1:6">
      <c r="A45" s="935"/>
      <c r="B45" s="935"/>
      <c r="C45" s="935"/>
      <c r="D45" s="935"/>
      <c r="E45" s="935"/>
      <c r="F45" s="935"/>
    </row>
    <row r="46" spans="1:6" ht="19.95" customHeight="1">
      <c r="A46" s="1075" t="s">
        <v>1323</v>
      </c>
      <c r="B46" s="1075"/>
      <c r="C46" s="1075"/>
      <c r="D46" s="1075"/>
      <c r="E46" s="1075"/>
      <c r="F46" s="1075"/>
    </row>
    <row r="47" spans="1:6" ht="30" customHeight="1">
      <c r="A47" s="1065" t="s">
        <v>1324</v>
      </c>
      <c r="B47" s="1065"/>
      <c r="C47" s="1065"/>
      <c r="D47" s="1065"/>
      <c r="E47" s="1065"/>
      <c r="F47" s="1065"/>
    </row>
    <row r="48" spans="1:6" ht="30" customHeight="1">
      <c r="A48" s="1065" t="s">
        <v>1325</v>
      </c>
      <c r="B48" s="1065"/>
      <c r="C48" s="1065"/>
      <c r="D48" s="1065"/>
      <c r="E48" s="1065"/>
      <c r="F48" s="1065"/>
    </row>
    <row r="49" spans="1:6" ht="30" customHeight="1">
      <c r="A49" s="1065" t="s">
        <v>1326</v>
      </c>
      <c r="B49" s="1065"/>
      <c r="C49" s="1065"/>
      <c r="D49" s="1065"/>
      <c r="E49" s="1065"/>
      <c r="F49" s="1065"/>
    </row>
    <row r="50" spans="1:6" ht="30" customHeight="1">
      <c r="A50" s="1065" t="s">
        <v>1327</v>
      </c>
      <c r="B50" s="1065"/>
      <c r="C50" s="1065"/>
      <c r="D50" s="1065"/>
      <c r="E50" s="1065"/>
      <c r="F50" s="1065"/>
    </row>
  </sheetData>
  <mergeCells count="20">
    <mergeCell ref="A1:F1"/>
    <mergeCell ref="A2:F2"/>
    <mergeCell ref="A5:F5"/>
    <mergeCell ref="A39:F39"/>
    <mergeCell ref="A40:F40"/>
    <mergeCell ref="A50:F50"/>
    <mergeCell ref="A4:F4"/>
    <mergeCell ref="A7:F7"/>
    <mergeCell ref="A13:F13"/>
    <mergeCell ref="A25:F25"/>
    <mergeCell ref="A32:F32"/>
    <mergeCell ref="A38:F38"/>
    <mergeCell ref="A46:F46"/>
    <mergeCell ref="A42:F42"/>
    <mergeCell ref="A43:F43"/>
    <mergeCell ref="A44:F44"/>
    <mergeCell ref="A47:F47"/>
    <mergeCell ref="A48:F48"/>
    <mergeCell ref="A49:F49"/>
    <mergeCell ref="A41:F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07D1C-D6B8-44B5-875A-28B8CD3A2283}">
  <dimension ref="A1:J79"/>
  <sheetViews>
    <sheetView workbookViewId="0"/>
  </sheetViews>
  <sheetFormatPr defaultRowHeight="14.4"/>
  <cols>
    <col min="1" max="1" width="55.5546875" customWidth="1"/>
    <col min="2" max="8" width="16.33203125" customWidth="1"/>
    <col min="9" max="10" width="17.5546875" customWidth="1"/>
  </cols>
  <sheetData>
    <row r="1" spans="1:10" ht="24" customHeight="1">
      <c r="A1" s="1082" t="s">
        <v>1328</v>
      </c>
      <c r="B1" s="1082"/>
      <c r="C1" s="1082"/>
      <c r="D1" s="1082"/>
      <c r="E1" s="1082"/>
      <c r="F1" s="1082"/>
      <c r="G1" s="1082"/>
      <c r="H1" s="1082"/>
      <c r="I1" s="1082"/>
      <c r="J1" s="1082"/>
    </row>
    <row r="2" spans="1:10" ht="28.05" customHeight="1">
      <c r="A2" s="1083" t="s">
        <v>1329</v>
      </c>
      <c r="B2" s="1084"/>
      <c r="C2" s="1084"/>
      <c r="D2" s="1084"/>
      <c r="E2" s="1084"/>
      <c r="F2" s="1084"/>
      <c r="G2" s="1084"/>
      <c r="H2" s="1084"/>
      <c r="I2" s="1084"/>
      <c r="J2" s="1084"/>
    </row>
    <row r="3" spans="1:10">
      <c r="A3" s="935"/>
      <c r="B3" s="935"/>
      <c r="C3" s="935"/>
      <c r="D3" s="935"/>
      <c r="E3" s="935"/>
      <c r="F3" s="935"/>
      <c r="G3" s="935"/>
      <c r="H3" s="935"/>
      <c r="I3" s="935"/>
      <c r="J3" s="935"/>
    </row>
    <row r="4" spans="1:10" ht="19.95" customHeight="1">
      <c r="A4" s="1081" t="s">
        <v>1330</v>
      </c>
      <c r="B4" s="1081"/>
      <c r="C4" s="1081"/>
      <c r="D4" s="1081"/>
      <c r="E4" s="1081"/>
      <c r="F4" s="1081"/>
      <c r="G4" s="1081"/>
      <c r="H4" s="1081"/>
      <c r="I4" s="1081"/>
      <c r="J4" s="1081"/>
    </row>
    <row r="5" spans="1:10">
      <c r="A5" s="968" t="s">
        <v>281</v>
      </c>
      <c r="B5" s="966" t="str">
        <f>'Modelo Base'!F50</f>
        <v>Ene-26</v>
      </c>
      <c r="C5" s="966" t="str">
        <f>'Modelo Base'!G50</f>
        <v>Feb-26</v>
      </c>
      <c r="D5" s="966" t="str">
        <f>'Modelo Base'!H50</f>
        <v>Mar-26</v>
      </c>
      <c r="E5" s="966" t="str">
        <f>'Modelo Base'!I50</f>
        <v>Abr-26</v>
      </c>
      <c r="F5" s="966" t="str">
        <f>'Modelo Base'!J50</f>
        <v>May-26</v>
      </c>
      <c r="G5" s="966" t="str">
        <f>'Modelo Base'!K50</f>
        <v>Jun-26</v>
      </c>
      <c r="H5" s="966" t="str">
        <f>'Modelo Base'!L50</f>
        <v>Jul-26</v>
      </c>
      <c r="I5" s="973" t="s">
        <v>1331</v>
      </c>
      <c r="J5" s="935"/>
    </row>
    <row r="6" spans="1:10">
      <c r="A6" s="969" t="s">
        <v>1220</v>
      </c>
      <c r="B6" s="963">
        <f>'Modelo Base'!F51/10^6</f>
        <v>612.24770100000001</v>
      </c>
      <c r="C6" s="963">
        <f>'Modelo Base'!G51/10^6</f>
        <v>744.21813699999996</v>
      </c>
      <c r="D6" s="963">
        <f>'Modelo Base'!H51/10^6</f>
        <v>787.04118700000004</v>
      </c>
      <c r="E6" s="963">
        <f>'Modelo Base'!I51/10^6</f>
        <v>750.867662</v>
      </c>
      <c r="F6" s="963">
        <f>'Modelo Base'!J51/10^6</f>
        <v>826.51474599999995</v>
      </c>
      <c r="G6" s="963">
        <f>'Modelo Base'!K51/10^6</f>
        <v>751.45331399999998</v>
      </c>
      <c r="H6" s="963">
        <f>'Modelo Base'!L51/10^6</f>
        <v>679.89055199999996</v>
      </c>
      <c r="I6" s="974">
        <f>SUM(B6:H6)</f>
        <v>5152.2332989999995</v>
      </c>
      <c r="J6" s="935"/>
    </row>
    <row r="7" spans="1:10">
      <c r="A7" s="998" t="s">
        <v>981</v>
      </c>
      <c r="B7" s="965">
        <f>'Modelo Base'!F52/10^6</f>
        <v>238.53579400000001</v>
      </c>
      <c r="C7" s="965">
        <f>'Modelo Base'!G52/10^6</f>
        <v>343.30879099999999</v>
      </c>
      <c r="D7" s="965">
        <f>'Modelo Base'!H52/10^6</f>
        <v>455.63920100000001</v>
      </c>
      <c r="E7" s="965">
        <f>'Modelo Base'!I52/10^6</f>
        <v>379.273594</v>
      </c>
      <c r="F7" s="965">
        <f>'Modelo Base'!J52/10^6</f>
        <v>355.47052300000001</v>
      </c>
      <c r="G7" s="965">
        <f>'Modelo Base'!K52/10^6</f>
        <v>348.47760599999998</v>
      </c>
      <c r="H7" s="965">
        <f>'Modelo Base'!L52/10^6</f>
        <v>321.91783800000002</v>
      </c>
      <c r="I7" s="999">
        <f>SUM(B7:H7)</f>
        <v>2442.6233469999997</v>
      </c>
      <c r="J7" s="935"/>
    </row>
    <row r="8" spans="1:10">
      <c r="A8" s="968" t="s">
        <v>277</v>
      </c>
      <c r="B8" s="1003">
        <f>B6-B7</f>
        <v>373.711907</v>
      </c>
      <c r="C8" s="1003">
        <f t="shared" ref="C8:H8" si="0">C6-C7</f>
        <v>400.90934599999997</v>
      </c>
      <c r="D8" s="1003">
        <f t="shared" si="0"/>
        <v>331.40198600000002</v>
      </c>
      <c r="E8" s="1003">
        <f t="shared" si="0"/>
        <v>371.59406799999999</v>
      </c>
      <c r="F8" s="1003">
        <f t="shared" si="0"/>
        <v>471.04422299999993</v>
      </c>
      <c r="G8" s="1003">
        <f t="shared" si="0"/>
        <v>402.975708</v>
      </c>
      <c r="H8" s="1003">
        <f t="shared" si="0"/>
        <v>357.97271399999994</v>
      </c>
      <c r="I8" s="1004">
        <f>SUM(B8:H8)</f>
        <v>2709.6099519999998</v>
      </c>
      <c r="J8" s="935"/>
    </row>
    <row r="9" spans="1:10">
      <c r="A9" s="1000" t="s">
        <v>1332</v>
      </c>
      <c r="B9" s="1001">
        <f>IF(B6=0,0,B8/B6)</f>
        <v>0.6103933202029288</v>
      </c>
      <c r="C9" s="1001">
        <f t="shared" ref="C9:H9" si="1">IF(C6=0,0,C8/C6)</f>
        <v>0.53869870414082643</v>
      </c>
      <c r="D9" s="1001">
        <f t="shared" si="1"/>
        <v>0.42107324429007298</v>
      </c>
      <c r="E9" s="1001">
        <f t="shared" si="1"/>
        <v>0.49488623202952636</v>
      </c>
      <c r="F9" s="1001">
        <f t="shared" si="1"/>
        <v>0.56991629644802488</v>
      </c>
      <c r="G9" s="1001">
        <f t="shared" si="1"/>
        <v>0.53626180162138459</v>
      </c>
      <c r="H9" s="1001">
        <f t="shared" si="1"/>
        <v>0.52651520593567536</v>
      </c>
      <c r="I9" s="1002">
        <f>IF(I6=0,0,I8/I6)</f>
        <v>0.52590979382201308</v>
      </c>
      <c r="J9" s="935"/>
    </row>
    <row r="10" spans="1:10">
      <c r="A10" s="969" t="s">
        <v>1033</v>
      </c>
      <c r="B10" s="963">
        <f>'Modelo Base'!F56/10^6</f>
        <v>98.722435000000004</v>
      </c>
      <c r="C10" s="963">
        <f>'Modelo Base'!G56/10^6</f>
        <v>105.633472</v>
      </c>
      <c r="D10" s="963">
        <f>'Modelo Base'!H56/10^6</f>
        <v>141.81186500000001</v>
      </c>
      <c r="E10" s="963">
        <f>'Modelo Base'!I56/10^6</f>
        <v>114.28088700000001</v>
      </c>
      <c r="F10" s="963">
        <f>'Modelo Base'!J56/10^6</f>
        <v>116.808824</v>
      </c>
      <c r="G10" s="963">
        <f>'Modelo Base'!K56/10^6</f>
        <v>112.28869299999999</v>
      </c>
      <c r="H10" s="963">
        <f>'Modelo Base'!L56/10^6</f>
        <v>107.932742</v>
      </c>
      <c r="I10" s="974">
        <f>SUM(B10:H10)</f>
        <v>797.47891799999991</v>
      </c>
      <c r="J10" s="935"/>
    </row>
    <row r="11" spans="1:10">
      <c r="A11" s="969" t="s">
        <v>804</v>
      </c>
      <c r="B11" s="963">
        <f>'Modelo Base'!F57/10^6</f>
        <v>131.60025899999999</v>
      </c>
      <c r="C11" s="963">
        <f>'Modelo Base'!G57/10^6</f>
        <v>173.632204</v>
      </c>
      <c r="D11" s="963">
        <f>'Modelo Base'!H57/10^6</f>
        <v>139.61577600000001</v>
      </c>
      <c r="E11" s="963">
        <f>'Modelo Base'!I57/10^6</f>
        <v>130.09041500000001</v>
      </c>
      <c r="F11" s="963">
        <f>'Modelo Base'!J57/10^6</f>
        <v>120.23321300000001</v>
      </c>
      <c r="G11" s="963">
        <f>'Modelo Base'!K57/10^6</f>
        <v>146.80346</v>
      </c>
      <c r="H11" s="963">
        <f>'Modelo Base'!L57/10^6</f>
        <v>117.761236</v>
      </c>
      <c r="I11" s="974">
        <f>SUM(B11:H11)</f>
        <v>959.73656299999993</v>
      </c>
      <c r="J11" s="935"/>
    </row>
    <row r="12" spans="1:10">
      <c r="A12" s="998" t="s">
        <v>1042</v>
      </c>
      <c r="B12" s="965">
        <f>'Modelo Base'!F58/10^6</f>
        <v>73.409852000000001</v>
      </c>
      <c r="C12" s="965">
        <f>'Modelo Base'!G58/10^6</f>
        <v>75.509637999999995</v>
      </c>
      <c r="D12" s="965">
        <f>'Modelo Base'!H58/10^6</f>
        <v>72.217138000000006</v>
      </c>
      <c r="E12" s="965">
        <f>'Modelo Base'!I58/10^6</f>
        <v>122.384514</v>
      </c>
      <c r="F12" s="965">
        <f>'Modelo Base'!J58/10^6</f>
        <v>120.992711</v>
      </c>
      <c r="G12" s="965">
        <f>'Modelo Base'!K58/10^6</f>
        <v>108.90806000000001</v>
      </c>
      <c r="H12" s="965">
        <f>'Modelo Base'!L58/10^6</f>
        <v>102.936374</v>
      </c>
      <c r="I12" s="999">
        <f>SUM(B12:H12)</f>
        <v>676.35828700000002</v>
      </c>
      <c r="J12" s="935"/>
    </row>
    <row r="13" spans="1:10">
      <c r="A13" s="968" t="s">
        <v>278</v>
      </c>
      <c r="B13" s="1003">
        <f>B8-B10-B11-B12</f>
        <v>69.979360999999983</v>
      </c>
      <c r="C13" s="1003">
        <f t="shared" ref="C13:H13" si="2">C8-C10-C11-C12</f>
        <v>46.134031999999991</v>
      </c>
      <c r="D13" s="1003">
        <f t="shared" si="2"/>
        <v>-22.242793000000006</v>
      </c>
      <c r="E13" s="1003">
        <f t="shared" si="2"/>
        <v>4.8382519999999829</v>
      </c>
      <c r="F13" s="1003">
        <f t="shared" si="2"/>
        <v>113.00947499999991</v>
      </c>
      <c r="G13" s="1003">
        <f t="shared" si="2"/>
        <v>34.975494999999967</v>
      </c>
      <c r="H13" s="1003">
        <f t="shared" si="2"/>
        <v>29.342361999999923</v>
      </c>
      <c r="I13" s="1004">
        <f>SUM(B13:H13)</f>
        <v>276.03618399999976</v>
      </c>
      <c r="J13" s="935"/>
    </row>
    <row r="14" spans="1:10">
      <c r="A14" s="1000" t="s">
        <v>1333</v>
      </c>
      <c r="B14" s="1001">
        <f>IF(B6=0,0,B13/B6)</f>
        <v>0.11429909967109861</v>
      </c>
      <c r="C14" s="1001">
        <f t="shared" ref="C14:H14" si="3">IF(C6=0,0,C13/C6)</f>
        <v>6.198993239531865E-2</v>
      </c>
      <c r="D14" s="1001">
        <f t="shared" si="3"/>
        <v>-2.8261282087134285E-2</v>
      </c>
      <c r="E14" s="1001">
        <f t="shared" si="3"/>
        <v>6.4435482373989663E-3</v>
      </c>
      <c r="F14" s="1001">
        <f t="shared" si="3"/>
        <v>0.13673013766169384</v>
      </c>
      <c r="G14" s="1001">
        <f t="shared" si="3"/>
        <v>4.6543802986009547E-2</v>
      </c>
      <c r="H14" s="1001">
        <f t="shared" si="3"/>
        <v>4.3157478676067743E-2</v>
      </c>
      <c r="I14" s="1002">
        <f>IF(I6=0,0,I13/I6)</f>
        <v>5.357602576994637E-2</v>
      </c>
      <c r="J14" s="935"/>
    </row>
    <row r="15" spans="1:10">
      <c r="A15" s="969" t="s">
        <v>266</v>
      </c>
      <c r="B15" s="963">
        <f>'Modelo Base'!F67/10^6</f>
        <v>63.485497000000002</v>
      </c>
      <c r="C15" s="963">
        <f>'Modelo Base'!G67/10^6</f>
        <v>54.048915000000001</v>
      </c>
      <c r="D15" s="963">
        <f>'Modelo Base'!H67/10^6</f>
        <v>-37.938006999999999</v>
      </c>
      <c r="E15" s="963">
        <f>'Modelo Base'!I67/10^6</f>
        <v>0.70620300000000003</v>
      </c>
      <c r="F15" s="963">
        <f>'Modelo Base'!J67/10^6</f>
        <v>108.374968</v>
      </c>
      <c r="G15" s="963">
        <f>'Modelo Base'!K67/10^6</f>
        <v>33.343649999999997</v>
      </c>
      <c r="H15" s="963">
        <f>'Modelo Base'!L67/10^6</f>
        <v>24.707052000000001</v>
      </c>
      <c r="I15" s="974">
        <f>SUM(B15:H15)</f>
        <v>246.72827799999999</v>
      </c>
      <c r="J15" s="935"/>
    </row>
    <row r="16" spans="1:10">
      <c r="A16" s="969" t="s">
        <v>1334</v>
      </c>
      <c r="B16" s="963">
        <f>'Modelo Base'!F69/10^6</f>
        <v>0</v>
      </c>
      <c r="C16" s="963">
        <f>'Modelo Base'!G69/10^6</f>
        <v>0</v>
      </c>
      <c r="D16" s="963">
        <f>'Modelo Base'!H69/10^6</f>
        <v>0</v>
      </c>
      <c r="E16" s="963">
        <f>'Modelo Base'!I69/10^6</f>
        <v>0</v>
      </c>
      <c r="F16" s="963">
        <f>'Modelo Base'!J69/10^6</f>
        <v>0</v>
      </c>
      <c r="G16" s="963">
        <f>'Modelo Base'!K69/10^6</f>
        <v>0</v>
      </c>
      <c r="H16" s="963">
        <f>'Modelo Base'!L69/10^6</f>
        <v>0</v>
      </c>
      <c r="I16" s="974">
        <f>SUM(B16:H16)</f>
        <v>0</v>
      </c>
      <c r="J16" s="935"/>
    </row>
    <row r="17" spans="1:10">
      <c r="A17" s="970" t="s">
        <v>1335</v>
      </c>
      <c r="B17" s="963">
        <f>B15-B16</f>
        <v>63.485497000000002</v>
      </c>
      <c r="C17" s="963">
        <f t="shared" ref="C17:H17" si="4">C15-C16</f>
        <v>54.048915000000001</v>
      </c>
      <c r="D17" s="963">
        <f t="shared" si="4"/>
        <v>-37.938006999999999</v>
      </c>
      <c r="E17" s="963">
        <f t="shared" si="4"/>
        <v>0.70620300000000003</v>
      </c>
      <c r="F17" s="963">
        <f t="shared" si="4"/>
        <v>108.374968</v>
      </c>
      <c r="G17" s="963">
        <f t="shared" si="4"/>
        <v>33.343649999999997</v>
      </c>
      <c r="H17" s="963">
        <f t="shared" si="4"/>
        <v>24.707052000000001</v>
      </c>
      <c r="I17" s="974">
        <f>SUM(B17:H17)</f>
        <v>246.72827799999999</v>
      </c>
      <c r="J17" s="935"/>
    </row>
    <row r="18" spans="1:10">
      <c r="A18" s="971" t="s">
        <v>1336</v>
      </c>
      <c r="B18" s="964">
        <f>IF(B6=0,0,B17/B6)</f>
        <v>0.10369250369794365</v>
      </c>
      <c r="C18" s="964">
        <f t="shared" ref="C18:H18" si="5">IF(C6=0,0,C17/C6)</f>
        <v>7.2625097821285706E-2</v>
      </c>
      <c r="D18" s="964">
        <f t="shared" si="5"/>
        <v>-4.8203331193644373E-2</v>
      </c>
      <c r="E18" s="964">
        <f t="shared" si="5"/>
        <v>9.4051593341890386E-4</v>
      </c>
      <c r="F18" s="964">
        <f t="shared" si="5"/>
        <v>0.13112284871442573</v>
      </c>
      <c r="G18" s="964">
        <f t="shared" si="5"/>
        <v>4.4372217646511038E-2</v>
      </c>
      <c r="H18" s="964">
        <f t="shared" si="5"/>
        <v>3.6339748989481474E-2</v>
      </c>
      <c r="I18" s="975">
        <f>IF(I6=0,0,I17/I6)</f>
        <v>4.7887637007409514E-2</v>
      </c>
      <c r="J18" s="935"/>
    </row>
    <row r="19" spans="1:10">
      <c r="A19" s="971" t="s">
        <v>1337</v>
      </c>
      <c r="B19" s="963">
        <f>'Modelo Base'!F72/10^6</f>
        <v>22.219923949999998</v>
      </c>
      <c r="C19" s="963">
        <f>'Modelo Base'!G72/10^6</f>
        <v>18.91712025</v>
      </c>
      <c r="D19" s="963">
        <f>'Modelo Base'!H72/10^6</f>
        <v>0</v>
      </c>
      <c r="E19" s="963">
        <f>'Modelo Base'!I72/10^6</f>
        <v>0.24717104999999998</v>
      </c>
      <c r="F19" s="963">
        <f>'Modelo Base'!J72/10^6</f>
        <v>37.931238799999996</v>
      </c>
      <c r="G19" s="963">
        <f>'Modelo Base'!K72/10^6</f>
        <v>11.670277499999999</v>
      </c>
      <c r="H19" s="963">
        <f>'Modelo Base'!L72/10^6</f>
        <v>8.6474681999999987</v>
      </c>
      <c r="I19" s="974">
        <f>SUM(B19:H19)</f>
        <v>99.633199749999989</v>
      </c>
      <c r="J19" s="935"/>
    </row>
    <row r="20" spans="1:10">
      <c r="A20" s="972" t="s">
        <v>1338</v>
      </c>
      <c r="B20" s="967">
        <f>B17-B19</f>
        <v>41.26557305</v>
      </c>
      <c r="C20" s="967">
        <f t="shared" ref="C20:H20" si="6">C17-C19</f>
        <v>35.131794749999997</v>
      </c>
      <c r="D20" s="967">
        <f t="shared" si="6"/>
        <v>-37.938006999999999</v>
      </c>
      <c r="E20" s="967">
        <f t="shared" si="6"/>
        <v>0.45903195000000008</v>
      </c>
      <c r="F20" s="967">
        <f t="shared" si="6"/>
        <v>70.443729200000007</v>
      </c>
      <c r="G20" s="967">
        <f t="shared" si="6"/>
        <v>21.673372499999999</v>
      </c>
      <c r="H20" s="967">
        <f t="shared" si="6"/>
        <v>16.059583800000002</v>
      </c>
      <c r="I20" s="976">
        <f>SUM(B20:H20)</f>
        <v>147.09507825000003</v>
      </c>
      <c r="J20" s="935"/>
    </row>
    <row r="21" spans="1:10">
      <c r="A21" s="935"/>
      <c r="B21" s="935"/>
      <c r="C21" s="935"/>
      <c r="D21" s="935"/>
      <c r="E21" s="935"/>
      <c r="F21" s="935"/>
      <c r="G21" s="935"/>
      <c r="H21" s="935"/>
      <c r="I21" s="935"/>
      <c r="J21" s="935"/>
    </row>
    <row r="22" spans="1:10" ht="19.95" customHeight="1">
      <c r="A22" s="1081" t="s">
        <v>1339</v>
      </c>
      <c r="B22" s="1081"/>
      <c r="C22" s="1081"/>
      <c r="D22" s="1081"/>
      <c r="E22" s="1081"/>
      <c r="F22" s="1081"/>
      <c r="G22" s="935"/>
      <c r="H22" s="935"/>
      <c r="I22" s="935"/>
      <c r="J22" s="935"/>
    </row>
    <row r="23" spans="1:10">
      <c r="A23" s="968" t="s">
        <v>281</v>
      </c>
      <c r="B23" s="981" t="s">
        <v>1340</v>
      </c>
      <c r="C23" s="981" t="s">
        <v>1341</v>
      </c>
      <c r="D23" s="981" t="s">
        <v>1342</v>
      </c>
      <c r="E23" s="981" t="s">
        <v>1343</v>
      </c>
      <c r="F23" s="973" t="s">
        <v>1344</v>
      </c>
      <c r="G23" s="935"/>
      <c r="H23" s="935"/>
      <c r="I23" s="935"/>
      <c r="J23" s="935"/>
    </row>
    <row r="24" spans="1:10">
      <c r="A24" s="969" t="s">
        <v>1220</v>
      </c>
      <c r="B24" s="977">
        <f>'Informe Accionista'!I65</f>
        <v>388085</v>
      </c>
      <c r="C24" s="963">
        <f>B24*'Ppto Combinado 2026'!$C$5/10^6</f>
        <v>1552.34</v>
      </c>
      <c r="D24" s="963">
        <f>H6</f>
        <v>679.89055199999996</v>
      </c>
      <c r="E24" s="963">
        <f t="shared" ref="E24:E30" si="7">D24-C24</f>
        <v>-872.44944799999996</v>
      </c>
      <c r="F24" s="975">
        <f>IF(C24=0,0,D24/C24)</f>
        <v>0.43797786052024684</v>
      </c>
      <c r="G24" s="935"/>
      <c r="H24" s="935"/>
      <c r="I24" s="935"/>
      <c r="J24" s="935"/>
    </row>
    <row r="25" spans="1:10">
      <c r="A25" s="969" t="s">
        <v>981</v>
      </c>
      <c r="B25" s="977">
        <f>'Informe Accionista'!I66</f>
        <v>111362</v>
      </c>
      <c r="C25" s="963">
        <f>B25*'Ppto Combinado 2026'!$C$5/10^6</f>
        <v>445.44799999999998</v>
      </c>
      <c r="D25" s="963">
        <f>H7</f>
        <v>321.91783800000002</v>
      </c>
      <c r="E25" s="963">
        <f t="shared" si="7"/>
        <v>-123.53016199999996</v>
      </c>
      <c r="F25" s="975">
        <f>IF(C25=0,0,D25/C25)</f>
        <v>0.72268331657118234</v>
      </c>
      <c r="G25" s="935"/>
      <c r="H25" s="935"/>
      <c r="I25" s="935"/>
      <c r="J25" s="935"/>
    </row>
    <row r="26" spans="1:10">
      <c r="A26" s="970" t="s">
        <v>277</v>
      </c>
      <c r="B26" s="978">
        <f>B24-B25</f>
        <v>276723</v>
      </c>
      <c r="C26" s="979">
        <f>C24-C25</f>
        <v>1106.8919999999998</v>
      </c>
      <c r="D26" s="979">
        <f>D24-D25</f>
        <v>357.97271399999994</v>
      </c>
      <c r="E26" s="979">
        <f t="shared" si="7"/>
        <v>-748.91928599999983</v>
      </c>
      <c r="F26" s="983">
        <f>IF(C26=0,0,D26/C26)</f>
        <v>0.32340347025726085</v>
      </c>
      <c r="G26" s="935"/>
      <c r="H26" s="935"/>
      <c r="I26" s="935"/>
      <c r="J26" s="935"/>
    </row>
    <row r="27" spans="1:10">
      <c r="A27" s="969" t="s">
        <v>1033</v>
      </c>
      <c r="B27" s="977">
        <f>'Informe Accionista'!I68</f>
        <v>33545</v>
      </c>
      <c r="C27" s="963">
        <f>B27*'Ppto Combinado 2026'!$C$5/10^6</f>
        <v>134.18</v>
      </c>
      <c r="D27" s="963">
        <f>H10</f>
        <v>107.932742</v>
      </c>
      <c r="E27" s="963">
        <f t="shared" si="7"/>
        <v>-26.247258000000002</v>
      </c>
      <c r="F27" s="975">
        <f>IF(C27=0,0,D27/C27)</f>
        <v>0.80438770308540763</v>
      </c>
      <c r="G27" s="935"/>
      <c r="H27" s="935"/>
      <c r="I27" s="935"/>
      <c r="J27" s="935"/>
    </row>
    <row r="28" spans="1:10">
      <c r="A28" s="969" t="s">
        <v>804</v>
      </c>
      <c r="B28" s="977">
        <f>'Informe Accionista'!I69</f>
        <v>54010</v>
      </c>
      <c r="C28" s="963">
        <f>B28*'Ppto Combinado 2026'!$C$5/10^6</f>
        <v>216.04</v>
      </c>
      <c r="D28" s="963">
        <f>H11</f>
        <v>117.761236</v>
      </c>
      <c r="E28" s="963">
        <f t="shared" si="7"/>
        <v>-98.278763999999995</v>
      </c>
      <c r="F28" s="975">
        <f>IF(C28=0,0,D28/C28)</f>
        <v>0.54508996482132943</v>
      </c>
      <c r="G28" s="935"/>
      <c r="H28" s="935"/>
      <c r="I28" s="935"/>
      <c r="J28" s="935"/>
    </row>
    <row r="29" spans="1:10">
      <c r="A29" s="969" t="s">
        <v>1042</v>
      </c>
      <c r="B29" s="977">
        <v>0</v>
      </c>
      <c r="C29" s="963">
        <f>B29*'Ppto Combinado 2026'!$C$5/10^6</f>
        <v>0</v>
      </c>
      <c r="D29" s="963">
        <f>H12</f>
        <v>102.936374</v>
      </c>
      <c r="E29" s="963">
        <f t="shared" si="7"/>
        <v>102.936374</v>
      </c>
      <c r="F29" s="984" t="s">
        <v>1345</v>
      </c>
      <c r="G29" s="935"/>
      <c r="H29" s="935"/>
      <c r="I29" s="935"/>
      <c r="J29" s="935"/>
    </row>
    <row r="30" spans="1:10">
      <c r="A30" s="970" t="s">
        <v>278</v>
      </c>
      <c r="B30" s="978">
        <f>B26-B27-B28-B29</f>
        <v>189168</v>
      </c>
      <c r="C30" s="979">
        <f>C26-C27-C28-C29</f>
        <v>756.6719999999998</v>
      </c>
      <c r="D30" s="979">
        <f>D26-D27-D28-D29</f>
        <v>29.342361999999923</v>
      </c>
      <c r="E30" s="979">
        <f t="shared" si="7"/>
        <v>-727.32963799999993</v>
      </c>
      <c r="F30" s="983">
        <f>IF(C30=0,0,D30/C30)</f>
        <v>3.8778178656009382E-2</v>
      </c>
      <c r="G30" s="935"/>
      <c r="H30" s="935"/>
      <c r="I30" s="935"/>
      <c r="J30" s="935"/>
    </row>
    <row r="31" spans="1:10">
      <c r="A31" s="971" t="s">
        <v>1333</v>
      </c>
      <c r="B31" s="977"/>
      <c r="C31" s="980">
        <f>IF(C24=0,0,C30/C24)</f>
        <v>0.48743960730252384</v>
      </c>
      <c r="D31" s="980">
        <f>IF(D24=0,0,D30/D24)</f>
        <v>4.3157478676067743E-2</v>
      </c>
      <c r="E31" s="963"/>
      <c r="F31" s="975"/>
      <c r="G31" s="935"/>
      <c r="H31" s="935"/>
      <c r="I31" s="935"/>
      <c r="J31" s="935"/>
    </row>
    <row r="32" spans="1:10">
      <c r="A32" s="969" t="s">
        <v>268</v>
      </c>
      <c r="B32" s="977">
        <f>'Informe Accionista'!I74</f>
        <v>122166</v>
      </c>
      <c r="C32" s="963">
        <f>B32*'Ppto Combinado 2026'!$C$5/10^6</f>
        <v>488.66399999999999</v>
      </c>
      <c r="D32" s="963">
        <f>H17</f>
        <v>24.707052000000001</v>
      </c>
      <c r="E32" s="963">
        <f>D32-C32</f>
        <v>-463.95694800000001</v>
      </c>
      <c r="F32" s="975">
        <f>IF(C32=0,0,D32/C32)</f>
        <v>5.056040960660086E-2</v>
      </c>
      <c r="G32" s="935"/>
      <c r="H32" s="935"/>
      <c r="I32" s="935"/>
      <c r="J32" s="935"/>
    </row>
    <row r="33" spans="1:10">
      <c r="A33" s="972" t="s">
        <v>1346</v>
      </c>
      <c r="B33" s="982">
        <f>'Ppto Combinado 2026'!J12</f>
        <v>283850.12040263263</v>
      </c>
      <c r="C33" s="967">
        <f>'Ppto Combinado 2026'!J13/10^6</f>
        <v>1047.4069442857144</v>
      </c>
      <c r="D33" s="967">
        <f>H6</f>
        <v>679.89055199999996</v>
      </c>
      <c r="E33" s="967">
        <f>D33-C33</f>
        <v>-367.51639228571446</v>
      </c>
      <c r="F33" s="985">
        <f>IF(C33=0,0,D33/C33)</f>
        <v>0.64911785787677345</v>
      </c>
      <c r="G33" s="935"/>
      <c r="H33" s="935"/>
      <c r="I33" s="935"/>
      <c r="J33" s="935"/>
    </row>
    <row r="34" spans="1:10">
      <c r="A34" s="935"/>
      <c r="B34" s="935"/>
      <c r="C34" s="935"/>
      <c r="D34" s="935"/>
      <c r="E34" s="935"/>
      <c r="F34" s="935"/>
      <c r="G34" s="935"/>
      <c r="H34" s="935"/>
      <c r="I34" s="935"/>
      <c r="J34" s="935"/>
    </row>
    <row r="35" spans="1:10" ht="19.95" customHeight="1">
      <c r="A35" s="1081" t="s">
        <v>1347</v>
      </c>
      <c r="B35" s="1081"/>
      <c r="C35" s="1081"/>
      <c r="D35" s="1081"/>
      <c r="E35" s="1081"/>
      <c r="F35" s="1081"/>
      <c r="G35" s="935"/>
      <c r="H35" s="935"/>
      <c r="I35" s="935"/>
      <c r="J35" s="935"/>
    </row>
    <row r="36" spans="1:10">
      <c r="A36" s="986" t="s">
        <v>1348</v>
      </c>
      <c r="B36" s="988">
        <f>C30</f>
        <v>756.6719999999998</v>
      </c>
      <c r="C36" s="935"/>
      <c r="D36" s="935"/>
      <c r="E36" s="935"/>
      <c r="F36" s="935"/>
      <c r="G36" s="935"/>
      <c r="H36" s="935"/>
      <c r="I36" s="935"/>
      <c r="J36" s="935"/>
    </row>
    <row r="37" spans="1:10">
      <c r="A37" s="969" t="s">
        <v>1349</v>
      </c>
      <c r="B37" s="989">
        <f>E24</f>
        <v>-872.44944799999996</v>
      </c>
      <c r="C37" s="935"/>
      <c r="D37" s="935"/>
      <c r="E37" s="935"/>
      <c r="F37" s="935"/>
      <c r="G37" s="935"/>
      <c r="H37" s="935"/>
      <c r="I37" s="935"/>
      <c r="J37" s="935"/>
    </row>
    <row r="38" spans="1:10">
      <c r="A38" s="969" t="s">
        <v>1350</v>
      </c>
      <c r="B38" s="990">
        <f>-E25</f>
        <v>123.53016199999996</v>
      </c>
      <c r="C38" s="935"/>
      <c r="D38" s="935"/>
      <c r="E38" s="935"/>
      <c r="F38" s="935"/>
      <c r="G38" s="935"/>
      <c r="H38" s="935"/>
      <c r="I38" s="935"/>
      <c r="J38" s="935"/>
    </row>
    <row r="39" spans="1:10">
      <c r="A39" s="969" t="s">
        <v>1351</v>
      </c>
      <c r="B39" s="990">
        <f>-E27</f>
        <v>26.247258000000002</v>
      </c>
      <c r="C39" s="935"/>
      <c r="D39" s="935"/>
      <c r="E39" s="935"/>
      <c r="F39" s="935"/>
      <c r="G39" s="935"/>
      <c r="H39" s="935"/>
      <c r="I39" s="935"/>
      <c r="J39" s="935"/>
    </row>
    <row r="40" spans="1:10">
      <c r="A40" s="969" t="s">
        <v>1352</v>
      </c>
      <c r="B40" s="990">
        <f>-E28</f>
        <v>98.278763999999995</v>
      </c>
      <c r="C40" s="935"/>
      <c r="D40" s="935"/>
      <c r="E40" s="935"/>
      <c r="F40" s="935"/>
      <c r="G40" s="935"/>
      <c r="H40" s="935"/>
      <c r="I40" s="935"/>
      <c r="J40" s="935"/>
    </row>
    <row r="41" spans="1:10">
      <c r="A41" s="969" t="s">
        <v>1353</v>
      </c>
      <c r="B41" s="989">
        <f>-E29</f>
        <v>-102.936374</v>
      </c>
      <c r="C41" s="935"/>
      <c r="D41" s="935"/>
      <c r="E41" s="935"/>
      <c r="F41" s="935"/>
      <c r="G41" s="935"/>
      <c r="H41" s="935"/>
      <c r="I41" s="935"/>
      <c r="J41" s="935"/>
    </row>
    <row r="42" spans="1:10">
      <c r="A42" s="987" t="s">
        <v>1354</v>
      </c>
      <c r="B42" s="991">
        <f>SUM(B36:B41)</f>
        <v>29.34236199999981</v>
      </c>
      <c r="C42" s="935"/>
      <c r="D42" s="935"/>
      <c r="E42" s="935"/>
      <c r="F42" s="935"/>
      <c r="G42" s="935"/>
      <c r="H42" s="935"/>
      <c r="I42" s="935"/>
      <c r="J42" s="935"/>
    </row>
    <row r="43" spans="1:10">
      <c r="A43" s="972" t="s">
        <v>1355</v>
      </c>
      <c r="B43" s="992">
        <f>ROUND(B42-H13,6)</f>
        <v>0</v>
      </c>
      <c r="C43" s="935"/>
      <c r="D43" s="935"/>
      <c r="E43" s="935"/>
      <c r="F43" s="935"/>
      <c r="G43" s="935"/>
      <c r="H43" s="935"/>
      <c r="I43" s="935"/>
      <c r="J43" s="935"/>
    </row>
    <row r="44" spans="1:10" ht="30" customHeight="1">
      <c r="A44" s="1078" t="s">
        <v>1356</v>
      </c>
      <c r="B44" s="1078"/>
      <c r="C44" s="1078"/>
      <c r="D44" s="1078"/>
      <c r="E44" s="1078"/>
      <c r="F44" s="1078"/>
      <c r="G44" s="1078"/>
      <c r="H44" s="1078"/>
      <c r="I44" s="1078"/>
      <c r="J44" s="1078"/>
    </row>
    <row r="45" spans="1:10">
      <c r="A45" s="935"/>
      <c r="B45" s="935"/>
      <c r="C45" s="935"/>
      <c r="D45" s="935"/>
      <c r="E45" s="935"/>
      <c r="F45" s="935"/>
      <c r="G45" s="935"/>
      <c r="H45" s="935"/>
      <c r="I45" s="935"/>
      <c r="J45" s="935"/>
    </row>
    <row r="46" spans="1:10" ht="19.95" customHeight="1">
      <c r="A46" s="1081" t="s">
        <v>1357</v>
      </c>
      <c r="B46" s="1081"/>
      <c r="C46" s="1081"/>
      <c r="D46" s="1081"/>
      <c r="E46" s="1081"/>
      <c r="F46" s="1081"/>
      <c r="G46" s="1081"/>
      <c r="H46" s="1081"/>
      <c r="I46" s="1081"/>
      <c r="J46" s="935"/>
    </row>
    <row r="47" spans="1:10">
      <c r="A47" s="968" t="s">
        <v>281</v>
      </c>
      <c r="B47" s="966" t="str">
        <f t="shared" ref="B47:H47" si="8">B5</f>
        <v>Ene-26</v>
      </c>
      <c r="C47" s="966" t="str">
        <f t="shared" si="8"/>
        <v>Feb-26</v>
      </c>
      <c r="D47" s="966" t="str">
        <f t="shared" si="8"/>
        <v>Mar-26</v>
      </c>
      <c r="E47" s="966" t="str">
        <f t="shared" si="8"/>
        <v>Abr-26</v>
      </c>
      <c r="F47" s="966" t="str">
        <f t="shared" si="8"/>
        <v>May-26</v>
      </c>
      <c r="G47" s="966" t="str">
        <f t="shared" si="8"/>
        <v>Jun-26</v>
      </c>
      <c r="H47" s="966" t="str">
        <f t="shared" si="8"/>
        <v>Jul-26</v>
      </c>
      <c r="I47" s="973" t="s">
        <v>1358</v>
      </c>
      <c r="J47" s="935"/>
    </row>
    <row r="48" spans="1:10">
      <c r="A48" s="969" t="s">
        <v>981</v>
      </c>
      <c r="B48" s="964">
        <f>IF(B$6=0,0,B$7/B$6)</f>
        <v>0.38960667979707125</v>
      </c>
      <c r="C48" s="964">
        <f t="shared" ref="C48:H48" si="9">IF(C$6=0,0,C$7/C$6)</f>
        <v>0.46130129585917362</v>
      </c>
      <c r="D48" s="964">
        <f t="shared" si="9"/>
        <v>0.57892675570992702</v>
      </c>
      <c r="E48" s="964">
        <f t="shared" si="9"/>
        <v>0.50511376797047358</v>
      </c>
      <c r="F48" s="964">
        <f t="shared" si="9"/>
        <v>0.43008370355197517</v>
      </c>
      <c r="G48" s="964">
        <f t="shared" si="9"/>
        <v>0.46373819837861541</v>
      </c>
      <c r="H48" s="964">
        <f t="shared" si="9"/>
        <v>0.4734847940643247</v>
      </c>
      <c r="I48" s="975">
        <f>IF($I$6=0,0,$I$7/$I$6)</f>
        <v>0.47409020617798697</v>
      </c>
      <c r="J48" s="935"/>
    </row>
    <row r="49" spans="1:10">
      <c r="A49" s="969" t="s">
        <v>1033</v>
      </c>
      <c r="B49" s="964">
        <f>IF(B$6=0,0,B$10/B$6)</f>
        <v>0.16124590560120372</v>
      </c>
      <c r="C49" s="964">
        <f t="shared" ref="C49:H49" si="10">IF(C$6=0,0,C$10/C$6)</f>
        <v>0.14193885737025513</v>
      </c>
      <c r="D49" s="964">
        <f t="shared" si="10"/>
        <v>0.18018353720540423</v>
      </c>
      <c r="E49" s="964">
        <f t="shared" si="10"/>
        <v>0.15219844026256654</v>
      </c>
      <c r="F49" s="964">
        <f t="shared" si="10"/>
        <v>0.14132696913794687</v>
      </c>
      <c r="G49" s="964">
        <f t="shared" si="10"/>
        <v>0.14942870156801252</v>
      </c>
      <c r="H49" s="964">
        <f t="shared" si="10"/>
        <v>0.15875017189531412</v>
      </c>
      <c r="I49" s="975">
        <f>IF($I$6=0,0,$I$10/$I$6)</f>
        <v>0.1547831535801733</v>
      </c>
      <c r="J49" s="935"/>
    </row>
    <row r="50" spans="1:10">
      <c r="A50" s="969" t="s">
        <v>804</v>
      </c>
      <c r="B50" s="964">
        <f>IF(B$6=0,0,B$11/B$6)</f>
        <v>0.21494610561224467</v>
      </c>
      <c r="C50" s="964">
        <f t="shared" ref="C50:H50" si="11">IF(C$6=0,0,C$11/C$6)</f>
        <v>0.2333082135029988</v>
      </c>
      <c r="D50" s="964">
        <f t="shared" si="11"/>
        <v>0.1773932270713553</v>
      </c>
      <c r="E50" s="964">
        <f t="shared" si="11"/>
        <v>0.17325345275023976</v>
      </c>
      <c r="F50" s="964">
        <f t="shared" si="11"/>
        <v>0.14547013659693375</v>
      </c>
      <c r="G50" s="964">
        <f t="shared" si="11"/>
        <v>0.19535938862064822</v>
      </c>
      <c r="H50" s="964">
        <f t="shared" si="11"/>
        <v>0.17320616627718632</v>
      </c>
      <c r="I50" s="975">
        <f>IF($I$6=0,0,$I$11/$I$6)</f>
        <v>0.18627583560439234</v>
      </c>
      <c r="J50" s="935"/>
    </row>
    <row r="51" spans="1:10">
      <c r="A51" s="969" t="s">
        <v>1042</v>
      </c>
      <c r="B51" s="964">
        <f>IF(B$6=0,0,B$12/B$6)</f>
        <v>0.11990220931838175</v>
      </c>
      <c r="C51" s="964">
        <f t="shared" ref="C51:H51" si="12">IF(C$6=0,0,C$12/C$6)</f>
        <v>0.1014617008722538</v>
      </c>
      <c r="D51" s="964">
        <f t="shared" si="12"/>
        <v>9.175776210044774E-2</v>
      </c>
      <c r="E51" s="964">
        <f t="shared" si="12"/>
        <v>0.1629907907793211</v>
      </c>
      <c r="F51" s="964">
        <f t="shared" si="12"/>
        <v>0.14638905305145034</v>
      </c>
      <c r="G51" s="964">
        <f t="shared" si="12"/>
        <v>0.14492990844671425</v>
      </c>
      <c r="H51" s="964">
        <f t="shared" si="12"/>
        <v>0.15140138908710707</v>
      </c>
      <c r="I51" s="975">
        <f>IF($I$6=0,0,$I$12/$I$6)</f>
        <v>0.131274778867501</v>
      </c>
      <c r="J51" s="935"/>
    </row>
    <row r="52" spans="1:10">
      <c r="A52" s="970" t="s">
        <v>1359</v>
      </c>
      <c r="B52" s="993">
        <f>SUM(B48:B51)</f>
        <v>0.88570090032890136</v>
      </c>
      <c r="C52" s="964">
        <f t="shared" ref="C52:H52" si="13">SUM(C48:C51)</f>
        <v>0.93801006760468131</v>
      </c>
      <c r="D52" s="964">
        <f t="shared" si="13"/>
        <v>1.0282612820871344</v>
      </c>
      <c r="E52" s="964">
        <f t="shared" si="13"/>
        <v>0.99355645176260099</v>
      </c>
      <c r="F52" s="964">
        <f t="shared" si="13"/>
        <v>0.86326986233830616</v>
      </c>
      <c r="G52" s="964">
        <f t="shared" si="13"/>
        <v>0.95345619701399043</v>
      </c>
      <c r="H52" s="964">
        <f t="shared" si="13"/>
        <v>0.95684252132393222</v>
      </c>
      <c r="I52" s="983">
        <f>SUM(I48:I51)</f>
        <v>0.94642397423005353</v>
      </c>
      <c r="J52" s="935"/>
    </row>
    <row r="53" spans="1:10">
      <c r="A53" s="996" t="s">
        <v>670</v>
      </c>
      <c r="B53" s="994">
        <f>1-B52</f>
        <v>0.11429909967109864</v>
      </c>
      <c r="C53" s="995">
        <f t="shared" ref="C53:H53" si="14">1-C52</f>
        <v>6.1989932395318692E-2</v>
      </c>
      <c r="D53" s="995">
        <f t="shared" si="14"/>
        <v>-2.8261282087134409E-2</v>
      </c>
      <c r="E53" s="995">
        <f t="shared" si="14"/>
        <v>6.4435482373990105E-3</v>
      </c>
      <c r="F53" s="995">
        <f t="shared" si="14"/>
        <v>0.13673013766169384</v>
      </c>
      <c r="G53" s="995">
        <f t="shared" si="14"/>
        <v>4.6543802986009575E-2</v>
      </c>
      <c r="H53" s="995">
        <f t="shared" si="14"/>
        <v>4.3157478676067784E-2</v>
      </c>
      <c r="I53" s="997">
        <f>1-I52</f>
        <v>5.3576025769946467E-2</v>
      </c>
      <c r="J53" s="935"/>
    </row>
    <row r="54" spans="1:10">
      <c r="A54" s="935"/>
      <c r="B54" s="935"/>
      <c r="C54" s="935"/>
      <c r="D54" s="935"/>
      <c r="E54" s="935"/>
      <c r="F54" s="935"/>
      <c r="G54" s="935"/>
      <c r="H54" s="935"/>
      <c r="I54" s="935"/>
      <c r="J54" s="935"/>
    </row>
    <row r="55" spans="1:10" ht="19.95" customHeight="1">
      <c r="A55" s="1081" t="s">
        <v>1360</v>
      </c>
      <c r="B55" s="1081"/>
      <c r="C55" s="1081"/>
      <c r="D55" s="1081"/>
      <c r="E55" s="1081"/>
      <c r="F55" s="1081"/>
      <c r="G55" s="1081"/>
      <c r="H55" s="1081"/>
      <c r="I55" s="1081"/>
      <c r="J55" s="1081"/>
    </row>
    <row r="56" spans="1:10" ht="43.95" customHeight="1">
      <c r="A56" s="1065" t="s">
        <v>1361</v>
      </c>
      <c r="B56" s="1065"/>
      <c r="C56" s="1065"/>
      <c r="D56" s="1065"/>
      <c r="E56" s="1065"/>
      <c r="F56" s="1065"/>
      <c r="G56" s="1065"/>
      <c r="H56" s="1065"/>
      <c r="I56" s="1065"/>
      <c r="J56" s="1065"/>
    </row>
    <row r="57" spans="1:10" ht="43.95" customHeight="1">
      <c r="A57" s="1065" t="s">
        <v>1362</v>
      </c>
      <c r="B57" s="1065"/>
      <c r="C57" s="1065"/>
      <c r="D57" s="1065"/>
      <c r="E57" s="1065"/>
      <c r="F57" s="1065"/>
      <c r="G57" s="1065"/>
      <c r="H57" s="1065"/>
      <c r="I57" s="1065"/>
      <c r="J57" s="1065"/>
    </row>
    <row r="58" spans="1:10" ht="43.95" customHeight="1">
      <c r="A58" s="1065" t="s">
        <v>1363</v>
      </c>
      <c r="B58" s="1065"/>
      <c r="C58" s="1065"/>
      <c r="D58" s="1065"/>
      <c r="E58" s="1065"/>
      <c r="F58" s="1065"/>
      <c r="G58" s="1065"/>
      <c r="H58" s="1065"/>
      <c r="I58" s="1065"/>
      <c r="J58" s="1065"/>
    </row>
    <row r="59" spans="1:10" ht="43.95" customHeight="1">
      <c r="A59" s="1065" t="s">
        <v>1364</v>
      </c>
      <c r="B59" s="1065"/>
      <c r="C59" s="1065"/>
      <c r="D59" s="1065"/>
      <c r="E59" s="1065"/>
      <c r="F59" s="1065"/>
      <c r="G59" s="1065"/>
      <c r="H59" s="1065"/>
      <c r="I59" s="1065"/>
      <c r="J59" s="1065"/>
    </row>
    <row r="60" spans="1:10" ht="43.95" customHeight="1">
      <c r="A60" s="1065" t="s">
        <v>1365</v>
      </c>
      <c r="B60" s="1065"/>
      <c r="C60" s="1065"/>
      <c r="D60" s="1065"/>
      <c r="E60" s="1065"/>
      <c r="F60" s="1065"/>
      <c r="G60" s="1065"/>
      <c r="H60" s="1065"/>
      <c r="I60" s="1065"/>
      <c r="J60" s="1065"/>
    </row>
    <row r="61" spans="1:10" ht="43.95" customHeight="1">
      <c r="A61" s="1065" t="s">
        <v>1366</v>
      </c>
      <c r="B61" s="1065"/>
      <c r="C61" s="1065"/>
      <c r="D61" s="1065"/>
      <c r="E61" s="1065"/>
      <c r="F61" s="1065"/>
      <c r="G61" s="1065"/>
      <c r="H61" s="1065"/>
      <c r="I61" s="1065"/>
      <c r="J61" s="1065"/>
    </row>
    <row r="62" spans="1:10" ht="43.95" customHeight="1">
      <c r="A62" s="1065" t="s">
        <v>1367</v>
      </c>
      <c r="B62" s="1065"/>
      <c r="C62" s="1065"/>
      <c r="D62" s="1065"/>
      <c r="E62" s="1065"/>
      <c r="F62" s="1065"/>
      <c r="G62" s="1065"/>
      <c r="H62" s="1065"/>
      <c r="I62" s="1065"/>
      <c r="J62" s="1065"/>
    </row>
    <row r="63" spans="1:10">
      <c r="A63" s="935"/>
      <c r="B63" s="935"/>
      <c r="C63" s="935"/>
      <c r="D63" s="935"/>
      <c r="E63" s="935"/>
      <c r="F63" s="935"/>
      <c r="G63" s="935"/>
      <c r="H63" s="935"/>
      <c r="I63" s="935"/>
      <c r="J63" s="935"/>
    </row>
    <row r="64" spans="1:10" ht="19.95" customHeight="1">
      <c r="A64" s="1066" t="s">
        <v>1368</v>
      </c>
      <c r="B64" s="1066"/>
      <c r="C64" s="1066"/>
      <c r="D64" s="935"/>
      <c r="E64" s="935"/>
      <c r="F64" s="935"/>
      <c r="G64" s="935"/>
      <c r="H64" s="935"/>
      <c r="I64" s="935"/>
      <c r="J64" s="935"/>
    </row>
    <row r="65" spans="1:10">
      <c r="A65" s="968" t="s">
        <v>674</v>
      </c>
      <c r="B65" s="981" t="s">
        <v>146</v>
      </c>
      <c r="C65" s="973" t="s">
        <v>63</v>
      </c>
      <c r="D65" s="935"/>
      <c r="E65" s="935"/>
      <c r="F65" s="935"/>
      <c r="G65" s="935"/>
      <c r="H65" s="935"/>
      <c r="I65" s="935"/>
      <c r="J65" s="935"/>
    </row>
    <row r="66" spans="1:10">
      <c r="A66" s="969" t="s">
        <v>300</v>
      </c>
      <c r="B66" s="977">
        <f>'Consol. Pptos'!J207</f>
        <v>216802.16802168021</v>
      </c>
      <c r="C66" s="975">
        <f t="shared" ref="C66:C76" si="15">IF($B$76=0,0,B66/$B$76)</f>
        <v>0.76379100249861798</v>
      </c>
      <c r="D66" s="935"/>
      <c r="E66" s="935"/>
      <c r="F66" s="935"/>
      <c r="G66" s="935"/>
      <c r="H66" s="935"/>
      <c r="I66" s="935"/>
      <c r="J66" s="935"/>
    </row>
    <row r="67" spans="1:10">
      <c r="A67" s="969" t="s">
        <v>301</v>
      </c>
      <c r="B67" s="977">
        <f>'Consol. Pptos'!J208</f>
        <v>33244.444444444445</v>
      </c>
      <c r="C67" s="975">
        <f t="shared" si="15"/>
        <v>0.1171197123231381</v>
      </c>
      <c r="D67" s="935"/>
      <c r="E67" s="935"/>
      <c r="F67" s="935"/>
      <c r="G67" s="935"/>
      <c r="H67" s="935"/>
      <c r="I67" s="935"/>
      <c r="J67" s="935"/>
    </row>
    <row r="68" spans="1:10">
      <c r="A68" s="969" t="s">
        <v>1369</v>
      </c>
      <c r="B68" s="977">
        <f>'Consol. Pptos'!J214</f>
        <v>5600</v>
      </c>
      <c r="C68" s="975">
        <f t="shared" si="15"/>
        <v>1.9728721594539304E-2</v>
      </c>
      <c r="D68" s="935"/>
      <c r="E68" s="935"/>
      <c r="F68" s="935"/>
      <c r="G68" s="935"/>
      <c r="H68" s="935"/>
      <c r="I68" s="935"/>
      <c r="J68" s="935"/>
    </row>
    <row r="69" spans="1:10">
      <c r="A69" s="969" t="s">
        <v>303</v>
      </c>
      <c r="B69" s="977">
        <f>'Consol. Pptos'!J215</f>
        <v>36214.28571428571</v>
      </c>
      <c r="C69" s="975">
        <f t="shared" si="15"/>
        <v>0.12758242153611513</v>
      </c>
      <c r="D69" s="935"/>
      <c r="E69" s="935"/>
      <c r="F69" s="935"/>
      <c r="G69" s="935"/>
      <c r="H69" s="935"/>
      <c r="I69" s="935"/>
      <c r="J69" s="935"/>
    </row>
    <row r="70" spans="1:10">
      <c r="A70" s="969" t="s">
        <v>1370</v>
      </c>
      <c r="B70" s="977">
        <f>'Consol. Pptos'!J220</f>
        <v>19555.555555555555</v>
      </c>
      <c r="C70" s="975">
        <f t="shared" si="15"/>
        <v>6.8893948425375343E-2</v>
      </c>
      <c r="D70" s="935"/>
      <c r="E70" s="935"/>
      <c r="F70" s="935"/>
      <c r="G70" s="935"/>
      <c r="H70" s="935"/>
      <c r="I70" s="935"/>
      <c r="J70" s="935"/>
    </row>
    <row r="71" spans="1:10">
      <c r="A71" s="1010" t="s">
        <v>305</v>
      </c>
      <c r="B71" s="1005">
        <f>'Consol. Pptos'!J224</f>
        <v>4167</v>
      </c>
      <c r="C71" s="1014">
        <f t="shared" si="15"/>
        <v>1.4680282657936658E-2</v>
      </c>
      <c r="D71" s="627"/>
      <c r="E71" s="627"/>
      <c r="F71" s="627"/>
      <c r="G71" s="627"/>
      <c r="H71" s="627"/>
      <c r="I71" s="627"/>
      <c r="J71" s="627"/>
    </row>
    <row r="72" spans="1:10">
      <c r="A72" s="1010" t="s">
        <v>306</v>
      </c>
      <c r="B72" s="1005">
        <f>'Consol. Pptos'!J225</f>
        <v>0</v>
      </c>
      <c r="C72" s="1014">
        <f t="shared" si="15"/>
        <v>0</v>
      </c>
      <c r="D72" s="627"/>
      <c r="E72" s="627"/>
      <c r="F72" s="627"/>
      <c r="G72" s="627"/>
      <c r="H72" s="627"/>
      <c r="I72" s="627"/>
      <c r="J72" s="627"/>
    </row>
    <row r="73" spans="1:10">
      <c r="A73" s="1011" t="s">
        <v>1371</v>
      </c>
      <c r="B73" s="1006">
        <f>SUM(B66:B72)</f>
        <v>315583.45373596594</v>
      </c>
      <c r="C73" s="1015">
        <f t="shared" si="15"/>
        <v>1.1117960890357226</v>
      </c>
      <c r="D73" s="627"/>
      <c r="E73" s="627"/>
      <c r="F73" s="627"/>
      <c r="G73" s="627"/>
      <c r="H73" s="627"/>
      <c r="I73" s="627"/>
      <c r="J73" s="627"/>
    </row>
    <row r="74" spans="1:10">
      <c r="A74" s="1010" t="s">
        <v>307</v>
      </c>
      <c r="B74" s="1007">
        <f>'Consol. Pptos'!J226</f>
        <v>-28000</v>
      </c>
      <c r="C74" s="1016">
        <f t="shared" si="15"/>
        <v>-9.8643607972696529E-2</v>
      </c>
      <c r="D74" s="627"/>
      <c r="E74" s="627"/>
      <c r="F74" s="627"/>
      <c r="G74" s="627"/>
      <c r="H74" s="627"/>
      <c r="I74" s="627"/>
      <c r="J74" s="627"/>
    </row>
    <row r="75" spans="1:10">
      <c r="A75" s="1010" t="s">
        <v>308</v>
      </c>
      <c r="B75" s="1007">
        <f>'Consol. Pptos'!J227</f>
        <v>-3733.3333333333335</v>
      </c>
      <c r="C75" s="1016">
        <f t="shared" si="15"/>
        <v>-1.3152481063026203E-2</v>
      </c>
      <c r="D75" s="627"/>
      <c r="E75" s="627"/>
      <c r="F75" s="627"/>
      <c r="G75" s="627"/>
      <c r="H75" s="627"/>
      <c r="I75" s="627"/>
      <c r="J75" s="627"/>
    </row>
    <row r="76" spans="1:10">
      <c r="A76" s="1012" t="s">
        <v>1372</v>
      </c>
      <c r="B76" s="1008">
        <f>B73+B74+B75</f>
        <v>283850.12040263263</v>
      </c>
      <c r="C76" s="1017">
        <f t="shared" si="15"/>
        <v>1</v>
      </c>
      <c r="D76" s="627"/>
      <c r="E76" s="627"/>
      <c r="F76" s="627"/>
      <c r="G76" s="627"/>
      <c r="H76" s="627"/>
      <c r="I76" s="627"/>
      <c r="J76" s="627"/>
    </row>
    <row r="77" spans="1:10">
      <c r="A77" s="1013" t="s">
        <v>1373</v>
      </c>
      <c r="B77" s="1009">
        <f>ROUND(B76-'Consol. Pptos'!J228,6)</f>
        <v>0</v>
      </c>
      <c r="C77" s="1018"/>
      <c r="D77" s="627"/>
      <c r="E77" s="627"/>
      <c r="F77" s="627"/>
      <c r="G77" s="627"/>
      <c r="H77" s="627"/>
      <c r="I77" s="627"/>
      <c r="J77" s="627"/>
    </row>
    <row r="78" spans="1:10" ht="43.95" customHeight="1">
      <c r="A78" s="1079" t="s">
        <v>1374</v>
      </c>
      <c r="B78" s="1079"/>
      <c r="C78" s="1079"/>
      <c r="D78" s="1079"/>
      <c r="E78" s="1079"/>
      <c r="F78" s="1079"/>
      <c r="G78" s="1079"/>
      <c r="H78" s="1079"/>
      <c r="I78" s="1079"/>
      <c r="J78" s="1079"/>
    </row>
    <row r="79" spans="1:10" ht="43.95" customHeight="1">
      <c r="A79" s="1080" t="s">
        <v>1375</v>
      </c>
      <c r="B79" s="1079"/>
      <c r="C79" s="1079"/>
      <c r="D79" s="1079"/>
      <c r="E79" s="1079"/>
      <c r="F79" s="1079"/>
      <c r="G79" s="1079"/>
      <c r="H79" s="1079"/>
      <c r="I79" s="1079"/>
      <c r="J79" s="1079"/>
    </row>
  </sheetData>
  <mergeCells count="18">
    <mergeCell ref="A1:J1"/>
    <mergeCell ref="A2:J2"/>
    <mergeCell ref="A4:J4"/>
    <mergeCell ref="A22:F22"/>
    <mergeCell ref="A35:F35"/>
    <mergeCell ref="A79:J79"/>
    <mergeCell ref="A55:J55"/>
    <mergeCell ref="A56:J56"/>
    <mergeCell ref="A57:J57"/>
    <mergeCell ref="A58:J58"/>
    <mergeCell ref="A59:J59"/>
    <mergeCell ref="A60:J60"/>
    <mergeCell ref="A61:J61"/>
    <mergeCell ref="A62:J62"/>
    <mergeCell ref="A44:J44"/>
    <mergeCell ref="A64:C64"/>
    <mergeCell ref="A78:J78"/>
    <mergeCell ref="A46:I46"/>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A188-70BD-4145-BCBF-CF4389B30303}">
  <sheetPr>
    <tabColor rgb="FF548235"/>
  </sheetPr>
  <dimension ref="B2:K120"/>
  <sheetViews>
    <sheetView showGridLines="0" zoomScale="65" workbookViewId="0">
      <pane xSplit="2" topLeftCell="C1" activePane="topRight" state="frozen"/>
      <selection activeCell="A8" sqref="A8"/>
      <selection pane="topRight" activeCell="A33" sqref="A33"/>
    </sheetView>
  </sheetViews>
  <sheetFormatPr defaultRowHeight="14.4"/>
  <cols>
    <col min="2" max="2" width="63" customWidth="1"/>
    <col min="3" max="11" width="17" customWidth="1"/>
  </cols>
  <sheetData>
    <row r="2" spans="2:11" ht="17.399999999999999">
      <c r="B2" s="1091" t="s">
        <v>1013</v>
      </c>
      <c r="C2" s="1091"/>
      <c r="D2" s="1091"/>
      <c r="E2" s="1091"/>
      <c r="F2" s="1091"/>
      <c r="G2" s="1091"/>
      <c r="H2" s="1091"/>
      <c r="I2" s="1091"/>
      <c r="J2" s="1091"/>
      <c r="K2" s="383"/>
    </row>
    <row r="3" spans="2:11">
      <c r="B3" s="574"/>
      <c r="C3" s="574"/>
      <c r="D3" s="574"/>
      <c r="E3" s="574"/>
      <c r="F3" s="574"/>
      <c r="G3" s="574"/>
      <c r="H3" s="574"/>
      <c r="I3" s="574"/>
      <c r="J3" s="574"/>
      <c r="K3" s="575"/>
    </row>
    <row r="4" spans="2:11">
      <c r="B4" s="575"/>
      <c r="C4" s="575"/>
      <c r="D4" s="575"/>
      <c r="E4" s="575"/>
      <c r="F4" s="575"/>
      <c r="G4" s="575"/>
      <c r="H4" s="575"/>
      <c r="I4" s="575"/>
      <c r="J4" s="575"/>
      <c r="K4" s="575"/>
    </row>
    <row r="5" spans="2:11">
      <c r="B5" s="575"/>
      <c r="C5" s="575"/>
      <c r="D5" s="575"/>
      <c r="E5" s="575"/>
      <c r="F5" s="575"/>
      <c r="G5" s="575"/>
      <c r="H5" s="575"/>
      <c r="I5" s="575"/>
      <c r="J5" s="575"/>
      <c r="K5" s="575"/>
    </row>
    <row r="6" spans="2:11" ht="15" thickBot="1">
      <c r="B6" s="389" t="s">
        <v>1176</v>
      </c>
      <c r="C6" s="389"/>
      <c r="D6" s="389"/>
      <c r="E6" s="389"/>
      <c r="F6" s="389"/>
      <c r="G6" s="389"/>
      <c r="H6" s="389"/>
      <c r="I6" s="389"/>
      <c r="J6" s="389"/>
      <c r="K6" s="389"/>
    </row>
    <row r="7" spans="2:11" ht="30" customHeight="1" thickTop="1">
      <c r="B7" s="387" t="s">
        <v>675</v>
      </c>
      <c r="C7" s="385" t="s">
        <v>34</v>
      </c>
      <c r="D7" s="385" t="s">
        <v>735</v>
      </c>
      <c r="E7" s="385" t="s">
        <v>1018</v>
      </c>
      <c r="F7" s="386"/>
      <c r="G7" s="386"/>
      <c r="H7" s="386"/>
      <c r="I7" s="386"/>
      <c r="J7" s="386"/>
      <c r="K7" s="386"/>
    </row>
    <row r="8" spans="2:11">
      <c r="B8" s="575" t="s">
        <v>1019</v>
      </c>
      <c r="C8" s="576">
        <f>(Inputs!$N$132+SUM('Consolidado '!C6:E7)*'Consolidado '!F4+SUM('Consolidado '!H6:J7)*'Consolidado '!K4+SUM('Consolidado '!M6:O7)*'Consolidado '!P4+SUM('Consolidado '!R6:T7)*'Consolidado '!U4)/1000000</f>
        <v>5756.1779761781854</v>
      </c>
      <c r="D8" s="575" t="s">
        <v>672</v>
      </c>
      <c r="E8" s="575" t="s">
        <v>1177</v>
      </c>
      <c r="F8" s="575"/>
      <c r="G8" s="575"/>
      <c r="H8" s="575"/>
      <c r="I8" s="575"/>
      <c r="J8" s="575"/>
      <c r="K8" s="575"/>
    </row>
    <row r="9" spans="2:11">
      <c r="B9" s="575" t="s">
        <v>1020</v>
      </c>
      <c r="C9" s="576">
        <f>(SUM('Informe Accionista'!C65:F65)*'Informe Accionista'!$M$3+SUM('Informe Accionista'!G58:I58)*'Informe Accionista'!$M$2)/1000000</f>
        <v>8516.2305314285713</v>
      </c>
      <c r="D9" s="575" t="s">
        <v>672</v>
      </c>
      <c r="E9" s="575" t="s">
        <v>1151</v>
      </c>
      <c r="F9" s="575"/>
      <c r="G9" s="575"/>
      <c r="H9" s="575"/>
      <c r="I9" s="575"/>
      <c r="J9" s="575"/>
      <c r="K9" s="575"/>
    </row>
    <row r="10" spans="2:11" ht="15" thickBot="1">
      <c r="B10" s="575" t="s">
        <v>1023</v>
      </c>
      <c r="C10" s="577">
        <f>MAX(0,('Modelo Base'!$E$34-Inputs!$J$93)/1000000)</f>
        <v>57.192073999999998</v>
      </c>
      <c r="D10" s="575" t="s">
        <v>672</v>
      </c>
      <c r="E10" s="575" t="s">
        <v>1152</v>
      </c>
      <c r="F10" s="575"/>
      <c r="G10" s="575"/>
      <c r="H10" s="575"/>
      <c r="I10" s="575"/>
      <c r="J10" s="575"/>
      <c r="K10" s="575"/>
    </row>
    <row r="11" spans="2:11">
      <c r="B11" s="575" t="s">
        <v>1024</v>
      </c>
      <c r="C11" s="578">
        <f>MAX(0,-SUM(C15:C18))</f>
        <v>381.94731290666994</v>
      </c>
      <c r="D11" s="575" t="s">
        <v>672</v>
      </c>
      <c r="E11" s="575" t="s">
        <v>1178</v>
      </c>
      <c r="F11" s="575"/>
      <c r="G11" s="575"/>
      <c r="H11" s="575"/>
      <c r="I11" s="575"/>
      <c r="J11" s="575"/>
      <c r="K11" s="575"/>
    </row>
    <row r="12" spans="2:11">
      <c r="B12" s="579" t="s">
        <v>1025</v>
      </c>
      <c r="C12" s="578">
        <f>C10+C11</f>
        <v>439.13938690666993</v>
      </c>
      <c r="D12" s="579" t="s">
        <v>672</v>
      </c>
      <c r="E12" s="579" t="s">
        <v>1179</v>
      </c>
      <c r="F12" s="575"/>
      <c r="G12" s="575"/>
      <c r="H12" s="575"/>
      <c r="I12" s="575"/>
      <c r="J12" s="575"/>
      <c r="K12" s="575"/>
    </row>
    <row r="13" spans="2:11">
      <c r="B13" s="575"/>
      <c r="C13" s="575"/>
      <c r="D13" s="575"/>
      <c r="E13" s="575"/>
      <c r="F13" s="575"/>
      <c r="G13" s="575"/>
      <c r="H13" s="575"/>
      <c r="I13" s="575"/>
      <c r="J13" s="575"/>
      <c r="K13" s="575"/>
    </row>
    <row r="14" spans="2:11">
      <c r="B14" s="580" t="s">
        <v>1026</v>
      </c>
      <c r="C14" s="581">
        <f>C8/C9</f>
        <v>0.67590678234171808</v>
      </c>
      <c r="D14" s="575"/>
      <c r="E14" s="575"/>
      <c r="F14" s="575"/>
      <c r="G14" s="575"/>
      <c r="H14" s="575"/>
      <c r="I14" s="575"/>
      <c r="J14" s="575"/>
      <c r="K14" s="575"/>
    </row>
    <row r="15" spans="2:11">
      <c r="B15" s="575" t="s">
        <v>1225</v>
      </c>
      <c r="C15" s="582">
        <f>SUM(_xlfn.XLOOKUP("Utilidad",'Consolidado '!$B$6:$B$17,'Consolidado '!$C$6:$E$17))*'Consolidado '!$F$4/1000000</f>
        <v>-154.5661937418156</v>
      </c>
      <c r="D15" s="575" t="s">
        <v>672</v>
      </c>
      <c r="E15" s="575" t="s">
        <v>1226</v>
      </c>
      <c r="F15" s="575"/>
      <c r="G15" s="575"/>
      <c r="H15" s="575"/>
      <c r="I15" s="575"/>
      <c r="J15" s="575"/>
      <c r="K15" s="575"/>
    </row>
    <row r="16" spans="2:11">
      <c r="B16" s="575" t="s">
        <v>1027</v>
      </c>
      <c r="C16" s="582">
        <f>SUM(_xlfn.XLOOKUP("Utilidad",'Consolidado '!$B$6:$B$17,'Consolidado '!$H$6:$J$17))*'Consolidado '!$K$4/1000000</f>
        <v>-105.7933368666026</v>
      </c>
      <c r="D16" s="575" t="s">
        <v>672</v>
      </c>
      <c r="E16" s="575" t="s">
        <v>1028</v>
      </c>
      <c r="F16" s="575"/>
      <c r="G16" s="575"/>
      <c r="H16" s="575"/>
      <c r="I16" s="575"/>
      <c r="J16" s="575"/>
      <c r="K16" s="575"/>
    </row>
    <row r="17" spans="2:11">
      <c r="B17" s="575" t="s">
        <v>1029</v>
      </c>
      <c r="C17" s="582">
        <f>SUM(_xlfn.XLOOKUP("Utilidad",'Consolidado '!$B$6:$B$17,'Consolidado '!$M$6:$O$17))*'Consolidado '!$P$4/1000000</f>
        <v>-81.203975852457617</v>
      </c>
      <c r="D17" s="575" t="s">
        <v>672</v>
      </c>
      <c r="E17" s="575" t="s">
        <v>1030</v>
      </c>
      <c r="F17" s="575"/>
      <c r="G17" s="575"/>
      <c r="H17" s="575"/>
      <c r="I17" s="575"/>
      <c r="J17" s="575"/>
      <c r="K17" s="575"/>
    </row>
    <row r="18" spans="2:11">
      <c r="B18" s="575" t="s">
        <v>1174</v>
      </c>
      <c r="C18" s="582">
        <f>SUM('Consolidado '!R25:T25)*'Consolidado '!U4/1000000</f>
        <v>-40.383806445794114</v>
      </c>
      <c r="D18" s="575" t="s">
        <v>672</v>
      </c>
      <c r="E18" s="575" t="s">
        <v>1175</v>
      </c>
      <c r="F18" s="575"/>
      <c r="G18" s="575"/>
      <c r="H18" s="575"/>
      <c r="I18" s="575"/>
      <c r="J18" s="575"/>
      <c r="K18" s="575"/>
    </row>
    <row r="19" spans="2:11">
      <c r="B19" s="583" t="s">
        <v>1181</v>
      </c>
      <c r="C19" s="583"/>
      <c r="D19" s="583"/>
      <c r="E19" s="583"/>
      <c r="F19" s="583"/>
      <c r="G19" s="583"/>
      <c r="H19" s="583"/>
      <c r="I19" s="583"/>
      <c r="J19" s="583"/>
      <c r="K19" s="583"/>
    </row>
    <row r="20" spans="2:11">
      <c r="B20" s="388" t="s">
        <v>1162</v>
      </c>
      <c r="C20" s="388"/>
      <c r="D20" s="388"/>
      <c r="E20" s="388"/>
      <c r="F20" s="388"/>
      <c r="G20" s="388"/>
      <c r="H20" s="388"/>
      <c r="I20" s="388"/>
      <c r="J20" s="388"/>
      <c r="K20" s="389"/>
    </row>
    <row r="21" spans="2:11">
      <c r="B21" s="564" t="s">
        <v>370</v>
      </c>
      <c r="C21" s="564" t="s">
        <v>992</v>
      </c>
      <c r="D21" s="564" t="s">
        <v>993</v>
      </c>
      <c r="E21" s="564" t="s">
        <v>994</v>
      </c>
      <c r="F21" s="564" t="s">
        <v>995</v>
      </c>
      <c r="G21" s="564" t="s">
        <v>806</v>
      </c>
      <c r="H21" s="564" t="s">
        <v>807</v>
      </c>
      <c r="I21" s="564" t="s">
        <v>996</v>
      </c>
      <c r="J21" s="1092" t="s">
        <v>808</v>
      </c>
      <c r="K21" s="1093"/>
    </row>
    <row r="22" spans="2:11">
      <c r="B22" s="584" t="s">
        <v>209</v>
      </c>
      <c r="C22" s="585">
        <f>'Modelo Base'!F171/1000000</f>
        <v>218.72726599999999</v>
      </c>
      <c r="D22" s="585">
        <f>'Modelo Base'!F174/1000000</f>
        <v>-7.3599540000000001</v>
      </c>
      <c r="E22" s="586"/>
      <c r="F22" s="587">
        <f t="shared" ref="F22:F27" si="0">SUM(C22:E22)</f>
        <v>211.367312</v>
      </c>
      <c r="G22" s="587">
        <f t="shared" ref="G22:G27" si="1">MAX(0,-F22)</f>
        <v>0</v>
      </c>
      <c r="H22" s="585">
        <f>MAX(0,-(('Informe Accionista'!C129/1000000)+D22))</f>
        <v>0</v>
      </c>
      <c r="I22" s="585">
        <f>'Modelo Base'!F182/1000000</f>
        <v>194.135954</v>
      </c>
      <c r="J22" s="1089" t="s">
        <v>914</v>
      </c>
      <c r="K22" s="1090"/>
    </row>
    <row r="23" spans="2:11">
      <c r="B23" s="590" t="s">
        <v>324</v>
      </c>
      <c r="C23" s="585">
        <f>'Modelo Base'!G171/1000000</f>
        <v>-304.71859899999998</v>
      </c>
      <c r="D23" s="585">
        <f>'Modelo Base'!G174/1000000</f>
        <v>-6.2690000000000001</v>
      </c>
      <c r="E23" s="586"/>
      <c r="F23" s="587">
        <f t="shared" si="0"/>
        <v>-310.98759899999999</v>
      </c>
      <c r="G23" s="587">
        <f t="shared" si="1"/>
        <v>310.98759899999999</v>
      </c>
      <c r="H23" s="585">
        <f>MAX(0,-(('Informe Accionista'!D129/1000000)+D23))</f>
        <v>0</v>
      </c>
      <c r="I23" s="585">
        <f>'Modelo Base'!G182/1000000</f>
        <v>-305.29308600000002</v>
      </c>
      <c r="J23" s="1089" t="s">
        <v>817</v>
      </c>
      <c r="K23" s="1090"/>
    </row>
    <row r="24" spans="2:11">
      <c r="B24" s="590" t="s">
        <v>325</v>
      </c>
      <c r="C24" s="585">
        <f>'Modelo Base'!H171/1000000</f>
        <v>125.650513</v>
      </c>
      <c r="D24" s="585">
        <f>'Modelo Base'!H174/1000000</f>
        <v>-0.28904800000000003</v>
      </c>
      <c r="E24" s="586"/>
      <c r="F24" s="587">
        <f t="shared" si="0"/>
        <v>125.36146500000001</v>
      </c>
      <c r="G24" s="587">
        <f t="shared" si="1"/>
        <v>0</v>
      </c>
      <c r="H24" s="585">
        <f>MAX(0,-(('Informe Accionista'!E129/1000000)+D24))</f>
        <v>22.531841</v>
      </c>
      <c r="I24" s="585">
        <f>'Modelo Base'!H182/1000000</f>
        <v>149.18717100000001</v>
      </c>
      <c r="J24" s="1089" t="s">
        <v>818</v>
      </c>
      <c r="K24" s="1090"/>
    </row>
    <row r="25" spans="2:11">
      <c r="B25" s="584" t="s">
        <v>326</v>
      </c>
      <c r="C25" s="585">
        <f>'Modelo Base'!I171/1000000</f>
        <v>73.339722366666663</v>
      </c>
      <c r="D25" s="585">
        <f>'Modelo Base'!I174/1000000</f>
        <v>1.2286356333333333</v>
      </c>
      <c r="E25" s="585">
        <f>(('Consolidado '!C6+'Consolidado '!C11)+('Consolidado '!D6-'Consolidado '!D15)+('Consolidado '!E6+'Consolidado '!E7+'Consolidado '!E11+'Consolidado '!E15))*'Consolidado '!F4/1000000</f>
        <v>-154.5661937418156</v>
      </c>
      <c r="F25" s="587">
        <f t="shared" si="0"/>
        <v>-79.997835741815592</v>
      </c>
      <c r="G25" s="587">
        <f t="shared" si="1"/>
        <v>79.997835741815592</v>
      </c>
      <c r="H25" s="585">
        <f>MAX(0,-(('Informe Accionista'!F129/1000000)+D25))</f>
        <v>0</v>
      </c>
      <c r="I25" s="585">
        <f>'Modelo Base'!I182/1000000</f>
        <v>88.268448000000006</v>
      </c>
      <c r="J25" s="1089" t="s">
        <v>1021</v>
      </c>
      <c r="K25" s="1090"/>
    </row>
    <row r="26" spans="2:11">
      <c r="B26" s="590" t="s">
        <v>327</v>
      </c>
      <c r="C26" s="585">
        <f>(Inputs!H155+(Inputs!H109-Inputs!G109)+(Inputs!H113-Inputs!G113)+(Inputs!H112-Inputs!G112)-(Inputs!H96-Inputs!G96)-(Inputs!H94-Inputs!G94)-(Inputs!H97-Inputs!G97))/1000000</f>
        <v>-86.361829999999998</v>
      </c>
      <c r="D26" s="585">
        <f>-(Inputs!H101-Inputs!G101)/1000000</f>
        <v>-7.7929810000000002</v>
      </c>
      <c r="E26" s="585">
        <f>(SUM('Consolidado '!H6:J7)-SUM('Consolidado '!H9:J9,'Consolidado '!H11:J13,'Consolidado '!H15:J15))*'Consolidado '!K4/1000000</f>
        <v>-105.7933368666026</v>
      </c>
      <c r="F26" s="587">
        <f t="shared" si="0"/>
        <v>-199.9481478666026</v>
      </c>
      <c r="G26" s="587">
        <f t="shared" si="1"/>
        <v>199.9481478666026</v>
      </c>
      <c r="H26" s="585">
        <f>MAX(0,-('Informe Accionista'!G129/1000000+D26))</f>
        <v>0</v>
      </c>
      <c r="I26" s="585">
        <f>(Inputs!H93-Inputs!G93)/1000000</f>
        <v>-112.934816</v>
      </c>
      <c r="J26" s="588" t="s">
        <v>1022</v>
      </c>
      <c r="K26" s="589"/>
    </row>
    <row r="27" spans="2:11">
      <c r="B27" s="590" t="s">
        <v>328</v>
      </c>
      <c r="C27" s="585">
        <f>(Inputs!I155+(Inputs!I109-Inputs!H109)+(Inputs!I113-Inputs!H113)+(Inputs!I112-Inputs!H112)-(Inputs!I96-Inputs!H96)-(Inputs!I94-Inputs!H94)-(Inputs!I97-Inputs!H97))/1000000</f>
        <v>-112.212461</v>
      </c>
      <c r="D27" s="585">
        <f>-(Inputs!I101-Inputs!H101)/1000000</f>
        <v>0</v>
      </c>
      <c r="E27" s="587">
        <f>J48</f>
        <v>-81.203975852457617</v>
      </c>
      <c r="F27" s="587">
        <f t="shared" si="0"/>
        <v>-193.41643685245762</v>
      </c>
      <c r="G27" s="587">
        <f t="shared" si="1"/>
        <v>193.41643685245762</v>
      </c>
      <c r="H27" s="585">
        <f>MAX(0,-(('Informe Accionista'!H129/1000000)+D27))</f>
        <v>0</v>
      </c>
      <c r="I27" s="585">
        <f>(Inputs!I93-Inputs!H93)/1000000+E27</f>
        <v>-210.58495885245759</v>
      </c>
      <c r="J27" s="588" t="s">
        <v>1010</v>
      </c>
      <c r="K27" s="589"/>
    </row>
    <row r="28" spans="2:11">
      <c r="B28" s="590" t="s">
        <v>329</v>
      </c>
      <c r="C28" s="585">
        <f>(Inputs!J155+(Inputs!J109-Inputs!I109)+(Inputs!J113-Inputs!I113)+(Inputs!J112-Inputs!I112)-(Inputs!J96-Inputs!I96)-(Inputs!J94-Inputs!I94)-(Inputs!J97-Inputs!I97))/1000000</f>
        <v>37.553514999999997</v>
      </c>
      <c r="D28" s="585">
        <f>-(Inputs!J101-Inputs!I101)/1000000</f>
        <v>0</v>
      </c>
      <c r="E28" s="591">
        <f>C18</f>
        <v>-40.383806445794114</v>
      </c>
      <c r="F28" s="587">
        <f>SUM(C28:E28)</f>
        <v>-2.8302914457941171</v>
      </c>
      <c r="G28" s="587">
        <f>MAX(0,-F28)</f>
        <v>2.8302914457941171</v>
      </c>
      <c r="H28" s="586">
        <f>MAX(0,-(('Informe Accionista'!I129/1000000)+D28))</f>
        <v>0</v>
      </c>
      <c r="I28" s="585">
        <f>(Inputs!J93-Inputs!I93)/1000000+E28</f>
        <v>18.441757554205886</v>
      </c>
      <c r="J28" s="588" t="s">
        <v>1122</v>
      </c>
      <c r="K28" s="589"/>
    </row>
    <row r="29" spans="2:11">
      <c r="B29" s="565" t="s">
        <v>1123</v>
      </c>
      <c r="C29" s="566">
        <f t="shared" ref="C29:I29" si="2">SUM(C22:C28)</f>
        <v>-48.021873633333335</v>
      </c>
      <c r="D29" s="566">
        <f t="shared" si="2"/>
        <v>-20.482347366666666</v>
      </c>
      <c r="E29" s="566">
        <f t="shared" si="2"/>
        <v>-381.94731290666994</v>
      </c>
      <c r="F29" s="566">
        <f t="shared" si="2"/>
        <v>-450.45153390666991</v>
      </c>
      <c r="G29" s="566">
        <f t="shared" si="2"/>
        <v>787.18031090667</v>
      </c>
      <c r="H29" s="566">
        <f t="shared" si="2"/>
        <v>22.531841</v>
      </c>
      <c r="I29" s="566">
        <f t="shared" si="2"/>
        <v>-178.7795302982517</v>
      </c>
      <c r="J29" s="1085" t="s">
        <v>884</v>
      </c>
      <c r="K29" s="1086"/>
    </row>
    <row r="30" spans="2:11">
      <c r="B30" s="565" t="s">
        <v>1124</v>
      </c>
      <c r="C30" s="566">
        <f t="shared" ref="C30:I30" si="3">AVERAGE(C26:C28)</f>
        <v>-53.673592000000006</v>
      </c>
      <c r="D30" s="566">
        <f t="shared" si="3"/>
        <v>-2.5976603333333332</v>
      </c>
      <c r="E30" s="566">
        <f t="shared" si="3"/>
        <v>-75.793706388284775</v>
      </c>
      <c r="F30" s="566">
        <f t="shared" si="3"/>
        <v>-132.0649587216181</v>
      </c>
      <c r="G30" s="566">
        <f t="shared" si="3"/>
        <v>132.0649587216181</v>
      </c>
      <c r="H30" s="566">
        <f t="shared" si="3"/>
        <v>0</v>
      </c>
      <c r="I30" s="566">
        <f t="shared" si="3"/>
        <v>-101.69267243275057</v>
      </c>
      <c r="J30" s="1085" t="s">
        <v>885</v>
      </c>
      <c r="K30" s="1086"/>
    </row>
    <row r="31" spans="2:11">
      <c r="B31" s="574"/>
      <c r="C31" s="574"/>
      <c r="D31" s="574"/>
      <c r="E31" s="574"/>
      <c r="F31" s="574"/>
      <c r="G31" s="574"/>
      <c r="H31" s="574"/>
      <c r="I31" s="574"/>
      <c r="J31" s="574"/>
      <c r="K31" s="575"/>
    </row>
    <row r="32" spans="2:11">
      <c r="B32" s="389" t="s">
        <v>1147</v>
      </c>
      <c r="C32" s="389"/>
      <c r="D32" s="389"/>
      <c r="E32" s="389"/>
      <c r="F32" s="389"/>
      <c r="G32" s="389"/>
      <c r="H32" s="389"/>
      <c r="I32" s="389"/>
      <c r="J32" s="389"/>
      <c r="K32" s="389"/>
    </row>
    <row r="33" spans="2:10" ht="30" customHeight="1">
      <c r="B33" s="391" t="s">
        <v>370</v>
      </c>
      <c r="C33" s="390" t="s">
        <v>810</v>
      </c>
      <c r="D33" s="390" t="s">
        <v>811</v>
      </c>
      <c r="E33" s="390" t="s">
        <v>812</v>
      </c>
      <c r="F33" s="390" t="s">
        <v>819</v>
      </c>
      <c r="G33" s="390" t="s">
        <v>813</v>
      </c>
      <c r="H33" s="390" t="s">
        <v>814</v>
      </c>
      <c r="I33" s="390" t="s">
        <v>815</v>
      </c>
      <c r="J33" s="386"/>
    </row>
    <row r="34" spans="2:10">
      <c r="B34" s="593" t="s">
        <v>209</v>
      </c>
      <c r="C34" s="594">
        <v>0.186</v>
      </c>
      <c r="D34" s="595">
        <f>'Informe Accionista'!C122/Inputs!$C$27/1000000</f>
        <v>0.1659207861788618</v>
      </c>
      <c r="E34" s="596">
        <f t="shared" ref="E34:E41" si="4">D34-C34</f>
        <v>-2.0079213821138198E-2</v>
      </c>
      <c r="F34" s="597">
        <f t="shared" ref="F34:F41" si="5">IF(C34=0,"N/A",D34/C34)</f>
        <v>0.89204723752076243</v>
      </c>
      <c r="G34" s="598">
        <f>C34*Inputs!$C$27</f>
        <v>686.34</v>
      </c>
      <c r="H34" s="598">
        <f>'Informe Accionista'!C122/1000000</f>
        <v>612.24770100000001</v>
      </c>
      <c r="I34" s="599">
        <f t="shared" ref="I34:I41" si="6">H34-G34</f>
        <v>-74.092299000000025</v>
      </c>
      <c r="J34" s="575"/>
    </row>
    <row r="35" spans="2:10">
      <c r="B35" s="593" t="s">
        <v>324</v>
      </c>
      <c r="C35" s="594">
        <v>0.35399999999999998</v>
      </c>
      <c r="D35" s="595">
        <f>'Informe Accionista'!D122/Inputs!$C$27/1000000</f>
        <v>0.20168513197831978</v>
      </c>
      <c r="E35" s="596">
        <f t="shared" si="4"/>
        <v>-0.15231486802168021</v>
      </c>
      <c r="F35" s="597">
        <f t="shared" si="5"/>
        <v>0.5697320112381915</v>
      </c>
      <c r="G35" s="598">
        <f>C35*Inputs!$C$27</f>
        <v>1306.26</v>
      </c>
      <c r="H35" s="598">
        <f>'Informe Accionista'!D122/1000000</f>
        <v>744.21813699999996</v>
      </c>
      <c r="I35" s="599">
        <f t="shared" si="6"/>
        <v>-562.04186300000003</v>
      </c>
      <c r="J35" s="575"/>
    </row>
    <row r="36" spans="2:10">
      <c r="B36" s="593" t="s">
        <v>325</v>
      </c>
      <c r="C36" s="594">
        <v>0.39600000000000002</v>
      </c>
      <c r="D36" s="595">
        <f>'Informe Accionista'!E122/Inputs!$C$27/1000000</f>
        <v>0.2132902945799458</v>
      </c>
      <c r="E36" s="596">
        <f t="shared" si="4"/>
        <v>-0.18270970542005421</v>
      </c>
      <c r="F36" s="597">
        <f t="shared" si="5"/>
        <v>0.53861185499986308</v>
      </c>
      <c r="G36" s="598">
        <f>C36*Inputs!$C$27</f>
        <v>1461.24</v>
      </c>
      <c r="H36" s="598">
        <f>'Informe Accionista'!E122/1000000</f>
        <v>787.04118700000004</v>
      </c>
      <c r="I36" s="599">
        <f t="shared" si="6"/>
        <v>-674.19881299999997</v>
      </c>
      <c r="J36" s="575"/>
    </row>
    <row r="37" spans="2:10" ht="15" thickBot="1">
      <c r="B37" s="600" t="s">
        <v>326</v>
      </c>
      <c r="C37" s="601">
        <v>0.35899999999999999</v>
      </c>
      <c r="D37" s="602">
        <f>'Informe Accionista'!F122/Inputs!$C$27/1000000</f>
        <v>0.20348717127371274</v>
      </c>
      <c r="E37" s="603">
        <f t="shared" si="4"/>
        <v>-0.15551282872628724</v>
      </c>
      <c r="F37" s="604">
        <f t="shared" si="5"/>
        <v>0.56681663307440877</v>
      </c>
      <c r="G37" s="605">
        <f>C37*Inputs!$C$27</f>
        <v>1324.71</v>
      </c>
      <c r="H37" s="605">
        <f>'Informe Accionista'!F122/1000000</f>
        <v>750.867662</v>
      </c>
      <c r="I37" s="606">
        <f t="shared" si="6"/>
        <v>-573.84233800000004</v>
      </c>
      <c r="J37" s="575"/>
    </row>
    <row r="38" spans="2:10">
      <c r="B38" s="607" t="s">
        <v>327</v>
      </c>
      <c r="C38" s="608">
        <v>0.40300000000000002</v>
      </c>
      <c r="D38" s="609">
        <f>'Informe Accionista'!G122/Inputs!$C$27/1000000</f>
        <v>0.22398773604336045</v>
      </c>
      <c r="E38" s="610">
        <f t="shared" si="4"/>
        <v>-0.17901226395663958</v>
      </c>
      <c r="F38" s="611">
        <f t="shared" si="5"/>
        <v>0.55580083385449242</v>
      </c>
      <c r="G38" s="582">
        <f>C38*Inputs!$C$27</f>
        <v>1487.0700000000002</v>
      </c>
      <c r="H38" s="582">
        <f>'Informe Accionista'!G122/1000000</f>
        <v>826.51474599999995</v>
      </c>
      <c r="I38" s="612">
        <f t="shared" si="6"/>
        <v>-660.55525400000022</v>
      </c>
      <c r="J38" s="575"/>
    </row>
    <row r="39" spans="2:10">
      <c r="B39" s="607" t="s">
        <v>328</v>
      </c>
      <c r="C39" s="609">
        <f>'Informe Accionista'!H65/1000000</f>
        <v>0.37555899999999998</v>
      </c>
      <c r="D39" s="609">
        <f>'Informe Accionista'!H122/Inputs!$C$27/1000000</f>
        <v>0.20364588455284552</v>
      </c>
      <c r="E39" s="610">
        <f t="shared" si="4"/>
        <v>-0.17191311544715446</v>
      </c>
      <c r="F39" s="611">
        <f t="shared" si="5"/>
        <v>0.54224738204342204</v>
      </c>
      <c r="G39" s="582">
        <f>C39*Inputs!$C$27</f>
        <v>1385.8127099999999</v>
      </c>
      <c r="H39" s="582">
        <f>'Informe Accionista'!H122/1000000</f>
        <v>751.45331399999998</v>
      </c>
      <c r="I39" s="612">
        <f t="shared" si="6"/>
        <v>-634.35939599999995</v>
      </c>
      <c r="J39" s="575"/>
    </row>
    <row r="40" spans="2:10" ht="15" thickBot="1">
      <c r="B40" s="607" t="s">
        <v>329</v>
      </c>
      <c r="C40" s="609">
        <f>'Informe Accionista'!I65/1000000</f>
        <v>0.38808500000000001</v>
      </c>
      <c r="D40" s="609">
        <f>'Modelo Base'!L51/Inputs!$C$27/1000000</f>
        <v>0.18425218211382116</v>
      </c>
      <c r="E40" s="610">
        <f t="shared" si="4"/>
        <v>-0.20383281788617885</v>
      </c>
      <c r="F40" s="611">
        <f t="shared" si="5"/>
        <v>0.47477274853143292</v>
      </c>
      <c r="G40" s="582">
        <f>C40*Inputs!$C$27</f>
        <v>1432.0336500000001</v>
      </c>
      <c r="H40" s="582">
        <f>'Modelo Base'!L51/1000000</f>
        <v>679.89055199999996</v>
      </c>
      <c r="I40" s="612">
        <f t="shared" si="6"/>
        <v>-752.14309800000012</v>
      </c>
      <c r="J40" s="575"/>
    </row>
    <row r="41" spans="2:10">
      <c r="B41" s="613" t="s">
        <v>1136</v>
      </c>
      <c r="C41" s="614">
        <f>SUM(C34:C40)</f>
        <v>2.4616439999999997</v>
      </c>
      <c r="D41" s="614">
        <f>SUM(D34:D40)</f>
        <v>1.3962691867208672</v>
      </c>
      <c r="E41" s="614">
        <f t="shared" si="4"/>
        <v>-1.0653748132791325</v>
      </c>
      <c r="F41" s="615">
        <f t="shared" si="5"/>
        <v>0.56721003797497416</v>
      </c>
      <c r="G41" s="616">
        <f>SUM(G34:G40)</f>
        <v>9083.4663600000003</v>
      </c>
      <c r="H41" s="616">
        <f>SUM(H34:H40)</f>
        <v>5152.2332989999995</v>
      </c>
      <c r="I41" s="616">
        <f t="shared" si="6"/>
        <v>-3931.2330610000008</v>
      </c>
      <c r="J41" s="613"/>
    </row>
    <row r="42" spans="2:10">
      <c r="B42" s="575"/>
      <c r="C42" s="575"/>
      <c r="D42" s="575"/>
      <c r="E42" s="575"/>
      <c r="F42" s="575"/>
      <c r="G42" s="575"/>
      <c r="H42" s="575"/>
      <c r="I42" s="617"/>
      <c r="J42" s="575"/>
    </row>
    <row r="43" spans="2:10">
      <c r="B43" s="106" t="s">
        <v>1125</v>
      </c>
      <c r="C43" s="107"/>
      <c r="D43" s="107"/>
      <c r="E43" s="575"/>
      <c r="F43" s="106" t="s">
        <v>998</v>
      </c>
      <c r="G43" s="575"/>
      <c r="H43" s="575"/>
      <c r="I43" s="575"/>
      <c r="J43" s="575"/>
    </row>
    <row r="44" spans="2:10" ht="30" customHeight="1">
      <c r="B44" s="392" t="s">
        <v>210</v>
      </c>
      <c r="C44" s="386" t="s">
        <v>672</v>
      </c>
      <c r="D44" s="386" t="s">
        <v>676</v>
      </c>
      <c r="E44" s="386"/>
      <c r="F44" s="386" t="s">
        <v>999</v>
      </c>
      <c r="G44" s="386" t="s">
        <v>1007</v>
      </c>
      <c r="H44" s="386" t="s">
        <v>1008</v>
      </c>
      <c r="I44" s="386" t="s">
        <v>1000</v>
      </c>
      <c r="J44" s="386" t="s">
        <v>1001</v>
      </c>
    </row>
    <row r="45" spans="2:10">
      <c r="B45" s="575" t="s">
        <v>1126</v>
      </c>
      <c r="C45" s="582">
        <f>Inputs!I93/1000000</f>
        <v>115.441362</v>
      </c>
      <c r="D45" s="575"/>
      <c r="E45" s="575"/>
      <c r="F45" s="575" t="s">
        <v>970</v>
      </c>
      <c r="G45" s="582">
        <f>SUM('Consolidado '!M6:M7)</f>
        <v>5664.45</v>
      </c>
      <c r="H45" s="582">
        <f>-SUM('Consolidado '!M9,'Consolidado '!M11:M13,'Consolidado '!M15)</f>
        <v>-27968.27</v>
      </c>
      <c r="I45" s="612">
        <f>SUM(G45:H45)</f>
        <v>-22303.82</v>
      </c>
      <c r="J45" s="612">
        <f>I45*$J$50/1000000</f>
        <v>-78.18087395836659</v>
      </c>
    </row>
    <row r="46" spans="2:10">
      <c r="B46" s="575" t="s">
        <v>1127</v>
      </c>
      <c r="C46" s="582">
        <f>Inputs!J155/1000000</f>
        <v>24.707052000000001</v>
      </c>
      <c r="D46" s="575" t="s">
        <v>1132</v>
      </c>
      <c r="E46" s="575"/>
      <c r="F46" s="575" t="s">
        <v>1002</v>
      </c>
      <c r="G46" s="582">
        <f>SUM('Consolidado '!N6:N7)</f>
        <v>1821.5124816446382</v>
      </c>
      <c r="H46" s="582">
        <f>-SUM('Consolidado '!N9,'Consolidado '!N11:N13,'Consolidado '!N15)</f>
        <v>-11.967694566813496</v>
      </c>
      <c r="I46" s="612">
        <f>SUM(G46:H46)</f>
        <v>1809.5447870778248</v>
      </c>
      <c r="J46" s="612">
        <f>I46*$J$50/1000000</f>
        <v>6.3429400398923015</v>
      </c>
    </row>
    <row r="47" spans="2:10">
      <c r="B47" s="575" t="s">
        <v>886</v>
      </c>
      <c r="C47" s="582">
        <f>-(Inputs!J96-Inputs!I96)/1000000</f>
        <v>110.973187</v>
      </c>
      <c r="D47" s="575" t="s">
        <v>1128</v>
      </c>
      <c r="E47" s="575"/>
      <c r="F47" s="575" t="s">
        <v>1003</v>
      </c>
      <c r="G47" s="582">
        <f>SUM('Consolidado '!O6:O7)</f>
        <v>0</v>
      </c>
      <c r="H47" s="582">
        <f>-SUM('Consolidado '!O9,'Consolidado '!O11:O13,'Consolidado '!O15)</f>
        <v>-2671.99</v>
      </c>
      <c r="I47" s="612">
        <f>SUM(G47:H47)</f>
        <v>-2671.99</v>
      </c>
      <c r="J47" s="612">
        <f>I47*$J$50/1000000</f>
        <v>-9.3660419339833219</v>
      </c>
    </row>
    <row r="48" spans="2:10" ht="15" thickBot="1">
      <c r="B48" s="575" t="s">
        <v>887</v>
      </c>
      <c r="C48" s="582">
        <f>-(Inputs!J97-Inputs!I97)/1000000</f>
        <v>-31.840709</v>
      </c>
      <c r="D48" s="575"/>
      <c r="E48" s="575"/>
      <c r="F48" s="579" t="s">
        <v>1004</v>
      </c>
      <c r="G48" s="575"/>
      <c r="H48" s="575"/>
      <c r="I48" s="618">
        <f>SUM(I45:I47)</f>
        <v>-23166.265212922175</v>
      </c>
      <c r="J48" s="618">
        <f>SUM(J45:J47)</f>
        <v>-81.203975852457617</v>
      </c>
    </row>
    <row r="49" spans="2:10">
      <c r="B49" s="575" t="s">
        <v>888</v>
      </c>
      <c r="C49" s="582">
        <f>(Inputs!J109-Inputs!I109)/1000000</f>
        <v>-79.630601999999996</v>
      </c>
      <c r="D49" s="575"/>
      <c r="E49" s="575"/>
      <c r="F49" s="575"/>
      <c r="G49" s="575"/>
      <c r="H49" s="575"/>
      <c r="I49" s="575"/>
      <c r="J49" s="575"/>
    </row>
    <row r="50" spans="2:10">
      <c r="B50" s="575" t="s">
        <v>889</v>
      </c>
      <c r="C50" s="582">
        <f>(Inputs!J112-Inputs!I112)/1000000</f>
        <v>-4.0960210000000004</v>
      </c>
      <c r="D50" s="575"/>
      <c r="E50" s="575"/>
      <c r="F50" s="575" t="s">
        <v>1005</v>
      </c>
      <c r="G50" s="575"/>
      <c r="H50" s="575"/>
      <c r="I50" s="575"/>
      <c r="J50" s="619">
        <f>'Consolidado '!P4</f>
        <v>3505.2683333333298</v>
      </c>
    </row>
    <row r="51" spans="2:10">
      <c r="B51" s="575" t="s">
        <v>890</v>
      </c>
      <c r="C51" s="582">
        <f>(Inputs!J113-Inputs!I113)/1000000</f>
        <v>18.141309</v>
      </c>
      <c r="D51" s="575" t="s">
        <v>1129</v>
      </c>
      <c r="E51" s="575"/>
      <c r="F51" s="575" t="s">
        <v>1006</v>
      </c>
      <c r="G51" s="575" t="s">
        <v>1009</v>
      </c>
      <c r="H51" s="575"/>
      <c r="I51" s="575"/>
      <c r="J51" s="575"/>
    </row>
    <row r="52" spans="2:10">
      <c r="B52" s="620" t="s">
        <v>1109</v>
      </c>
      <c r="C52" s="621">
        <f>SUM(C46:C51)</f>
        <v>38.254216</v>
      </c>
      <c r="D52" s="622"/>
      <c r="E52" s="622"/>
      <c r="F52" s="622"/>
      <c r="G52" s="622"/>
      <c r="H52" s="622"/>
      <c r="I52" s="622"/>
      <c r="J52" s="622"/>
    </row>
    <row r="53" spans="2:10">
      <c r="B53" s="575" t="s">
        <v>891</v>
      </c>
      <c r="C53" s="582">
        <f>-(Inputs!J94-Inputs!I94)/1000000</f>
        <v>-0.70070100000000002</v>
      </c>
      <c r="D53" s="575" t="s">
        <v>892</v>
      </c>
      <c r="E53" s="575"/>
      <c r="F53" s="575"/>
      <c r="G53" s="575"/>
      <c r="H53" s="575"/>
      <c r="I53" s="575"/>
      <c r="J53" s="575"/>
    </row>
    <row r="54" spans="2:10">
      <c r="B54" s="575" t="s">
        <v>893</v>
      </c>
      <c r="C54" s="582">
        <f>-(Inputs!J101-Inputs!I101)/1000000</f>
        <v>0</v>
      </c>
      <c r="D54" s="575"/>
      <c r="E54" s="575"/>
      <c r="F54" s="575"/>
      <c r="G54" s="575"/>
      <c r="H54" s="575"/>
      <c r="I54" s="575"/>
      <c r="J54" s="575"/>
    </row>
    <row r="55" spans="2:10">
      <c r="B55" s="575" t="s">
        <v>894</v>
      </c>
      <c r="C55" s="582">
        <f>(Inputs!J108-Inputs!I108)/1000000</f>
        <v>21.051248000000001</v>
      </c>
      <c r="D55" s="575"/>
      <c r="E55" s="575"/>
      <c r="F55" s="575"/>
      <c r="G55" s="575"/>
      <c r="H55" s="575"/>
      <c r="I55" s="575"/>
      <c r="J55" s="575"/>
    </row>
    <row r="56" spans="2:10">
      <c r="B56" s="575" t="s">
        <v>895</v>
      </c>
      <c r="C56" s="582">
        <f>(Inputs!J116-Inputs!I116)/1000000</f>
        <v>0.2208</v>
      </c>
      <c r="D56" s="575"/>
      <c r="E56" s="575"/>
      <c r="F56" s="575"/>
      <c r="G56" s="575"/>
      <c r="H56" s="575"/>
      <c r="I56" s="575"/>
      <c r="J56" s="575"/>
    </row>
    <row r="57" spans="2:10">
      <c r="B57" s="623" t="s">
        <v>1130</v>
      </c>
      <c r="C57" s="621">
        <f>C45+C52+SUM(C53:C56)</f>
        <v>174.26692500000001</v>
      </c>
      <c r="D57" s="622"/>
      <c r="E57" s="622"/>
      <c r="F57" s="622"/>
      <c r="G57" s="622"/>
      <c r="H57" s="622"/>
      <c r="I57" s="622"/>
      <c r="J57" s="622"/>
    </row>
    <row r="58" spans="2:10">
      <c r="B58" s="575" t="s">
        <v>1131</v>
      </c>
      <c r="C58" s="582">
        <f>Inputs!J93/1000000</f>
        <v>174.26692600000001</v>
      </c>
      <c r="D58" s="575"/>
      <c r="E58" s="575"/>
      <c r="F58" s="575"/>
      <c r="G58" s="575"/>
      <c r="H58" s="575"/>
      <c r="I58" s="575"/>
      <c r="J58" s="575"/>
    </row>
    <row r="59" spans="2:10">
      <c r="B59" s="575" t="s">
        <v>915</v>
      </c>
      <c r="C59" s="612">
        <f>C57-C58</f>
        <v>-9.9999999747524271E-7</v>
      </c>
      <c r="D59" s="179" t="str">
        <f>IF(ABS(C59)&lt;=0.000005,"OK","REVISAR")</f>
        <v>OK</v>
      </c>
      <c r="E59" s="575"/>
      <c r="F59" s="575"/>
      <c r="G59" s="575"/>
      <c r="H59" s="575"/>
      <c r="I59" s="575"/>
      <c r="J59" s="575"/>
    </row>
    <row r="60" spans="2:10">
      <c r="B60" s="575"/>
      <c r="C60" s="575"/>
      <c r="D60" s="575"/>
      <c r="E60" s="575"/>
      <c r="F60" s="575"/>
      <c r="G60" s="575"/>
      <c r="H60" s="575"/>
      <c r="I60" s="575"/>
      <c r="J60" s="575"/>
    </row>
    <row r="61" spans="2:10">
      <c r="B61" s="110" t="s">
        <v>997</v>
      </c>
      <c r="C61" s="252">
        <f>C58-C45</f>
        <v>58.825564000000014</v>
      </c>
      <c r="D61" s="575"/>
      <c r="E61" s="575"/>
      <c r="F61" s="575"/>
      <c r="G61" s="575"/>
      <c r="H61" s="575"/>
      <c r="I61" s="575"/>
      <c r="J61" s="575"/>
    </row>
    <row r="62" spans="2:10">
      <c r="B62" s="575"/>
      <c r="C62" s="575"/>
      <c r="D62" s="575"/>
      <c r="E62" s="575"/>
      <c r="F62" s="575"/>
      <c r="G62" s="575"/>
      <c r="H62" s="575"/>
      <c r="I62" s="575"/>
      <c r="J62" s="575"/>
    </row>
    <row r="63" spans="2:10">
      <c r="B63" s="389" t="s">
        <v>896</v>
      </c>
      <c r="C63" s="389"/>
      <c r="D63" s="389"/>
      <c r="E63" s="389"/>
      <c r="F63" s="389"/>
      <c r="G63" s="389"/>
      <c r="H63" s="389"/>
      <c r="I63" s="389"/>
      <c r="J63" s="389"/>
    </row>
    <row r="64" spans="2:10">
      <c r="B64" s="583" t="s">
        <v>1133</v>
      </c>
      <c r="C64" s="583"/>
      <c r="D64" s="583"/>
      <c r="E64" s="583"/>
      <c r="F64" s="583"/>
      <c r="G64" s="583"/>
      <c r="H64" s="583"/>
      <c r="I64" s="583"/>
      <c r="J64" s="583"/>
    </row>
    <row r="65" spans="2:8">
      <c r="B65" s="575" t="s">
        <v>1134</v>
      </c>
      <c r="C65" s="624">
        <f>'Modelo Base'!L51/1000000</f>
        <v>679.89055199999996</v>
      </c>
      <c r="D65" s="575"/>
      <c r="E65" s="575"/>
      <c r="F65" s="575"/>
      <c r="G65" s="575"/>
      <c r="H65" s="575"/>
    </row>
    <row r="66" spans="2:8">
      <c r="B66" s="575" t="s">
        <v>897</v>
      </c>
      <c r="C66" s="624">
        <f>Inputs!J96/1000000</f>
        <v>1688.457915</v>
      </c>
      <c r="D66" s="575"/>
      <c r="E66" s="575"/>
      <c r="F66" s="575"/>
      <c r="G66" s="575"/>
      <c r="H66" s="575"/>
    </row>
    <row r="67" spans="2:8">
      <c r="B67" s="575" t="s">
        <v>898</v>
      </c>
      <c r="C67" s="624">
        <f>Inputs!J96/'Modelo Base'!L51*30</f>
        <v>74.502781809505123</v>
      </c>
      <c r="D67" s="575"/>
      <c r="E67" s="575"/>
      <c r="F67" s="575"/>
      <c r="G67" s="575"/>
      <c r="H67" s="575"/>
    </row>
    <row r="68" spans="2:8">
      <c r="B68" s="575" t="s">
        <v>899</v>
      </c>
      <c r="C68" s="624">
        <f>Inputs!J93/1000000</f>
        <v>174.26692600000001</v>
      </c>
      <c r="D68" s="575"/>
      <c r="E68" s="575"/>
      <c r="F68" s="575"/>
      <c r="G68" s="575"/>
      <c r="H68" s="575"/>
    </row>
    <row r="69" spans="2:8">
      <c r="B69" s="575" t="s">
        <v>465</v>
      </c>
      <c r="C69" s="624">
        <f>'Modelo Base'!E32/1000000</f>
        <v>200</v>
      </c>
      <c r="D69" s="575"/>
      <c r="E69" s="575"/>
      <c r="F69" s="575"/>
      <c r="G69" s="575"/>
      <c r="H69" s="575"/>
    </row>
    <row r="70" spans="2:8">
      <c r="B70" s="575"/>
      <c r="C70" s="575"/>
      <c r="D70" s="575"/>
      <c r="E70" s="575"/>
      <c r="F70" s="575"/>
      <c r="G70" s="575"/>
      <c r="H70" s="575"/>
    </row>
    <row r="71" spans="2:8" ht="30" customHeight="1">
      <c r="B71" s="392" t="s">
        <v>900</v>
      </c>
      <c r="C71" s="386" t="s">
        <v>901</v>
      </c>
      <c r="D71" s="386" t="s">
        <v>902</v>
      </c>
      <c r="E71" s="386" t="s">
        <v>903</v>
      </c>
      <c r="F71" s="386" t="s">
        <v>904</v>
      </c>
      <c r="G71" s="386"/>
      <c r="H71" s="386"/>
    </row>
    <row r="72" spans="2:8">
      <c r="B72" s="625">
        <v>50</v>
      </c>
      <c r="C72" s="626">
        <f t="shared" ref="C72:C77" si="7">$C$65*B72/30</f>
        <v>1133.15092</v>
      </c>
      <c r="D72" s="612">
        <f t="shared" ref="D72:D77" si="8">$C$66-C72</f>
        <v>555.30699499999992</v>
      </c>
      <c r="E72" s="612">
        <f t="shared" ref="E72:E77" si="9">$C$68+D72</f>
        <v>729.57392099999993</v>
      </c>
      <c r="F72" s="575" t="str">
        <f t="shared" ref="F72:F77" si="10">IF(E72&gt;=$C$69,"OK","Bajo mínimo")</f>
        <v>OK</v>
      </c>
      <c r="G72" s="575"/>
      <c r="H72" s="575"/>
    </row>
    <row r="73" spans="2:8">
      <c r="B73" s="625">
        <v>60</v>
      </c>
      <c r="C73" s="626">
        <f t="shared" si="7"/>
        <v>1359.7811039999999</v>
      </c>
      <c r="D73" s="612">
        <f t="shared" si="8"/>
        <v>328.67681100000004</v>
      </c>
      <c r="E73" s="612">
        <f t="shared" si="9"/>
        <v>502.94373700000006</v>
      </c>
      <c r="F73" s="575" t="str">
        <f t="shared" si="10"/>
        <v>OK</v>
      </c>
      <c r="G73" s="579" t="s">
        <v>1011</v>
      </c>
      <c r="H73" s="575" t="s">
        <v>1012</v>
      </c>
    </row>
    <row r="74" spans="2:8">
      <c r="B74" s="253">
        <f>$C$67</f>
        <v>74.502781809505123</v>
      </c>
      <c r="C74" s="626">
        <f t="shared" si="7"/>
        <v>1688.4579149999997</v>
      </c>
      <c r="D74" s="612">
        <f t="shared" si="8"/>
        <v>0</v>
      </c>
      <c r="E74" s="612">
        <f t="shared" si="9"/>
        <v>174.26692600000001</v>
      </c>
      <c r="F74" s="575" t="str">
        <f t="shared" si="10"/>
        <v>Bajo mínimo</v>
      </c>
      <c r="G74" s="575"/>
      <c r="H74" s="575"/>
    </row>
    <row r="75" spans="2:8">
      <c r="B75" s="625">
        <v>80</v>
      </c>
      <c r="C75" s="626">
        <f t="shared" si="7"/>
        <v>1813.0414719999999</v>
      </c>
      <c r="D75" s="612">
        <f t="shared" si="8"/>
        <v>-124.58355699999993</v>
      </c>
      <c r="E75" s="612">
        <f t="shared" si="9"/>
        <v>49.683369000000084</v>
      </c>
      <c r="F75" s="575" t="str">
        <f t="shared" si="10"/>
        <v>Bajo mínimo</v>
      </c>
      <c r="G75" s="575"/>
      <c r="H75" s="575"/>
    </row>
    <row r="76" spans="2:8">
      <c r="B76" s="625">
        <v>90</v>
      </c>
      <c r="C76" s="626">
        <f t="shared" si="7"/>
        <v>2039.6716559999998</v>
      </c>
      <c r="D76" s="612">
        <f t="shared" si="8"/>
        <v>-351.2137409999998</v>
      </c>
      <c r="E76" s="612">
        <f t="shared" si="9"/>
        <v>-176.94681499999979</v>
      </c>
      <c r="F76" s="575" t="str">
        <f t="shared" si="10"/>
        <v>Bajo mínimo</v>
      </c>
      <c r="G76" s="575"/>
      <c r="H76" s="575"/>
    </row>
    <row r="77" spans="2:8">
      <c r="B77" s="625">
        <v>100</v>
      </c>
      <c r="C77" s="626">
        <f t="shared" si="7"/>
        <v>2266.3018400000001</v>
      </c>
      <c r="D77" s="612">
        <f t="shared" si="8"/>
        <v>-577.84392500000013</v>
      </c>
      <c r="E77" s="612">
        <f t="shared" si="9"/>
        <v>-403.57699900000011</v>
      </c>
      <c r="F77" s="575" t="str">
        <f t="shared" si="10"/>
        <v>Bajo mínimo</v>
      </c>
      <c r="G77" s="575"/>
      <c r="H77" s="575"/>
    </row>
    <row r="78" spans="2:8">
      <c r="B78" s="575"/>
      <c r="C78" s="575"/>
      <c r="D78" s="575"/>
      <c r="E78" s="575"/>
      <c r="F78" s="575"/>
      <c r="G78" s="575"/>
      <c r="H78" s="575"/>
    </row>
    <row r="79" spans="2:8">
      <c r="B79" s="389" t="s">
        <v>905</v>
      </c>
      <c r="C79" s="389"/>
      <c r="D79" s="389"/>
      <c r="E79" s="389"/>
      <c r="F79" s="389"/>
      <c r="G79" s="389"/>
      <c r="H79" s="389"/>
    </row>
    <row r="80" spans="2:8">
      <c r="B80" s="583" t="s">
        <v>1135</v>
      </c>
      <c r="C80" s="583"/>
      <c r="D80" s="583"/>
      <c r="E80" s="583"/>
      <c r="F80" s="583"/>
      <c r="G80" s="583"/>
      <c r="H80" s="583"/>
    </row>
    <row r="81" spans="2:5">
      <c r="B81" s="575" t="s">
        <v>906</v>
      </c>
      <c r="C81" s="624">
        <f>Inputs!J97/1000000</f>
        <v>3529.6970449999999</v>
      </c>
      <c r="D81" s="575"/>
      <c r="E81" s="575"/>
    </row>
    <row r="82" spans="2:5" ht="30" customHeight="1">
      <c r="B82" s="392" t="s">
        <v>907</v>
      </c>
      <c r="C82" s="386" t="s">
        <v>902</v>
      </c>
      <c r="D82" s="386" t="s">
        <v>903</v>
      </c>
      <c r="E82" s="386" t="s">
        <v>904</v>
      </c>
    </row>
    <row r="83" spans="2:5">
      <c r="B83" s="321">
        <v>0.1</v>
      </c>
      <c r="C83" s="626">
        <f>$C$81*B83</f>
        <v>352.96970450000003</v>
      </c>
      <c r="D83" s="612">
        <f>$C$68+C83</f>
        <v>527.23663050000005</v>
      </c>
      <c r="E83" s="575" t="str">
        <f>IF(D83&gt;=$C$69,"OK","Bajo mínimo")</f>
        <v>OK</v>
      </c>
    </row>
    <row r="84" spans="2:5">
      <c r="B84" s="321">
        <v>0.25</v>
      </c>
      <c r="C84" s="626">
        <f>$C$81*B84</f>
        <v>882.42426124999997</v>
      </c>
      <c r="D84" s="612">
        <f>$C$68+C84</f>
        <v>1056.69118725</v>
      </c>
      <c r="E84" s="575" t="str">
        <f>IF(D84&gt;=$C$69,"OK","Bajo mínimo")</f>
        <v>OK</v>
      </c>
    </row>
    <row r="85" spans="2:5">
      <c r="B85" s="321">
        <v>0.5</v>
      </c>
      <c r="C85" s="626">
        <f>$C$81*B85</f>
        <v>1764.8485224999999</v>
      </c>
      <c r="D85" s="612">
        <f>$C$68+C85</f>
        <v>1939.1154485</v>
      </c>
      <c r="E85" s="575" t="str">
        <f>IF(D85&gt;=$C$69,"OK","Bajo mínimo")</f>
        <v>OK</v>
      </c>
    </row>
    <row r="86" spans="2:5">
      <c r="B86" s="575"/>
      <c r="C86" s="575"/>
      <c r="D86" s="575"/>
      <c r="E86" s="575"/>
    </row>
    <row r="87" spans="2:5" ht="15" thickBot="1">
      <c r="B87" s="393" t="s">
        <v>1014</v>
      </c>
      <c r="C87" s="393"/>
      <c r="D87" s="393"/>
      <c r="E87" s="393"/>
    </row>
    <row r="88" spans="2:5" ht="15" thickTop="1">
      <c r="B88" s="583" t="s">
        <v>1180</v>
      </c>
      <c r="C88" s="583"/>
      <c r="D88" s="583"/>
      <c r="E88" s="583"/>
    </row>
    <row r="89" spans="2:5">
      <c r="B89" s="575"/>
      <c r="C89" s="575"/>
      <c r="D89" s="575"/>
      <c r="E89" s="575"/>
    </row>
    <row r="90" spans="2:5">
      <c r="B90" s="111" t="s">
        <v>675</v>
      </c>
      <c r="C90" s="111" t="s">
        <v>34</v>
      </c>
      <c r="D90" s="111" t="s">
        <v>735</v>
      </c>
      <c r="E90" s="111" t="s">
        <v>916</v>
      </c>
    </row>
    <row r="91" spans="2:5">
      <c r="B91" s="575" t="s">
        <v>917</v>
      </c>
      <c r="C91" s="254">
        <f>Inputs!J93/1000000</f>
        <v>174.26692600000001</v>
      </c>
      <c r="D91" s="575" t="s">
        <v>672</v>
      </c>
      <c r="E91" s="575" t="s">
        <v>1142</v>
      </c>
    </row>
    <row r="92" spans="2:5">
      <c r="B92" s="575" t="s">
        <v>1183</v>
      </c>
      <c r="C92" s="255">
        <f>'Consolidado '!R26/1000</f>
        <v>302.33163000000002</v>
      </c>
      <c r="D92" s="575" t="s">
        <v>816</v>
      </c>
      <c r="E92" s="575" t="s">
        <v>922</v>
      </c>
    </row>
    <row r="93" spans="2:5" ht="15" thickBot="1">
      <c r="B93" s="575" t="s">
        <v>1184</v>
      </c>
      <c r="C93" s="256">
        <v>3268.95</v>
      </c>
      <c r="D93" s="575" t="s">
        <v>923</v>
      </c>
      <c r="E93" s="575" t="s">
        <v>924</v>
      </c>
    </row>
    <row r="94" spans="2:5" ht="15" thickBot="1">
      <c r="B94" s="113" t="s">
        <v>918</v>
      </c>
      <c r="C94" s="8">
        <f>C92*C93/1000</f>
        <v>988.30698188849999</v>
      </c>
      <c r="D94" s="113" t="s">
        <v>672</v>
      </c>
      <c r="E94" s="113" t="s">
        <v>919</v>
      </c>
    </row>
    <row r="95" spans="2:5" ht="15" thickBot="1">
      <c r="B95" s="114" t="s">
        <v>1015</v>
      </c>
      <c r="C95" s="9">
        <f>SUM(C91,C94)</f>
        <v>1162.5739078884999</v>
      </c>
      <c r="D95" s="114" t="s">
        <v>672</v>
      </c>
      <c r="E95" s="114" t="str">
        <f>"Liquidez consolidada disponible de COP "&amp;TEXT(C95,"#,##0.0")&amp;"MM; equivale a USD "&amp;TEXT(C95*1000/C93,"#,##0.0")&amp;"k."</f>
        <v>Liquidez consolidada disponible de COP 1,162.6MM; equivale a USD 355.6k.</v>
      </c>
    </row>
    <row r="96" spans="2:5">
      <c r="B96" s="575" t="s">
        <v>1137</v>
      </c>
      <c r="C96" s="7">
        <f>MAX(0,-I28)</f>
        <v>0</v>
      </c>
      <c r="D96" s="575" t="s">
        <v>672</v>
      </c>
      <c r="E96" s="575" t="s">
        <v>1143</v>
      </c>
    </row>
    <row r="97" spans="2:6">
      <c r="B97" s="575" t="s">
        <v>1138</v>
      </c>
      <c r="C97" s="7">
        <f>G28</f>
        <v>2.8302914457941171</v>
      </c>
      <c r="D97" s="575" t="s">
        <v>809</v>
      </c>
      <c r="E97" s="575" t="s">
        <v>1144</v>
      </c>
      <c r="F97" s="575"/>
    </row>
    <row r="98" spans="2:6">
      <c r="B98" s="575" t="s">
        <v>1139</v>
      </c>
      <c r="C98" s="10">
        <f>IF(C97&lt;=0,"N/A",C95/C97)</f>
        <v>410.76119903344704</v>
      </c>
      <c r="D98" s="575" t="s">
        <v>363</v>
      </c>
      <c r="E98" s="575" t="s">
        <v>1145</v>
      </c>
      <c r="F98" s="575"/>
    </row>
    <row r="99" spans="2:6">
      <c r="B99" s="575" t="s">
        <v>1140</v>
      </c>
      <c r="C99" s="115">
        <f>IF(AVERAGE(G26:G28)&lt;=0,"N/A",C95/AVERAGE(G26:G28))</f>
        <v>8.8030460096467262</v>
      </c>
      <c r="D99" s="575" t="s">
        <v>363</v>
      </c>
      <c r="E99" s="575" t="s">
        <v>1146</v>
      </c>
      <c r="F99" s="575"/>
    </row>
    <row r="100" spans="2:6" ht="15" thickBot="1">
      <c r="B100" s="575" t="s">
        <v>1141</v>
      </c>
      <c r="C100" s="115">
        <f>IF(AVERAGE(G22:G28)&lt;=0,"N/A",C95/AVERAGE(G22:G28))</f>
        <v>10.338187124937329</v>
      </c>
      <c r="D100" s="575" t="s">
        <v>363</v>
      </c>
      <c r="E100" s="575" t="s">
        <v>920</v>
      </c>
      <c r="F100" s="575"/>
    </row>
    <row r="101" spans="2:6" ht="15" thickBot="1">
      <c r="B101" s="116" t="s">
        <v>921</v>
      </c>
      <c r="C101" s="1087" t="str">
        <f>"La compañía cuenta con COP "&amp;TEXT(C95,"#,##0.0")&amp;"MM de caja total consolidada. "&amp;IF(C97&lt;=0,"En julio no hubo quema de caja: el saldo aumentó COP "&amp;TEXT(I28,"#,##0.0")&amp;"MM, por lo que el runway al ritmo del mes no aplica. ",IF(C97&lt;10,"En julio la quema consolidada fue marginal (COP "&amp;TEXT(C97,"#,##0.0")&amp;"MM): Colombia generó caja y el internacional consumió COP "&amp;TEXT(-E28,"#,##0.0")&amp;"MM, así que el runway al ritmo del mes no es representativo. ","Al ritmo consolidado de julio la cobertura es de "&amp;TEXT(C98,"0.0")&amp;" meses. "))&amp;"Con el burn promedio May-Jul el runway es de "&amp;TEXT(C99,"0.0")&amp;" meses y con el promedio Ene-Jul de "&amp;TEXT(C100,"0.0")&amp;" meses."</f>
        <v>La compañía cuenta con COP 1,162.6MM de caja total consolidada. En julio la quema consolidada fue marginal (COP 2.8MM): Colombia generó caja y el internacional consumió COP 40.4MM, así que el runway al ritmo del mes no es representativo. Con el burn promedio May-Jul el runway es de 8.8 meses y con el promedio Ene-Jul de 10.3 meses.</v>
      </c>
      <c r="D101" s="1087"/>
      <c r="E101" s="1087"/>
      <c r="F101" s="116"/>
    </row>
    <row r="102" spans="2:6">
      <c r="B102" s="575" t="s">
        <v>1016</v>
      </c>
      <c r="C102" s="578">
        <f>C96-C97</f>
        <v>-2.8302914457941171</v>
      </c>
      <c r="D102" s="575" t="s">
        <v>672</v>
      </c>
      <c r="E102" s="575" t="s">
        <v>1017</v>
      </c>
      <c r="F102" s="575"/>
    </row>
    <row r="103" spans="2:6" ht="15" thickBot="1">
      <c r="B103" s="393" t="s">
        <v>1148</v>
      </c>
      <c r="C103" s="393"/>
      <c r="D103" s="393"/>
      <c r="E103" s="393"/>
      <c r="F103" s="393"/>
    </row>
    <row r="104" spans="2:6" ht="15" thickTop="1">
      <c r="B104" s="583" t="str">
        <f>"El presupuesto anual del modelo suma USD "&amp;TEXT(SUM('Modelo Base'!F286:Q286)/1000000,"0.00")&amp;"MM (aprox. USD 3.9MM). La proyección parte de la caja total consolidada de COP "&amp;TEXT($C$95,"#,##0.0")&amp;"MM."</f>
        <v>El presupuesto anual del modelo suma USD 3.78MM (aprox. USD 3.9MM). La proyección parte de la caja total consolidada de COP 1,162.6MM.</v>
      </c>
      <c r="C104" s="583"/>
      <c r="D104" s="583"/>
      <c r="E104" s="583"/>
      <c r="F104" s="583"/>
    </row>
    <row r="105" spans="2:6">
      <c r="B105" s="575"/>
      <c r="C105" s="575"/>
      <c r="D105" s="575"/>
      <c r="E105" s="575"/>
      <c r="F105" s="575"/>
    </row>
    <row r="106" spans="2:6" ht="30" customHeight="1">
      <c r="B106" s="394" t="s">
        <v>370</v>
      </c>
      <c r="C106" s="385" t="s">
        <v>925</v>
      </c>
      <c r="D106" s="385" t="s">
        <v>926</v>
      </c>
      <c r="E106" s="385" t="s">
        <v>927</v>
      </c>
      <c r="F106" s="385" t="s">
        <v>928</v>
      </c>
    </row>
    <row r="107" spans="2:6">
      <c r="B107" s="575" t="str">
        <f>'Modelo Base'!M284</f>
        <v>Ago-26</v>
      </c>
      <c r="C107" s="254">
        <f>'Modelo Base'!M286/1000</f>
        <v>426.45692992644217</v>
      </c>
      <c r="D107" s="254">
        <f>'Modelo Base'!M182/1000000</f>
        <v>-1792.4376792242067</v>
      </c>
      <c r="E107" s="7">
        <f>$C$95+D107</f>
        <v>-629.86377133570682</v>
      </c>
      <c r="F107" s="575" t="str">
        <f>IF(E107&lt;0,"Déficit","Caja positiva")&amp;" — el salto de capital de trabajo del presupuesto (CxC a "&amp;TEXT('Modelo Base'!$E$27,"0")&amp;" días sobre ingresos muy superiores a los reales) concentra el consumo en agosto."</f>
        <v>Déficit — el salto de capital de trabajo del presupuesto (CxC a 84 días sobre ingresos muy superiores a los reales) concentra el consumo en agosto.</v>
      </c>
    </row>
    <row r="108" spans="2:6">
      <c r="B108" s="575" t="str">
        <f>'Modelo Base'!N284</f>
        <v>Sep-26</v>
      </c>
      <c r="C108" s="254">
        <f>'Modelo Base'!N286/1000</f>
        <v>451.23073945025163</v>
      </c>
      <c r="D108" s="254">
        <f>'Modelo Base'!N182/1000000</f>
        <v>313.38145682601174</v>
      </c>
      <c r="E108" s="257">
        <f>E107+D108</f>
        <v>-316.48231450969507</v>
      </c>
      <c r="F108" s="575" t="str">
        <f>IF(E108&lt;0,"Déficit","Caja positiva")&amp;" — el flujo mensual proyectado vuelve a ser positivo."</f>
        <v>Déficit — el flujo mensual proyectado vuelve a ser positivo.</v>
      </c>
    </row>
    <row r="109" spans="2:6">
      <c r="B109" s="575" t="str">
        <f>'Modelo Base'!O284</f>
        <v>Oct-26</v>
      </c>
      <c r="C109" s="254">
        <f>'Modelo Base'!O286/1000</f>
        <v>476.00454897406121</v>
      </c>
      <c r="D109" s="254">
        <f>'Modelo Base'!O182/1000000</f>
        <v>372.82240299723054</v>
      </c>
      <c r="E109" s="257">
        <f>E108+D109</f>
        <v>56.340088487535468</v>
      </c>
      <c r="F109" s="575" t="str">
        <f>IF(E109&lt;0,"Déficit","Caja positiva")&amp;" — la recuperación operativa recompone la liquidez."</f>
        <v>Caja positiva — la recuperación operativa recompone la liquidez.</v>
      </c>
    </row>
    <row r="110" spans="2:6">
      <c r="B110" s="575" t="str">
        <f>'Modelo Base'!P284</f>
        <v>Nov-26</v>
      </c>
      <c r="C110" s="254">
        <f>'Modelo Base'!P286/1000</f>
        <v>500.77835849787073</v>
      </c>
      <c r="D110" s="254">
        <f>'Modelo Base'!P182/1000000</f>
        <v>432.8363313679759</v>
      </c>
      <c r="E110" s="7">
        <f>E109+D110</f>
        <v>489.17641985551137</v>
      </c>
      <c r="F110" s="575" t="str">
        <f>IF(E110&lt;0,"Déficit","Caja positiva")&amp;" — continúa la generación de caja presupuestada."</f>
        <v>Caja positiva — continúa la generación de caja presupuestada.</v>
      </c>
    </row>
    <row r="111" spans="2:6">
      <c r="B111" s="575" t="str">
        <f>'Modelo Base'!Q284</f>
        <v>Dic-26</v>
      </c>
      <c r="C111" s="254">
        <f>'Modelo Base'!Q286/1000</f>
        <v>525.55216802168025</v>
      </c>
      <c r="D111" s="254">
        <f>'Modelo Base'!Q182/1000000</f>
        <v>480.77639936158988</v>
      </c>
      <c r="E111" s="7">
        <f>E110+D111</f>
        <v>969.95281921710125</v>
      </c>
      <c r="F111" s="575" t="str">
        <f>IF(E111&lt;0,"Déficit","Caja positiva")&amp;" — cierre de año proyectado."</f>
        <v>Caja positiva — cierre de año proyectado.</v>
      </c>
    </row>
    <row r="114" spans="2:7">
      <c r="B114" s="575" t="s">
        <v>929</v>
      </c>
      <c r="C114" s="258">
        <f>SUM('Modelo Base'!F286:Q286)/1000000</f>
        <v>3.7762919315911736</v>
      </c>
      <c r="D114" s="575" t="s">
        <v>930</v>
      </c>
      <c r="E114" s="575" t="s">
        <v>931</v>
      </c>
      <c r="F114" s="575"/>
      <c r="G114" s="575"/>
    </row>
    <row r="115" spans="2:7">
      <c r="B115" s="575" t="s">
        <v>1149</v>
      </c>
      <c r="C115" s="112">
        <f>SUM(C107:C111)/1000</f>
        <v>2.3800227448703057</v>
      </c>
      <c r="D115" s="575" t="s">
        <v>930</v>
      </c>
      <c r="E115" s="575" t="s">
        <v>932</v>
      </c>
      <c r="F115" s="575"/>
      <c r="G115" s="575"/>
    </row>
    <row r="116" spans="2:7" ht="15" thickBot="1">
      <c r="B116" s="575" t="s">
        <v>933</v>
      </c>
      <c r="C116" s="115">
        <f>IF(E107&lt;0,$C$95/ABS(D107),IF(E108&lt;0,1+E107/ABS(D108),5))</f>
        <v>0.64859934677989972</v>
      </c>
      <c r="D116" s="575" t="s">
        <v>363</v>
      </c>
      <c r="E116" s="575" t="s">
        <v>1150</v>
      </c>
      <c r="F116" s="575"/>
      <c r="G116" s="575"/>
    </row>
    <row r="117" spans="2:7" ht="15" thickBot="1">
      <c r="B117" s="117" t="s">
        <v>934</v>
      </c>
      <c r="C117" s="11">
        <f>MAX(0,-MIN(E107:E111))</f>
        <v>629.86377133570682</v>
      </c>
      <c r="D117" s="117" t="s">
        <v>672</v>
      </c>
      <c r="E117" s="117" t="s">
        <v>1194</v>
      </c>
      <c r="F117" s="575"/>
      <c r="G117" s="575"/>
    </row>
    <row r="118" spans="2:7" ht="15" thickBot="1">
      <c r="B118" s="118" t="s">
        <v>935</v>
      </c>
      <c r="C118" s="12">
        <f>E111</f>
        <v>969.95281921710125</v>
      </c>
      <c r="D118" s="118" t="s">
        <v>672</v>
      </c>
      <c r="E118" s="118" t="s">
        <v>1193</v>
      </c>
      <c r="F118" s="575"/>
      <c r="G118" s="575"/>
    </row>
    <row r="119" spans="2:7" ht="15" thickBot="1">
      <c r="B119" s="575"/>
      <c r="C119" s="575"/>
      <c r="D119" s="575"/>
      <c r="E119" s="575"/>
      <c r="F119" s="575"/>
      <c r="G119" s="575"/>
    </row>
    <row r="120" spans="2:7" ht="15" thickBot="1">
      <c r="B120" s="116" t="s">
        <v>936</v>
      </c>
      <c r="C120" s="1088" t="str">
        <f>"Con el presupuesto anual de USD "&amp;TEXT(C114,"0.00")&amp;"MM, partiendo de la caja consolidada de julio (COP "&amp;TEXT($C$95,"#,##0.0")&amp;"MM), la proyección muestra un déficit temporal máximo de COP "&amp;TEXT(C117,"#,##0.0")&amp;"MM en "&amp;INDEX($B$107:$B$111,MATCH(MIN($E$107:$E$111),$E$107:$E$111,0))&amp;". El bache se explica por el salto de capital de trabajo del presupuesto; el modelo vuelve a generar caja y cerraría diciembre con COP "&amp;TEXT(C118,"#,##0.0")&amp;"MM."</f>
        <v>Con el presupuesto anual de USD 3.78MM, partiendo de la caja consolidada de julio (COP 1,162.6MM), la proyección muestra un déficit temporal máximo de COP 629.9MM en Ago-26. El bache se explica por el salto de capital de trabajo del presupuesto; el modelo vuelve a generar caja y cerraría diciembre con COP 970.0MM.</v>
      </c>
      <c r="D120" s="1088"/>
      <c r="E120" s="1088"/>
      <c r="F120" s="1088"/>
      <c r="G120" s="1088"/>
    </row>
  </sheetData>
  <mergeCells count="10">
    <mergeCell ref="B2:J2"/>
    <mergeCell ref="J21:K21"/>
    <mergeCell ref="J30:K30"/>
    <mergeCell ref="C101:E101"/>
    <mergeCell ref="C120:G120"/>
    <mergeCell ref="J22:K22"/>
    <mergeCell ref="J23:K23"/>
    <mergeCell ref="J24:K24"/>
    <mergeCell ref="J25:K25"/>
    <mergeCell ref="J29:K29"/>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9C4B-616E-4ED5-A0D5-B135F1546046}">
  <sheetPr>
    <tabColor rgb="FFA6A6A6"/>
  </sheetPr>
  <dimension ref="A1:AI318"/>
  <sheetViews>
    <sheetView showGridLines="0" topLeftCell="A23" zoomScale="59" workbookViewId="0">
      <pane xSplit="2" topLeftCell="C1" activePane="topRight" state="frozen"/>
      <selection pane="topRight"/>
    </sheetView>
  </sheetViews>
  <sheetFormatPr defaultRowHeight="14.4" outlineLevelRow="1"/>
  <cols>
    <col min="1" max="1" width="63" style="5" customWidth="1"/>
    <col min="2" max="2" width="63" style="4" customWidth="1"/>
    <col min="3" max="35" width="17" style="4" customWidth="1"/>
    <col min="36" max="49" width="13.33203125" style="4" customWidth="1"/>
    <col min="50" max="53" width="15.21875" style="4" customWidth="1"/>
    <col min="54" max="16384" width="8.88671875" style="4"/>
  </cols>
  <sheetData>
    <row r="1" spans="1:21" ht="15" customHeight="1">
      <c r="A1" s="557" t="s">
        <v>821</v>
      </c>
      <c r="B1" s="409"/>
      <c r="C1" s="409"/>
      <c r="D1" s="409"/>
      <c r="E1" s="409"/>
      <c r="F1" s="409"/>
      <c r="G1" s="409"/>
      <c r="H1" s="409"/>
      <c r="I1" s="409"/>
      <c r="J1" s="409"/>
      <c r="K1" s="409"/>
      <c r="L1" s="409"/>
      <c r="M1" s="409"/>
      <c r="N1" s="409"/>
      <c r="O1" s="409"/>
      <c r="P1" s="409"/>
      <c r="Q1" s="409"/>
      <c r="R1" s="409"/>
      <c r="S1" s="409"/>
      <c r="T1" s="409"/>
      <c r="U1" s="409"/>
    </row>
    <row r="2" spans="1:21" ht="15" customHeight="1">
      <c r="A2" s="119"/>
      <c r="B2" s="120"/>
      <c r="C2" s="120"/>
      <c r="D2" s="120"/>
      <c r="E2" s="120"/>
      <c r="F2" s="120"/>
      <c r="G2" s="120"/>
      <c r="H2" s="120"/>
      <c r="I2" s="120"/>
      <c r="J2" s="120"/>
      <c r="K2" s="120"/>
      <c r="L2" s="120"/>
      <c r="M2" s="120"/>
      <c r="N2" s="120"/>
      <c r="O2" s="120"/>
      <c r="P2" s="120"/>
      <c r="Q2" s="120"/>
      <c r="R2" s="120"/>
      <c r="S2" s="120"/>
      <c r="T2" s="120"/>
      <c r="U2" s="120"/>
    </row>
    <row r="3" spans="1:21" ht="15" customHeight="1">
      <c r="A3" s="119"/>
      <c r="B3" s="120"/>
      <c r="C3" s="120"/>
      <c r="D3" s="120"/>
      <c r="E3" s="120"/>
      <c r="F3" s="120"/>
      <c r="G3" s="120"/>
      <c r="H3" s="120"/>
      <c r="I3" s="120"/>
      <c r="J3" s="120"/>
      <c r="K3" s="120"/>
      <c r="L3" s="120"/>
      <c r="M3" s="120"/>
      <c r="N3" s="120"/>
      <c r="O3" s="120"/>
      <c r="P3" s="120"/>
      <c r="Q3" s="120"/>
      <c r="R3" s="120"/>
      <c r="S3" s="120"/>
      <c r="T3" s="120"/>
      <c r="U3" s="120"/>
    </row>
    <row r="4" spans="1:21" ht="15" customHeight="1">
      <c r="A4" s="119"/>
      <c r="B4" s="119"/>
      <c r="C4" s="120"/>
      <c r="D4" s="120"/>
      <c r="E4" s="120"/>
      <c r="F4" s="120"/>
      <c r="G4" s="120"/>
      <c r="H4" s="120"/>
      <c r="I4" s="120"/>
      <c r="J4" s="120"/>
      <c r="K4" s="120"/>
      <c r="L4" s="120"/>
      <c r="M4" s="120"/>
      <c r="N4" s="120"/>
      <c r="O4" s="120"/>
      <c r="P4" s="120"/>
      <c r="Q4" s="120"/>
      <c r="R4" s="120"/>
      <c r="S4" s="120"/>
      <c r="T4" s="120"/>
      <c r="U4" s="120"/>
    </row>
    <row r="5" spans="1:21" ht="15" customHeight="1">
      <c r="A5" s="119"/>
      <c r="B5" s="17"/>
      <c r="C5" s="17" t="s">
        <v>822</v>
      </c>
      <c r="D5" s="17"/>
      <c r="E5" s="17"/>
      <c r="F5" s="17"/>
      <c r="G5" s="17"/>
      <c r="H5" s="259">
        <v>5.0999999999999997E-2</v>
      </c>
      <c r="I5" s="17"/>
      <c r="J5" s="17"/>
      <c r="K5" s="17"/>
      <c r="L5" s="17"/>
      <c r="M5" s="17"/>
      <c r="N5" s="17"/>
      <c r="O5" s="17"/>
      <c r="P5" s="17"/>
      <c r="Q5" s="17"/>
      <c r="R5" s="17"/>
      <c r="S5" s="17"/>
      <c r="T5" s="17"/>
      <c r="U5" s="17"/>
    </row>
    <row r="6" spans="1:21" ht="15" customHeight="1">
      <c r="A6" s="119"/>
      <c r="B6" s="17"/>
      <c r="C6" s="17" t="s">
        <v>823</v>
      </c>
      <c r="D6" s="17"/>
      <c r="E6" s="17"/>
      <c r="F6" s="17"/>
      <c r="G6" s="17"/>
      <c r="H6" s="260">
        <v>4000</v>
      </c>
      <c r="I6" s="17"/>
      <c r="J6" s="17"/>
      <c r="K6" s="17"/>
      <c r="L6" s="17"/>
      <c r="M6" s="17"/>
      <c r="N6" s="17"/>
      <c r="O6" s="17"/>
      <c r="P6" s="17"/>
      <c r="Q6" s="17"/>
      <c r="R6" s="17"/>
      <c r="S6" s="17"/>
      <c r="T6" s="17"/>
      <c r="U6" s="17"/>
    </row>
    <row r="7" spans="1:21" ht="15" customHeight="1" thickBot="1">
      <c r="A7" s="558"/>
      <c r="B7" s="559" t="s">
        <v>824</v>
      </c>
      <c r="C7" s="559"/>
      <c r="D7" s="559"/>
      <c r="E7" s="559"/>
      <c r="F7" s="559"/>
      <c r="G7" s="559"/>
      <c r="H7" s="559"/>
      <c r="I7" s="559"/>
      <c r="J7" s="559"/>
      <c r="K7" s="559"/>
      <c r="L7" s="559"/>
      <c r="M7" s="559"/>
      <c r="N7" s="559"/>
      <c r="O7" s="559"/>
      <c r="P7" s="559"/>
      <c r="Q7" s="559"/>
      <c r="R7" s="559"/>
      <c r="S7" s="559"/>
      <c r="T7" s="559"/>
      <c r="U7" s="559"/>
    </row>
    <row r="8" spans="1:21" ht="15" customHeight="1">
      <c r="A8" s="119"/>
      <c r="B8" s="120"/>
      <c r="C8" s="120"/>
      <c r="D8" s="120"/>
      <c r="E8" s="120"/>
      <c r="F8" s="120"/>
      <c r="G8" s="120"/>
      <c r="H8" s="120"/>
      <c r="I8" s="120"/>
      <c r="J8" s="120"/>
      <c r="K8" s="120"/>
      <c r="L8" s="120"/>
      <c r="M8" s="120"/>
      <c r="N8" s="120"/>
      <c r="O8" s="120"/>
      <c r="P8" s="120"/>
      <c r="Q8" s="120"/>
      <c r="R8" s="120"/>
      <c r="S8" s="120"/>
      <c r="T8" s="17"/>
      <c r="U8" s="17"/>
    </row>
    <row r="9" spans="1:21" ht="15" customHeight="1">
      <c r="A9" s="395"/>
      <c r="B9" s="395"/>
      <c r="C9" s="395"/>
      <c r="D9" s="395"/>
      <c r="E9" s="395"/>
      <c r="F9" s="395"/>
      <c r="G9" s="395"/>
      <c r="H9" s="395"/>
      <c r="I9" s="395"/>
      <c r="J9" s="395"/>
      <c r="K9" s="395"/>
      <c r="L9" s="395"/>
      <c r="M9" s="395"/>
      <c r="N9" s="395"/>
      <c r="O9" s="395"/>
      <c r="P9" s="395"/>
      <c r="Q9" s="395"/>
      <c r="R9" s="395"/>
      <c r="S9" s="396"/>
      <c r="T9" s="395"/>
      <c r="U9" s="397" t="s">
        <v>16</v>
      </c>
    </row>
    <row r="10" spans="1:21" ht="30" customHeight="1">
      <c r="A10" s="402" t="s">
        <v>825</v>
      </c>
      <c r="B10" s="398" t="s">
        <v>826</v>
      </c>
      <c r="C10" s="398"/>
      <c r="D10" s="398"/>
      <c r="E10" s="398" t="s">
        <v>827</v>
      </c>
      <c r="F10" s="398"/>
      <c r="G10" s="398" t="s">
        <v>4</v>
      </c>
      <c r="H10" s="398" t="s">
        <v>5</v>
      </c>
      <c r="I10" s="398" t="s">
        <v>6</v>
      </c>
      <c r="J10" s="398" t="s">
        <v>7</v>
      </c>
      <c r="K10" s="398" t="s">
        <v>8</v>
      </c>
      <c r="L10" s="398" t="s">
        <v>9</v>
      </c>
      <c r="M10" s="398" t="s">
        <v>10</v>
      </c>
      <c r="N10" s="398" t="s">
        <v>11</v>
      </c>
      <c r="O10" s="398" t="s">
        <v>12</v>
      </c>
      <c r="P10" s="398" t="s">
        <v>13</v>
      </c>
      <c r="Q10" s="398" t="s">
        <v>14</v>
      </c>
      <c r="R10" s="398" t="s">
        <v>15</v>
      </c>
      <c r="S10" s="399"/>
      <c r="T10" s="400"/>
      <c r="U10" s="398"/>
    </row>
    <row r="11" spans="1:21" ht="15" customHeight="1">
      <c r="A11" s="13"/>
      <c r="B11" s="13"/>
      <c r="C11" s="13"/>
      <c r="D11" s="13"/>
      <c r="E11" s="13"/>
      <c r="F11" s="13"/>
      <c r="G11" s="13"/>
      <c r="H11" s="13"/>
      <c r="I11" s="13"/>
      <c r="J11" s="13"/>
      <c r="K11" s="13"/>
      <c r="L11" s="13"/>
      <c r="M11" s="13"/>
      <c r="N11" s="13"/>
      <c r="O11" s="13"/>
      <c r="P11" s="13"/>
      <c r="Q11" s="13"/>
      <c r="R11" s="13"/>
      <c r="S11" s="120"/>
      <c r="T11" s="20"/>
      <c r="U11" s="261">
        <f>SUM(G12:R12)</f>
        <v>18222903999.999989</v>
      </c>
    </row>
    <row r="12" spans="1:21" ht="15" customHeight="1">
      <c r="A12" s="15" t="s">
        <v>828</v>
      </c>
      <c r="B12" s="16" t="s">
        <v>829</v>
      </c>
      <c r="C12" s="16"/>
      <c r="D12" s="16"/>
      <c r="E12" s="15" t="s">
        <v>140</v>
      </c>
      <c r="F12" s="15"/>
      <c r="G12" s="262">
        <v>744929610.00183046</v>
      </c>
      <c r="H12" s="262">
        <v>1417283217.2461691</v>
      </c>
      <c r="I12" s="262">
        <v>1584954398.6908257</v>
      </c>
      <c r="J12" s="262">
        <v>1436763004.8671939</v>
      </c>
      <c r="K12" s="262">
        <v>1612320476.1948967</v>
      </c>
      <c r="L12" s="262">
        <v>1502235498.5128272</v>
      </c>
      <c r="M12" s="262">
        <v>1552338111.0296903</v>
      </c>
      <c r="N12" s="262">
        <v>1534357699.7836356</v>
      </c>
      <c r="O12" s="262">
        <v>1697053712.8761859</v>
      </c>
      <c r="P12" s="262">
        <v>1679816121.4463785</v>
      </c>
      <c r="Q12" s="262">
        <v>1692867022.4232883</v>
      </c>
      <c r="R12" s="262">
        <v>1767985126.9270647</v>
      </c>
      <c r="S12" s="120"/>
      <c r="T12" s="20"/>
      <c r="U12" s="14"/>
    </row>
    <row r="13" spans="1:21" ht="15" customHeight="1">
      <c r="A13" s="15"/>
      <c r="B13" s="16"/>
      <c r="C13" s="16"/>
      <c r="D13" s="16"/>
      <c r="E13" s="15"/>
      <c r="F13" s="15"/>
      <c r="G13" s="14"/>
      <c r="H13" s="14"/>
      <c r="I13" s="14"/>
      <c r="J13" s="14"/>
      <c r="K13" s="14"/>
      <c r="L13" s="14"/>
      <c r="M13" s="14"/>
      <c r="N13" s="14"/>
      <c r="O13" s="14"/>
      <c r="P13" s="14"/>
      <c r="Q13" s="14"/>
      <c r="R13" s="14"/>
      <c r="S13" s="120"/>
      <c r="T13" s="20"/>
      <c r="U13" s="261">
        <f>SUM(G14:R14)</f>
        <v>4555725.9999999963</v>
      </c>
    </row>
    <row r="14" spans="1:21" ht="15" customHeight="1">
      <c r="A14" s="15" t="s">
        <v>828</v>
      </c>
      <c r="B14" s="16" t="s">
        <v>829</v>
      </c>
      <c r="C14" s="16"/>
      <c r="D14" s="16"/>
      <c r="E14" s="15" t="s">
        <v>146</v>
      </c>
      <c r="F14" s="15"/>
      <c r="G14" s="262">
        <v>186232.40250045763</v>
      </c>
      <c r="H14" s="262">
        <v>354320.80431154225</v>
      </c>
      <c r="I14" s="262">
        <v>396238.59967270645</v>
      </c>
      <c r="J14" s="262">
        <v>359190.7512167985</v>
      </c>
      <c r="K14" s="262">
        <v>403080.11904872418</v>
      </c>
      <c r="L14" s="262">
        <v>375558.87462820677</v>
      </c>
      <c r="M14" s="262">
        <v>388084.52775742259</v>
      </c>
      <c r="N14" s="262">
        <v>383589.42494590889</v>
      </c>
      <c r="O14" s="262">
        <v>424263.42821904644</v>
      </c>
      <c r="P14" s="262">
        <v>419954.03036159463</v>
      </c>
      <c r="Q14" s="262">
        <v>423216.75560582208</v>
      </c>
      <c r="R14" s="262">
        <v>441996.28173176618</v>
      </c>
      <c r="S14" s="14"/>
      <c r="T14" s="20"/>
      <c r="U14" s="14"/>
    </row>
    <row r="15" spans="1:21" ht="15" customHeight="1">
      <c r="A15" s="119"/>
      <c r="B15" s="17"/>
      <c r="C15" s="17"/>
      <c r="D15" s="17"/>
      <c r="E15" s="17"/>
      <c r="F15" s="15"/>
      <c r="G15" s="15"/>
      <c r="H15" s="14"/>
      <c r="I15" s="14"/>
      <c r="J15" s="14"/>
      <c r="K15" s="14"/>
      <c r="L15" s="14"/>
      <c r="M15" s="14"/>
      <c r="N15" s="14"/>
      <c r="O15" s="14"/>
      <c r="P15" s="14"/>
      <c r="Q15" s="14"/>
      <c r="R15" s="14"/>
      <c r="S15" s="14"/>
      <c r="T15" s="17"/>
      <c r="U15" s="14"/>
    </row>
    <row r="16" spans="1:21" ht="15" customHeight="1">
      <c r="A16" s="403"/>
      <c r="B16" s="395"/>
      <c r="C16" s="395"/>
      <c r="D16" s="395"/>
      <c r="E16" s="395"/>
      <c r="F16" s="404" t="s">
        <v>830</v>
      </c>
      <c r="G16" s="404"/>
      <c r="H16" s="405"/>
      <c r="I16" s="405"/>
      <c r="J16" s="405"/>
      <c r="K16" s="405"/>
      <c r="L16" s="405"/>
      <c r="M16" s="405"/>
      <c r="N16" s="405"/>
      <c r="O16" s="405"/>
      <c r="P16" s="405"/>
      <c r="Q16" s="405"/>
      <c r="R16" s="405"/>
      <c r="S16" s="405"/>
      <c r="T16" s="395"/>
      <c r="U16" s="405"/>
    </row>
    <row r="17" spans="1:19" ht="15" customHeight="1">
      <c r="A17" s="119"/>
      <c r="B17" s="17"/>
      <c r="C17" s="17"/>
      <c r="D17" s="17" t="s">
        <v>831</v>
      </c>
      <c r="E17" s="17" t="s">
        <v>832</v>
      </c>
      <c r="F17" s="263">
        <f>1/12</f>
        <v>8.3333333333333329E-2</v>
      </c>
      <c r="G17" s="121"/>
      <c r="H17" s="14"/>
      <c r="I17" s="14"/>
      <c r="J17" s="14"/>
      <c r="K17" s="14"/>
      <c r="L17" s="14"/>
      <c r="M17" s="14"/>
      <c r="N17" s="14"/>
      <c r="O17" s="14"/>
      <c r="P17" s="14"/>
      <c r="Q17" s="14"/>
      <c r="R17" s="14"/>
      <c r="S17" s="14"/>
    </row>
    <row r="18" spans="1:19" ht="15" customHeight="1">
      <c r="A18" s="17"/>
      <c r="B18" s="17"/>
      <c r="C18" s="17"/>
      <c r="D18" s="121"/>
      <c r="E18" s="121"/>
      <c r="F18" s="14"/>
      <c r="G18" s="14"/>
      <c r="H18" s="14"/>
      <c r="I18" s="14"/>
      <c r="J18" s="14"/>
      <c r="K18" s="14"/>
      <c r="L18" s="14"/>
      <c r="M18" s="14"/>
      <c r="N18" s="14"/>
      <c r="O18" s="14"/>
      <c r="P18" s="14"/>
      <c r="Q18" s="14"/>
      <c r="R18" s="17"/>
      <c r="S18" s="14"/>
    </row>
    <row r="19" spans="1:19" ht="30" customHeight="1">
      <c r="A19" s="408"/>
      <c r="B19" s="401"/>
      <c r="C19" s="401"/>
      <c r="D19" s="406"/>
      <c r="E19" s="406"/>
      <c r="F19" s="407" t="str">
        <f t="shared" ref="F19:Q19" si="0">G10</f>
        <v>2026-01</v>
      </c>
      <c r="G19" s="407" t="str">
        <f t="shared" si="0"/>
        <v>2026-02</v>
      </c>
      <c r="H19" s="407" t="str">
        <f t="shared" si="0"/>
        <v>2026-03</v>
      </c>
      <c r="I19" s="407" t="str">
        <f t="shared" si="0"/>
        <v>2026-04</v>
      </c>
      <c r="J19" s="407" t="str">
        <f t="shared" si="0"/>
        <v>2026-05</v>
      </c>
      <c r="K19" s="407" t="str">
        <f t="shared" si="0"/>
        <v>2026-06</v>
      </c>
      <c r="L19" s="407" t="str">
        <f t="shared" si="0"/>
        <v>2026-07</v>
      </c>
      <c r="M19" s="407" t="str">
        <f t="shared" si="0"/>
        <v>2026-08</v>
      </c>
      <c r="N19" s="407" t="str">
        <f t="shared" si="0"/>
        <v>2026-09</v>
      </c>
      <c r="O19" s="407" t="str">
        <f t="shared" si="0"/>
        <v>2026-10</v>
      </c>
      <c r="P19" s="407" t="str">
        <f t="shared" si="0"/>
        <v>2026-11</v>
      </c>
      <c r="Q19" s="407" t="str">
        <f t="shared" si="0"/>
        <v>2026-12</v>
      </c>
      <c r="R19" s="401"/>
      <c r="S19" s="407" t="str">
        <f>U9</f>
        <v>Total 2026</v>
      </c>
    </row>
    <row r="20" spans="1:19" ht="15" customHeight="1" thickBot="1">
      <c r="A20" s="560" t="s">
        <v>833</v>
      </c>
      <c r="B20" s="560"/>
      <c r="C20" s="560"/>
      <c r="D20" s="560"/>
      <c r="E20" s="560"/>
      <c r="F20" s="560"/>
      <c r="G20" s="560"/>
      <c r="H20" s="560"/>
      <c r="I20" s="560"/>
      <c r="J20" s="560"/>
      <c r="K20" s="560"/>
      <c r="L20" s="560"/>
      <c r="M20" s="560"/>
      <c r="N20" s="560"/>
      <c r="O20" s="560"/>
      <c r="P20" s="560"/>
      <c r="Q20" s="560"/>
      <c r="R20" s="560"/>
      <c r="S20" s="560"/>
    </row>
    <row r="21" spans="1:19" ht="15" customHeight="1">
      <c r="A21" s="17"/>
      <c r="B21" s="17"/>
      <c r="C21" s="17"/>
      <c r="D21" s="17"/>
      <c r="E21" s="17"/>
      <c r="F21" s="17"/>
      <c r="G21" s="17"/>
      <c r="H21" s="17"/>
      <c r="I21" s="17"/>
      <c r="J21" s="17"/>
      <c r="K21" s="17"/>
      <c r="L21" s="17"/>
      <c r="M21" s="17"/>
      <c r="N21" s="17"/>
      <c r="O21" s="17"/>
      <c r="P21" s="17"/>
      <c r="Q21" s="17"/>
      <c r="R21" s="17"/>
      <c r="S21" s="17"/>
    </row>
    <row r="22" spans="1:19" ht="15" customHeight="1" thickBot="1">
      <c r="A22" s="21" t="s">
        <v>387</v>
      </c>
      <c r="B22" s="21"/>
      <c r="C22" s="21"/>
      <c r="D22" s="21"/>
      <c r="E22" s="21"/>
      <c r="F22" s="264">
        <f t="shared" ref="F22:Q22" si="1">G12</f>
        <v>744929610.00183046</v>
      </c>
      <c r="G22" s="264">
        <f t="shared" si="1"/>
        <v>1417283217.2461691</v>
      </c>
      <c r="H22" s="264">
        <f t="shared" si="1"/>
        <v>1584954398.6908257</v>
      </c>
      <c r="I22" s="264">
        <f t="shared" si="1"/>
        <v>1436763004.8671939</v>
      </c>
      <c r="J22" s="264">
        <f t="shared" si="1"/>
        <v>1612320476.1948967</v>
      </c>
      <c r="K22" s="264">
        <f t="shared" si="1"/>
        <v>1502235498.5128272</v>
      </c>
      <c r="L22" s="264">
        <f t="shared" si="1"/>
        <v>1552338111.0296903</v>
      </c>
      <c r="M22" s="264">
        <f t="shared" si="1"/>
        <v>1534357699.7836356</v>
      </c>
      <c r="N22" s="264">
        <f t="shared" si="1"/>
        <v>1697053712.8761859</v>
      </c>
      <c r="O22" s="264">
        <f t="shared" si="1"/>
        <v>1679816121.4463785</v>
      </c>
      <c r="P22" s="264">
        <f t="shared" si="1"/>
        <v>1692867022.4232883</v>
      </c>
      <c r="Q22" s="264">
        <f t="shared" si="1"/>
        <v>1767985126.9270647</v>
      </c>
      <c r="R22" s="17"/>
      <c r="S22" s="264">
        <f>SUM(F22:Q22)</f>
        <v>18222903999.999989</v>
      </c>
    </row>
    <row r="23" spans="1:19" ht="15" customHeight="1">
      <c r="A23" s="17"/>
      <c r="B23" s="17"/>
      <c r="C23" s="17"/>
      <c r="D23" s="17"/>
      <c r="E23" s="17"/>
      <c r="F23" s="17"/>
      <c r="G23" s="17"/>
      <c r="H23" s="17"/>
      <c r="I23" s="17"/>
      <c r="J23" s="17"/>
      <c r="K23" s="17"/>
      <c r="L23" s="17"/>
      <c r="M23" s="17"/>
      <c r="N23" s="17"/>
      <c r="O23" s="17"/>
      <c r="P23" s="17"/>
      <c r="Q23" s="17"/>
      <c r="R23" s="17"/>
      <c r="S23" s="17"/>
    </row>
    <row r="24" spans="1:19" ht="15" customHeight="1">
      <c r="A24" s="395"/>
      <c r="B24" s="395"/>
      <c r="C24" s="395"/>
      <c r="D24" s="395" t="s">
        <v>291</v>
      </c>
      <c r="E24" s="395"/>
      <c r="F24" s="395"/>
      <c r="G24" s="395"/>
      <c r="H24" s="395"/>
      <c r="I24" s="395"/>
      <c r="J24" s="395"/>
      <c r="K24" s="395"/>
      <c r="L24" s="395"/>
      <c r="M24" s="395"/>
      <c r="N24" s="395"/>
      <c r="O24" s="395"/>
      <c r="P24" s="395"/>
      <c r="Q24" s="395"/>
      <c r="R24" s="395"/>
      <c r="S24" s="395"/>
    </row>
    <row r="25" spans="1:19" ht="15" customHeight="1" thickBot="1">
      <c r="A25" s="21" t="s">
        <v>153</v>
      </c>
      <c r="B25" s="265">
        <v>5086003306.1800003</v>
      </c>
      <c r="C25" s="264">
        <f>B25*(1+$H$5)</f>
        <v>5345389474.7951803</v>
      </c>
      <c r="D25" s="21"/>
      <c r="E25" s="21"/>
      <c r="F25" s="264">
        <f t="shared" ref="F25:Q27" si="2">$C25*$F$17</f>
        <v>445449122.89959836</v>
      </c>
      <c r="G25" s="264">
        <f t="shared" si="2"/>
        <v>445449122.89959836</v>
      </c>
      <c r="H25" s="264">
        <f t="shared" si="2"/>
        <v>445449122.89959836</v>
      </c>
      <c r="I25" s="264">
        <f t="shared" si="2"/>
        <v>445449122.89959836</v>
      </c>
      <c r="J25" s="264">
        <f t="shared" si="2"/>
        <v>445449122.89959836</v>
      </c>
      <c r="K25" s="264">
        <f t="shared" si="2"/>
        <v>445449122.89959836</v>
      </c>
      <c r="L25" s="264">
        <f t="shared" si="2"/>
        <v>445449122.89959836</v>
      </c>
      <c r="M25" s="264">
        <f t="shared" si="2"/>
        <v>445449122.89959836</v>
      </c>
      <c r="N25" s="264">
        <f t="shared" si="2"/>
        <v>445449122.89959836</v>
      </c>
      <c r="O25" s="264">
        <f t="shared" si="2"/>
        <v>445449122.89959836</v>
      </c>
      <c r="P25" s="264">
        <f t="shared" si="2"/>
        <v>445449122.89959836</v>
      </c>
      <c r="Q25" s="264">
        <f t="shared" si="2"/>
        <v>445449122.89959836</v>
      </c>
      <c r="R25" s="17"/>
      <c r="S25" s="264">
        <f>SUM(F25:Q25)</f>
        <v>5345389474.7951784</v>
      </c>
    </row>
    <row r="26" spans="1:19" ht="15" customHeight="1">
      <c r="A26" s="17" t="s">
        <v>834</v>
      </c>
      <c r="B26" s="260">
        <v>3096729028.02</v>
      </c>
      <c r="C26" s="266">
        <f>B26*(1+$H$5)</f>
        <v>3254662208.4490199</v>
      </c>
      <c r="D26" s="18"/>
      <c r="E26" s="18"/>
      <c r="F26" s="266">
        <f t="shared" si="2"/>
        <v>271221850.70408499</v>
      </c>
      <c r="G26" s="266">
        <f t="shared" si="2"/>
        <v>271221850.70408499</v>
      </c>
      <c r="H26" s="266">
        <f t="shared" si="2"/>
        <v>271221850.70408499</v>
      </c>
      <c r="I26" s="266">
        <f t="shared" si="2"/>
        <v>271221850.70408499</v>
      </c>
      <c r="J26" s="266">
        <f t="shared" si="2"/>
        <v>271221850.70408499</v>
      </c>
      <c r="K26" s="266">
        <f t="shared" si="2"/>
        <v>271221850.70408499</v>
      </c>
      <c r="L26" s="266">
        <f t="shared" si="2"/>
        <v>271221850.70408499</v>
      </c>
      <c r="M26" s="266">
        <f t="shared" si="2"/>
        <v>271221850.70408499</v>
      </c>
      <c r="N26" s="266">
        <f t="shared" si="2"/>
        <v>271221850.70408499</v>
      </c>
      <c r="O26" s="266">
        <f t="shared" si="2"/>
        <v>271221850.70408499</v>
      </c>
      <c r="P26" s="266">
        <f t="shared" si="2"/>
        <v>271221850.70408499</v>
      </c>
      <c r="Q26" s="266">
        <f t="shared" si="2"/>
        <v>271221850.70408499</v>
      </c>
      <c r="R26" s="17"/>
      <c r="S26" s="266">
        <f>SUM(F26:Q26)</f>
        <v>3254662208.449019</v>
      </c>
    </row>
    <row r="27" spans="1:19" ht="15" customHeight="1">
      <c r="A27" s="17" t="s">
        <v>835</v>
      </c>
      <c r="B27" s="260">
        <v>1989274278.1600001</v>
      </c>
      <c r="C27" s="266">
        <f>B27*(1+$H$5)</f>
        <v>2090727266.3461599</v>
      </c>
      <c r="D27" s="18"/>
      <c r="E27" s="18"/>
      <c r="F27" s="266">
        <f t="shared" si="2"/>
        <v>174227272.19551331</v>
      </c>
      <c r="G27" s="266">
        <f t="shared" si="2"/>
        <v>174227272.19551331</v>
      </c>
      <c r="H27" s="266">
        <f t="shared" si="2"/>
        <v>174227272.19551331</v>
      </c>
      <c r="I27" s="266">
        <f t="shared" si="2"/>
        <v>174227272.19551331</v>
      </c>
      <c r="J27" s="266">
        <f t="shared" si="2"/>
        <v>174227272.19551331</v>
      </c>
      <c r="K27" s="266">
        <f t="shared" si="2"/>
        <v>174227272.19551331</v>
      </c>
      <c r="L27" s="266">
        <f t="shared" si="2"/>
        <v>174227272.19551331</v>
      </c>
      <c r="M27" s="266">
        <f t="shared" si="2"/>
        <v>174227272.19551331</v>
      </c>
      <c r="N27" s="266">
        <f t="shared" si="2"/>
        <v>174227272.19551331</v>
      </c>
      <c r="O27" s="266">
        <f t="shared" si="2"/>
        <v>174227272.19551331</v>
      </c>
      <c r="P27" s="266">
        <f t="shared" si="2"/>
        <v>174227272.19551331</v>
      </c>
      <c r="Q27" s="266">
        <f t="shared" si="2"/>
        <v>174227272.19551331</v>
      </c>
      <c r="R27" s="17"/>
      <c r="S27" s="266">
        <f>SUM(F27:Q27)</f>
        <v>2090727266.3461592</v>
      </c>
    </row>
    <row r="28" spans="1:19" ht="15" customHeight="1">
      <c r="A28" s="17"/>
      <c r="B28" s="17"/>
      <c r="C28" s="17"/>
      <c r="D28" s="18"/>
      <c r="E28" s="18"/>
      <c r="F28" s="17"/>
      <c r="G28" s="17"/>
      <c r="H28" s="17"/>
      <c r="I28" s="17"/>
      <c r="J28" s="17"/>
      <c r="K28" s="17"/>
      <c r="L28" s="17"/>
      <c r="M28" s="17"/>
      <c r="N28" s="17"/>
      <c r="O28" s="17"/>
      <c r="P28" s="17"/>
      <c r="Q28" s="17"/>
      <c r="R28" s="17"/>
      <c r="S28" s="17"/>
    </row>
    <row r="29" spans="1:19" ht="15" customHeight="1" thickBot="1">
      <c r="A29" s="22" t="s">
        <v>388</v>
      </c>
      <c r="B29" s="22"/>
      <c r="C29" s="22"/>
      <c r="D29" s="23"/>
      <c r="E29" s="23"/>
      <c r="F29" s="267">
        <f t="shared" ref="F29:Q29" si="3">F22-F26-F27</f>
        <v>299480487.10223216</v>
      </c>
      <c r="G29" s="267">
        <f t="shared" si="3"/>
        <v>971834094.34657097</v>
      </c>
      <c r="H29" s="267">
        <f t="shared" si="3"/>
        <v>1139505275.7912273</v>
      </c>
      <c r="I29" s="267">
        <f t="shared" si="3"/>
        <v>991313881.96759558</v>
      </c>
      <c r="J29" s="267">
        <f t="shared" si="3"/>
        <v>1166871353.2952986</v>
      </c>
      <c r="K29" s="267">
        <f t="shared" si="3"/>
        <v>1056786375.6132288</v>
      </c>
      <c r="L29" s="267">
        <f t="shared" si="3"/>
        <v>1106888988.1300921</v>
      </c>
      <c r="M29" s="267">
        <f t="shared" si="3"/>
        <v>1088908576.8840375</v>
      </c>
      <c r="N29" s="267">
        <f t="shared" si="3"/>
        <v>1251604589.9765878</v>
      </c>
      <c r="O29" s="267">
        <f t="shared" si="3"/>
        <v>1234366998.5467801</v>
      </c>
      <c r="P29" s="267">
        <f t="shared" si="3"/>
        <v>1247417899.5236902</v>
      </c>
      <c r="Q29" s="267">
        <f t="shared" si="3"/>
        <v>1322536004.0274663</v>
      </c>
      <c r="R29" s="22"/>
      <c r="S29" s="267">
        <f>SUM(F29:Q29)</f>
        <v>12877514525.204803</v>
      </c>
    </row>
    <row r="30" spans="1:19" ht="15" customHeight="1" thickTop="1">
      <c r="A30" s="24"/>
      <c r="B30" s="24"/>
      <c r="C30" s="24"/>
      <c r="D30" s="25"/>
      <c r="E30" s="25"/>
      <c r="F30" s="24"/>
      <c r="G30" s="24"/>
      <c r="H30" s="24"/>
      <c r="I30" s="24"/>
      <c r="J30" s="24"/>
      <c r="K30" s="24"/>
      <c r="L30" s="24"/>
      <c r="M30" s="24"/>
      <c r="N30" s="24"/>
      <c r="O30" s="24"/>
      <c r="P30" s="24"/>
      <c r="Q30" s="24"/>
      <c r="R30" s="24"/>
      <c r="S30" s="24"/>
    </row>
    <row r="31" spans="1:19" ht="15" customHeight="1">
      <c r="A31" s="17"/>
      <c r="B31" s="17"/>
      <c r="C31" s="17"/>
      <c r="D31" s="18"/>
      <c r="E31" s="18"/>
      <c r="F31" s="17"/>
      <c r="G31" s="17"/>
      <c r="H31" s="17"/>
      <c r="I31" s="17"/>
      <c r="J31" s="17"/>
      <c r="K31" s="17"/>
      <c r="L31" s="17"/>
      <c r="M31" s="17"/>
      <c r="N31" s="17"/>
      <c r="O31" s="17"/>
      <c r="P31" s="17"/>
      <c r="Q31" s="17"/>
      <c r="R31" s="17"/>
      <c r="S31" s="17"/>
    </row>
    <row r="32" spans="1:19" ht="15" customHeight="1" thickBot="1">
      <c r="A32" s="21" t="s">
        <v>836</v>
      </c>
      <c r="B32" s="265">
        <v>1532031934.03</v>
      </c>
      <c r="C32" s="264">
        <f>B32*(1+$H$5)</f>
        <v>1610165562.66553</v>
      </c>
      <c r="D32" s="21"/>
      <c r="E32" s="21"/>
      <c r="F32" s="264">
        <f t="shared" ref="F32:Q34" si="4">$C32*$F$17</f>
        <v>134180463.55546083</v>
      </c>
      <c r="G32" s="264">
        <f t="shared" si="4"/>
        <v>134180463.55546083</v>
      </c>
      <c r="H32" s="264">
        <f t="shared" si="4"/>
        <v>134180463.55546083</v>
      </c>
      <c r="I32" s="264">
        <f t="shared" si="4"/>
        <v>134180463.55546083</v>
      </c>
      <c r="J32" s="264">
        <f t="shared" si="4"/>
        <v>134180463.55546083</v>
      </c>
      <c r="K32" s="264">
        <f t="shared" si="4"/>
        <v>134180463.55546083</v>
      </c>
      <c r="L32" s="264">
        <f t="shared" si="4"/>
        <v>134180463.55546083</v>
      </c>
      <c r="M32" s="264">
        <f t="shared" si="4"/>
        <v>134180463.55546083</v>
      </c>
      <c r="N32" s="264">
        <f t="shared" si="4"/>
        <v>134180463.55546083</v>
      </c>
      <c r="O32" s="264">
        <f t="shared" si="4"/>
        <v>134180463.55546083</v>
      </c>
      <c r="P32" s="264">
        <f t="shared" si="4"/>
        <v>134180463.55546083</v>
      </c>
      <c r="Q32" s="264">
        <f t="shared" si="4"/>
        <v>134180463.55546083</v>
      </c>
      <c r="R32" s="17"/>
      <c r="S32" s="264">
        <f t="shared" ref="S32:S45" si="5">SUM(F32:Q32)</f>
        <v>1610165562.6655302</v>
      </c>
    </row>
    <row r="33" spans="1:19" ht="15" customHeight="1">
      <c r="A33" s="17" t="s">
        <v>837</v>
      </c>
      <c r="B33" s="260">
        <v>705937048</v>
      </c>
      <c r="C33" s="266">
        <f>B33*(1+$H$5)</f>
        <v>741939837.44799995</v>
      </c>
      <c r="D33" s="259">
        <v>0.46</v>
      </c>
      <c r="E33" s="18"/>
      <c r="F33" s="266">
        <f t="shared" si="4"/>
        <v>61828319.787333325</v>
      </c>
      <c r="G33" s="266">
        <f t="shared" si="4"/>
        <v>61828319.787333325</v>
      </c>
      <c r="H33" s="266">
        <f t="shared" si="4"/>
        <v>61828319.787333325</v>
      </c>
      <c r="I33" s="266">
        <f t="shared" si="4"/>
        <v>61828319.787333325</v>
      </c>
      <c r="J33" s="266">
        <f t="shared" si="4"/>
        <v>61828319.787333325</v>
      </c>
      <c r="K33" s="266">
        <f t="shared" si="4"/>
        <v>61828319.787333325</v>
      </c>
      <c r="L33" s="266">
        <f t="shared" si="4"/>
        <v>61828319.787333325</v>
      </c>
      <c r="M33" s="266">
        <f t="shared" si="4"/>
        <v>61828319.787333325</v>
      </c>
      <c r="N33" s="266">
        <f t="shared" si="4"/>
        <v>61828319.787333325</v>
      </c>
      <c r="O33" s="266">
        <f t="shared" si="4"/>
        <v>61828319.787333325</v>
      </c>
      <c r="P33" s="266">
        <f t="shared" si="4"/>
        <v>61828319.787333325</v>
      </c>
      <c r="Q33" s="266">
        <f t="shared" si="4"/>
        <v>61828319.787333325</v>
      </c>
      <c r="R33" s="17"/>
      <c r="S33" s="266">
        <f t="shared" si="5"/>
        <v>741939837.44799995</v>
      </c>
    </row>
    <row r="34" spans="1:19" ht="15" customHeight="1">
      <c r="A34" s="17" t="s">
        <v>838</v>
      </c>
      <c r="B34" s="260">
        <v>826094886.02999997</v>
      </c>
      <c r="C34" s="266">
        <f>B34*(1+$H$5)</f>
        <v>868225725.21752989</v>
      </c>
      <c r="D34" s="18"/>
      <c r="E34" s="18"/>
      <c r="F34" s="266">
        <f t="shared" si="4"/>
        <v>72352143.768127486</v>
      </c>
      <c r="G34" s="266">
        <f t="shared" si="4"/>
        <v>72352143.768127486</v>
      </c>
      <c r="H34" s="266">
        <f t="shared" si="4"/>
        <v>72352143.768127486</v>
      </c>
      <c r="I34" s="266">
        <f t="shared" si="4"/>
        <v>72352143.768127486</v>
      </c>
      <c r="J34" s="266">
        <f t="shared" si="4"/>
        <v>72352143.768127486</v>
      </c>
      <c r="K34" s="266">
        <f t="shared" si="4"/>
        <v>72352143.768127486</v>
      </c>
      <c r="L34" s="266">
        <f t="shared" si="4"/>
        <v>72352143.768127486</v>
      </c>
      <c r="M34" s="266">
        <f t="shared" si="4"/>
        <v>72352143.768127486</v>
      </c>
      <c r="N34" s="266">
        <f t="shared" si="4"/>
        <v>72352143.768127486</v>
      </c>
      <c r="O34" s="266">
        <f t="shared" si="4"/>
        <v>72352143.768127486</v>
      </c>
      <c r="P34" s="266">
        <f t="shared" si="4"/>
        <v>72352143.768127486</v>
      </c>
      <c r="Q34" s="266">
        <f t="shared" si="4"/>
        <v>72352143.768127486</v>
      </c>
      <c r="R34" s="17"/>
      <c r="S34" s="266">
        <f t="shared" si="5"/>
        <v>868225725.21752965</v>
      </c>
    </row>
    <row r="35" spans="1:19" ht="15" customHeight="1">
      <c r="A35" s="17"/>
      <c r="B35" s="17"/>
      <c r="C35" s="17"/>
      <c r="D35" s="18"/>
      <c r="E35" s="18"/>
      <c r="F35" s="17"/>
      <c r="G35" s="17"/>
      <c r="H35" s="17"/>
      <c r="I35" s="17"/>
      <c r="J35" s="17"/>
      <c r="K35" s="17"/>
      <c r="L35" s="17"/>
      <c r="M35" s="17"/>
      <c r="N35" s="17"/>
      <c r="O35" s="17"/>
      <c r="P35" s="17"/>
      <c r="Q35" s="17"/>
      <c r="R35" s="17"/>
      <c r="S35" s="266">
        <f t="shared" si="5"/>
        <v>0</v>
      </c>
    </row>
    <row r="36" spans="1:19" ht="15" customHeight="1">
      <c r="A36" s="17"/>
      <c r="B36" s="17"/>
      <c r="C36" s="17"/>
      <c r="D36" s="18"/>
      <c r="E36" s="18"/>
      <c r="F36" s="17"/>
      <c r="G36" s="17"/>
      <c r="H36" s="17"/>
      <c r="I36" s="17"/>
      <c r="J36" s="17"/>
      <c r="K36" s="17"/>
      <c r="L36" s="17"/>
      <c r="M36" s="17"/>
      <c r="N36" s="17"/>
      <c r="O36" s="17"/>
      <c r="P36" s="17"/>
      <c r="Q36" s="17"/>
      <c r="R36" s="17"/>
      <c r="S36" s="266">
        <f t="shared" si="5"/>
        <v>0</v>
      </c>
    </row>
    <row r="37" spans="1:19" ht="15" customHeight="1" thickBot="1">
      <c r="A37" s="21" t="s">
        <v>839</v>
      </c>
      <c r="B37" s="265">
        <v>2466693346.5799999</v>
      </c>
      <c r="C37" s="264">
        <f>B37*(1+$H$5)</f>
        <v>2592494707.2555799</v>
      </c>
      <c r="D37" s="21"/>
      <c r="E37" s="21"/>
      <c r="F37" s="264">
        <f t="shared" ref="F37:Q40" si="6">$C37*$F$17</f>
        <v>216041225.60463166</v>
      </c>
      <c r="G37" s="264">
        <f t="shared" si="6"/>
        <v>216041225.60463166</v>
      </c>
      <c r="H37" s="264">
        <f t="shared" si="6"/>
        <v>216041225.60463166</v>
      </c>
      <c r="I37" s="264">
        <f t="shared" si="6"/>
        <v>216041225.60463166</v>
      </c>
      <c r="J37" s="264">
        <f t="shared" si="6"/>
        <v>216041225.60463166</v>
      </c>
      <c r="K37" s="264">
        <f t="shared" si="6"/>
        <v>216041225.60463166</v>
      </c>
      <c r="L37" s="264">
        <f t="shared" si="6"/>
        <v>216041225.60463166</v>
      </c>
      <c r="M37" s="264">
        <f t="shared" si="6"/>
        <v>216041225.60463166</v>
      </c>
      <c r="N37" s="264">
        <f t="shared" si="6"/>
        <v>216041225.60463166</v>
      </c>
      <c r="O37" s="264">
        <f t="shared" si="6"/>
        <v>216041225.60463166</v>
      </c>
      <c r="P37" s="264">
        <f t="shared" si="6"/>
        <v>216041225.60463166</v>
      </c>
      <c r="Q37" s="264">
        <f t="shared" si="6"/>
        <v>216041225.60463166</v>
      </c>
      <c r="R37" s="17"/>
      <c r="S37" s="264">
        <f t="shared" si="5"/>
        <v>2592494707.2555799</v>
      </c>
    </row>
    <row r="38" spans="1:19" ht="15" customHeight="1">
      <c r="A38" s="17" t="s">
        <v>837</v>
      </c>
      <c r="B38" s="260">
        <v>1099685429</v>
      </c>
      <c r="C38" s="266">
        <f>B38*(1+$H$5)</f>
        <v>1155769385.8789999</v>
      </c>
      <c r="D38" s="17"/>
      <c r="E38" s="17"/>
      <c r="F38" s="266">
        <f t="shared" si="6"/>
        <v>96314115.489916652</v>
      </c>
      <c r="G38" s="266">
        <f t="shared" si="6"/>
        <v>96314115.489916652</v>
      </c>
      <c r="H38" s="266">
        <f t="shared" si="6"/>
        <v>96314115.489916652</v>
      </c>
      <c r="I38" s="266">
        <f t="shared" si="6"/>
        <v>96314115.489916652</v>
      </c>
      <c r="J38" s="266">
        <f t="shared" si="6"/>
        <v>96314115.489916652</v>
      </c>
      <c r="K38" s="266">
        <f t="shared" si="6"/>
        <v>96314115.489916652</v>
      </c>
      <c r="L38" s="266">
        <f t="shared" si="6"/>
        <v>96314115.489916652</v>
      </c>
      <c r="M38" s="266">
        <f t="shared" si="6"/>
        <v>96314115.489916652</v>
      </c>
      <c r="N38" s="266">
        <f t="shared" si="6"/>
        <v>96314115.489916652</v>
      </c>
      <c r="O38" s="266">
        <f t="shared" si="6"/>
        <v>96314115.489916652</v>
      </c>
      <c r="P38" s="266">
        <f t="shared" si="6"/>
        <v>96314115.489916652</v>
      </c>
      <c r="Q38" s="266">
        <f t="shared" si="6"/>
        <v>96314115.489916652</v>
      </c>
      <c r="R38" s="17"/>
      <c r="S38" s="266">
        <f t="shared" si="5"/>
        <v>1155769385.8789999</v>
      </c>
    </row>
    <row r="39" spans="1:19" ht="15" customHeight="1">
      <c r="A39" s="17" t="s">
        <v>840</v>
      </c>
      <c r="B39" s="260">
        <v>464890680.93000001</v>
      </c>
      <c r="C39" s="266">
        <f>B39*(1+$H$5)</f>
        <v>488600105.65742999</v>
      </c>
      <c r="D39" s="17"/>
      <c r="E39" s="17"/>
      <c r="F39" s="266">
        <f t="shared" si="6"/>
        <v>40716675.471452497</v>
      </c>
      <c r="G39" s="266">
        <f t="shared" si="6"/>
        <v>40716675.471452497</v>
      </c>
      <c r="H39" s="266">
        <f t="shared" si="6"/>
        <v>40716675.471452497</v>
      </c>
      <c r="I39" s="266">
        <f t="shared" si="6"/>
        <v>40716675.471452497</v>
      </c>
      <c r="J39" s="266">
        <f t="shared" si="6"/>
        <v>40716675.471452497</v>
      </c>
      <c r="K39" s="266">
        <f t="shared" si="6"/>
        <v>40716675.471452497</v>
      </c>
      <c r="L39" s="266">
        <f t="shared" si="6"/>
        <v>40716675.471452497</v>
      </c>
      <c r="M39" s="266">
        <f t="shared" si="6"/>
        <v>40716675.471452497</v>
      </c>
      <c r="N39" s="266">
        <f t="shared" si="6"/>
        <v>40716675.471452497</v>
      </c>
      <c r="O39" s="266">
        <f t="shared" si="6"/>
        <v>40716675.471452497</v>
      </c>
      <c r="P39" s="266">
        <f t="shared" si="6"/>
        <v>40716675.471452497</v>
      </c>
      <c r="Q39" s="266">
        <f t="shared" si="6"/>
        <v>40716675.471452497</v>
      </c>
      <c r="R39" s="17"/>
      <c r="S39" s="266">
        <f t="shared" si="5"/>
        <v>488600105.65742987</v>
      </c>
    </row>
    <row r="40" spans="1:19" ht="15" customHeight="1">
      <c r="A40" s="17" t="s">
        <v>841</v>
      </c>
      <c r="B40" s="260">
        <v>902117236.64999998</v>
      </c>
      <c r="C40" s="266">
        <f>B40*(1+$H$5)</f>
        <v>948125215.71914995</v>
      </c>
      <c r="D40" s="17"/>
      <c r="E40" s="17"/>
      <c r="F40" s="266">
        <f t="shared" si="6"/>
        <v>79010434.643262491</v>
      </c>
      <c r="G40" s="266">
        <f t="shared" si="6"/>
        <v>79010434.643262491</v>
      </c>
      <c r="H40" s="266">
        <f t="shared" si="6"/>
        <v>79010434.643262491</v>
      </c>
      <c r="I40" s="266">
        <f t="shared" si="6"/>
        <v>79010434.643262491</v>
      </c>
      <c r="J40" s="266">
        <f t="shared" si="6"/>
        <v>79010434.643262491</v>
      </c>
      <c r="K40" s="266">
        <f t="shared" si="6"/>
        <v>79010434.643262491</v>
      </c>
      <c r="L40" s="266">
        <f t="shared" si="6"/>
        <v>79010434.643262491</v>
      </c>
      <c r="M40" s="266">
        <f t="shared" si="6"/>
        <v>79010434.643262491</v>
      </c>
      <c r="N40" s="266">
        <f t="shared" si="6"/>
        <v>79010434.643262491</v>
      </c>
      <c r="O40" s="266">
        <f t="shared" si="6"/>
        <v>79010434.643262491</v>
      </c>
      <c r="P40" s="266">
        <f t="shared" si="6"/>
        <v>79010434.643262491</v>
      </c>
      <c r="Q40" s="266">
        <f t="shared" si="6"/>
        <v>79010434.643262491</v>
      </c>
      <c r="R40" s="17"/>
      <c r="S40" s="266">
        <f t="shared" si="5"/>
        <v>948125215.71914995</v>
      </c>
    </row>
    <row r="41" spans="1:19" ht="15" customHeight="1">
      <c r="A41" s="17"/>
      <c r="B41" s="17"/>
      <c r="C41" s="17"/>
      <c r="D41" s="17"/>
      <c r="E41" s="17"/>
      <c r="F41" s="17"/>
      <c r="G41" s="17"/>
      <c r="H41" s="17"/>
      <c r="I41" s="17"/>
      <c r="J41" s="17"/>
      <c r="K41" s="17"/>
      <c r="L41" s="17"/>
      <c r="M41" s="17"/>
      <c r="N41" s="17"/>
      <c r="O41" s="17"/>
      <c r="P41" s="17"/>
      <c r="Q41" s="17"/>
      <c r="R41" s="17"/>
      <c r="S41" s="266">
        <f t="shared" si="5"/>
        <v>0</v>
      </c>
    </row>
    <row r="42" spans="1:19" ht="15" customHeight="1" thickBot="1">
      <c r="A42" s="22" t="s">
        <v>842</v>
      </c>
      <c r="B42" s="22"/>
      <c r="C42" s="22"/>
      <c r="D42" s="23"/>
      <c r="E42" s="23"/>
      <c r="F42" s="267">
        <f t="shared" ref="F42:Q42" si="7">F29-F32-F37</f>
        <v>-50741202.057860315</v>
      </c>
      <c r="G42" s="267">
        <f t="shared" si="7"/>
        <v>621612405.1864785</v>
      </c>
      <c r="H42" s="267">
        <f t="shared" si="7"/>
        <v>789283586.63113487</v>
      </c>
      <c r="I42" s="267">
        <f t="shared" si="7"/>
        <v>641092192.8075031</v>
      </c>
      <c r="J42" s="267">
        <f t="shared" si="7"/>
        <v>816649664.1352061</v>
      </c>
      <c r="K42" s="267">
        <f t="shared" si="7"/>
        <v>706564686.45313632</v>
      </c>
      <c r="L42" s="267">
        <f t="shared" si="7"/>
        <v>756667298.96999967</v>
      </c>
      <c r="M42" s="267">
        <f t="shared" si="7"/>
        <v>738686887.72394502</v>
      </c>
      <c r="N42" s="267">
        <f t="shared" si="7"/>
        <v>901382900.81649518</v>
      </c>
      <c r="O42" s="267">
        <f t="shared" si="7"/>
        <v>884145309.38668752</v>
      </c>
      <c r="P42" s="267">
        <f t="shared" si="7"/>
        <v>897196210.36359763</v>
      </c>
      <c r="Q42" s="267">
        <f t="shared" si="7"/>
        <v>972314314.8673737</v>
      </c>
      <c r="R42" s="22"/>
      <c r="S42" s="267">
        <f t="shared" si="5"/>
        <v>8674854255.2836971</v>
      </c>
    </row>
    <row r="43" spans="1:19" ht="15" customHeight="1" thickTop="1">
      <c r="A43" s="24"/>
      <c r="B43" s="24"/>
      <c r="C43" s="24"/>
      <c r="D43" s="24"/>
      <c r="E43" s="24"/>
      <c r="F43" s="24"/>
      <c r="G43" s="24"/>
      <c r="H43" s="24"/>
      <c r="I43" s="24"/>
      <c r="J43" s="24"/>
      <c r="K43" s="24"/>
      <c r="L43" s="24"/>
      <c r="M43" s="24"/>
      <c r="N43" s="24"/>
      <c r="O43" s="24"/>
      <c r="P43" s="24"/>
      <c r="Q43" s="24"/>
      <c r="R43" s="24"/>
      <c r="S43" s="268">
        <f t="shared" si="5"/>
        <v>0</v>
      </c>
    </row>
    <row r="44" spans="1:19" ht="15" customHeight="1">
      <c r="A44" s="17" t="s">
        <v>163</v>
      </c>
      <c r="B44" s="260">
        <v>36272910.75</v>
      </c>
      <c r="C44" s="266">
        <f>B44*(1+$H$5)</f>
        <v>38122829.198249996</v>
      </c>
      <c r="D44" s="17"/>
      <c r="E44" s="17"/>
      <c r="F44" s="266">
        <f t="shared" ref="F44:Q45" si="8">$C44*$F$17</f>
        <v>3176902.4331874996</v>
      </c>
      <c r="G44" s="266">
        <f t="shared" si="8"/>
        <v>3176902.4331874996</v>
      </c>
      <c r="H44" s="266">
        <f t="shared" si="8"/>
        <v>3176902.4331874996</v>
      </c>
      <c r="I44" s="266">
        <f t="shared" si="8"/>
        <v>3176902.4331874996</v>
      </c>
      <c r="J44" s="266">
        <f t="shared" si="8"/>
        <v>3176902.4331874996</v>
      </c>
      <c r="K44" s="266">
        <f t="shared" si="8"/>
        <v>3176902.4331874996</v>
      </c>
      <c r="L44" s="266">
        <f t="shared" si="8"/>
        <v>3176902.4331874996</v>
      </c>
      <c r="M44" s="266">
        <f t="shared" si="8"/>
        <v>3176902.4331874996</v>
      </c>
      <c r="N44" s="266">
        <f t="shared" si="8"/>
        <v>3176902.4331874996</v>
      </c>
      <c r="O44" s="266">
        <f t="shared" si="8"/>
        <v>3176902.4331874996</v>
      </c>
      <c r="P44" s="266">
        <f t="shared" si="8"/>
        <v>3176902.4331874996</v>
      </c>
      <c r="Q44" s="266">
        <f t="shared" si="8"/>
        <v>3176902.4331874996</v>
      </c>
      <c r="R44" s="17"/>
      <c r="S44" s="266">
        <f t="shared" si="5"/>
        <v>38122829.198249996</v>
      </c>
    </row>
    <row r="45" spans="1:19" ht="15" customHeight="1">
      <c r="A45" s="17" t="s">
        <v>165</v>
      </c>
      <c r="B45" s="260">
        <v>92043202.040000007</v>
      </c>
      <c r="C45" s="266">
        <f>B45*(1+$H$5)</f>
        <v>96737405.344040006</v>
      </c>
      <c r="D45" s="17"/>
      <c r="E45" s="17"/>
      <c r="F45" s="266">
        <f t="shared" si="8"/>
        <v>8061450.4453366669</v>
      </c>
      <c r="G45" s="266">
        <f t="shared" si="8"/>
        <v>8061450.4453366669</v>
      </c>
      <c r="H45" s="266">
        <f t="shared" si="8"/>
        <v>8061450.4453366669</v>
      </c>
      <c r="I45" s="266">
        <f t="shared" si="8"/>
        <v>8061450.4453366669</v>
      </c>
      <c r="J45" s="266">
        <f t="shared" si="8"/>
        <v>8061450.4453366669</v>
      </c>
      <c r="K45" s="266">
        <f t="shared" si="8"/>
        <v>8061450.4453366669</v>
      </c>
      <c r="L45" s="266">
        <f t="shared" si="8"/>
        <v>8061450.4453366669</v>
      </c>
      <c r="M45" s="266">
        <f t="shared" si="8"/>
        <v>8061450.4453366669</v>
      </c>
      <c r="N45" s="266">
        <f t="shared" si="8"/>
        <v>8061450.4453366669</v>
      </c>
      <c r="O45" s="266">
        <f t="shared" si="8"/>
        <v>8061450.4453366669</v>
      </c>
      <c r="P45" s="266">
        <f t="shared" si="8"/>
        <v>8061450.4453366669</v>
      </c>
      <c r="Q45" s="266">
        <f t="shared" si="8"/>
        <v>8061450.4453366669</v>
      </c>
      <c r="R45" s="17"/>
      <c r="S45" s="266">
        <f t="shared" si="5"/>
        <v>96737405.344040021</v>
      </c>
    </row>
    <row r="46" spans="1:19" ht="15" customHeight="1">
      <c r="A46" s="17"/>
      <c r="B46" s="17"/>
      <c r="C46" s="17"/>
      <c r="D46" s="17"/>
      <c r="E46" s="17"/>
      <c r="F46" s="17"/>
      <c r="G46" s="17"/>
      <c r="H46" s="17"/>
      <c r="I46" s="17"/>
      <c r="J46" s="17"/>
      <c r="K46" s="17"/>
      <c r="L46" s="17"/>
      <c r="M46" s="17"/>
      <c r="N46" s="17"/>
      <c r="O46" s="17"/>
      <c r="P46" s="17"/>
      <c r="Q46" s="17"/>
      <c r="R46" s="17"/>
      <c r="S46" s="17"/>
    </row>
    <row r="47" spans="1:19" ht="15" customHeight="1" thickBot="1">
      <c r="A47" s="22" t="s">
        <v>673</v>
      </c>
      <c r="B47" s="22"/>
      <c r="C47" s="22"/>
      <c r="D47" s="23"/>
      <c r="E47" s="23"/>
      <c r="F47" s="267">
        <f t="shared" ref="F47:Q47" si="9">F42+F44-F45</f>
        <v>-55625750.070009485</v>
      </c>
      <c r="G47" s="267">
        <f t="shared" si="9"/>
        <v>616727857.17432928</v>
      </c>
      <c r="H47" s="267">
        <f t="shared" si="9"/>
        <v>784399038.61898565</v>
      </c>
      <c r="I47" s="267">
        <f t="shared" si="9"/>
        <v>636207644.79535389</v>
      </c>
      <c r="J47" s="267">
        <f t="shared" si="9"/>
        <v>811765116.12305689</v>
      </c>
      <c r="K47" s="267">
        <f t="shared" si="9"/>
        <v>701680138.44098711</v>
      </c>
      <c r="L47" s="267">
        <f t="shared" si="9"/>
        <v>751782750.95785046</v>
      </c>
      <c r="M47" s="267">
        <f t="shared" si="9"/>
        <v>733802339.71179581</v>
      </c>
      <c r="N47" s="267">
        <f t="shared" si="9"/>
        <v>896498352.80434597</v>
      </c>
      <c r="O47" s="267">
        <f t="shared" si="9"/>
        <v>879260761.3745383</v>
      </c>
      <c r="P47" s="267">
        <f t="shared" si="9"/>
        <v>892311662.35144842</v>
      </c>
      <c r="Q47" s="267">
        <f t="shared" si="9"/>
        <v>967429766.85522449</v>
      </c>
      <c r="R47" s="22"/>
      <c r="S47" s="267">
        <f>SUM(F47:Q47)</f>
        <v>8616239679.137907</v>
      </c>
    </row>
    <row r="49" spans="1:35" ht="15" customHeight="1">
      <c r="A49" s="17" t="s">
        <v>267</v>
      </c>
      <c r="B49" s="17"/>
      <c r="C49" s="17"/>
      <c r="D49" s="17"/>
      <c r="E49" s="17"/>
      <c r="F49" s="266">
        <f t="shared" ref="F49:Q49" si="10">IF(F47&gt;0,F47*35%,0)</f>
        <v>0</v>
      </c>
      <c r="G49" s="266">
        <f t="shared" si="10"/>
        <v>215854750.01101524</v>
      </c>
      <c r="H49" s="266">
        <f t="shared" si="10"/>
        <v>274539663.51664495</v>
      </c>
      <c r="I49" s="266">
        <f t="shared" si="10"/>
        <v>222672675.67837384</v>
      </c>
      <c r="J49" s="266">
        <f t="shared" si="10"/>
        <v>284117790.64306986</v>
      </c>
      <c r="K49" s="266">
        <f t="shared" si="10"/>
        <v>245588048.45434546</v>
      </c>
      <c r="L49" s="266">
        <f t="shared" si="10"/>
        <v>263123962.83524764</v>
      </c>
      <c r="M49" s="266">
        <f t="shared" si="10"/>
        <v>256830818.89912853</v>
      </c>
      <c r="N49" s="266">
        <f t="shared" si="10"/>
        <v>313774423.48152107</v>
      </c>
      <c r="O49" s="266">
        <f t="shared" si="10"/>
        <v>307741266.4810884</v>
      </c>
      <c r="P49" s="266">
        <f t="shared" si="10"/>
        <v>312309081.82300693</v>
      </c>
      <c r="Q49" s="266">
        <f t="shared" si="10"/>
        <v>338600418.39932853</v>
      </c>
      <c r="R49" s="17"/>
      <c r="S49" s="266">
        <f>SUM(F49:Q49)</f>
        <v>3035152900.2227707</v>
      </c>
      <c r="T49" s="17"/>
      <c r="U49" s="17"/>
      <c r="V49" s="17"/>
      <c r="W49" s="17"/>
      <c r="X49" s="17"/>
      <c r="Y49" s="17"/>
      <c r="Z49" s="17"/>
      <c r="AA49" s="17"/>
      <c r="AB49" s="17"/>
      <c r="AC49" s="17"/>
      <c r="AD49" s="17"/>
      <c r="AE49" s="17"/>
      <c r="AF49" s="17"/>
      <c r="AG49" s="17"/>
      <c r="AH49" s="17"/>
      <c r="AI49" s="120"/>
    </row>
    <row r="50" spans="1:35" ht="15" customHeight="1">
      <c r="A50" s="17"/>
      <c r="B50" s="17"/>
      <c r="C50" s="17"/>
      <c r="D50" s="17"/>
      <c r="E50" s="17"/>
      <c r="F50" s="17"/>
      <c r="G50" s="17"/>
      <c r="H50" s="17"/>
      <c r="I50" s="17"/>
      <c r="J50" s="17"/>
      <c r="K50" s="17"/>
      <c r="L50" s="17"/>
      <c r="M50" s="17"/>
      <c r="N50" s="17"/>
      <c r="O50" s="17"/>
      <c r="P50" s="17"/>
      <c r="Q50" s="17"/>
      <c r="R50" s="17"/>
      <c r="S50" s="266">
        <f>SUM(F50:Q50)</f>
        <v>0</v>
      </c>
      <c r="T50" s="17"/>
      <c r="U50" s="17"/>
      <c r="V50" s="17"/>
      <c r="W50" s="17"/>
      <c r="X50" s="17"/>
      <c r="Y50" s="17"/>
      <c r="Z50" s="17"/>
      <c r="AA50" s="17"/>
      <c r="AB50" s="17"/>
      <c r="AC50" s="17"/>
      <c r="AD50" s="17"/>
      <c r="AE50" s="17"/>
      <c r="AF50" s="17"/>
      <c r="AG50" s="17"/>
      <c r="AH50" s="17"/>
      <c r="AI50" s="120"/>
    </row>
    <row r="51" spans="1:35" ht="15" customHeight="1" thickBot="1">
      <c r="A51" s="22" t="s">
        <v>400</v>
      </c>
      <c r="B51" s="22"/>
      <c r="C51" s="22"/>
      <c r="D51" s="23"/>
      <c r="E51" s="23"/>
      <c r="F51" s="267">
        <f t="shared" ref="F51:Q51" si="11">F47-F49</f>
        <v>-55625750.070009485</v>
      </c>
      <c r="G51" s="267">
        <f t="shared" si="11"/>
        <v>400873107.16331404</v>
      </c>
      <c r="H51" s="267">
        <f t="shared" si="11"/>
        <v>509859375.1023407</v>
      </c>
      <c r="I51" s="267">
        <f t="shared" si="11"/>
        <v>413534969.11698008</v>
      </c>
      <c r="J51" s="267">
        <f t="shared" si="11"/>
        <v>527647325.47998703</v>
      </c>
      <c r="K51" s="267">
        <f t="shared" si="11"/>
        <v>456092089.98664165</v>
      </c>
      <c r="L51" s="267">
        <f t="shared" si="11"/>
        <v>488658788.12260282</v>
      </c>
      <c r="M51" s="267">
        <f t="shared" si="11"/>
        <v>476971520.81266725</v>
      </c>
      <c r="N51" s="267">
        <f t="shared" si="11"/>
        <v>582723929.32282495</v>
      </c>
      <c r="O51" s="267">
        <f t="shared" si="11"/>
        <v>571519494.8934499</v>
      </c>
      <c r="P51" s="267">
        <f t="shared" si="11"/>
        <v>580002580.52844143</v>
      </c>
      <c r="Q51" s="267">
        <f t="shared" si="11"/>
        <v>628829348.4558959</v>
      </c>
      <c r="R51" s="22"/>
      <c r="S51" s="267">
        <f>SUM(F51:Q51)</f>
        <v>5581086778.9151363</v>
      </c>
      <c r="T51" s="22"/>
      <c r="U51" s="22"/>
      <c r="V51" s="17"/>
      <c r="W51" s="17"/>
      <c r="X51" s="17"/>
      <c r="Y51" s="17"/>
      <c r="Z51" s="17"/>
      <c r="AA51" s="17"/>
      <c r="AB51" s="17"/>
      <c r="AC51" s="17"/>
      <c r="AD51" s="17"/>
      <c r="AE51" s="17"/>
      <c r="AF51" s="17"/>
      <c r="AG51" s="17"/>
      <c r="AH51" s="17"/>
      <c r="AI51" s="120"/>
    </row>
    <row r="52" spans="1:35" ht="15" customHeight="1" thickTop="1">
      <c r="A52" s="24"/>
      <c r="B52" s="24"/>
      <c r="C52" s="24"/>
      <c r="D52" s="24"/>
      <c r="E52" s="24"/>
      <c r="F52" s="24"/>
      <c r="G52" s="24"/>
      <c r="H52" s="24"/>
      <c r="I52" s="24"/>
      <c r="J52" s="24"/>
      <c r="K52" s="24"/>
      <c r="L52" s="24"/>
      <c r="M52" s="24"/>
      <c r="N52" s="24"/>
      <c r="O52" s="24"/>
      <c r="P52" s="24"/>
      <c r="Q52" s="24"/>
      <c r="R52" s="24"/>
      <c r="S52" s="268">
        <f>SUM(F52:Q52)</f>
        <v>0</v>
      </c>
      <c r="T52" s="24"/>
      <c r="U52" s="24"/>
      <c r="V52" s="17"/>
      <c r="W52" s="17"/>
      <c r="X52" s="17"/>
      <c r="Y52" s="17"/>
      <c r="Z52" s="17"/>
      <c r="AA52" s="17"/>
      <c r="AB52" s="17"/>
      <c r="AC52" s="17"/>
      <c r="AD52" s="17"/>
      <c r="AE52" s="17"/>
      <c r="AF52" s="17"/>
      <c r="AG52" s="17"/>
      <c r="AH52" s="17"/>
      <c r="AI52" s="120"/>
    </row>
    <row r="53" spans="1:35" ht="1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20"/>
    </row>
    <row r="54" spans="1:35" ht="1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20"/>
    </row>
    <row r="55" spans="1:35" ht="1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20"/>
    </row>
    <row r="56" spans="1:35" ht="1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t="s">
        <v>843</v>
      </c>
      <c r="AC56" s="259">
        <v>1</v>
      </c>
      <c r="AD56" s="120"/>
      <c r="AE56" s="17"/>
      <c r="AF56" s="17"/>
      <c r="AG56" s="17"/>
      <c r="AH56" s="17"/>
      <c r="AI56" s="120"/>
    </row>
    <row r="57" spans="1:35" ht="1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20"/>
    </row>
    <row r="58" spans="1:35" ht="1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row>
    <row r="59" spans="1:35" ht="30" customHeight="1">
      <c r="A59" s="408"/>
      <c r="B59" s="401"/>
      <c r="C59" s="401"/>
      <c r="D59" s="406"/>
      <c r="E59" s="406"/>
      <c r="F59" s="407" t="str">
        <f t="shared" ref="F59:Q59" si="12">F19</f>
        <v>2026-01</v>
      </c>
      <c r="G59" s="407" t="str">
        <f t="shared" si="12"/>
        <v>2026-02</v>
      </c>
      <c r="H59" s="407" t="str">
        <f t="shared" si="12"/>
        <v>2026-03</v>
      </c>
      <c r="I59" s="407" t="str">
        <f t="shared" si="12"/>
        <v>2026-04</v>
      </c>
      <c r="J59" s="407" t="str">
        <f t="shared" si="12"/>
        <v>2026-05</v>
      </c>
      <c r="K59" s="407" t="str">
        <f t="shared" si="12"/>
        <v>2026-06</v>
      </c>
      <c r="L59" s="407" t="str">
        <f t="shared" si="12"/>
        <v>2026-07</v>
      </c>
      <c r="M59" s="407" t="str">
        <f t="shared" si="12"/>
        <v>2026-08</v>
      </c>
      <c r="N59" s="407" t="str">
        <f t="shared" si="12"/>
        <v>2026-09</v>
      </c>
      <c r="O59" s="407" t="str">
        <f t="shared" si="12"/>
        <v>2026-10</v>
      </c>
      <c r="P59" s="407" t="str">
        <f t="shared" si="12"/>
        <v>2026-11</v>
      </c>
      <c r="Q59" s="407" t="str">
        <f t="shared" si="12"/>
        <v>2026-12</v>
      </c>
      <c r="R59" s="401"/>
      <c r="S59" s="407" t="str">
        <f>S19</f>
        <v>Total 2026</v>
      </c>
      <c r="T59" s="401"/>
      <c r="U59" s="401"/>
      <c r="V59" s="401"/>
      <c r="W59" s="401"/>
      <c r="X59" s="401"/>
      <c r="Y59" s="401"/>
      <c r="Z59" s="401"/>
      <c r="AA59" s="401"/>
      <c r="AB59" s="401"/>
      <c r="AC59" s="407" t="s">
        <v>16</v>
      </c>
      <c r="AD59" s="401"/>
      <c r="AE59" s="401"/>
      <c r="AF59" s="401"/>
      <c r="AG59" s="401"/>
      <c r="AH59" s="401"/>
      <c r="AI59" s="401"/>
    </row>
    <row r="60" spans="1:35" ht="15" customHeight="1" thickBot="1">
      <c r="A60" s="19" t="s">
        <v>844</v>
      </c>
      <c r="B60" s="19"/>
      <c r="C60" s="19"/>
      <c r="D60" s="19"/>
      <c r="E60" s="19"/>
      <c r="F60" s="19"/>
      <c r="G60" s="19"/>
      <c r="H60" s="19"/>
      <c r="I60" s="19"/>
      <c r="J60" s="19"/>
      <c r="K60" s="19"/>
      <c r="L60" s="19"/>
      <c r="M60" s="19"/>
      <c r="N60" s="19"/>
      <c r="O60" s="19"/>
      <c r="P60" s="19"/>
      <c r="Q60" s="19"/>
      <c r="R60" s="19"/>
      <c r="S60" s="269">
        <f>SUM(F60:Q60)</f>
        <v>0</v>
      </c>
      <c r="T60" s="19"/>
      <c r="U60" s="19"/>
      <c r="V60" s="19"/>
      <c r="W60" s="19"/>
      <c r="X60" s="19"/>
      <c r="Y60" s="19"/>
      <c r="Z60" s="19"/>
      <c r="AA60" s="19"/>
      <c r="AB60" s="19" t="s">
        <v>844</v>
      </c>
      <c r="AC60" s="19"/>
      <c r="AD60" s="19"/>
      <c r="AE60" s="19"/>
      <c r="AF60" s="19"/>
      <c r="AG60" s="19"/>
      <c r="AH60" s="19"/>
      <c r="AI60" s="19"/>
    </row>
    <row r="61" spans="1:35" ht="15" customHeight="1" thickBot="1">
      <c r="A61" s="17"/>
      <c r="B61" s="17"/>
      <c r="C61" s="17"/>
      <c r="D61" s="17"/>
      <c r="E61" s="17"/>
      <c r="F61" s="17"/>
      <c r="G61" s="17"/>
      <c r="H61" s="17"/>
      <c r="I61" s="17"/>
      <c r="J61" s="17"/>
      <c r="K61" s="17"/>
      <c r="L61" s="17"/>
      <c r="M61" s="17"/>
      <c r="N61" s="17"/>
      <c r="O61" s="17"/>
      <c r="P61" s="17"/>
      <c r="Q61" s="17"/>
      <c r="R61" s="17"/>
      <c r="S61" s="266">
        <f>SUM(F61:Q61)</f>
        <v>0</v>
      </c>
      <c r="T61" s="17"/>
      <c r="U61" s="17"/>
      <c r="V61" s="17"/>
      <c r="W61" s="17"/>
      <c r="X61" s="120"/>
      <c r="Y61" s="120"/>
      <c r="Z61" s="120"/>
      <c r="AA61" s="17"/>
      <c r="AB61" s="21" t="str">
        <f>A62</f>
        <v>Ingresos operacionales (Total)</v>
      </c>
      <c r="AC61" s="264">
        <f>IFERROR(S62,"")</f>
        <v>4555725.9999999963</v>
      </c>
      <c r="AD61" s="17"/>
      <c r="AE61" s="270">
        <f t="shared" ref="AE61:AE91" si="13">AC61/$AC$61</f>
        <v>1</v>
      </c>
      <c r="AF61" s="17"/>
      <c r="AG61" s="17"/>
      <c r="AH61" s="17" t="str">
        <f>AB61</f>
        <v>Ingresos operacionales (Total)</v>
      </c>
      <c r="AI61" s="266">
        <f>AC61</f>
        <v>4555725.9999999963</v>
      </c>
    </row>
    <row r="62" spans="1:35" ht="15" customHeight="1" thickBot="1">
      <c r="A62" s="21" t="s">
        <v>845</v>
      </c>
      <c r="B62" s="21"/>
      <c r="C62" s="21"/>
      <c r="D62" s="21"/>
      <c r="E62" s="21"/>
      <c r="F62" s="264">
        <f t="shared" ref="F62:Q62" si="14">G14</f>
        <v>186232.40250045763</v>
      </c>
      <c r="G62" s="264">
        <f t="shared" si="14"/>
        <v>354320.80431154225</v>
      </c>
      <c r="H62" s="264">
        <f t="shared" si="14"/>
        <v>396238.59967270645</v>
      </c>
      <c r="I62" s="264">
        <f t="shared" si="14"/>
        <v>359190.7512167985</v>
      </c>
      <c r="J62" s="264">
        <f t="shared" si="14"/>
        <v>403080.11904872418</v>
      </c>
      <c r="K62" s="264">
        <f t="shared" si="14"/>
        <v>375558.87462820677</v>
      </c>
      <c r="L62" s="264">
        <f t="shared" si="14"/>
        <v>388084.52775742259</v>
      </c>
      <c r="M62" s="264">
        <f t="shared" si="14"/>
        <v>383589.42494590889</v>
      </c>
      <c r="N62" s="264">
        <f t="shared" si="14"/>
        <v>424263.42821904644</v>
      </c>
      <c r="O62" s="264">
        <f t="shared" si="14"/>
        <v>419954.03036159463</v>
      </c>
      <c r="P62" s="264">
        <f t="shared" si="14"/>
        <v>423216.75560582208</v>
      </c>
      <c r="Q62" s="264">
        <f t="shared" si="14"/>
        <v>441996.28173176618</v>
      </c>
      <c r="R62" s="17"/>
      <c r="S62" s="264">
        <f>SUM(F62:Q62)</f>
        <v>4555725.9999999963</v>
      </c>
      <c r="T62" s="17"/>
      <c r="U62" s="17"/>
      <c r="V62" s="17"/>
      <c r="W62" s="17"/>
      <c r="X62" s="17"/>
      <c r="Y62" s="17"/>
      <c r="Z62" s="17"/>
      <c r="AA62" s="17"/>
      <c r="AB62" s="17"/>
      <c r="AC62" s="17"/>
      <c r="AD62" s="17"/>
      <c r="AE62" s="270">
        <f t="shared" si="13"/>
        <v>0</v>
      </c>
      <c r="AF62" s="17"/>
      <c r="AG62" s="17"/>
      <c r="AH62" s="17" t="str">
        <f>AB64</f>
        <v>Costo de Ventas</v>
      </c>
      <c r="AI62" s="266">
        <f>-AC64</f>
        <v>-1336347.3686987951</v>
      </c>
    </row>
    <row r="63" spans="1:35" ht="1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270">
        <f t="shared" si="13"/>
        <v>0</v>
      </c>
      <c r="AF63" s="17"/>
      <c r="AG63" s="17"/>
      <c r="AH63" s="17" t="str">
        <f>AB71</f>
        <v>Operacionales de Administración</v>
      </c>
      <c r="AI63" s="266">
        <f>-AC71</f>
        <v>-402541.39066638245</v>
      </c>
    </row>
    <row r="64" spans="1:35" ht="15" customHeight="1" thickBo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21" t="str">
        <f>A65</f>
        <v>Costo de Ventas</v>
      </c>
      <c r="AC64" s="264">
        <f>IFERROR(S65,"")</f>
        <v>1336347.3686987951</v>
      </c>
      <c r="AD64" s="17"/>
      <c r="AE64" s="270">
        <f t="shared" si="13"/>
        <v>0.29333356938033506</v>
      </c>
      <c r="AF64" s="17"/>
      <c r="AG64" s="17"/>
      <c r="AH64" s="17" t="str">
        <f>AB75</f>
        <v>Operacionales de Ventas</v>
      </c>
      <c r="AI64" s="266">
        <f>-AC75</f>
        <v>-648123.67681389488</v>
      </c>
    </row>
    <row r="65" spans="1:35" ht="15" customHeight="1" thickBot="1">
      <c r="A65" s="21" t="str">
        <f>IFERROR(A25,"")</f>
        <v>Costo de Ventas</v>
      </c>
      <c r="B65" s="21"/>
      <c r="C65" s="21"/>
      <c r="D65" s="21"/>
      <c r="E65" s="21"/>
      <c r="F65" s="264">
        <f t="shared" ref="F65:Q67" si="15">F25/$H$6</f>
        <v>111362.2807248996</v>
      </c>
      <c r="G65" s="264">
        <f t="shared" si="15"/>
        <v>111362.2807248996</v>
      </c>
      <c r="H65" s="264">
        <f t="shared" si="15"/>
        <v>111362.2807248996</v>
      </c>
      <c r="I65" s="264">
        <f t="shared" si="15"/>
        <v>111362.2807248996</v>
      </c>
      <c r="J65" s="264">
        <f t="shared" si="15"/>
        <v>111362.2807248996</v>
      </c>
      <c r="K65" s="264">
        <f t="shared" si="15"/>
        <v>111362.2807248996</v>
      </c>
      <c r="L65" s="264">
        <f t="shared" si="15"/>
        <v>111362.2807248996</v>
      </c>
      <c r="M65" s="264">
        <f t="shared" si="15"/>
        <v>111362.2807248996</v>
      </c>
      <c r="N65" s="264">
        <f t="shared" si="15"/>
        <v>111362.2807248996</v>
      </c>
      <c r="O65" s="264">
        <f t="shared" si="15"/>
        <v>111362.2807248996</v>
      </c>
      <c r="P65" s="264">
        <f t="shared" si="15"/>
        <v>111362.2807248996</v>
      </c>
      <c r="Q65" s="264">
        <f t="shared" si="15"/>
        <v>111362.2807248996</v>
      </c>
      <c r="R65" s="17"/>
      <c r="S65" s="264">
        <f>SUM(F65:Q65)</f>
        <v>1336347.3686987951</v>
      </c>
      <c r="T65" s="17"/>
      <c r="U65" s="17"/>
      <c r="V65" s="17"/>
      <c r="W65" s="17"/>
      <c r="X65" s="17"/>
      <c r="Y65" s="17"/>
      <c r="Z65" s="17"/>
      <c r="AA65" s="17"/>
      <c r="AB65" s="17" t="str">
        <f>A66</f>
        <v>Mano de Obra Directa</v>
      </c>
      <c r="AC65" s="266">
        <f>IFERROR(S66,"")</f>
        <v>813665.55211225513</v>
      </c>
      <c r="AD65" s="17"/>
      <c r="AE65" s="270">
        <f t="shared" si="13"/>
        <v>0.17860282907976813</v>
      </c>
      <c r="AF65" s="17"/>
      <c r="AG65" s="17"/>
      <c r="AH65" s="17" t="str">
        <f>AB83</f>
        <v>Ingresos no Operacionales</v>
      </c>
      <c r="AI65" s="266">
        <f>AC83</f>
        <v>9530.7072995625003</v>
      </c>
    </row>
    <row r="66" spans="1:35" ht="15" customHeight="1">
      <c r="A66" s="17" t="str">
        <f>IFERROR(A26,"")</f>
        <v>Mano de Obra Directa</v>
      </c>
      <c r="B66" s="17"/>
      <c r="C66" s="17"/>
      <c r="D66" s="18"/>
      <c r="E66" s="18"/>
      <c r="F66" s="266">
        <f t="shared" si="15"/>
        <v>67805.462676021241</v>
      </c>
      <c r="G66" s="266">
        <f t="shared" si="15"/>
        <v>67805.462676021241</v>
      </c>
      <c r="H66" s="266">
        <f t="shared" si="15"/>
        <v>67805.462676021241</v>
      </c>
      <c r="I66" s="266">
        <f t="shared" si="15"/>
        <v>67805.462676021241</v>
      </c>
      <c r="J66" s="266">
        <f t="shared" si="15"/>
        <v>67805.462676021241</v>
      </c>
      <c r="K66" s="266">
        <f t="shared" si="15"/>
        <v>67805.462676021241</v>
      </c>
      <c r="L66" s="266">
        <f t="shared" si="15"/>
        <v>67805.462676021241</v>
      </c>
      <c r="M66" s="266">
        <f t="shared" si="15"/>
        <v>67805.462676021241</v>
      </c>
      <c r="N66" s="266">
        <f t="shared" si="15"/>
        <v>67805.462676021241</v>
      </c>
      <c r="O66" s="266">
        <f t="shared" si="15"/>
        <v>67805.462676021241</v>
      </c>
      <c r="P66" s="266">
        <f t="shared" si="15"/>
        <v>67805.462676021241</v>
      </c>
      <c r="Q66" s="266">
        <f t="shared" si="15"/>
        <v>67805.462676021241</v>
      </c>
      <c r="R66" s="17"/>
      <c r="S66" s="266">
        <f>SUM(F66:Q66)</f>
        <v>813665.55211225513</v>
      </c>
      <c r="T66" s="17"/>
      <c r="U66" s="17"/>
      <c r="V66" s="17"/>
      <c r="W66" s="17"/>
      <c r="X66" s="17"/>
      <c r="Y66" s="17"/>
      <c r="Z66" s="17"/>
      <c r="AA66" s="17"/>
      <c r="AB66" s="17" t="str">
        <f>A67</f>
        <v>Operacionales de Desarrollo</v>
      </c>
      <c r="AC66" s="266">
        <f>IFERROR(S67,"")</f>
        <v>522681.81658654002</v>
      </c>
      <c r="AD66" s="17"/>
      <c r="AE66" s="270">
        <f t="shared" si="13"/>
        <v>0.1147307403005669</v>
      </c>
      <c r="AF66" s="17"/>
      <c r="AG66" s="17"/>
      <c r="AH66" s="17" t="str">
        <f>AB84</f>
        <v>Gastos no Operacionales</v>
      </c>
      <c r="AI66" s="266">
        <f>-AC84</f>
        <v>-24184.351336010001</v>
      </c>
    </row>
    <row r="67" spans="1:35" ht="15" customHeight="1">
      <c r="A67" s="17" t="str">
        <f>IFERROR(A27,"")</f>
        <v>Operacionales de Desarrollo</v>
      </c>
      <c r="B67" s="17"/>
      <c r="C67" s="17"/>
      <c r="D67" s="18"/>
      <c r="E67" s="18"/>
      <c r="F67" s="266">
        <f t="shared" si="15"/>
        <v>43556.818048878325</v>
      </c>
      <c r="G67" s="266">
        <f t="shared" si="15"/>
        <v>43556.818048878325</v>
      </c>
      <c r="H67" s="266">
        <f t="shared" si="15"/>
        <v>43556.818048878325</v>
      </c>
      <c r="I67" s="266">
        <f t="shared" si="15"/>
        <v>43556.818048878325</v>
      </c>
      <c r="J67" s="266">
        <f t="shared" si="15"/>
        <v>43556.818048878325</v>
      </c>
      <c r="K67" s="266">
        <f t="shared" si="15"/>
        <v>43556.818048878325</v>
      </c>
      <c r="L67" s="266">
        <f t="shared" si="15"/>
        <v>43556.818048878325</v>
      </c>
      <c r="M67" s="266">
        <f t="shared" si="15"/>
        <v>43556.818048878325</v>
      </c>
      <c r="N67" s="266">
        <f t="shared" si="15"/>
        <v>43556.818048878325</v>
      </c>
      <c r="O67" s="266">
        <f t="shared" si="15"/>
        <v>43556.818048878325</v>
      </c>
      <c r="P67" s="266">
        <f t="shared" si="15"/>
        <v>43556.818048878325</v>
      </c>
      <c r="Q67" s="266">
        <f t="shared" si="15"/>
        <v>43556.818048878325</v>
      </c>
      <c r="R67" s="17"/>
      <c r="S67" s="266">
        <f>SUM(F67:Q67)</f>
        <v>522681.81658654002</v>
      </c>
      <c r="T67" s="17"/>
      <c r="U67" s="17"/>
      <c r="V67" s="17"/>
      <c r="W67" s="17"/>
      <c r="X67" s="17"/>
      <c r="Y67" s="17"/>
      <c r="Z67" s="17"/>
      <c r="AA67" s="17"/>
      <c r="AB67" s="17"/>
      <c r="AC67" s="17"/>
      <c r="AD67" s="17"/>
      <c r="AE67" s="270">
        <f t="shared" si="13"/>
        <v>0</v>
      </c>
      <c r="AF67" s="17"/>
      <c r="AG67" s="17"/>
      <c r="AH67" s="17" t="str">
        <f>AB88</f>
        <v>Impuestos</v>
      </c>
      <c r="AI67" s="266">
        <f>-AC88</f>
        <v>-758788.2250556926</v>
      </c>
    </row>
    <row r="68" spans="1:35" ht="15" customHeight="1" thickBot="1">
      <c r="A68" s="17"/>
      <c r="B68" s="17"/>
      <c r="C68" s="17"/>
      <c r="D68" s="18"/>
      <c r="E68" s="18"/>
      <c r="F68" s="17"/>
      <c r="G68" s="17"/>
      <c r="H68" s="17"/>
      <c r="I68" s="17"/>
      <c r="J68" s="17"/>
      <c r="K68" s="17"/>
      <c r="L68" s="17"/>
      <c r="M68" s="17"/>
      <c r="N68" s="17"/>
      <c r="O68" s="17"/>
      <c r="P68" s="17"/>
      <c r="Q68" s="17"/>
      <c r="R68" s="17"/>
      <c r="S68" s="17"/>
      <c r="T68" s="17"/>
      <c r="U68" s="17"/>
      <c r="V68" s="17"/>
      <c r="W68" s="17"/>
      <c r="X68" s="17"/>
      <c r="Y68" s="17"/>
      <c r="Z68" s="17"/>
      <c r="AA68" s="17"/>
      <c r="AB68" s="26" t="str">
        <f>A70</f>
        <v>Utilidad Bruta</v>
      </c>
      <c r="AC68" s="271">
        <f>IFERROR(S70,"")</f>
        <v>3219378.6313012019</v>
      </c>
      <c r="AD68" s="17"/>
      <c r="AE68" s="270">
        <f t="shared" si="13"/>
        <v>0.70666643061966516</v>
      </c>
      <c r="AF68" s="17"/>
      <c r="AG68" s="17"/>
      <c r="AH68" s="17" t="str">
        <f>AB90</f>
        <v>Utilidad Neta</v>
      </c>
      <c r="AI68" s="266">
        <f>AC90</f>
        <v>1395271.694728784</v>
      </c>
    </row>
    <row r="69" spans="1:35" ht="15" customHeight="1">
      <c r="A69" s="17"/>
      <c r="B69" s="17"/>
      <c r="C69" s="17"/>
      <c r="D69" s="18"/>
      <c r="E69" s="18"/>
      <c r="F69" s="17"/>
      <c r="G69" s="17"/>
      <c r="H69" s="17"/>
      <c r="I69" s="17"/>
      <c r="J69" s="17"/>
      <c r="K69" s="17"/>
      <c r="L69" s="17"/>
      <c r="M69" s="17"/>
      <c r="N69" s="17"/>
      <c r="O69" s="17"/>
      <c r="P69" s="17"/>
      <c r="Q69" s="17"/>
      <c r="R69" s="17"/>
      <c r="S69" s="266">
        <f>SUM(F69:Q69)</f>
        <v>0</v>
      </c>
      <c r="T69" s="17"/>
      <c r="U69" s="17"/>
      <c r="V69" s="17"/>
      <c r="W69" s="17"/>
      <c r="X69" s="17"/>
      <c r="Y69" s="17"/>
      <c r="Z69" s="17"/>
      <c r="AA69" s="17"/>
      <c r="AB69" s="17" t="str">
        <f>A71</f>
        <v>Margen Bruto</v>
      </c>
      <c r="AC69" s="270">
        <f>IFERROR(S71,"")</f>
        <v>0.70666643061966516</v>
      </c>
      <c r="AD69" s="17"/>
      <c r="AE69" s="270">
        <f t="shared" si="13"/>
        <v>1.551160957923426E-7</v>
      </c>
      <c r="AF69" s="17"/>
      <c r="AG69" s="17"/>
      <c r="AH69" s="17"/>
      <c r="AI69" s="17"/>
    </row>
    <row r="70" spans="1:35" ht="15" customHeight="1" thickBot="1">
      <c r="A70" s="22" t="str">
        <f>IFERROR(A29,"")</f>
        <v>Utilidad Bruta</v>
      </c>
      <c r="B70" s="22"/>
      <c r="C70" s="22"/>
      <c r="D70" s="23"/>
      <c r="E70" s="23"/>
      <c r="F70" s="267">
        <f t="shared" ref="F70:Q70" si="16">F29/$H$6</f>
        <v>74870.121775558044</v>
      </c>
      <c r="G70" s="267">
        <f t="shared" si="16"/>
        <v>242958.52358664275</v>
      </c>
      <c r="H70" s="267">
        <f t="shared" si="16"/>
        <v>284876.31894780684</v>
      </c>
      <c r="I70" s="267">
        <f t="shared" si="16"/>
        <v>247828.47049189889</v>
      </c>
      <c r="J70" s="267">
        <f t="shared" si="16"/>
        <v>291717.83832382463</v>
      </c>
      <c r="K70" s="267">
        <f t="shared" si="16"/>
        <v>264196.59390330722</v>
      </c>
      <c r="L70" s="267">
        <f t="shared" si="16"/>
        <v>276722.24703252304</v>
      </c>
      <c r="M70" s="267">
        <f t="shared" si="16"/>
        <v>272227.1442210094</v>
      </c>
      <c r="N70" s="267">
        <f t="shared" si="16"/>
        <v>312901.14749414695</v>
      </c>
      <c r="O70" s="267">
        <f t="shared" si="16"/>
        <v>308591.74963669502</v>
      </c>
      <c r="P70" s="267">
        <f t="shared" si="16"/>
        <v>311854.47488092253</v>
      </c>
      <c r="Q70" s="267">
        <f t="shared" si="16"/>
        <v>330634.00100686657</v>
      </c>
      <c r="R70" s="22"/>
      <c r="S70" s="267">
        <f>SUM(F70:Q70)</f>
        <v>3219378.6313012019</v>
      </c>
      <c r="T70" s="22"/>
      <c r="U70" s="22"/>
      <c r="V70" s="22"/>
      <c r="W70" s="22"/>
      <c r="X70" s="22"/>
      <c r="Y70" s="22"/>
      <c r="Z70" s="22"/>
      <c r="AA70" s="22"/>
      <c r="AB70" s="22"/>
      <c r="AC70" s="22"/>
      <c r="AD70" s="22"/>
      <c r="AE70" s="272">
        <f t="shared" si="13"/>
        <v>0</v>
      </c>
      <c r="AF70" s="22"/>
      <c r="AG70" s="22"/>
      <c r="AH70" s="22"/>
      <c r="AI70" s="22"/>
    </row>
    <row r="71" spans="1:35" ht="15" customHeight="1" thickTop="1" thickBot="1">
      <c r="A71" s="24" t="s">
        <v>669</v>
      </c>
      <c r="B71" s="24"/>
      <c r="C71" s="24"/>
      <c r="D71" s="25"/>
      <c r="E71" s="25"/>
      <c r="F71" s="273">
        <f t="shared" ref="F71:Q71" si="17">F70/F$62</f>
        <v>0.40202521564620886</v>
      </c>
      <c r="G71" s="273">
        <f t="shared" si="17"/>
        <v>0.68570211127940872</v>
      </c>
      <c r="H71" s="273">
        <f t="shared" si="17"/>
        <v>0.71895145799302496</v>
      </c>
      <c r="I71" s="273">
        <f t="shared" si="17"/>
        <v>0.68996339591805322</v>
      </c>
      <c r="J71" s="273">
        <f t="shared" si="17"/>
        <v>0.72372172314596817</v>
      </c>
      <c r="K71" s="273">
        <f t="shared" si="17"/>
        <v>0.70347583761628529</v>
      </c>
      <c r="L71" s="273">
        <f t="shared" si="17"/>
        <v>0.71304632687003688</v>
      </c>
      <c r="M71" s="273">
        <f t="shared" si="17"/>
        <v>0.70968365266950983</v>
      </c>
      <c r="N71" s="273">
        <f t="shared" si="17"/>
        <v>0.73751619084310194</v>
      </c>
      <c r="O71" s="273">
        <f t="shared" si="17"/>
        <v>0.73482268849994625</v>
      </c>
      <c r="P71" s="273">
        <f t="shared" si="17"/>
        <v>0.7368670326733926</v>
      </c>
      <c r="Q71" s="273">
        <f t="shared" si="17"/>
        <v>0.74804701910935545</v>
      </c>
      <c r="R71" s="122"/>
      <c r="S71" s="273">
        <f>S70/S$62</f>
        <v>0.70666643061966516</v>
      </c>
      <c r="T71" s="24"/>
      <c r="U71" s="24"/>
      <c r="V71" s="24"/>
      <c r="W71" s="24"/>
      <c r="X71" s="24"/>
      <c r="Y71" s="24"/>
      <c r="Z71" s="24"/>
      <c r="AA71" s="24"/>
      <c r="AB71" s="27" t="str">
        <f>A73</f>
        <v>Operacionales de Administración</v>
      </c>
      <c r="AC71" s="274">
        <f>IFERROR(S73,"")</f>
        <v>402541.39066638245</v>
      </c>
      <c r="AD71" s="24"/>
      <c r="AE71" s="273">
        <f t="shared" si="13"/>
        <v>8.8359438356561126E-2</v>
      </c>
      <c r="AF71" s="24"/>
      <c r="AG71" s="24"/>
      <c r="AH71" s="24"/>
      <c r="AI71" s="24"/>
    </row>
    <row r="72" spans="1:35" ht="15" customHeight="1">
      <c r="A72" s="17"/>
      <c r="B72" s="17"/>
      <c r="C72" s="17"/>
      <c r="D72" s="18"/>
      <c r="E72" s="18"/>
      <c r="F72" s="17"/>
      <c r="G72" s="17"/>
      <c r="H72" s="17"/>
      <c r="I72" s="17"/>
      <c r="J72" s="17"/>
      <c r="K72" s="17"/>
      <c r="L72" s="17"/>
      <c r="M72" s="17"/>
      <c r="N72" s="17"/>
      <c r="O72" s="17"/>
      <c r="P72" s="17"/>
      <c r="Q72" s="17"/>
      <c r="R72" s="17"/>
      <c r="S72" s="17"/>
      <c r="T72" s="17"/>
      <c r="U72" s="17"/>
      <c r="V72" s="17"/>
      <c r="W72" s="17"/>
      <c r="X72" s="17"/>
      <c r="Y72" s="17"/>
      <c r="Z72" s="17"/>
      <c r="AA72" s="17"/>
      <c r="AB72" s="17" t="str">
        <f>A74</f>
        <v>Gastos de Personal</v>
      </c>
      <c r="AC72" s="266">
        <f>IFERROR(S74,"")</f>
        <v>185484.95936199999</v>
      </c>
      <c r="AD72" s="17"/>
      <c r="AE72" s="270">
        <f t="shared" si="13"/>
        <v>4.071468726653011E-2</v>
      </c>
      <c r="AF72" s="17"/>
      <c r="AG72" s="17"/>
      <c r="AH72" s="17"/>
      <c r="AI72" s="17"/>
    </row>
    <row r="73" spans="1:35" ht="15" customHeight="1" thickBot="1">
      <c r="A73" s="21" t="str">
        <f>IFERROR(A32,"")</f>
        <v>Operacionales de Administración</v>
      </c>
      <c r="B73" s="21"/>
      <c r="C73" s="21"/>
      <c r="D73" s="21"/>
      <c r="E73" s="21"/>
      <c r="F73" s="264">
        <f t="shared" ref="F73:Q75" si="18">F32/$H$6</f>
        <v>33545.115888865206</v>
      </c>
      <c r="G73" s="264">
        <f t="shared" si="18"/>
        <v>33545.115888865206</v>
      </c>
      <c r="H73" s="264">
        <f t="shared" si="18"/>
        <v>33545.115888865206</v>
      </c>
      <c r="I73" s="264">
        <f t="shared" si="18"/>
        <v>33545.115888865206</v>
      </c>
      <c r="J73" s="264">
        <f t="shared" si="18"/>
        <v>33545.115888865206</v>
      </c>
      <c r="K73" s="264">
        <f t="shared" si="18"/>
        <v>33545.115888865206</v>
      </c>
      <c r="L73" s="264">
        <f t="shared" si="18"/>
        <v>33545.115888865206</v>
      </c>
      <c r="M73" s="264">
        <f t="shared" si="18"/>
        <v>33545.115888865206</v>
      </c>
      <c r="N73" s="264">
        <f t="shared" si="18"/>
        <v>33545.115888865206</v>
      </c>
      <c r="O73" s="264">
        <f t="shared" si="18"/>
        <v>33545.115888865206</v>
      </c>
      <c r="P73" s="264">
        <f t="shared" si="18"/>
        <v>33545.115888865206</v>
      </c>
      <c r="Q73" s="264">
        <f t="shared" si="18"/>
        <v>33545.115888865206</v>
      </c>
      <c r="R73" s="17"/>
      <c r="S73" s="264">
        <f>SUM(F73:Q73)</f>
        <v>402541.39066638245</v>
      </c>
      <c r="T73" s="17"/>
      <c r="U73" s="17"/>
      <c r="V73" s="17"/>
      <c r="W73" s="17"/>
      <c r="X73" s="17"/>
      <c r="Y73" s="17"/>
      <c r="Z73" s="17"/>
      <c r="AA73" s="17"/>
      <c r="AB73" s="17" t="str">
        <f>A75</f>
        <v>Otros Gastos de Administración Operacionales</v>
      </c>
      <c r="AC73" s="266">
        <f>IFERROR(S75,"")</f>
        <v>217056.43130438251</v>
      </c>
      <c r="AD73" s="17"/>
      <c r="AE73" s="270">
        <f t="shared" si="13"/>
        <v>4.7644751090031023E-2</v>
      </c>
      <c r="AF73" s="17"/>
      <c r="AG73" s="17"/>
      <c r="AH73" s="17"/>
      <c r="AI73" s="17"/>
    </row>
    <row r="74" spans="1:35" ht="15" customHeight="1">
      <c r="A74" s="17" t="str">
        <f>IFERROR(A33,"")</f>
        <v>Gastos de Personal</v>
      </c>
      <c r="B74" s="17"/>
      <c r="C74" s="17"/>
      <c r="D74" s="18"/>
      <c r="E74" s="18"/>
      <c r="F74" s="266">
        <f t="shared" si="18"/>
        <v>15457.079946833332</v>
      </c>
      <c r="G74" s="266">
        <f t="shared" si="18"/>
        <v>15457.079946833332</v>
      </c>
      <c r="H74" s="266">
        <f t="shared" si="18"/>
        <v>15457.079946833332</v>
      </c>
      <c r="I74" s="266">
        <f t="shared" si="18"/>
        <v>15457.079946833332</v>
      </c>
      <c r="J74" s="266">
        <f t="shared" si="18"/>
        <v>15457.079946833332</v>
      </c>
      <c r="K74" s="266">
        <f t="shared" si="18"/>
        <v>15457.079946833332</v>
      </c>
      <c r="L74" s="266">
        <f t="shared" si="18"/>
        <v>15457.079946833332</v>
      </c>
      <c r="M74" s="266">
        <f t="shared" si="18"/>
        <v>15457.079946833332</v>
      </c>
      <c r="N74" s="266">
        <f t="shared" si="18"/>
        <v>15457.079946833332</v>
      </c>
      <c r="O74" s="266">
        <f t="shared" si="18"/>
        <v>15457.079946833332</v>
      </c>
      <c r="P74" s="266">
        <f t="shared" si="18"/>
        <v>15457.079946833332</v>
      </c>
      <c r="Q74" s="266">
        <f t="shared" si="18"/>
        <v>15457.079946833332</v>
      </c>
      <c r="R74" s="17"/>
      <c r="S74" s="266">
        <f>SUM(F74:Q74)</f>
        <v>185484.95936199999</v>
      </c>
      <c r="T74" s="17"/>
      <c r="U74" s="17"/>
      <c r="V74" s="17"/>
      <c r="W74" s="17"/>
      <c r="X74" s="17"/>
      <c r="Y74" s="17"/>
      <c r="Z74" s="17"/>
      <c r="AA74" s="17"/>
      <c r="AB74" s="17"/>
      <c r="AC74" s="17"/>
      <c r="AD74" s="17"/>
      <c r="AE74" s="270">
        <f t="shared" si="13"/>
        <v>0</v>
      </c>
      <c r="AF74" s="17"/>
      <c r="AG74" s="17"/>
      <c r="AH74" s="17"/>
      <c r="AI74" s="17"/>
    </row>
    <row r="75" spans="1:35" ht="15" customHeight="1" thickBot="1">
      <c r="A75" s="17" t="str">
        <f>IFERROR(A34,"")</f>
        <v>Otros Gastos de Administración Operacionales</v>
      </c>
      <c r="B75" s="17"/>
      <c r="C75" s="17"/>
      <c r="D75" s="18"/>
      <c r="E75" s="18"/>
      <c r="F75" s="266">
        <f t="shared" si="18"/>
        <v>18088.035942031871</v>
      </c>
      <c r="G75" s="266">
        <f t="shared" si="18"/>
        <v>18088.035942031871</v>
      </c>
      <c r="H75" s="266">
        <f t="shared" si="18"/>
        <v>18088.035942031871</v>
      </c>
      <c r="I75" s="266">
        <f t="shared" si="18"/>
        <v>18088.035942031871</v>
      </c>
      <c r="J75" s="266">
        <f t="shared" si="18"/>
        <v>18088.035942031871</v>
      </c>
      <c r="K75" s="266">
        <f t="shared" si="18"/>
        <v>18088.035942031871</v>
      </c>
      <c r="L75" s="266">
        <f t="shared" si="18"/>
        <v>18088.035942031871</v>
      </c>
      <c r="M75" s="266">
        <f t="shared" si="18"/>
        <v>18088.035942031871</v>
      </c>
      <c r="N75" s="266">
        <f t="shared" si="18"/>
        <v>18088.035942031871</v>
      </c>
      <c r="O75" s="266">
        <f t="shared" si="18"/>
        <v>18088.035942031871</v>
      </c>
      <c r="P75" s="266">
        <f t="shared" si="18"/>
        <v>18088.035942031871</v>
      </c>
      <c r="Q75" s="266">
        <f t="shared" si="18"/>
        <v>18088.035942031871</v>
      </c>
      <c r="R75" s="17"/>
      <c r="S75" s="266">
        <f>SUM(F75:Q75)</f>
        <v>217056.43130438251</v>
      </c>
      <c r="T75" s="17"/>
      <c r="U75" s="17"/>
      <c r="V75" s="17"/>
      <c r="W75" s="17"/>
      <c r="X75" s="17"/>
      <c r="Y75" s="17"/>
      <c r="Z75" s="17"/>
      <c r="AA75" s="17"/>
      <c r="AB75" s="21" t="str">
        <f>A77</f>
        <v>Operacionales de Ventas</v>
      </c>
      <c r="AC75" s="264">
        <f>IFERROR(S77,"")</f>
        <v>648123.67681389488</v>
      </c>
      <c r="AD75" s="17"/>
      <c r="AE75" s="270">
        <f t="shared" si="13"/>
        <v>0.14226572818775654</v>
      </c>
      <c r="AF75" s="17"/>
      <c r="AG75" s="17"/>
      <c r="AH75" s="17"/>
      <c r="AI75" s="17"/>
    </row>
    <row r="76" spans="1:35" ht="15" customHeight="1">
      <c r="A76" s="17"/>
      <c r="B76" s="17"/>
      <c r="C76" s="17"/>
      <c r="D76" s="18"/>
      <c r="E76" s="18"/>
      <c r="F76" s="17"/>
      <c r="G76" s="17"/>
      <c r="H76" s="17"/>
      <c r="I76" s="17"/>
      <c r="J76" s="17"/>
      <c r="K76" s="17"/>
      <c r="L76" s="17"/>
      <c r="M76" s="17"/>
      <c r="N76" s="17"/>
      <c r="O76" s="17"/>
      <c r="P76" s="17"/>
      <c r="Q76" s="17"/>
      <c r="R76" s="17"/>
      <c r="S76" s="17"/>
      <c r="T76" s="17"/>
      <c r="U76" s="17"/>
      <c r="V76" s="17"/>
      <c r="W76" s="17"/>
      <c r="X76" s="17"/>
      <c r="Y76" s="17"/>
      <c r="Z76" s="17"/>
      <c r="AA76" s="17"/>
      <c r="AB76" s="17" t="str">
        <f>A78</f>
        <v>Gastos de Personal</v>
      </c>
      <c r="AC76" s="266">
        <f>IFERROR(S78,"")</f>
        <v>288942.34646974999</v>
      </c>
      <c r="AD76" s="17"/>
      <c r="AE76" s="270">
        <f t="shared" si="13"/>
        <v>6.3423995751665102E-2</v>
      </c>
      <c r="AF76" s="17"/>
      <c r="AG76" s="17"/>
      <c r="AH76" s="17"/>
      <c r="AI76" s="17"/>
    </row>
    <row r="77" spans="1:35" ht="15" customHeight="1" thickBot="1">
      <c r="A77" s="21" t="str">
        <f>IFERROR(A37,"")</f>
        <v>Operacionales de Ventas</v>
      </c>
      <c r="B77" s="21"/>
      <c r="C77" s="21"/>
      <c r="D77" s="21"/>
      <c r="E77" s="21"/>
      <c r="F77" s="264">
        <f t="shared" ref="F77:Q80" si="19">F37/$H$6</f>
        <v>54010.306401157919</v>
      </c>
      <c r="G77" s="264">
        <f t="shared" si="19"/>
        <v>54010.306401157919</v>
      </c>
      <c r="H77" s="264">
        <f t="shared" si="19"/>
        <v>54010.306401157919</v>
      </c>
      <c r="I77" s="264">
        <f t="shared" si="19"/>
        <v>54010.306401157919</v>
      </c>
      <c r="J77" s="264">
        <f t="shared" si="19"/>
        <v>54010.306401157919</v>
      </c>
      <c r="K77" s="264">
        <f t="shared" si="19"/>
        <v>54010.306401157919</v>
      </c>
      <c r="L77" s="264">
        <f t="shared" si="19"/>
        <v>54010.306401157919</v>
      </c>
      <c r="M77" s="264">
        <f t="shared" si="19"/>
        <v>54010.306401157919</v>
      </c>
      <c r="N77" s="264">
        <f t="shared" si="19"/>
        <v>54010.306401157919</v>
      </c>
      <c r="O77" s="264">
        <f t="shared" si="19"/>
        <v>54010.306401157919</v>
      </c>
      <c r="P77" s="264">
        <f t="shared" si="19"/>
        <v>54010.306401157919</v>
      </c>
      <c r="Q77" s="264">
        <f t="shared" si="19"/>
        <v>54010.306401157919</v>
      </c>
      <c r="R77" s="17"/>
      <c r="S77" s="264">
        <f>SUM(F77:Q77)</f>
        <v>648123.67681389488</v>
      </c>
      <c r="T77" s="17"/>
      <c r="U77" s="17"/>
      <c r="V77" s="17"/>
      <c r="W77" s="17"/>
      <c r="X77" s="17"/>
      <c r="Y77" s="17"/>
      <c r="Z77" s="17"/>
      <c r="AA77" s="17"/>
      <c r="AB77" s="17" t="str">
        <f>A79</f>
        <v xml:space="preserve">Honorarios </v>
      </c>
      <c r="AC77" s="266">
        <f>IFERROR(S79,"")</f>
        <v>122150.02641435746</v>
      </c>
      <c r="AD77" s="17"/>
      <c r="AE77" s="270">
        <f t="shared" si="13"/>
        <v>2.6812417255637752E-2</v>
      </c>
      <c r="AF77" s="17"/>
      <c r="AG77" s="17"/>
      <c r="AH77" s="17"/>
      <c r="AI77" s="17"/>
    </row>
    <row r="78" spans="1:35" ht="15" customHeight="1">
      <c r="A78" s="17" t="str">
        <f>IFERROR(A38,"")</f>
        <v>Gastos de Personal</v>
      </c>
      <c r="B78" s="17"/>
      <c r="C78" s="17"/>
      <c r="D78" s="17"/>
      <c r="E78" s="17"/>
      <c r="F78" s="266">
        <f t="shared" si="19"/>
        <v>24078.528872479164</v>
      </c>
      <c r="G78" s="266">
        <f t="shared" si="19"/>
        <v>24078.528872479164</v>
      </c>
      <c r="H78" s="266">
        <f t="shared" si="19"/>
        <v>24078.528872479164</v>
      </c>
      <c r="I78" s="266">
        <f t="shared" si="19"/>
        <v>24078.528872479164</v>
      </c>
      <c r="J78" s="266">
        <f t="shared" si="19"/>
        <v>24078.528872479164</v>
      </c>
      <c r="K78" s="266">
        <f t="shared" si="19"/>
        <v>24078.528872479164</v>
      </c>
      <c r="L78" s="266">
        <f t="shared" si="19"/>
        <v>24078.528872479164</v>
      </c>
      <c r="M78" s="266">
        <f t="shared" si="19"/>
        <v>24078.528872479164</v>
      </c>
      <c r="N78" s="266">
        <f t="shared" si="19"/>
        <v>24078.528872479164</v>
      </c>
      <c r="O78" s="266">
        <f t="shared" si="19"/>
        <v>24078.528872479164</v>
      </c>
      <c r="P78" s="266">
        <f t="shared" si="19"/>
        <v>24078.528872479164</v>
      </c>
      <c r="Q78" s="266">
        <f t="shared" si="19"/>
        <v>24078.528872479164</v>
      </c>
      <c r="R78" s="17"/>
      <c r="S78" s="266">
        <f>SUM(F78:Q78)</f>
        <v>288942.34646974999</v>
      </c>
      <c r="T78" s="17"/>
      <c r="U78" s="17"/>
      <c r="V78" s="17"/>
      <c r="W78" s="17"/>
      <c r="X78" s="17"/>
      <c r="Y78" s="17"/>
      <c r="Z78" s="17"/>
      <c r="AA78" s="17"/>
      <c r="AB78" s="17" t="str">
        <f>A80</f>
        <v>Otros Gastos de Ventas Operacionales</v>
      </c>
      <c r="AC78" s="266">
        <f>IFERROR(S80,"")</f>
        <v>237031.30392978751</v>
      </c>
      <c r="AD78" s="17"/>
      <c r="AE78" s="270">
        <f t="shared" si="13"/>
        <v>5.2029315180453721E-2</v>
      </c>
      <c r="AF78" s="17"/>
      <c r="AG78" s="17"/>
      <c r="AH78" s="17"/>
      <c r="AI78" s="17"/>
    </row>
    <row r="79" spans="1:35" ht="15" customHeight="1">
      <c r="A79" s="17" t="str">
        <f>IFERROR(A39,"")</f>
        <v xml:space="preserve">Honorarios </v>
      </c>
      <c r="B79" s="17"/>
      <c r="C79" s="17"/>
      <c r="D79" s="17"/>
      <c r="E79" s="17"/>
      <c r="F79" s="266">
        <f t="shared" si="19"/>
        <v>10179.168867863124</v>
      </c>
      <c r="G79" s="266">
        <f t="shared" si="19"/>
        <v>10179.168867863124</v>
      </c>
      <c r="H79" s="266">
        <f t="shared" si="19"/>
        <v>10179.168867863124</v>
      </c>
      <c r="I79" s="266">
        <f t="shared" si="19"/>
        <v>10179.168867863124</v>
      </c>
      <c r="J79" s="266">
        <f t="shared" si="19"/>
        <v>10179.168867863124</v>
      </c>
      <c r="K79" s="266">
        <f t="shared" si="19"/>
        <v>10179.168867863124</v>
      </c>
      <c r="L79" s="266">
        <f t="shared" si="19"/>
        <v>10179.168867863124</v>
      </c>
      <c r="M79" s="266">
        <f t="shared" si="19"/>
        <v>10179.168867863124</v>
      </c>
      <c r="N79" s="266">
        <f t="shared" si="19"/>
        <v>10179.168867863124</v>
      </c>
      <c r="O79" s="266">
        <f t="shared" si="19"/>
        <v>10179.168867863124</v>
      </c>
      <c r="P79" s="266">
        <f t="shared" si="19"/>
        <v>10179.168867863124</v>
      </c>
      <c r="Q79" s="266">
        <f t="shared" si="19"/>
        <v>10179.168867863124</v>
      </c>
      <c r="R79" s="17"/>
      <c r="S79" s="266">
        <f>SUM(F79:Q79)</f>
        <v>122150.02641435746</v>
      </c>
      <c r="T79" s="17"/>
      <c r="U79" s="17"/>
      <c r="V79" s="17"/>
      <c r="W79" s="17"/>
      <c r="X79" s="17"/>
      <c r="Y79" s="17"/>
      <c r="Z79" s="17"/>
      <c r="AA79" s="17"/>
      <c r="AB79" s="17"/>
      <c r="AC79" s="17"/>
      <c r="AD79" s="17"/>
      <c r="AE79" s="270">
        <f t="shared" si="13"/>
        <v>0</v>
      </c>
      <c r="AF79" s="17"/>
      <c r="AG79" s="17"/>
      <c r="AH79" s="17"/>
      <c r="AI79" s="17"/>
    </row>
    <row r="80" spans="1:35" ht="15" customHeight="1" thickBot="1">
      <c r="A80" s="17" t="str">
        <f>IFERROR(A40,"")</f>
        <v>Otros Gastos de Ventas Operacionales</v>
      </c>
      <c r="B80" s="17"/>
      <c r="C80" s="17"/>
      <c r="D80" s="17"/>
      <c r="E80" s="17"/>
      <c r="F80" s="266">
        <f t="shared" si="19"/>
        <v>19752.608660815622</v>
      </c>
      <c r="G80" s="266">
        <f t="shared" si="19"/>
        <v>19752.608660815622</v>
      </c>
      <c r="H80" s="266">
        <f t="shared" si="19"/>
        <v>19752.608660815622</v>
      </c>
      <c r="I80" s="266">
        <f t="shared" si="19"/>
        <v>19752.608660815622</v>
      </c>
      <c r="J80" s="266">
        <f t="shared" si="19"/>
        <v>19752.608660815622</v>
      </c>
      <c r="K80" s="266">
        <f t="shared" si="19"/>
        <v>19752.608660815622</v>
      </c>
      <c r="L80" s="266">
        <f t="shared" si="19"/>
        <v>19752.608660815622</v>
      </c>
      <c r="M80" s="266">
        <f t="shared" si="19"/>
        <v>19752.608660815622</v>
      </c>
      <c r="N80" s="266">
        <f t="shared" si="19"/>
        <v>19752.608660815622</v>
      </c>
      <c r="O80" s="266">
        <f t="shared" si="19"/>
        <v>19752.608660815622</v>
      </c>
      <c r="P80" s="266">
        <f t="shared" si="19"/>
        <v>19752.608660815622</v>
      </c>
      <c r="Q80" s="266">
        <f t="shared" si="19"/>
        <v>19752.608660815622</v>
      </c>
      <c r="R80" s="17"/>
      <c r="S80" s="266">
        <f>SUM(F80:Q80)</f>
        <v>237031.30392978751</v>
      </c>
      <c r="T80" s="17"/>
      <c r="U80" s="17"/>
      <c r="V80" s="17"/>
      <c r="W80" s="17"/>
      <c r="X80" s="17"/>
      <c r="Y80" s="17"/>
      <c r="Z80" s="17"/>
      <c r="AA80" s="17"/>
      <c r="AB80" s="26" t="str">
        <f>A82</f>
        <v>Utilidad Operacional / EBITDA</v>
      </c>
      <c r="AC80" s="271">
        <f>IFERROR(S82,"")</f>
        <v>2168713.5638209246</v>
      </c>
      <c r="AD80" s="17"/>
      <c r="AE80" s="270">
        <f t="shared" si="13"/>
        <v>0.47604126407534747</v>
      </c>
      <c r="AF80" s="17"/>
      <c r="AG80" s="17"/>
      <c r="AH80" s="17"/>
      <c r="AI80" s="17"/>
    </row>
    <row r="81" spans="1:31" ht="1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t="str">
        <f>A83</f>
        <v>Margen Ebitda</v>
      </c>
      <c r="AC81" s="270">
        <f>IFERROR(S83,"")</f>
        <v>0.47604126407534747</v>
      </c>
      <c r="AD81" s="17"/>
      <c r="AE81" s="270">
        <f t="shared" si="13"/>
        <v>1.0449295328019022E-7</v>
      </c>
    </row>
    <row r="82" spans="1:31" ht="15" customHeight="1">
      <c r="A82" s="28" t="s">
        <v>846</v>
      </c>
      <c r="B82" s="28"/>
      <c r="C82" s="28"/>
      <c r="D82" s="29"/>
      <c r="E82" s="29"/>
      <c r="F82" s="275">
        <f t="shared" ref="F82:Q82" si="20">F42/$H$6</f>
        <v>-12685.300514465078</v>
      </c>
      <c r="G82" s="275">
        <f t="shared" si="20"/>
        <v>155403.10129661963</v>
      </c>
      <c r="H82" s="275">
        <f t="shared" si="20"/>
        <v>197320.89665778371</v>
      </c>
      <c r="I82" s="275">
        <f t="shared" si="20"/>
        <v>160273.04820187579</v>
      </c>
      <c r="J82" s="275">
        <f t="shared" si="20"/>
        <v>204162.41603380154</v>
      </c>
      <c r="K82" s="275">
        <f t="shared" si="20"/>
        <v>176641.1716132841</v>
      </c>
      <c r="L82" s="275">
        <f t="shared" si="20"/>
        <v>189166.82474249991</v>
      </c>
      <c r="M82" s="275">
        <f t="shared" si="20"/>
        <v>184671.72193098624</v>
      </c>
      <c r="N82" s="275">
        <f t="shared" si="20"/>
        <v>225345.7252041238</v>
      </c>
      <c r="O82" s="275">
        <f t="shared" si="20"/>
        <v>221036.32734667187</v>
      </c>
      <c r="P82" s="275">
        <f t="shared" si="20"/>
        <v>224299.0525908994</v>
      </c>
      <c r="Q82" s="275">
        <f t="shared" si="20"/>
        <v>243078.57871684342</v>
      </c>
      <c r="R82" s="17"/>
      <c r="S82" s="275">
        <f>SUM(F82:Q82)</f>
        <v>2168713.5638209246</v>
      </c>
      <c r="T82" s="17"/>
      <c r="U82" s="17"/>
      <c r="V82" s="17"/>
      <c r="W82" s="17"/>
      <c r="X82" s="17"/>
      <c r="Y82" s="17"/>
      <c r="Z82" s="17"/>
      <c r="AA82" s="17"/>
      <c r="AB82" s="17"/>
      <c r="AC82" s="17"/>
      <c r="AD82" s="17"/>
      <c r="AE82" s="270">
        <f t="shared" si="13"/>
        <v>0</v>
      </c>
    </row>
    <row r="83" spans="1:31" ht="15" customHeight="1" thickBot="1">
      <c r="A83" s="22" t="s">
        <v>847</v>
      </c>
      <c r="B83" s="22"/>
      <c r="C83" s="22"/>
      <c r="D83" s="22"/>
      <c r="E83" s="22"/>
      <c r="F83" s="272">
        <f t="shared" ref="F83:Q83" si="21">F82/F$62</f>
        <v>-6.8115431816082095E-2</v>
      </c>
      <c r="G83" s="272">
        <f t="shared" si="21"/>
        <v>0.43859434559190874</v>
      </c>
      <c r="H83" s="272">
        <f t="shared" si="21"/>
        <v>0.49798504441710373</v>
      </c>
      <c r="I83" s="272">
        <f t="shared" si="21"/>
        <v>0.44620594394185559</v>
      </c>
      <c r="J83" s="272">
        <f t="shared" si="21"/>
        <v>0.50650579471800361</v>
      </c>
      <c r="K83" s="272">
        <f t="shared" si="21"/>
        <v>0.4703421581720153</v>
      </c>
      <c r="L83" s="272">
        <f t="shared" si="21"/>
        <v>0.4874371720913882</v>
      </c>
      <c r="M83" s="272">
        <f t="shared" si="21"/>
        <v>0.48143069104949221</v>
      </c>
      <c r="N83" s="272">
        <f t="shared" si="21"/>
        <v>0.53114576985829243</v>
      </c>
      <c r="O83" s="272">
        <f t="shared" si="21"/>
        <v>0.52633457799262484</v>
      </c>
      <c r="P83" s="272">
        <f t="shared" si="21"/>
        <v>0.52998622956178099</v>
      </c>
      <c r="Q83" s="272">
        <f t="shared" si="21"/>
        <v>0.54995616199405106</v>
      </c>
      <c r="R83" s="123"/>
      <c r="S83" s="272">
        <f>S82/S$62</f>
        <v>0.47604126407534747</v>
      </c>
      <c r="T83" s="22"/>
      <c r="U83" s="22"/>
      <c r="V83" s="22"/>
      <c r="W83" s="22"/>
      <c r="X83" s="22"/>
      <c r="Y83" s="22"/>
      <c r="Z83" s="22"/>
      <c r="AA83" s="22"/>
      <c r="AB83" s="22" t="str">
        <f>A85</f>
        <v>Ingresos no Operacionales</v>
      </c>
      <c r="AC83" s="267">
        <f>IFERROR(S85,"")</f>
        <v>9530.7072995625003</v>
      </c>
      <c r="AD83" s="22"/>
      <c r="AE83" s="272">
        <f t="shared" si="13"/>
        <v>2.0920282079217468E-3</v>
      </c>
    </row>
    <row r="84" spans="1:31" ht="15" customHeight="1" thickTop="1">
      <c r="A84" s="24"/>
      <c r="B84" s="24"/>
      <c r="C84" s="24"/>
      <c r="D84" s="24"/>
      <c r="E84" s="24"/>
      <c r="F84" s="122"/>
      <c r="G84" s="122"/>
      <c r="H84" s="122"/>
      <c r="I84" s="122"/>
      <c r="J84" s="122"/>
      <c r="K84" s="122"/>
      <c r="L84" s="122"/>
      <c r="M84" s="122"/>
      <c r="N84" s="122"/>
      <c r="O84" s="122"/>
      <c r="P84" s="122"/>
      <c r="Q84" s="122"/>
      <c r="R84" s="122"/>
      <c r="S84" s="122"/>
      <c r="T84" s="24"/>
      <c r="U84" s="24"/>
      <c r="V84" s="24"/>
      <c r="W84" s="24"/>
      <c r="X84" s="24"/>
      <c r="Y84" s="24"/>
      <c r="Z84" s="24"/>
      <c r="AA84" s="24"/>
      <c r="AB84" s="24" t="str">
        <f>A86</f>
        <v>Gastos no Operacionales</v>
      </c>
      <c r="AC84" s="268">
        <f>IFERROR(S86,"")</f>
        <v>24184.351336010001</v>
      </c>
      <c r="AD84" s="24"/>
      <c r="AE84" s="273">
        <f t="shared" si="13"/>
        <v>5.3085614314842509E-3</v>
      </c>
    </row>
    <row r="85" spans="1:31" ht="15" customHeight="1">
      <c r="A85" s="17" t="str">
        <f>IFERROR(A44,"")</f>
        <v>Ingresos no Operacionales</v>
      </c>
      <c r="B85" s="17"/>
      <c r="C85" s="17"/>
      <c r="D85" s="17"/>
      <c r="E85" s="17"/>
      <c r="F85" s="266">
        <f t="shared" ref="F85:Q86" si="22">F44/$H$6</f>
        <v>794.22560829687495</v>
      </c>
      <c r="G85" s="266">
        <f t="shared" si="22"/>
        <v>794.22560829687495</v>
      </c>
      <c r="H85" s="266">
        <f t="shared" si="22"/>
        <v>794.22560829687495</v>
      </c>
      <c r="I85" s="266">
        <f t="shared" si="22"/>
        <v>794.22560829687495</v>
      </c>
      <c r="J85" s="266">
        <f t="shared" si="22"/>
        <v>794.22560829687495</v>
      </c>
      <c r="K85" s="266">
        <f t="shared" si="22"/>
        <v>794.22560829687495</v>
      </c>
      <c r="L85" s="266">
        <f t="shared" si="22"/>
        <v>794.22560829687495</v>
      </c>
      <c r="M85" s="266">
        <f t="shared" si="22"/>
        <v>794.22560829687495</v>
      </c>
      <c r="N85" s="266">
        <f t="shared" si="22"/>
        <v>794.22560829687495</v>
      </c>
      <c r="O85" s="266">
        <f t="shared" si="22"/>
        <v>794.22560829687495</v>
      </c>
      <c r="P85" s="266">
        <f t="shared" si="22"/>
        <v>794.22560829687495</v>
      </c>
      <c r="Q85" s="266">
        <f t="shared" si="22"/>
        <v>794.22560829687495</v>
      </c>
      <c r="R85" s="17"/>
      <c r="S85" s="266">
        <f>SUM(F85:Q85)</f>
        <v>9530.7072995625003</v>
      </c>
      <c r="T85" s="17"/>
      <c r="U85" s="17"/>
      <c r="V85" s="17"/>
      <c r="W85" s="17"/>
      <c r="X85" s="17"/>
      <c r="Y85" s="17"/>
      <c r="Z85" s="17"/>
      <c r="AA85" s="17"/>
      <c r="AB85" s="17"/>
      <c r="AC85" s="17"/>
      <c r="AD85" s="17"/>
      <c r="AE85" s="270">
        <f t="shared" si="13"/>
        <v>0</v>
      </c>
    </row>
    <row r="86" spans="1:31" ht="15" customHeight="1" thickBot="1">
      <c r="A86" s="17" t="str">
        <f>IFERROR(A45,"")</f>
        <v>Gastos no Operacionales</v>
      </c>
      <c r="B86" s="17"/>
      <c r="C86" s="17"/>
      <c r="D86" s="17"/>
      <c r="E86" s="17"/>
      <c r="F86" s="266">
        <f t="shared" si="22"/>
        <v>2015.3626113341668</v>
      </c>
      <c r="G86" s="266">
        <f t="shared" si="22"/>
        <v>2015.3626113341668</v>
      </c>
      <c r="H86" s="266">
        <f t="shared" si="22"/>
        <v>2015.3626113341668</v>
      </c>
      <c r="I86" s="266">
        <f t="shared" si="22"/>
        <v>2015.3626113341668</v>
      </c>
      <c r="J86" s="266">
        <f t="shared" si="22"/>
        <v>2015.3626113341668</v>
      </c>
      <c r="K86" s="266">
        <f t="shared" si="22"/>
        <v>2015.3626113341668</v>
      </c>
      <c r="L86" s="266">
        <f t="shared" si="22"/>
        <v>2015.3626113341668</v>
      </c>
      <c r="M86" s="266">
        <f t="shared" si="22"/>
        <v>2015.3626113341668</v>
      </c>
      <c r="N86" s="266">
        <f t="shared" si="22"/>
        <v>2015.3626113341668</v>
      </c>
      <c r="O86" s="266">
        <f t="shared" si="22"/>
        <v>2015.3626113341668</v>
      </c>
      <c r="P86" s="266">
        <f t="shared" si="22"/>
        <v>2015.3626113341668</v>
      </c>
      <c r="Q86" s="266">
        <f t="shared" si="22"/>
        <v>2015.3626113341668</v>
      </c>
      <c r="R86" s="17"/>
      <c r="S86" s="266">
        <f>SUM(F86:Q86)</f>
        <v>24184.351336010001</v>
      </c>
      <c r="T86" s="17"/>
      <c r="U86" s="17"/>
      <c r="V86" s="17"/>
      <c r="W86" s="17"/>
      <c r="X86" s="17"/>
      <c r="Y86" s="17"/>
      <c r="Z86" s="17"/>
      <c r="AA86" s="17"/>
      <c r="AB86" s="26" t="str">
        <f>A88</f>
        <v>Utilidad Antes de Impuestos / EBT</v>
      </c>
      <c r="AC86" s="271">
        <f>IFERROR(S88,"")</f>
        <v>2154059.9197844765</v>
      </c>
      <c r="AD86" s="17"/>
      <c r="AE86" s="270">
        <f t="shared" si="13"/>
        <v>0.47282473085178484</v>
      </c>
    </row>
    <row r="87" spans="1:31" ht="1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270">
        <f t="shared" si="13"/>
        <v>0</v>
      </c>
    </row>
    <row r="88" spans="1:31" ht="15" customHeight="1" thickBot="1">
      <c r="A88" s="22" t="s">
        <v>848</v>
      </c>
      <c r="B88" s="22"/>
      <c r="C88" s="22"/>
      <c r="D88" s="23"/>
      <c r="E88" s="23"/>
      <c r="F88" s="267">
        <f t="shared" ref="F88:Q88" si="23">F47/$H$6</f>
        <v>-13906.437517502371</v>
      </c>
      <c r="G88" s="267">
        <f t="shared" si="23"/>
        <v>154181.96429358231</v>
      </c>
      <c r="H88" s="267">
        <f t="shared" si="23"/>
        <v>196099.75965474642</v>
      </c>
      <c r="I88" s="267">
        <f t="shared" si="23"/>
        <v>159051.91119883847</v>
      </c>
      <c r="J88" s="267">
        <f t="shared" si="23"/>
        <v>202941.27903076421</v>
      </c>
      <c r="K88" s="267">
        <f t="shared" si="23"/>
        <v>175420.03461024677</v>
      </c>
      <c r="L88" s="267">
        <f t="shared" si="23"/>
        <v>187945.68773946262</v>
      </c>
      <c r="M88" s="267">
        <f t="shared" si="23"/>
        <v>183450.58492794895</v>
      </c>
      <c r="N88" s="267">
        <f t="shared" si="23"/>
        <v>224124.5882010865</v>
      </c>
      <c r="O88" s="267">
        <f t="shared" si="23"/>
        <v>219815.19034363457</v>
      </c>
      <c r="P88" s="267">
        <f t="shared" si="23"/>
        <v>223077.91558786211</v>
      </c>
      <c r="Q88" s="267">
        <f t="shared" si="23"/>
        <v>241857.44171380613</v>
      </c>
      <c r="R88" s="22"/>
      <c r="S88" s="267">
        <f>SUM(F88:Q88)</f>
        <v>2154059.9197844765</v>
      </c>
      <c r="T88" s="22"/>
      <c r="U88" s="22"/>
      <c r="V88" s="22"/>
      <c r="W88" s="22"/>
      <c r="X88" s="22"/>
      <c r="Y88" s="22"/>
      <c r="Z88" s="22"/>
      <c r="AA88" s="22"/>
      <c r="AB88" s="22" t="str">
        <f>A90</f>
        <v>Impuestos</v>
      </c>
      <c r="AC88" s="267">
        <f>IFERROR(S90,"")</f>
        <v>758788.2250556926</v>
      </c>
      <c r="AD88" s="22"/>
      <c r="AE88" s="272">
        <f t="shared" si="13"/>
        <v>0.16655703724405138</v>
      </c>
    </row>
    <row r="89" spans="1:31" ht="15" customHeight="1" thickTop="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270">
        <f t="shared" si="13"/>
        <v>0</v>
      </c>
    </row>
    <row r="90" spans="1:31" ht="15" customHeight="1" thickBot="1">
      <c r="A90" s="17" t="str">
        <f>IFERROR(A49,"")</f>
        <v>Impuestos</v>
      </c>
      <c r="B90" s="17"/>
      <c r="C90" s="17"/>
      <c r="D90" s="17"/>
      <c r="E90" s="17"/>
      <c r="F90" s="266">
        <f t="shared" ref="F90:Q90" si="24">F49/$H$6</f>
        <v>0</v>
      </c>
      <c r="G90" s="266">
        <f t="shared" si="24"/>
        <v>53963.687502753812</v>
      </c>
      <c r="H90" s="266">
        <f t="shared" si="24"/>
        <v>68634.915879161243</v>
      </c>
      <c r="I90" s="266">
        <f t="shared" si="24"/>
        <v>55668.16891959346</v>
      </c>
      <c r="J90" s="266">
        <f t="shared" si="24"/>
        <v>71029.447660767459</v>
      </c>
      <c r="K90" s="266">
        <f t="shared" si="24"/>
        <v>61397.012113586366</v>
      </c>
      <c r="L90" s="266">
        <f t="shared" si="24"/>
        <v>65780.990708811907</v>
      </c>
      <c r="M90" s="266">
        <f t="shared" si="24"/>
        <v>64207.704724782132</v>
      </c>
      <c r="N90" s="266">
        <f t="shared" si="24"/>
        <v>78443.60587038027</v>
      </c>
      <c r="O90" s="266">
        <f t="shared" si="24"/>
        <v>76935.316620272104</v>
      </c>
      <c r="P90" s="266">
        <f t="shared" si="24"/>
        <v>78077.270455751728</v>
      </c>
      <c r="Q90" s="266">
        <f t="shared" si="24"/>
        <v>84650.104599832135</v>
      </c>
      <c r="R90" s="17"/>
      <c r="S90" s="266">
        <f>SUM(F90:Q90)</f>
        <v>758788.2250556926</v>
      </c>
      <c r="T90" s="17"/>
      <c r="U90" s="17"/>
      <c r="V90" s="17"/>
      <c r="W90" s="17"/>
      <c r="X90" s="17"/>
      <c r="Y90" s="17"/>
      <c r="Z90" s="17"/>
      <c r="AA90" s="17"/>
      <c r="AB90" s="30" t="str">
        <f>A92</f>
        <v>Utilidad Neta</v>
      </c>
      <c r="AC90" s="276">
        <f>IFERROR(S92,"")</f>
        <v>1395271.694728784</v>
      </c>
      <c r="AD90" s="17"/>
      <c r="AE90" s="270">
        <f t="shared" si="13"/>
        <v>0.30626769360773348</v>
      </c>
    </row>
    <row r="91" spans="1:31" ht="15" customHeight="1" thickTop="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t="str">
        <f>A93</f>
        <v>Margen Neto</v>
      </c>
      <c r="AC91" s="270">
        <f>IFERROR(S93,"")</f>
        <v>0.30626769360773348</v>
      </c>
      <c r="AD91" s="17"/>
      <c r="AE91" s="270">
        <f t="shared" si="13"/>
        <v>6.7226978445967502E-8</v>
      </c>
    </row>
    <row r="92" spans="1:31" ht="15" customHeight="1" thickBot="1">
      <c r="A92" s="22" t="str">
        <f>IFERROR(A51,"")</f>
        <v>Utilidad Neta</v>
      </c>
      <c r="B92" s="22"/>
      <c r="C92" s="22"/>
      <c r="D92" s="23"/>
      <c r="E92" s="23"/>
      <c r="F92" s="267">
        <f t="shared" ref="F92:Q92" si="25">F51/$H$6</f>
        <v>-13906.437517502371</v>
      </c>
      <c r="G92" s="267">
        <f t="shared" si="25"/>
        <v>100218.27679082852</v>
      </c>
      <c r="H92" s="267">
        <f t="shared" si="25"/>
        <v>127464.84377558518</v>
      </c>
      <c r="I92" s="267">
        <f t="shared" si="25"/>
        <v>103383.74227924502</v>
      </c>
      <c r="J92" s="267">
        <f t="shared" si="25"/>
        <v>131911.83136999677</v>
      </c>
      <c r="K92" s="267">
        <f t="shared" si="25"/>
        <v>114023.02249666041</v>
      </c>
      <c r="L92" s="267">
        <f t="shared" si="25"/>
        <v>122164.6970306507</v>
      </c>
      <c r="M92" s="267">
        <f t="shared" si="25"/>
        <v>119242.88020316682</v>
      </c>
      <c r="N92" s="267">
        <f t="shared" si="25"/>
        <v>145680.98233070623</v>
      </c>
      <c r="O92" s="267">
        <f t="shared" si="25"/>
        <v>142879.87372336249</v>
      </c>
      <c r="P92" s="267">
        <f t="shared" si="25"/>
        <v>145000.64513211037</v>
      </c>
      <c r="Q92" s="267">
        <f t="shared" si="25"/>
        <v>157207.33711397398</v>
      </c>
      <c r="R92" s="22"/>
      <c r="S92" s="267">
        <f>SUM(F92:Q92)</f>
        <v>1395271.694728784</v>
      </c>
      <c r="T92" s="22"/>
      <c r="U92" s="22"/>
      <c r="V92" s="22"/>
      <c r="W92" s="22"/>
      <c r="X92" s="22"/>
      <c r="Y92" s="22"/>
      <c r="Z92" s="22"/>
      <c r="AA92" s="22"/>
      <c r="AB92" s="22"/>
      <c r="AC92" s="22"/>
      <c r="AD92" s="22"/>
      <c r="AE92" s="22"/>
    </row>
    <row r="93" spans="1:31" ht="15" customHeight="1" thickTop="1">
      <c r="A93" s="24" t="s">
        <v>671</v>
      </c>
      <c r="B93" s="24"/>
      <c r="C93" s="24"/>
      <c r="D93" s="24"/>
      <c r="E93" s="24"/>
      <c r="F93" s="273">
        <f t="shared" ref="F93:Q93" si="26">F92/F$62</f>
        <v>-7.4672491632964882E-2</v>
      </c>
      <c r="G93" s="273">
        <f t="shared" si="26"/>
        <v>0.28284615402574553</v>
      </c>
      <c r="H93" s="273">
        <f t="shared" si="26"/>
        <v>0.32168709429336589</v>
      </c>
      <c r="I93" s="273">
        <f t="shared" si="26"/>
        <v>0.28782406542769023</v>
      </c>
      <c r="J93" s="273">
        <f t="shared" si="26"/>
        <v>0.32725958224213808</v>
      </c>
      <c r="K93" s="273">
        <f t="shared" si="26"/>
        <v>0.30360891513891169</v>
      </c>
      <c r="L93" s="273">
        <f t="shared" si="26"/>
        <v>0.31478888822646228</v>
      </c>
      <c r="M93" s="273">
        <f t="shared" si="26"/>
        <v>0.31086070795612164</v>
      </c>
      <c r="N93" s="273">
        <f t="shared" si="26"/>
        <v>0.34337388669638386</v>
      </c>
      <c r="O93" s="273">
        <f t="shared" si="26"/>
        <v>0.34022741393942113</v>
      </c>
      <c r="P93" s="273">
        <f t="shared" si="26"/>
        <v>0.34261555860317083</v>
      </c>
      <c r="Q93" s="273">
        <f t="shared" si="26"/>
        <v>0.35567570047880681</v>
      </c>
      <c r="R93" s="24"/>
      <c r="S93" s="273">
        <f>S92/S$62</f>
        <v>0.30626769360773348</v>
      </c>
      <c r="T93" s="122"/>
      <c r="U93" s="122"/>
      <c r="V93" s="122"/>
      <c r="W93" s="124"/>
      <c r="X93" s="124"/>
      <c r="Y93" s="124"/>
      <c r="Z93" s="124"/>
      <c r="AA93" s="124"/>
      <c r="AB93" s="124"/>
      <c r="AC93" s="124"/>
      <c r="AD93" s="124"/>
      <c r="AE93" s="124"/>
    </row>
    <row r="96" spans="1:31" ht="15" customHeight="1" outlineLevel="1"/>
    <row r="97" ht="15" customHeight="1" outlineLevel="1"/>
    <row r="98" ht="15" customHeight="1" outlineLevel="1"/>
    <row r="99" ht="15" customHeight="1" outlineLevel="1"/>
    <row r="100" ht="15" customHeight="1" outlineLevel="1"/>
    <row r="101" ht="15" customHeight="1" outlineLevel="1"/>
    <row r="102" ht="15" customHeight="1" outlineLevel="1"/>
    <row r="103" ht="15" customHeight="1" outlineLevel="1"/>
    <row r="104" ht="15" customHeight="1" outlineLevel="1"/>
    <row r="105" ht="15" customHeight="1" outlineLevel="1"/>
    <row r="106" ht="15" customHeight="1" outlineLevel="1"/>
    <row r="107" ht="15" customHeight="1" outlineLevel="1"/>
    <row r="108" ht="15" customHeight="1" outlineLevel="1"/>
    <row r="109" ht="15" customHeight="1" outlineLevel="1"/>
    <row r="110" ht="15" customHeight="1" outlineLevel="1"/>
    <row r="111" ht="15" customHeight="1" outlineLevel="1"/>
    <row r="112" ht="15" customHeight="1" outlineLevel="1"/>
    <row r="113" ht="15" customHeight="1" outlineLevel="1"/>
    <row r="114" ht="15" customHeight="1" outlineLevel="1"/>
    <row r="115" ht="15" customHeight="1" outlineLevel="1"/>
    <row r="116" ht="15" customHeight="1" outlineLevel="1"/>
    <row r="117" ht="15" customHeight="1" outlineLevel="1"/>
    <row r="118" ht="15" customHeight="1" outlineLevel="1"/>
    <row r="119" ht="15" customHeight="1" outlineLevel="1"/>
    <row r="120" ht="15" customHeight="1" outlineLevel="1"/>
    <row r="121" ht="15" customHeight="1" outlineLevel="1"/>
    <row r="122" ht="15" customHeight="1" outlineLevel="1"/>
    <row r="123" ht="15" customHeight="1" outlineLevel="1"/>
    <row r="124" ht="15" customHeight="1" outlineLevel="1"/>
    <row r="125" ht="15" customHeight="1" outlineLevel="1"/>
    <row r="126" ht="15" customHeight="1" outlineLevel="1"/>
    <row r="127" ht="15" customHeight="1" outlineLevel="1"/>
    <row r="128" ht="15" customHeight="1" outlineLevel="1"/>
    <row r="129" ht="15" customHeight="1" outlineLevel="1"/>
    <row r="130" ht="15" customHeight="1" outlineLevel="1"/>
    <row r="131" ht="15" customHeight="1" outlineLevel="1"/>
    <row r="132" ht="15" customHeight="1" outlineLevel="1"/>
    <row r="133" ht="15" customHeight="1" outlineLevel="1"/>
    <row r="134" ht="15" customHeight="1" outlineLevel="1"/>
    <row r="135" ht="15" customHeight="1" outlineLevel="1"/>
    <row r="136" ht="15" customHeight="1" outlineLevel="1"/>
    <row r="137" ht="15" customHeight="1" outlineLevel="1"/>
    <row r="138" ht="15" customHeight="1" outlineLevel="1"/>
    <row r="139" ht="15" customHeight="1" outlineLevel="1"/>
    <row r="140" ht="15" customHeight="1" outlineLevel="1"/>
    <row r="141" ht="15" customHeight="1" outlineLevel="1"/>
    <row r="142" ht="15" customHeight="1" outlineLevel="1"/>
    <row r="143" ht="15" customHeight="1" outlineLevel="1"/>
    <row r="144" ht="15" customHeight="1" outlineLevel="1"/>
    <row r="145" ht="15" customHeight="1" outlineLevel="1"/>
    <row r="146" ht="15" customHeight="1" outlineLevel="1"/>
    <row r="147" ht="15" customHeight="1" outlineLevel="1"/>
    <row r="148" ht="15" customHeight="1" outlineLevel="1"/>
    <row r="149" ht="15" customHeight="1" outlineLevel="1"/>
    <row r="150" ht="15" customHeight="1" outlineLevel="1"/>
    <row r="151" ht="15" customHeight="1" outlineLevel="1"/>
    <row r="152" ht="15" customHeight="1" outlineLevel="1"/>
    <row r="153" ht="15" customHeight="1" outlineLevel="1"/>
    <row r="154" ht="15" customHeight="1" outlineLevel="1"/>
    <row r="155" ht="15" customHeight="1" outlineLevel="1"/>
    <row r="156" ht="15" customHeight="1" outlineLevel="1"/>
    <row r="157" ht="15" customHeight="1" outlineLevel="1"/>
    <row r="158" ht="15" customHeight="1" outlineLevel="1"/>
    <row r="159" ht="15" customHeight="1" outlineLevel="1"/>
    <row r="160" ht="15" customHeight="1" outlineLevel="1"/>
    <row r="161" ht="15" customHeight="1" outlineLevel="1"/>
    <row r="162" ht="15" customHeight="1" outlineLevel="1"/>
    <row r="163" ht="15" customHeight="1" outlineLevel="1"/>
    <row r="164" ht="15" customHeight="1" outlineLevel="1"/>
    <row r="165" ht="15" customHeight="1" outlineLevel="1"/>
    <row r="166" ht="15" customHeight="1" outlineLevel="1"/>
    <row r="167" ht="15" customHeight="1" outlineLevel="1"/>
    <row r="168" ht="15" customHeight="1" outlineLevel="1"/>
    <row r="169" ht="15" customHeight="1" outlineLevel="1"/>
    <row r="170" ht="15" customHeight="1" outlineLevel="1"/>
    <row r="171" ht="15" customHeight="1" outlineLevel="1"/>
    <row r="172" ht="15" customHeight="1" outlineLevel="1"/>
    <row r="173" ht="15" customHeight="1" outlineLevel="1"/>
    <row r="174" ht="15" customHeight="1" outlineLevel="1"/>
    <row r="175" ht="15" customHeight="1" outlineLevel="1"/>
    <row r="176" ht="15" customHeight="1" outlineLevel="1"/>
    <row r="177" ht="15" customHeight="1" outlineLevel="1"/>
    <row r="178" ht="15" customHeight="1" outlineLevel="1"/>
    <row r="179" ht="15" customHeight="1" outlineLevel="1"/>
    <row r="180" ht="15" customHeight="1" outlineLevel="1"/>
    <row r="181" ht="15" customHeight="1" outlineLevel="1"/>
    <row r="182" ht="15" customHeight="1" outlineLevel="1"/>
    <row r="183" ht="15" customHeight="1" outlineLevel="1"/>
    <row r="184" ht="15" customHeight="1" outlineLevel="1"/>
    <row r="185" ht="15" customHeight="1" outlineLevel="1"/>
    <row r="186" ht="15" customHeight="1" outlineLevel="1"/>
    <row r="187" ht="15" customHeight="1" outlineLevel="1"/>
    <row r="188" ht="15" customHeight="1" outlineLevel="1"/>
    <row r="189" ht="15" customHeight="1" outlineLevel="1"/>
    <row r="190" ht="15" customHeight="1" outlineLevel="1"/>
    <row r="191" ht="15" customHeight="1" outlineLevel="1"/>
    <row r="192" ht="15" customHeight="1" outlineLevel="1"/>
    <row r="193" ht="15" customHeight="1" outlineLevel="1"/>
    <row r="194" ht="15" customHeight="1" outlineLevel="1"/>
    <row r="195" ht="15" customHeight="1" outlineLevel="1"/>
    <row r="196" ht="15" customHeight="1" outlineLevel="1"/>
    <row r="197" ht="15" customHeight="1" outlineLevel="1"/>
    <row r="198" ht="15" customHeight="1" outlineLevel="1"/>
    <row r="199" ht="15" customHeight="1" outlineLevel="1"/>
    <row r="200" ht="15" customHeight="1" outlineLevel="1"/>
    <row r="201" ht="15" customHeight="1" outlineLevel="1"/>
    <row r="202" ht="15" customHeight="1" outlineLevel="1"/>
    <row r="203" ht="15" customHeight="1" outlineLevel="1"/>
    <row r="204" ht="15" customHeight="1" outlineLevel="1"/>
    <row r="205" ht="15" customHeight="1" outlineLevel="1"/>
    <row r="206" ht="15" customHeight="1" outlineLevel="1"/>
    <row r="207" ht="15" customHeight="1" outlineLevel="1"/>
    <row r="208" ht="15" customHeight="1" outlineLevel="1"/>
    <row r="209" ht="15" customHeight="1" outlineLevel="1"/>
    <row r="210" ht="15" customHeight="1" outlineLevel="1"/>
    <row r="211" ht="15" customHeight="1" outlineLevel="1"/>
    <row r="212" ht="15" customHeight="1" outlineLevel="1"/>
    <row r="213" ht="15" customHeight="1" outlineLevel="1"/>
    <row r="214" ht="15" customHeight="1" outlineLevel="1"/>
    <row r="215" ht="15" customHeight="1" outlineLevel="1"/>
    <row r="216" ht="15" customHeight="1" outlineLevel="1"/>
    <row r="217" ht="15" customHeight="1" outlineLevel="1"/>
    <row r="218" ht="15" customHeight="1" outlineLevel="1"/>
    <row r="219" ht="15" customHeight="1" outlineLevel="1"/>
    <row r="220" ht="15" customHeight="1" outlineLevel="1"/>
    <row r="221" ht="15" customHeight="1" outlineLevel="1"/>
    <row r="222" ht="15" customHeight="1" outlineLevel="1"/>
    <row r="223" ht="15" customHeight="1" outlineLevel="1"/>
    <row r="224" ht="15" customHeight="1" outlineLevel="1"/>
    <row r="225" ht="15" customHeight="1" outlineLevel="1"/>
    <row r="226" ht="15" customHeight="1" outlineLevel="1"/>
    <row r="227" ht="15" customHeight="1" outlineLevel="1"/>
    <row r="228" ht="15" customHeight="1" outlineLevel="1"/>
    <row r="229" ht="15" customHeight="1" outlineLevel="1"/>
    <row r="230" ht="15" customHeight="1" outlineLevel="1"/>
    <row r="231" ht="15" customHeight="1" outlineLevel="1"/>
    <row r="232" ht="15" customHeight="1" outlineLevel="1"/>
    <row r="233" ht="15" customHeight="1" outlineLevel="1"/>
    <row r="234" ht="15" customHeight="1" outlineLevel="1"/>
    <row r="235" ht="15" customHeight="1" outlineLevel="1"/>
    <row r="236" ht="15" customHeight="1" outlineLevel="1"/>
    <row r="237" ht="15" customHeight="1" outlineLevel="1"/>
    <row r="238" ht="15" customHeight="1" outlineLevel="1"/>
    <row r="239" ht="15" customHeight="1" outlineLevel="1"/>
    <row r="240" ht="15" customHeight="1" outlineLevel="1"/>
    <row r="241" ht="15" customHeight="1" outlineLevel="1"/>
    <row r="242" ht="15" customHeight="1" outlineLevel="1"/>
    <row r="243" ht="15" customHeight="1" outlineLevel="1"/>
    <row r="244" ht="15" customHeight="1" outlineLevel="1"/>
    <row r="245" ht="15" customHeight="1" outlineLevel="1"/>
    <row r="246" ht="15" customHeight="1" outlineLevel="1"/>
    <row r="247" ht="15" customHeight="1" outlineLevel="1"/>
    <row r="248" ht="15" customHeight="1" outlineLevel="1"/>
    <row r="249" ht="15" customHeight="1" outlineLevel="1"/>
    <row r="250" ht="15" customHeight="1" outlineLevel="1"/>
    <row r="251" ht="15" customHeight="1" outlineLevel="1"/>
    <row r="252" ht="15" customHeight="1" outlineLevel="1"/>
    <row r="253" ht="15" customHeight="1" outlineLevel="1"/>
    <row r="254" ht="15" customHeight="1" outlineLevel="1"/>
    <row r="255" ht="15" customHeight="1" outlineLevel="1"/>
    <row r="256" ht="15" customHeight="1" outlineLevel="1"/>
    <row r="257" ht="15" customHeight="1" outlineLevel="1"/>
    <row r="258" ht="15" customHeight="1" outlineLevel="1"/>
    <row r="259" ht="15" customHeight="1" outlineLevel="1"/>
    <row r="260" ht="15" customHeight="1" outlineLevel="1"/>
    <row r="261" ht="15" customHeight="1" outlineLevel="1"/>
    <row r="262" ht="15" customHeight="1" outlineLevel="1"/>
    <row r="263" ht="15" customHeight="1" outlineLevel="1"/>
    <row r="264" ht="15" customHeight="1" outlineLevel="1"/>
    <row r="265" ht="15" customHeight="1" outlineLevel="1"/>
    <row r="266" ht="15" customHeight="1" outlineLevel="1"/>
    <row r="267" ht="15" customHeight="1" outlineLevel="1"/>
    <row r="268" ht="15" customHeight="1" outlineLevel="1"/>
    <row r="269" ht="15" customHeight="1" outlineLevel="1"/>
    <row r="270" ht="15" customHeight="1" outlineLevel="1"/>
    <row r="271" ht="15" customHeight="1" outlineLevel="1"/>
    <row r="272" ht="15" customHeight="1" outlineLevel="1"/>
    <row r="273" ht="15" customHeight="1" outlineLevel="1"/>
    <row r="274" ht="15" customHeight="1" outlineLevel="1"/>
    <row r="275" ht="15" customHeight="1" outlineLevel="1"/>
    <row r="276" ht="15" customHeight="1" outlineLevel="1"/>
    <row r="277" ht="15" customHeight="1" outlineLevel="1"/>
    <row r="278" ht="15" customHeight="1" outlineLevel="1"/>
    <row r="279" ht="15" customHeight="1" outlineLevel="1"/>
    <row r="280" ht="15" customHeight="1" outlineLevel="1"/>
    <row r="281" ht="15" customHeight="1" outlineLevel="1"/>
    <row r="282" ht="15" customHeight="1" outlineLevel="1"/>
    <row r="283" ht="15" customHeight="1" outlineLevel="1"/>
    <row r="289" spans="1:14" ht="15" customHeight="1" thickBot="1">
      <c r="A289" s="558" t="s">
        <v>849</v>
      </c>
      <c r="B289" s="572"/>
      <c r="C289" s="572"/>
      <c r="D289" s="572"/>
      <c r="E289" s="563"/>
      <c r="F289" s="563"/>
      <c r="G289" s="563"/>
      <c r="H289" s="563"/>
      <c r="I289" s="563"/>
      <c r="J289" s="563"/>
      <c r="K289" s="563"/>
      <c r="L289" s="563"/>
      <c r="M289" s="563"/>
      <c r="N289" s="563"/>
    </row>
    <row r="290" spans="1:14" ht="15" customHeight="1">
      <c r="A290" s="119"/>
      <c r="B290" s="120"/>
      <c r="C290" s="120"/>
      <c r="D290" s="120"/>
      <c r="E290" s="120"/>
      <c r="F290" s="120"/>
      <c r="G290" s="120"/>
      <c r="H290" s="120"/>
      <c r="I290" s="120"/>
      <c r="J290" s="120"/>
      <c r="K290" s="120"/>
      <c r="L290" s="120"/>
      <c r="M290" s="120"/>
      <c r="N290" s="120"/>
    </row>
    <row r="291" spans="1:14" ht="30" customHeight="1">
      <c r="A291" s="411" t="s">
        <v>170</v>
      </c>
      <c r="B291" s="410" t="s">
        <v>850</v>
      </c>
      <c r="C291" s="410" t="s">
        <v>172</v>
      </c>
      <c r="D291" s="410" t="s">
        <v>851</v>
      </c>
      <c r="E291" s="399" t="s">
        <v>173</v>
      </c>
      <c r="F291" s="399" t="s">
        <v>852</v>
      </c>
      <c r="G291" s="399"/>
      <c r="H291" s="399"/>
      <c r="I291" s="399" t="s">
        <v>853</v>
      </c>
      <c r="J291" s="399"/>
      <c r="K291" s="399"/>
      <c r="L291" s="399"/>
      <c r="M291" s="399"/>
      <c r="N291" s="399"/>
    </row>
    <row r="292" spans="1:14" ht="15" customHeight="1">
      <c r="A292" s="119" t="s">
        <v>17</v>
      </c>
      <c r="B292" s="277">
        <v>176435.77149500951</v>
      </c>
      <c r="C292" s="125">
        <v>0.1</v>
      </c>
      <c r="D292" s="278">
        <f t="shared" ref="D292:D297" si="27">B292*(1+C292)</f>
        <v>194079.34864451046</v>
      </c>
      <c r="E292" s="125">
        <v>-0.1</v>
      </c>
      <c r="F292" s="278">
        <f t="shared" ref="F292:F297" si="28">B292*(1+E292)</f>
        <v>158792.19434550856</v>
      </c>
      <c r="G292" s="126"/>
      <c r="H292" s="126"/>
      <c r="I292" s="126" t="s">
        <v>854</v>
      </c>
      <c r="J292" s="126"/>
      <c r="K292" s="126"/>
      <c r="L292" s="126"/>
      <c r="M292" s="126"/>
      <c r="N292" s="126"/>
    </row>
    <row r="293" spans="1:14" ht="15" customHeight="1">
      <c r="A293" s="119" t="s">
        <v>174</v>
      </c>
      <c r="B293" s="277">
        <v>36800.02412954381</v>
      </c>
      <c r="C293" s="125">
        <v>0.25</v>
      </c>
      <c r="D293" s="278">
        <f t="shared" si="27"/>
        <v>46000.030161929761</v>
      </c>
      <c r="E293" s="125">
        <v>-0.2</v>
      </c>
      <c r="F293" s="278">
        <f t="shared" si="28"/>
        <v>29440.01930363505</v>
      </c>
      <c r="G293" s="126"/>
      <c r="H293" s="126"/>
      <c r="I293" s="126" t="s">
        <v>855</v>
      </c>
      <c r="J293" s="126"/>
      <c r="K293" s="126"/>
      <c r="L293" s="126"/>
      <c r="M293" s="126"/>
      <c r="N293" s="126"/>
    </row>
    <row r="294" spans="1:14" ht="15" customHeight="1">
      <c r="A294" s="119" t="s">
        <v>19</v>
      </c>
      <c r="B294" s="277">
        <v>110400.07238863142</v>
      </c>
      <c r="C294" s="125">
        <v>0.25</v>
      </c>
      <c r="D294" s="278">
        <f t="shared" si="27"/>
        <v>138000.09048578929</v>
      </c>
      <c r="E294" s="125">
        <v>-0.25</v>
      </c>
      <c r="F294" s="278">
        <f t="shared" si="28"/>
        <v>82800.054291473571</v>
      </c>
      <c r="G294" s="126"/>
      <c r="H294" s="126"/>
      <c r="I294" s="126" t="s">
        <v>856</v>
      </c>
      <c r="J294" s="126"/>
      <c r="K294" s="126"/>
      <c r="L294" s="126"/>
      <c r="M294" s="126"/>
      <c r="N294" s="126"/>
    </row>
    <row r="295" spans="1:14" ht="15" customHeight="1">
      <c r="A295" s="119" t="s">
        <v>175</v>
      </c>
      <c r="B295" s="277">
        <v>102187.77227673373</v>
      </c>
      <c r="C295" s="125">
        <v>0.3</v>
      </c>
      <c r="D295" s="278">
        <f t="shared" si="27"/>
        <v>132844.10395975385</v>
      </c>
      <c r="E295" s="125">
        <v>-0.3</v>
      </c>
      <c r="F295" s="278">
        <f t="shared" si="28"/>
        <v>71531.440593713603</v>
      </c>
      <c r="G295" s="126"/>
      <c r="H295" s="126"/>
      <c r="I295" s="126" t="s">
        <v>857</v>
      </c>
      <c r="J295" s="126"/>
      <c r="K295" s="126"/>
      <c r="L295" s="126"/>
      <c r="M295" s="126"/>
      <c r="N295" s="126"/>
    </row>
    <row r="296" spans="1:14" ht="15" customHeight="1">
      <c r="A296" s="119" t="s">
        <v>21</v>
      </c>
      <c r="B296" s="277">
        <v>10512.21693720103</v>
      </c>
      <c r="C296" s="125">
        <v>0.15</v>
      </c>
      <c r="D296" s="278">
        <f t="shared" si="27"/>
        <v>12089.049477781184</v>
      </c>
      <c r="E296" s="125">
        <v>-0.15</v>
      </c>
      <c r="F296" s="278">
        <f t="shared" si="28"/>
        <v>8935.3843966208751</v>
      </c>
      <c r="G296" s="126"/>
      <c r="H296" s="126"/>
      <c r="I296" s="126" t="s">
        <v>858</v>
      </c>
      <c r="J296" s="126"/>
      <c r="K296" s="126"/>
      <c r="L296" s="126"/>
      <c r="M296" s="126"/>
      <c r="N296" s="126"/>
    </row>
    <row r="297" spans="1:14" ht="15" customHeight="1">
      <c r="A297" s="119" t="s">
        <v>22</v>
      </c>
      <c r="B297" s="277">
        <v>5660.4245046467086</v>
      </c>
      <c r="C297" s="125">
        <v>0.15</v>
      </c>
      <c r="D297" s="278">
        <f t="shared" si="27"/>
        <v>6509.4881803437147</v>
      </c>
      <c r="E297" s="125">
        <v>-0.15</v>
      </c>
      <c r="F297" s="278">
        <f t="shared" si="28"/>
        <v>4811.3608289497024</v>
      </c>
      <c r="G297" s="126"/>
      <c r="H297" s="126"/>
      <c r="I297" s="126" t="s">
        <v>859</v>
      </c>
      <c r="J297" s="126"/>
      <c r="K297" s="126"/>
      <c r="L297" s="126"/>
      <c r="M297" s="126"/>
      <c r="N297" s="126"/>
    </row>
    <row r="298" spans="1:14" ht="15" customHeight="1" thickBot="1">
      <c r="A298" s="127" t="s">
        <v>176</v>
      </c>
      <c r="B298" s="279">
        <f>SUM(B292:B297)</f>
        <v>441996.28173176618</v>
      </c>
      <c r="C298" s="280">
        <f>D298/B298-1</f>
        <v>0.19802390381070856</v>
      </c>
      <c r="D298" s="279">
        <f>SUM(D292:D297)</f>
        <v>529522.11091010831</v>
      </c>
      <c r="E298" s="412">
        <f>F298/B298-1</f>
        <v>-0.19386097013337522</v>
      </c>
      <c r="F298" s="413">
        <f>SUM(F292:F297)</f>
        <v>356310.45375990134</v>
      </c>
      <c r="G298" s="414"/>
      <c r="H298" s="414"/>
      <c r="I298" s="414"/>
      <c r="J298" s="414"/>
      <c r="K298" s="414"/>
      <c r="L298" s="414"/>
      <c r="M298" s="414"/>
      <c r="N298" s="414"/>
    </row>
    <row r="299" spans="1:14" ht="15" customHeight="1" thickTop="1">
      <c r="A299" s="119"/>
      <c r="B299" s="126"/>
      <c r="C299" s="126"/>
      <c r="D299" s="126"/>
      <c r="E299" s="126"/>
      <c r="F299" s="126"/>
      <c r="G299" s="126"/>
      <c r="H299" s="126"/>
      <c r="I299" s="126"/>
      <c r="J299" s="126"/>
      <c r="K299" s="126"/>
      <c r="L299" s="126"/>
      <c r="M299" s="126"/>
      <c r="N299" s="126"/>
    </row>
    <row r="300" spans="1:14" ht="15" customHeight="1">
      <c r="A300" s="403" t="s">
        <v>860</v>
      </c>
      <c r="B300" s="415"/>
      <c r="C300" s="415"/>
      <c r="D300" s="415"/>
      <c r="E300" s="415"/>
      <c r="F300" s="415"/>
      <c r="G300" s="415"/>
      <c r="H300" s="415"/>
      <c r="I300" s="415"/>
      <c r="J300" s="415"/>
      <c r="K300" s="415"/>
      <c r="L300" s="415"/>
      <c r="M300" s="415"/>
      <c r="N300" s="415"/>
    </row>
    <row r="301" spans="1:14" ht="15" customHeight="1">
      <c r="A301" s="119"/>
      <c r="B301" s="126"/>
      <c r="C301" s="126"/>
      <c r="D301" s="126"/>
      <c r="E301" s="126"/>
      <c r="F301" s="126"/>
      <c r="G301" s="126"/>
      <c r="H301" s="126"/>
      <c r="I301" s="126"/>
      <c r="J301" s="126"/>
      <c r="K301" s="126"/>
      <c r="L301" s="126"/>
      <c r="M301" s="126"/>
      <c r="N301" s="126"/>
    </row>
    <row r="302" spans="1:14" ht="15" customHeight="1" thickBot="1">
      <c r="A302" s="558" t="s">
        <v>861</v>
      </c>
      <c r="B302" s="561"/>
      <c r="C302" s="561"/>
      <c r="D302" s="561"/>
      <c r="E302" s="562"/>
      <c r="F302" s="562"/>
      <c r="G302" s="562"/>
      <c r="H302" s="562"/>
      <c r="I302" s="562"/>
      <c r="J302" s="562"/>
      <c r="K302" s="562"/>
      <c r="L302" s="562"/>
      <c r="M302" s="562"/>
      <c r="N302" s="562"/>
    </row>
    <row r="303" spans="1:14" ht="15" customHeight="1">
      <c r="A303" s="119"/>
      <c r="B303" s="126"/>
      <c r="C303" s="126"/>
      <c r="D303" s="126"/>
      <c r="E303" s="126"/>
      <c r="F303" s="126"/>
      <c r="G303" s="126"/>
      <c r="H303" s="126"/>
      <c r="I303" s="126"/>
      <c r="J303" s="126"/>
      <c r="K303" s="126"/>
      <c r="L303" s="126"/>
      <c r="M303" s="126"/>
      <c r="N303" s="126"/>
    </row>
    <row r="304" spans="1:14" ht="30" customHeight="1" outlineLevel="1">
      <c r="A304" s="411" t="s">
        <v>281</v>
      </c>
      <c r="B304" s="410" t="s">
        <v>4</v>
      </c>
      <c r="C304" s="410" t="s">
        <v>5</v>
      </c>
      <c r="D304" s="410" t="s">
        <v>6</v>
      </c>
      <c r="E304" s="399" t="s">
        <v>7</v>
      </c>
      <c r="F304" s="399" t="s">
        <v>8</v>
      </c>
      <c r="G304" s="399" t="s">
        <v>9</v>
      </c>
      <c r="H304" s="399" t="s">
        <v>10</v>
      </c>
      <c r="I304" s="399" t="s">
        <v>11</v>
      </c>
      <c r="J304" s="399" t="s">
        <v>12</v>
      </c>
      <c r="K304" s="399" t="s">
        <v>13</v>
      </c>
      <c r="L304" s="399" t="s">
        <v>14</v>
      </c>
      <c r="M304" s="399" t="s">
        <v>15</v>
      </c>
      <c r="N304" s="399" t="s">
        <v>16</v>
      </c>
    </row>
    <row r="305" spans="1:14" ht="15" customHeight="1" outlineLevel="1">
      <c r="A305" s="128" t="s">
        <v>17</v>
      </c>
      <c r="B305" s="277">
        <v>176186.48699999999</v>
      </c>
      <c r="C305" s="277">
        <v>175305.554565</v>
      </c>
      <c r="D305" s="277">
        <v>175643.791792175</v>
      </c>
      <c r="E305" s="277">
        <v>175731.61368807108</v>
      </c>
      <c r="F305" s="277">
        <v>175819.47949491511</v>
      </c>
      <c r="G305" s="277">
        <v>175907.38923466255</v>
      </c>
      <c r="H305" s="277">
        <v>175995.34292927987</v>
      </c>
      <c r="I305" s="277">
        <v>176083.3406007445</v>
      </c>
      <c r="J305" s="277">
        <v>176171.38227104486</v>
      </c>
      <c r="K305" s="277">
        <v>176259.46796218038</v>
      </c>
      <c r="L305" s="277">
        <v>176347.59769616145</v>
      </c>
      <c r="M305" s="277">
        <v>176435.77149500951</v>
      </c>
      <c r="N305" s="278">
        <f t="shared" ref="N305:N311" si="29">SUM(B305:M305)</f>
        <v>2111887.2187292441</v>
      </c>
    </row>
    <row r="306" spans="1:14" ht="15" customHeight="1" outlineLevel="1">
      <c r="A306" s="128" t="s">
        <v>174</v>
      </c>
      <c r="B306" s="277">
        <v>0</v>
      </c>
      <c r="C306" s="277">
        <v>24807.022340617739</v>
      </c>
      <c r="D306" s="277">
        <v>30568.905917593864</v>
      </c>
      <c r="E306" s="277">
        <v>25422.833695504796</v>
      </c>
      <c r="F306" s="277">
        <v>31492.622949924455</v>
      </c>
      <c r="G306" s="277">
        <v>27666.686863311941</v>
      </c>
      <c r="H306" s="277">
        <v>29390.239958240003</v>
      </c>
      <c r="I306" s="277">
        <v>28755.137215699848</v>
      </c>
      <c r="J306" s="277">
        <v>34379.333241583285</v>
      </c>
      <c r="K306" s="277">
        <v>33769.952349247265</v>
      </c>
      <c r="L306" s="277">
        <v>34209.871640238445</v>
      </c>
      <c r="M306" s="277">
        <v>36800.02412954381</v>
      </c>
      <c r="N306" s="278">
        <f t="shared" si="29"/>
        <v>337262.63030150544</v>
      </c>
    </row>
    <row r="307" spans="1:14" ht="15" customHeight="1" outlineLevel="1">
      <c r="A307" s="128" t="s">
        <v>19</v>
      </c>
      <c r="B307" s="277">
        <v>0</v>
      </c>
      <c r="C307" s="277">
        <v>74421.067021853203</v>
      </c>
      <c r="D307" s="277">
        <v>91706.71775278158</v>
      </c>
      <c r="E307" s="277">
        <v>76268.501086514385</v>
      </c>
      <c r="F307" s="277">
        <v>94477.868849773338</v>
      </c>
      <c r="G307" s="277">
        <v>83000.060589935805</v>
      </c>
      <c r="H307" s="277">
        <v>88170.719874720002</v>
      </c>
      <c r="I307" s="277">
        <v>86265.411647099536</v>
      </c>
      <c r="J307" s="277">
        <v>103137.99972474985</v>
      </c>
      <c r="K307" s="277">
        <v>101309.85704774178</v>
      </c>
      <c r="L307" s="277">
        <v>102629.61492071532</v>
      </c>
      <c r="M307" s="277">
        <v>110400.07238863142</v>
      </c>
      <c r="N307" s="278">
        <f t="shared" si="29"/>
        <v>1011787.8909045162</v>
      </c>
    </row>
    <row r="308" spans="1:14" ht="15" customHeight="1" outlineLevel="1">
      <c r="A308" s="128" t="s">
        <v>862</v>
      </c>
      <c r="B308" s="277">
        <v>0</v>
      </c>
      <c r="C308" s="277">
        <v>68885.127381526967</v>
      </c>
      <c r="D308" s="277">
        <v>84884.955120128696</v>
      </c>
      <c r="E308" s="277">
        <v>70595.136871659488</v>
      </c>
      <c r="F308" s="277">
        <v>87449.969355327485</v>
      </c>
      <c r="G308" s="277">
        <v>76825.957691970354</v>
      </c>
      <c r="H308" s="277">
        <v>81611.988553020012</v>
      </c>
      <c r="I308" s="277">
        <v>79848.409969523389</v>
      </c>
      <c r="J308" s="277">
        <v>95465.901433918581</v>
      </c>
      <c r="K308" s="277">
        <v>93773.748308240771</v>
      </c>
      <c r="L308" s="277">
        <v>94995.333711818224</v>
      </c>
      <c r="M308" s="277">
        <v>102187.77227673373</v>
      </c>
      <c r="N308" s="278">
        <f t="shared" si="29"/>
        <v>936524.30067386781</v>
      </c>
    </row>
    <row r="309" spans="1:14" ht="15" customHeight="1" outlineLevel="1">
      <c r="A309" s="128" t="s">
        <v>21</v>
      </c>
      <c r="B309" s="277">
        <v>6529.8450752974613</v>
      </c>
      <c r="C309" s="277">
        <v>7086.3214516538646</v>
      </c>
      <c r="D309" s="277">
        <v>8732.2489085177276</v>
      </c>
      <c r="E309" s="277">
        <v>7262.2328187816747</v>
      </c>
      <c r="F309" s="277">
        <v>8996.1159592094446</v>
      </c>
      <c r="G309" s="277">
        <v>7903.2071614119996</v>
      </c>
      <c r="H309" s="277">
        <v>8395.5536874057761</v>
      </c>
      <c r="I309" s="277">
        <v>8214.131583347058</v>
      </c>
      <c r="J309" s="277">
        <v>9820.7275060373813</v>
      </c>
      <c r="K309" s="277">
        <v>9646.6530512198751</v>
      </c>
      <c r="L309" s="277">
        <v>9772.3194639776393</v>
      </c>
      <c r="M309" s="277">
        <v>10512.21693720103</v>
      </c>
      <c r="N309" s="278">
        <f t="shared" si="29"/>
        <v>102871.57360406093</v>
      </c>
    </row>
    <row r="310" spans="1:14" ht="15" customHeight="1" outlineLevel="1">
      <c r="A310" s="128" t="s">
        <v>22</v>
      </c>
      <c r="B310" s="277">
        <v>3516.070425160171</v>
      </c>
      <c r="C310" s="277">
        <v>3815.7115508905422</v>
      </c>
      <c r="D310" s="277">
        <v>4701.9801815095452</v>
      </c>
      <c r="E310" s="277">
        <v>3910.4330562670552</v>
      </c>
      <c r="F310" s="277">
        <v>4844.0624395743152</v>
      </c>
      <c r="G310" s="277">
        <v>4255.5730869141535</v>
      </c>
      <c r="H310" s="277">
        <v>4520.6827547569565</v>
      </c>
      <c r="I310" s="277">
        <v>4422.9939294945689</v>
      </c>
      <c r="J310" s="277">
        <v>5288.0840417124364</v>
      </c>
      <c r="K310" s="277">
        <v>5194.3516429645479</v>
      </c>
      <c r="L310" s="277">
        <v>5262.0181729110363</v>
      </c>
      <c r="M310" s="277">
        <v>5660.4245046467086</v>
      </c>
      <c r="N310" s="278">
        <f t="shared" si="29"/>
        <v>55392.385786802028</v>
      </c>
    </row>
    <row r="311" spans="1:14" ht="15" customHeight="1" outlineLevel="1" thickBot="1">
      <c r="A311" s="129" t="s">
        <v>863</v>
      </c>
      <c r="B311" s="279">
        <f t="shared" ref="B311:M311" si="30">SUM(B305:B310)</f>
        <v>186232.40250045763</v>
      </c>
      <c r="C311" s="279">
        <f t="shared" si="30"/>
        <v>354320.80431154225</v>
      </c>
      <c r="D311" s="279">
        <f t="shared" si="30"/>
        <v>396238.59967270645</v>
      </c>
      <c r="E311" s="281">
        <f t="shared" si="30"/>
        <v>359190.7512167985</v>
      </c>
      <c r="F311" s="281">
        <f t="shared" si="30"/>
        <v>403080.11904872418</v>
      </c>
      <c r="G311" s="281">
        <f t="shared" si="30"/>
        <v>375558.87462820677</v>
      </c>
      <c r="H311" s="281">
        <f t="shared" si="30"/>
        <v>388084.52775742259</v>
      </c>
      <c r="I311" s="281">
        <f t="shared" si="30"/>
        <v>383589.42494590889</v>
      </c>
      <c r="J311" s="281">
        <f t="shared" si="30"/>
        <v>424263.42821904644</v>
      </c>
      <c r="K311" s="281">
        <f t="shared" si="30"/>
        <v>419954.03036159463</v>
      </c>
      <c r="L311" s="281">
        <f t="shared" si="30"/>
        <v>423216.75560582208</v>
      </c>
      <c r="M311" s="281">
        <f t="shared" si="30"/>
        <v>441996.28173176618</v>
      </c>
      <c r="N311" s="281">
        <f t="shared" si="29"/>
        <v>4555725.9999999963</v>
      </c>
    </row>
    <row r="312" spans="1:14" ht="15" customHeight="1" outlineLevel="1" thickTop="1">
      <c r="A312" s="130"/>
      <c r="B312" s="31"/>
      <c r="C312" s="31"/>
      <c r="D312" s="31"/>
      <c r="E312" s="31"/>
      <c r="F312" s="31"/>
      <c r="G312" s="31"/>
      <c r="H312" s="31"/>
      <c r="I312" s="31"/>
      <c r="J312" s="31"/>
      <c r="K312" s="31"/>
      <c r="L312" s="31"/>
      <c r="M312" s="31"/>
      <c r="N312" s="31"/>
    </row>
    <row r="313" spans="1:14" ht="15" customHeight="1" outlineLevel="1">
      <c r="A313" s="128" t="s">
        <v>153</v>
      </c>
      <c r="B313" s="282">
        <f>'Ppto Ene. 2026'!F65</f>
        <v>111362.2807248996</v>
      </c>
      <c r="C313" s="282">
        <f>'Ppto Ene. 2026'!G65</f>
        <v>111362.2807248996</v>
      </c>
      <c r="D313" s="282">
        <f>'Ppto Ene. 2026'!H65</f>
        <v>111362.2807248996</v>
      </c>
      <c r="E313" s="282">
        <f>'Ppto Ene. 2026'!I65</f>
        <v>111362.2807248996</v>
      </c>
      <c r="F313" s="282">
        <f>'Ppto Ene. 2026'!J65</f>
        <v>111362.2807248996</v>
      </c>
      <c r="G313" s="282">
        <f>'Ppto Ene. 2026'!K65</f>
        <v>111362.2807248996</v>
      </c>
      <c r="H313" s="282">
        <f>'Ppto Ene. 2026'!L65</f>
        <v>111362.2807248996</v>
      </c>
      <c r="I313" s="282">
        <f>'Ppto Ene. 2026'!M65</f>
        <v>111362.2807248996</v>
      </c>
      <c r="J313" s="282">
        <f>'Ppto Ene. 2026'!N65</f>
        <v>111362.2807248996</v>
      </c>
      <c r="K313" s="282">
        <f>'Ppto Ene. 2026'!O65</f>
        <v>111362.2807248996</v>
      </c>
      <c r="L313" s="282">
        <f>'Ppto Ene. 2026'!P65</f>
        <v>111362.2807248996</v>
      </c>
      <c r="M313" s="282">
        <f>'Ppto Ene. 2026'!Q65</f>
        <v>111362.2807248996</v>
      </c>
      <c r="N313" s="278">
        <f t="shared" ref="N313:N318" si="31">SUM(B313:M313)</f>
        <v>1336347.3686987951</v>
      </c>
    </row>
    <row r="314" spans="1:14" ht="15" customHeight="1" outlineLevel="1">
      <c r="A314" s="128" t="s">
        <v>156</v>
      </c>
      <c r="B314" s="282">
        <f>'Ppto Ene. 2026'!F73</f>
        <v>33545.115888865206</v>
      </c>
      <c r="C314" s="282">
        <f>'Ppto Ene. 2026'!G73</f>
        <v>33545.115888865206</v>
      </c>
      <c r="D314" s="282">
        <f>'Ppto Ene. 2026'!H73</f>
        <v>33545.115888865206</v>
      </c>
      <c r="E314" s="282">
        <f>'Ppto Ene. 2026'!I73</f>
        <v>33545.115888865206</v>
      </c>
      <c r="F314" s="282">
        <f>'Ppto Ene. 2026'!J73</f>
        <v>33545.115888865206</v>
      </c>
      <c r="G314" s="282">
        <f>'Ppto Ene. 2026'!K73</f>
        <v>33545.115888865206</v>
      </c>
      <c r="H314" s="282">
        <f>'Ppto Ene. 2026'!L73</f>
        <v>33545.115888865206</v>
      </c>
      <c r="I314" s="282">
        <f>'Ppto Ene. 2026'!M73</f>
        <v>33545.115888865206</v>
      </c>
      <c r="J314" s="282">
        <f>'Ppto Ene. 2026'!N73</f>
        <v>33545.115888865206</v>
      </c>
      <c r="K314" s="282">
        <f>'Ppto Ene. 2026'!O73</f>
        <v>33545.115888865206</v>
      </c>
      <c r="L314" s="282">
        <f>'Ppto Ene. 2026'!P73</f>
        <v>33545.115888865206</v>
      </c>
      <c r="M314" s="282">
        <f>'Ppto Ene. 2026'!Q73</f>
        <v>33545.115888865206</v>
      </c>
      <c r="N314" s="278">
        <f t="shared" si="31"/>
        <v>402541.39066638245</v>
      </c>
    </row>
    <row r="315" spans="1:14" ht="15" customHeight="1" outlineLevel="1">
      <c r="A315" s="128" t="s">
        <v>159</v>
      </c>
      <c r="B315" s="282">
        <f>'Ppto Ene. 2026'!F77</f>
        <v>54010.306401157919</v>
      </c>
      <c r="C315" s="282">
        <f>'Ppto Ene. 2026'!G77</f>
        <v>54010.306401157919</v>
      </c>
      <c r="D315" s="282">
        <f>'Ppto Ene. 2026'!H77</f>
        <v>54010.306401157919</v>
      </c>
      <c r="E315" s="282">
        <f>'Ppto Ene. 2026'!I77</f>
        <v>54010.306401157919</v>
      </c>
      <c r="F315" s="282">
        <f>'Ppto Ene. 2026'!J77</f>
        <v>54010.306401157919</v>
      </c>
      <c r="G315" s="282">
        <f>'Ppto Ene. 2026'!K77</f>
        <v>54010.306401157919</v>
      </c>
      <c r="H315" s="282">
        <f>'Ppto Ene. 2026'!L77</f>
        <v>54010.306401157919</v>
      </c>
      <c r="I315" s="282">
        <f>'Ppto Ene. 2026'!M77</f>
        <v>54010.306401157919</v>
      </c>
      <c r="J315" s="282">
        <f>'Ppto Ene. 2026'!N77</f>
        <v>54010.306401157919</v>
      </c>
      <c r="K315" s="282">
        <f>'Ppto Ene. 2026'!O77</f>
        <v>54010.306401157919</v>
      </c>
      <c r="L315" s="282">
        <f>'Ppto Ene. 2026'!P77</f>
        <v>54010.306401157919</v>
      </c>
      <c r="M315" s="282">
        <f>'Ppto Ene. 2026'!Q77</f>
        <v>54010.306401157919</v>
      </c>
      <c r="N315" s="278">
        <f t="shared" si="31"/>
        <v>648123.67681389488</v>
      </c>
    </row>
    <row r="316" spans="1:14" ht="15" customHeight="1" outlineLevel="1">
      <c r="A316" s="128" t="s">
        <v>864</v>
      </c>
      <c r="B316" s="282">
        <f>'Ppto Ene. 2026'!F85</f>
        <v>794.22560829687495</v>
      </c>
      <c r="C316" s="282">
        <f>'Ppto Ene. 2026'!G85</f>
        <v>794.22560829687495</v>
      </c>
      <c r="D316" s="282">
        <f>'Ppto Ene. 2026'!H85</f>
        <v>794.22560829687495</v>
      </c>
      <c r="E316" s="282">
        <f>'Ppto Ene. 2026'!I85</f>
        <v>794.22560829687495</v>
      </c>
      <c r="F316" s="282">
        <f>'Ppto Ene. 2026'!J85</f>
        <v>794.22560829687495</v>
      </c>
      <c r="G316" s="282">
        <f>'Ppto Ene. 2026'!K85</f>
        <v>794.22560829687495</v>
      </c>
      <c r="H316" s="282">
        <f>'Ppto Ene. 2026'!L85</f>
        <v>794.22560829687495</v>
      </c>
      <c r="I316" s="282">
        <f>'Ppto Ene. 2026'!M85</f>
        <v>794.22560829687495</v>
      </c>
      <c r="J316" s="282">
        <f>'Ppto Ene. 2026'!N85</f>
        <v>794.22560829687495</v>
      </c>
      <c r="K316" s="282">
        <f>'Ppto Ene. 2026'!O85</f>
        <v>794.22560829687495</v>
      </c>
      <c r="L316" s="282">
        <f>'Ppto Ene. 2026'!P85</f>
        <v>794.22560829687495</v>
      </c>
      <c r="M316" s="282">
        <f>'Ppto Ene. 2026'!Q85</f>
        <v>794.22560829687495</v>
      </c>
      <c r="N316" s="278">
        <f t="shared" si="31"/>
        <v>9530.7072995625003</v>
      </c>
    </row>
    <row r="317" spans="1:14" ht="15" customHeight="1" outlineLevel="1">
      <c r="A317" s="128" t="s">
        <v>865</v>
      </c>
      <c r="B317" s="282">
        <f>'Ppto Ene. 2026'!F86</f>
        <v>2015.3626113341668</v>
      </c>
      <c r="C317" s="282">
        <f>'Ppto Ene. 2026'!G86</f>
        <v>2015.3626113341668</v>
      </c>
      <c r="D317" s="282">
        <f>'Ppto Ene. 2026'!H86</f>
        <v>2015.3626113341668</v>
      </c>
      <c r="E317" s="282">
        <f>'Ppto Ene. 2026'!I86</f>
        <v>2015.3626113341668</v>
      </c>
      <c r="F317" s="282">
        <f>'Ppto Ene. 2026'!J86</f>
        <v>2015.3626113341668</v>
      </c>
      <c r="G317" s="282">
        <f>'Ppto Ene. 2026'!K86</f>
        <v>2015.3626113341668</v>
      </c>
      <c r="H317" s="282">
        <f>'Ppto Ene. 2026'!L86</f>
        <v>2015.3626113341668</v>
      </c>
      <c r="I317" s="282">
        <f>'Ppto Ene. 2026'!M86</f>
        <v>2015.3626113341668</v>
      </c>
      <c r="J317" s="282">
        <f>'Ppto Ene. 2026'!N86</f>
        <v>2015.3626113341668</v>
      </c>
      <c r="K317" s="282">
        <f>'Ppto Ene. 2026'!O86</f>
        <v>2015.3626113341668</v>
      </c>
      <c r="L317" s="282">
        <f>'Ppto Ene. 2026'!P86</f>
        <v>2015.3626113341668</v>
      </c>
      <c r="M317" s="282">
        <f>'Ppto Ene. 2026'!Q86</f>
        <v>2015.3626113341668</v>
      </c>
      <c r="N317" s="278">
        <f t="shared" si="31"/>
        <v>24184.351336010001</v>
      </c>
    </row>
    <row r="318" spans="1:14" ht="15" customHeight="1" outlineLevel="1">
      <c r="A318" s="128" t="s">
        <v>866</v>
      </c>
      <c r="B318" s="282">
        <f>'Ppto Ene. 2026'!F90</f>
        <v>0</v>
      </c>
      <c r="C318" s="282">
        <f>'Ppto Ene. 2026'!G90</f>
        <v>53963.687502753812</v>
      </c>
      <c r="D318" s="282">
        <f>'Ppto Ene. 2026'!H90</f>
        <v>68634.915879161243</v>
      </c>
      <c r="E318" s="282">
        <f>'Ppto Ene. 2026'!I90</f>
        <v>55668.16891959346</v>
      </c>
      <c r="F318" s="282">
        <f>'Ppto Ene. 2026'!J90</f>
        <v>71029.447660767459</v>
      </c>
      <c r="G318" s="282">
        <f>'Ppto Ene. 2026'!K90</f>
        <v>61397.012113586366</v>
      </c>
      <c r="H318" s="282">
        <f>'Ppto Ene. 2026'!L90</f>
        <v>65780.990708811907</v>
      </c>
      <c r="I318" s="282">
        <f>'Ppto Ene. 2026'!M90</f>
        <v>64207.704724782132</v>
      </c>
      <c r="J318" s="282">
        <f>'Ppto Ene. 2026'!N90</f>
        <v>78443.60587038027</v>
      </c>
      <c r="K318" s="282">
        <f>'Ppto Ene. 2026'!O90</f>
        <v>76935.316620272104</v>
      </c>
      <c r="L318" s="282">
        <f>'Ppto Ene. 2026'!P90</f>
        <v>78077.270455751728</v>
      </c>
      <c r="M318" s="282">
        <f>'Ppto Ene. 2026'!Q90</f>
        <v>84650.104599832135</v>
      </c>
      <c r="N318" s="278">
        <f t="shared" si="31"/>
        <v>758788.2250556926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EA9DB"/>
  </sheetPr>
  <dimension ref="A1:Z85"/>
  <sheetViews>
    <sheetView showGridLines="0" topLeftCell="A37" workbookViewId="0">
      <pane xSplit="2" topLeftCell="C1" activePane="topRight" state="frozen"/>
      <selection activeCell="A37" sqref="A37"/>
      <selection pane="topRight" activeCell="C38" sqref="C38"/>
    </sheetView>
  </sheetViews>
  <sheetFormatPr defaultColWidth="8.6640625" defaultRowHeight="14.4"/>
  <cols>
    <col min="1" max="1" width="7.44140625" customWidth="1"/>
    <col min="2" max="2" width="63" customWidth="1"/>
    <col min="3" max="16" width="17" customWidth="1"/>
  </cols>
  <sheetData>
    <row r="1" spans="1:26">
      <c r="A1" s="627"/>
      <c r="B1" s="627"/>
      <c r="C1" s="627"/>
      <c r="D1" s="627"/>
      <c r="E1" s="627"/>
      <c r="F1" s="627"/>
      <c r="G1" s="627"/>
      <c r="H1" s="627"/>
      <c r="I1" s="627"/>
      <c r="J1" s="627"/>
      <c r="K1" s="627"/>
      <c r="L1" s="627"/>
      <c r="M1" s="627"/>
      <c r="N1" s="627"/>
      <c r="O1" s="627"/>
      <c r="P1" s="627"/>
      <c r="Q1" s="649"/>
      <c r="R1" s="649"/>
      <c r="S1" s="649"/>
      <c r="T1" s="649"/>
      <c r="U1" s="649"/>
      <c r="V1" s="627"/>
      <c r="W1" s="627"/>
      <c r="X1" s="627"/>
      <c r="Y1" s="627"/>
      <c r="Z1" s="627"/>
    </row>
    <row r="2" spans="1:26">
      <c r="A2" s="627"/>
      <c r="B2" s="627"/>
      <c r="C2" s="627"/>
      <c r="D2" s="627"/>
      <c r="E2" s="627"/>
      <c r="F2" s="627"/>
      <c r="G2" s="627"/>
      <c r="H2" s="627"/>
      <c r="I2" s="627"/>
      <c r="J2" s="627"/>
      <c r="K2" s="627"/>
      <c r="L2" s="627"/>
      <c r="M2" s="627"/>
      <c r="N2" s="627"/>
      <c r="O2" s="627"/>
      <c r="P2" s="627"/>
      <c r="Q2" s="649"/>
      <c r="R2" s="649"/>
      <c r="S2" s="649"/>
      <c r="T2" s="649"/>
      <c r="U2" s="649"/>
      <c r="V2" s="627"/>
      <c r="W2" s="627"/>
      <c r="X2" s="627"/>
      <c r="Y2" s="627"/>
      <c r="Z2" s="627"/>
    </row>
    <row r="3" spans="1:26" ht="17.399999999999999">
      <c r="A3" s="649"/>
      <c r="B3" s="1094" t="s">
        <v>0</v>
      </c>
      <c r="C3" s="1094"/>
      <c r="D3" s="1094"/>
      <c r="E3" s="1094"/>
      <c r="F3" s="1094"/>
      <c r="G3" s="1094"/>
      <c r="H3" s="1094"/>
      <c r="I3" s="1094"/>
      <c r="J3" s="1094"/>
      <c r="K3" s="1094"/>
      <c r="L3" s="1094"/>
      <c r="M3" s="1094"/>
      <c r="N3" s="1094"/>
      <c r="O3" s="1094"/>
      <c r="P3" s="1094"/>
      <c r="Q3" s="649"/>
      <c r="R3" s="649"/>
      <c r="S3" s="649"/>
      <c r="T3" s="649"/>
      <c r="U3" s="649"/>
      <c r="V3" s="627"/>
      <c r="W3" s="627"/>
      <c r="X3" s="627"/>
      <c r="Y3" s="627"/>
      <c r="Z3" s="627"/>
    </row>
    <row r="4" spans="1:26">
      <c r="A4" s="649"/>
      <c r="B4" s="583" t="s">
        <v>1</v>
      </c>
      <c r="C4" s="583"/>
      <c r="D4" s="583"/>
      <c r="E4" s="583"/>
      <c r="F4" s="583"/>
      <c r="G4" s="583"/>
      <c r="H4" s="583"/>
      <c r="I4" s="583"/>
      <c r="J4" s="583"/>
      <c r="K4" s="583"/>
      <c r="L4" s="583"/>
      <c r="M4" s="583"/>
      <c r="N4" s="583"/>
      <c r="O4" s="583"/>
      <c r="P4" s="583"/>
      <c r="Q4" s="649"/>
      <c r="R4" s="649"/>
      <c r="S4" s="649"/>
      <c r="T4" s="649"/>
      <c r="U4" s="649"/>
      <c r="V4" s="627"/>
      <c r="W4" s="627"/>
      <c r="X4" s="627"/>
      <c r="Y4" s="627"/>
      <c r="Z4" s="627"/>
    </row>
    <row r="5" spans="1:26" ht="30" customHeight="1">
      <c r="A5" s="649"/>
      <c r="B5" s="417" t="s">
        <v>2</v>
      </c>
      <c r="C5" s="416" t="s">
        <v>3</v>
      </c>
      <c r="D5" s="416" t="s">
        <v>4</v>
      </c>
      <c r="E5" s="416" t="s">
        <v>5</v>
      </c>
      <c r="F5" s="416" t="s">
        <v>6</v>
      </c>
      <c r="G5" s="416" t="s">
        <v>7</v>
      </c>
      <c r="H5" s="416" t="s">
        <v>8</v>
      </c>
      <c r="I5" s="416" t="s">
        <v>9</v>
      </c>
      <c r="J5" s="416" t="s">
        <v>10</v>
      </c>
      <c r="K5" s="416" t="s">
        <v>11</v>
      </c>
      <c r="L5" s="416" t="s">
        <v>12</v>
      </c>
      <c r="M5" s="416" t="s">
        <v>13</v>
      </c>
      <c r="N5" s="416" t="s">
        <v>14</v>
      </c>
      <c r="O5" s="416" t="s">
        <v>15</v>
      </c>
      <c r="P5" s="416" t="s">
        <v>16</v>
      </c>
      <c r="Q5" s="649"/>
      <c r="R5" s="649"/>
      <c r="S5" s="649"/>
      <c r="T5" s="649"/>
      <c r="U5" s="649"/>
      <c r="V5" s="627"/>
      <c r="W5" s="627"/>
      <c r="X5" s="627"/>
      <c r="Y5" s="627"/>
      <c r="Z5" s="627"/>
    </row>
    <row r="6" spans="1:26">
      <c r="A6" s="649"/>
      <c r="B6" s="628" t="s">
        <v>17</v>
      </c>
      <c r="C6" s="629">
        <f>Inputs!$H$5*(Inputs!C58/SUM(Inputs!$C$58:$C$61))</f>
        <v>1257936.2909474985</v>
      </c>
      <c r="D6" s="630">
        <f>$C6*Inputs!D$31</f>
        <v>79848.385775613511</v>
      </c>
      <c r="E6" s="630">
        <f>$C6*Inputs!E$31</f>
        <v>86653.101639764005</v>
      </c>
      <c r="F6" s="630">
        <f>$C6*Inputs!F$31</f>
        <v>106779.86560105957</v>
      </c>
      <c r="G6" s="630">
        <f>$C6*Inputs!G$31</f>
        <v>88804.184635266327</v>
      </c>
      <c r="H6" s="630">
        <f>$C6*Inputs!H$31</f>
        <v>110006.49009431306</v>
      </c>
      <c r="I6" s="630">
        <f>$C6*Inputs!I$31</f>
        <v>96642.160267526633</v>
      </c>
      <c r="J6" s="630">
        <f>$C6*Inputs!J$31</f>
        <v>102662.68217723571</v>
      </c>
      <c r="K6" s="630">
        <f>$C6*Inputs!K$31</f>
        <v>100444.21267511751</v>
      </c>
      <c r="L6" s="630">
        <f>$C6*Inputs!N$31</f>
        <v>120090.02196174303</v>
      </c>
      <c r="M6" s="630">
        <f>$C6*Inputs!O$31</f>
        <v>117961.40113511265</v>
      </c>
      <c r="N6" s="630">
        <f>$C6*Inputs!P$31</f>
        <v>119498.07774676449</v>
      </c>
      <c r="O6" s="630">
        <f>$C6*Inputs!Q$31</f>
        <v>128545.70723798205</v>
      </c>
      <c r="P6" s="631">
        <f t="shared" ref="P6:P11" si="0">SUM(D6:O6)</f>
        <v>1257936.2909474985</v>
      </c>
      <c r="Q6" s="649"/>
      <c r="R6" s="649"/>
      <c r="S6" s="649"/>
      <c r="T6" s="649"/>
      <c r="U6" s="649"/>
      <c r="V6" s="627"/>
      <c r="W6" s="627"/>
      <c r="X6" s="627"/>
      <c r="Y6" s="627"/>
      <c r="Z6" s="627"/>
    </row>
    <row r="7" spans="1:26">
      <c r="A7" s="649"/>
      <c r="B7" s="132" t="s">
        <v>18</v>
      </c>
      <c r="C7" s="283">
        <f>Inputs!$H$5*(Inputs!C59/SUM(Inputs!$C$58:$C$61))</f>
        <v>262373.55761586077</v>
      </c>
      <c r="D7" s="283">
        <f>$C7*Inputs!D$31</f>
        <v>16654.34505435203</v>
      </c>
      <c r="E7" s="283">
        <f>$C7*Inputs!E$31</f>
        <v>18073.635937912975</v>
      </c>
      <c r="F7" s="283">
        <f>$C7*Inputs!F$31</f>
        <v>22271.567662930844</v>
      </c>
      <c r="G7" s="283">
        <f>$C7*Inputs!G$31</f>
        <v>18522.297211395926</v>
      </c>
      <c r="H7" s="283">
        <f>$C7*Inputs!H$31</f>
        <v>22944.559573155275</v>
      </c>
      <c r="I7" s="283">
        <f>$C7*Inputs!I$31</f>
        <v>20157.099836887868</v>
      </c>
      <c r="J7" s="283">
        <f>$C7*Inputs!J$31</f>
        <v>21412.827780760766</v>
      </c>
      <c r="K7" s="283">
        <f>$C7*Inputs!K$31</f>
        <v>20950.111393673615</v>
      </c>
      <c r="L7" s="283">
        <f>$C7*Inputs!N$31</f>
        <v>25047.728190222326</v>
      </c>
      <c r="M7" s="283">
        <f>$C7*Inputs!O$31</f>
        <v>24603.751954607436</v>
      </c>
      <c r="N7" s="283">
        <f>$C7*Inputs!P$31</f>
        <v>24924.263662875663</v>
      </c>
      <c r="O7" s="283">
        <f>$C7*Inputs!Q$31</f>
        <v>26811.369357086056</v>
      </c>
      <c r="P7" s="133">
        <f t="shared" si="0"/>
        <v>262373.55761586077</v>
      </c>
      <c r="Q7" s="649"/>
      <c r="R7" s="649"/>
      <c r="S7" s="649"/>
      <c r="T7" s="649"/>
      <c r="U7" s="649"/>
      <c r="V7" s="627"/>
      <c r="W7" s="627"/>
      <c r="X7" s="627"/>
      <c r="Y7" s="627"/>
      <c r="Z7" s="627"/>
    </row>
    <row r="8" spans="1:26">
      <c r="A8" s="649"/>
      <c r="B8" s="632" t="s">
        <v>19</v>
      </c>
      <c r="C8" s="633">
        <f>Inputs!$H$5*(Inputs!C60/SUM(Inputs!$C$58:$C$61))</f>
        <v>787120.74414470606</v>
      </c>
      <c r="D8" s="633">
        <f>$C8*Inputs!D$31</f>
        <v>49963.039688690886</v>
      </c>
      <c r="E8" s="633">
        <f>$C8*Inputs!E$31</f>
        <v>54220.912725050373</v>
      </c>
      <c r="F8" s="633">
        <f>$C8*Inputs!F$31</f>
        <v>66814.709040845672</v>
      </c>
      <c r="G8" s="633">
        <f>$C8*Inputs!G$31</f>
        <v>55566.89666741799</v>
      </c>
      <c r="H8" s="633">
        <f>$C8*Inputs!H$31</f>
        <v>68833.684954397104</v>
      </c>
      <c r="I8" s="633">
        <f>$C8*Inputs!I$31</f>
        <v>60471.304988133408</v>
      </c>
      <c r="J8" s="633">
        <f>$C8*Inputs!J$31</f>
        <v>64238.489160982346</v>
      </c>
      <c r="K8" s="633">
        <f>$C8*Inputs!K$31</f>
        <v>62850.339873982812</v>
      </c>
      <c r="L8" s="633">
        <f>$C8*Inputs!N$31</f>
        <v>75143.191377111158</v>
      </c>
      <c r="M8" s="633">
        <f>$C8*Inputs!O$31</f>
        <v>73811.262549620849</v>
      </c>
      <c r="N8" s="633">
        <f>$C8*Inputs!P$31</f>
        <v>74772.79776152104</v>
      </c>
      <c r="O8" s="633">
        <f>$C8*Inputs!Q$31</f>
        <v>80434.115356952418</v>
      </c>
      <c r="P8" s="634">
        <f t="shared" si="0"/>
        <v>787120.74414470617</v>
      </c>
      <c r="Q8" s="649"/>
      <c r="R8" s="649"/>
      <c r="S8" s="649"/>
      <c r="T8" s="649"/>
      <c r="U8" s="649"/>
      <c r="V8" s="627"/>
      <c r="W8" s="627"/>
      <c r="X8" s="627"/>
      <c r="Y8" s="627"/>
      <c r="Z8" s="627"/>
    </row>
    <row r="9" spans="1:26">
      <c r="A9" s="649"/>
      <c r="B9" s="132" t="s">
        <v>20</v>
      </c>
      <c r="C9" s="283">
        <f>Inputs!$H$5*(Inputs!C61/SUM(Inputs!$C$58:$C$61))</f>
        <v>728569.40729193448</v>
      </c>
      <c r="D9" s="283">
        <f>$C9*Inputs!D$31</f>
        <v>46246.452635481262</v>
      </c>
      <c r="E9" s="283">
        <f>$C9*Inputs!E$31</f>
        <v>50187.596427588505</v>
      </c>
      <c r="F9" s="283">
        <f>$C9*Inputs!F$31</f>
        <v>61844.581439874622</v>
      </c>
      <c r="G9" s="283">
        <f>$C9*Inputs!G$31</f>
        <v>51433.457028277939</v>
      </c>
      <c r="H9" s="283">
        <f>$C9*Inputs!H$31</f>
        <v>63713.372340908776</v>
      </c>
      <c r="I9" s="283">
        <f>$C9*Inputs!I$31</f>
        <v>55973.042460274075</v>
      </c>
      <c r="J9" s="283">
        <f>$C9*Inputs!J$31</f>
        <v>59459.998127989937</v>
      </c>
      <c r="K9" s="283">
        <f>$C9*Inputs!K$31</f>
        <v>58175.108724699043</v>
      </c>
      <c r="L9" s="283">
        <f>$C9*Inputs!N$31</f>
        <v>69553.5352243003</v>
      </c>
      <c r="M9" s="283">
        <f>$C9*Inputs!O$31</f>
        <v>68320.684224478027</v>
      </c>
      <c r="N9" s="283">
        <f>$C9*Inputs!P$31</f>
        <v>69210.693977918927</v>
      </c>
      <c r="O9" s="283">
        <f>$C9*Inputs!Q$31</f>
        <v>74450.884680143063</v>
      </c>
      <c r="P9" s="133">
        <f t="shared" si="0"/>
        <v>728569.40729193459</v>
      </c>
      <c r="Q9" s="649"/>
      <c r="R9" s="649"/>
      <c r="S9" s="649"/>
      <c r="T9" s="649"/>
      <c r="U9" s="649"/>
      <c r="V9" s="627"/>
      <c r="W9" s="627"/>
      <c r="X9" s="627"/>
      <c r="Y9" s="627"/>
      <c r="Z9" s="627"/>
    </row>
    <row r="10" spans="1:26">
      <c r="A10" s="649"/>
      <c r="B10" s="632" t="s">
        <v>21</v>
      </c>
      <c r="C10" s="633">
        <f>Inputs!$C$13*Inputs!$C$19</f>
        <v>171600</v>
      </c>
      <c r="D10" s="633">
        <f>$C10*Inputs!D$31</f>
        <v>10892.430004364305</v>
      </c>
      <c r="E10" s="633">
        <f>$C10*Inputs!E$31</f>
        <v>11820.687858670028</v>
      </c>
      <c r="F10" s="633">
        <f>$C10*Inputs!F$31</f>
        <v>14566.258298614084</v>
      </c>
      <c r="G10" s="633">
        <f>$C10*Inputs!G$31</f>
        <v>12114.125487176767</v>
      </c>
      <c r="H10" s="633">
        <f>$C10*Inputs!H$31</f>
        <v>15006.414741374196</v>
      </c>
      <c r="I10" s="633">
        <f>$C10*Inputs!I$31</f>
        <v>13183.334339942114</v>
      </c>
      <c r="J10" s="633">
        <f>$C10*Inputs!J$31</f>
        <v>14004.617235698235</v>
      </c>
      <c r="K10" s="633">
        <f>$C10*Inputs!K$31</f>
        <v>13701.987150770214</v>
      </c>
      <c r="L10" s="633">
        <f>$C10*Inputs!N$31</f>
        <v>16381.94868606043</v>
      </c>
      <c r="M10" s="633">
        <f>$C10*Inputs!O$31</f>
        <v>16091.575209694116</v>
      </c>
      <c r="N10" s="633">
        <f>$C10*Inputs!P$31</f>
        <v>16301.199264948009</v>
      </c>
      <c r="O10" s="633">
        <f>$C10*Inputs!Q$31</f>
        <v>17535.421722687508</v>
      </c>
      <c r="P10" s="634">
        <f t="shared" si="0"/>
        <v>171600.00000000003</v>
      </c>
      <c r="Q10" s="649"/>
      <c r="R10" s="649"/>
      <c r="S10" s="649"/>
      <c r="T10" s="649"/>
      <c r="U10" s="649"/>
      <c r="V10" s="627"/>
      <c r="W10" s="627"/>
      <c r="X10" s="627"/>
      <c r="Y10" s="627"/>
      <c r="Z10" s="627"/>
    </row>
    <row r="11" spans="1:26">
      <c r="A11" s="649"/>
      <c r="B11" s="134" t="s">
        <v>22</v>
      </c>
      <c r="C11" s="284">
        <f>Inputs!$C$13*Inputs!$C$20</f>
        <v>92400</v>
      </c>
      <c r="D11" s="284">
        <f>$C11*Inputs!D$31</f>
        <v>5865.1546177346254</v>
      </c>
      <c r="E11" s="284">
        <f>$C11*Inputs!E$31</f>
        <v>6364.985770053092</v>
      </c>
      <c r="F11" s="284">
        <f>$C11*Inputs!F$31</f>
        <v>7843.3698530998918</v>
      </c>
      <c r="G11" s="284">
        <f>$C11*Inputs!G$31</f>
        <v>6522.9906469413363</v>
      </c>
      <c r="H11" s="284">
        <f>$C11*Inputs!H$31</f>
        <v>8080.3771684322592</v>
      </c>
      <c r="I11" s="284">
        <f>$C11*Inputs!I$31</f>
        <v>7098.7184907380606</v>
      </c>
      <c r="J11" s="284">
        <f>$C11*Inputs!J$31</f>
        <v>7540.9477422990494</v>
      </c>
      <c r="K11" s="284">
        <f>$C11*Inputs!K$31</f>
        <v>7377.9930811839613</v>
      </c>
      <c r="L11" s="284">
        <f>$C11*Inputs!N$31</f>
        <v>8821.0492924940772</v>
      </c>
      <c r="M11" s="284">
        <f>$C11*Inputs!O$31</f>
        <v>8664.6943436814472</v>
      </c>
      <c r="N11" s="284">
        <f>$C11*Inputs!P$31</f>
        <v>8777.568834972004</v>
      </c>
      <c r="O11" s="284">
        <f>$C11*Inputs!Q$31</f>
        <v>9442.1501583701975</v>
      </c>
      <c r="P11" s="135">
        <f t="shared" si="0"/>
        <v>92400</v>
      </c>
      <c r="Q11" s="649"/>
      <c r="R11" s="649"/>
      <c r="S11" s="649"/>
      <c r="T11" s="649"/>
      <c r="U11" s="649"/>
      <c r="V11" s="627"/>
      <c r="W11" s="627"/>
      <c r="X11" s="627"/>
      <c r="Y11" s="627"/>
      <c r="Z11" s="627"/>
    </row>
    <row r="12" spans="1:26">
      <c r="A12" s="649"/>
      <c r="B12" s="635" t="s">
        <v>23</v>
      </c>
      <c r="C12" s="636">
        <f t="shared" ref="C12" si="1">SUM(C6:C11)</f>
        <v>3299999.9999999995</v>
      </c>
      <c r="D12" s="636">
        <f t="shared" ref="D12:P12" si="2">SUM(D6:D11)</f>
        <v>209469.80777623662</v>
      </c>
      <c r="E12" s="636">
        <f t="shared" si="2"/>
        <v>227320.92035903895</v>
      </c>
      <c r="F12" s="636">
        <f t="shared" si="2"/>
        <v>280120.35189642466</v>
      </c>
      <c r="G12" s="636">
        <f t="shared" si="2"/>
        <v>232963.95167647628</v>
      </c>
      <c r="H12" s="636">
        <f t="shared" si="2"/>
        <v>288584.89887258073</v>
      </c>
      <c r="I12" s="636">
        <f t="shared" si="2"/>
        <v>253525.66038350217</v>
      </c>
      <c r="J12" s="636">
        <f t="shared" si="2"/>
        <v>269319.56222496607</v>
      </c>
      <c r="K12" s="636">
        <f t="shared" si="2"/>
        <v>263499.75289942714</v>
      </c>
      <c r="L12" s="636">
        <f t="shared" si="2"/>
        <v>315037.47473193135</v>
      </c>
      <c r="M12" s="636">
        <f t="shared" si="2"/>
        <v>309453.36941719451</v>
      </c>
      <c r="N12" s="636">
        <f t="shared" si="2"/>
        <v>313484.60124900012</v>
      </c>
      <c r="O12" s="636">
        <f t="shared" si="2"/>
        <v>337219.6485132213</v>
      </c>
      <c r="P12" s="636">
        <f t="shared" si="2"/>
        <v>3300000</v>
      </c>
      <c r="Q12" s="649"/>
      <c r="R12" s="649"/>
      <c r="S12" s="649"/>
      <c r="T12" s="649"/>
      <c r="U12" s="649"/>
      <c r="V12" s="627"/>
      <c r="W12" s="627"/>
      <c r="X12" s="627"/>
      <c r="Y12" s="627"/>
      <c r="Z12" s="627"/>
    </row>
    <row r="13" spans="1:26" ht="15" thickTop="1">
      <c r="A13" s="649"/>
      <c r="B13" s="187"/>
      <c r="C13" s="187"/>
      <c r="D13" s="187"/>
      <c r="E13" s="187"/>
      <c r="F13" s="187"/>
      <c r="G13" s="187"/>
      <c r="H13" s="187"/>
      <c r="I13" s="187"/>
      <c r="J13" s="187"/>
      <c r="K13" s="187"/>
      <c r="L13" s="187"/>
      <c r="M13" s="187"/>
      <c r="N13" s="187"/>
      <c r="O13" s="187"/>
      <c r="P13" s="187"/>
      <c r="Q13" s="649"/>
      <c r="R13" s="649"/>
      <c r="S13" s="649"/>
      <c r="T13" s="649"/>
      <c r="U13" s="649"/>
      <c r="V13" s="627"/>
      <c r="W13" s="627"/>
      <c r="X13" s="627"/>
      <c r="Y13" s="627"/>
      <c r="Z13" s="627"/>
    </row>
    <row r="14" spans="1:26">
      <c r="A14" s="649"/>
      <c r="B14" s="187"/>
      <c r="C14" s="187"/>
      <c r="D14" s="187"/>
      <c r="E14" s="187"/>
      <c r="F14" s="187"/>
      <c r="G14" s="187"/>
      <c r="H14" s="187"/>
      <c r="I14" s="187"/>
      <c r="J14" s="187"/>
      <c r="K14" s="187"/>
      <c r="L14" s="187"/>
      <c r="M14" s="187"/>
      <c r="N14" s="187"/>
      <c r="O14" s="187"/>
      <c r="P14" s="187"/>
      <c r="Q14" s="649"/>
      <c r="R14" s="649"/>
      <c r="S14" s="649"/>
      <c r="T14" s="649"/>
      <c r="U14" s="649"/>
      <c r="V14" s="627"/>
      <c r="W14" s="627"/>
      <c r="X14" s="627"/>
      <c r="Y14" s="627"/>
      <c r="Z14" s="627"/>
    </row>
    <row r="15" spans="1:26">
      <c r="A15" s="649"/>
      <c r="B15" s="573" t="s">
        <v>24</v>
      </c>
      <c r="C15" s="573"/>
      <c r="D15" s="573"/>
      <c r="E15" s="573"/>
      <c r="F15" s="573"/>
      <c r="G15" s="573"/>
      <c r="H15" s="573"/>
      <c r="I15" s="573"/>
      <c r="J15" s="573"/>
      <c r="K15" s="573"/>
      <c r="L15" s="573"/>
      <c r="M15" s="573"/>
      <c r="N15" s="573"/>
      <c r="O15" s="573"/>
      <c r="P15" s="389"/>
      <c r="Q15" s="649"/>
      <c r="R15" s="649"/>
      <c r="S15" s="649"/>
      <c r="T15" s="649"/>
      <c r="U15" s="649"/>
      <c r="V15" s="627"/>
      <c r="W15" s="627"/>
      <c r="X15" s="627"/>
      <c r="Y15" s="627"/>
      <c r="Z15" s="627"/>
    </row>
    <row r="16" spans="1:26">
      <c r="A16" s="649"/>
      <c r="B16" s="187"/>
      <c r="C16" s="187"/>
      <c r="D16" s="187"/>
      <c r="E16" s="187"/>
      <c r="F16" s="187"/>
      <c r="G16" s="187"/>
      <c r="H16" s="187"/>
      <c r="I16" s="187"/>
      <c r="J16" s="187"/>
      <c r="K16" s="187"/>
      <c r="L16" s="187"/>
      <c r="M16" s="187"/>
      <c r="N16" s="187"/>
      <c r="O16" s="187"/>
      <c r="P16" s="187"/>
      <c r="Q16" s="649"/>
      <c r="R16" s="649"/>
      <c r="S16" s="649"/>
      <c r="T16" s="649"/>
      <c r="U16" s="649"/>
      <c r="V16" s="627"/>
      <c r="W16" s="627"/>
      <c r="X16" s="627"/>
      <c r="Y16" s="627"/>
      <c r="Z16" s="627"/>
    </row>
    <row r="17" spans="1:26" ht="30" customHeight="1">
      <c r="A17" s="649"/>
      <c r="B17" s="392" t="s">
        <v>25</v>
      </c>
      <c r="C17" s="386" t="s">
        <v>4</v>
      </c>
      <c r="D17" s="386" t="s">
        <v>5</v>
      </c>
      <c r="E17" s="386" t="s">
        <v>6</v>
      </c>
      <c r="F17" s="386" t="s">
        <v>7</v>
      </c>
      <c r="G17" s="386" t="s">
        <v>8</v>
      </c>
      <c r="H17" s="386" t="s">
        <v>9</v>
      </c>
      <c r="I17" s="386" t="s">
        <v>10</v>
      </c>
      <c r="J17" s="386" t="s">
        <v>11</v>
      </c>
      <c r="K17" s="386" t="s">
        <v>12</v>
      </c>
      <c r="L17" s="386" t="s">
        <v>13</v>
      </c>
      <c r="M17" s="386" t="s">
        <v>14</v>
      </c>
      <c r="N17" s="386" t="s">
        <v>15</v>
      </c>
      <c r="O17" s="386" t="s">
        <v>26</v>
      </c>
      <c r="P17" s="386"/>
      <c r="Q17" s="649"/>
      <c r="R17" s="649"/>
      <c r="S17" s="649"/>
      <c r="T17" s="649"/>
      <c r="U17" s="649"/>
      <c r="V17" s="627"/>
      <c r="W17" s="627"/>
      <c r="X17" s="627"/>
      <c r="Y17" s="627"/>
      <c r="Z17" s="627"/>
    </row>
    <row r="18" spans="1:26">
      <c r="A18" s="649"/>
      <c r="B18" s="187" t="s">
        <v>27</v>
      </c>
      <c r="C18" s="193">
        <f>Inputs!$H$6</f>
        <v>190988.0617886179</v>
      </c>
      <c r="D18" s="183">
        <f t="shared" ref="D18:O18" si="3">C21</f>
        <v>382745.34463381249</v>
      </c>
      <c r="E18" s="183">
        <f t="shared" si="3"/>
        <v>589966.86464095919</v>
      </c>
      <c r="F18" s="183">
        <f t="shared" si="3"/>
        <v>844727.75406246504</v>
      </c>
      <c r="G18" s="183">
        <f t="shared" si="3"/>
        <v>1054830.9508345108</v>
      </c>
      <c r="H18" s="183">
        <f t="shared" si="3"/>
        <v>1315054.9030431125</v>
      </c>
      <c r="I18" s="183">
        <f t="shared" si="3"/>
        <v>1541723.2360807189</v>
      </c>
      <c r="J18" s="183">
        <f t="shared" si="3"/>
        <v>1781788.6171472841</v>
      </c>
      <c r="K18" s="183">
        <f t="shared" si="3"/>
        <v>2015299.4467290207</v>
      </c>
      <c r="L18" s="183">
        <f t="shared" si="3"/>
        <v>2295057.4262487525</v>
      </c>
      <c r="M18" s="183">
        <f t="shared" si="3"/>
        <v>2568279.2389813275</v>
      </c>
      <c r="N18" s="183">
        <f t="shared" si="3"/>
        <v>2843843.6759355012</v>
      </c>
      <c r="O18" s="183">
        <f t="shared" si="3"/>
        <v>3139866.5341879874</v>
      </c>
      <c r="P18" s="187"/>
      <c r="Q18" s="649"/>
      <c r="R18" s="649"/>
      <c r="S18" s="649"/>
      <c r="T18" s="649"/>
      <c r="U18" s="649"/>
      <c r="V18" s="627"/>
      <c r="W18" s="627"/>
      <c r="X18" s="627"/>
      <c r="Y18" s="627"/>
      <c r="Z18" s="627"/>
    </row>
    <row r="19" spans="1:26">
      <c r="A19" s="649"/>
      <c r="B19" s="138" t="s">
        <v>28</v>
      </c>
      <c r="C19" s="139">
        <f t="shared" ref="C19:N19" si="4">D6+D7+D8+D9</f>
        <v>192712.22315413767</v>
      </c>
      <c r="D19" s="139">
        <f t="shared" si="4"/>
        <v>209135.24673031585</v>
      </c>
      <c r="E19" s="139">
        <f t="shared" si="4"/>
        <v>257710.7237447107</v>
      </c>
      <c r="F19" s="139">
        <f t="shared" si="4"/>
        <v>214326.8355423582</v>
      </c>
      <c r="G19" s="139">
        <f t="shared" si="4"/>
        <v>265498.10696277424</v>
      </c>
      <c r="H19" s="139">
        <f t="shared" si="4"/>
        <v>233243.60755282198</v>
      </c>
      <c r="I19" s="139">
        <f t="shared" si="4"/>
        <v>247773.99724696876</v>
      </c>
      <c r="J19" s="139">
        <f t="shared" si="4"/>
        <v>242419.77266747298</v>
      </c>
      <c r="K19" s="139">
        <f t="shared" si="4"/>
        <v>289834.47675337683</v>
      </c>
      <c r="L19" s="139">
        <f t="shared" si="4"/>
        <v>284697.09986381896</v>
      </c>
      <c r="M19" s="139">
        <f t="shared" si="4"/>
        <v>288405.83314908011</v>
      </c>
      <c r="N19" s="139">
        <f t="shared" si="4"/>
        <v>310242.0766321636</v>
      </c>
      <c r="O19" s="139">
        <f>SUM(C19:N19)</f>
        <v>3035999.9999999995</v>
      </c>
      <c r="P19" s="187"/>
      <c r="Q19" s="649"/>
      <c r="R19" s="649"/>
      <c r="S19" s="649"/>
      <c r="T19" s="649"/>
      <c r="U19" s="649"/>
      <c r="V19" s="627"/>
      <c r="W19" s="627"/>
      <c r="X19" s="627"/>
      <c r="Y19" s="627"/>
      <c r="Z19" s="627"/>
    </row>
    <row r="20" spans="1:26">
      <c r="A20" s="649"/>
      <c r="B20" s="187" t="s">
        <v>29</v>
      </c>
      <c r="C20" s="193">
        <f>-C18*Inputs!$C$9</f>
        <v>-954.94030894308946</v>
      </c>
      <c r="D20" s="193">
        <f>-D18*Inputs!$C$9</f>
        <v>-1913.7267231690626</v>
      </c>
      <c r="E20" s="193">
        <f>-E18*Inputs!$C$9</f>
        <v>-2949.834323204796</v>
      </c>
      <c r="F20" s="193">
        <f>-F18*Inputs!$C$9</f>
        <v>-4223.6387703123255</v>
      </c>
      <c r="G20" s="193">
        <f>-G18*Inputs!$C$9</f>
        <v>-5274.154754172554</v>
      </c>
      <c r="H20" s="193">
        <f>-H18*Inputs!$C$9</f>
        <v>-6575.2745152155621</v>
      </c>
      <c r="I20" s="193">
        <f>-I18*Inputs!$C$9</f>
        <v>-7708.6161804035946</v>
      </c>
      <c r="J20" s="193">
        <f>-J18*Inputs!$C$9</f>
        <v>-8908.9430857364205</v>
      </c>
      <c r="K20" s="193">
        <f>-K18*Inputs!$C$9</f>
        <v>-10076.497233645103</v>
      </c>
      <c r="L20" s="193">
        <f>-L18*Inputs!$C$9</f>
        <v>-11475.287131243762</v>
      </c>
      <c r="M20" s="193">
        <f>-M18*Inputs!$C$9</f>
        <v>-12841.396194906638</v>
      </c>
      <c r="N20" s="193">
        <f>-N18*Inputs!$C$9</f>
        <v>-14219.218379677506</v>
      </c>
      <c r="O20" s="193">
        <f>-O18*Inputs!$C$9</f>
        <v>-15699.332670939937</v>
      </c>
      <c r="P20" s="187"/>
      <c r="Q20" s="649"/>
      <c r="R20" s="649"/>
      <c r="S20" s="649"/>
      <c r="T20" s="649"/>
      <c r="U20" s="649"/>
      <c r="V20" s="627"/>
      <c r="W20" s="627"/>
      <c r="X20" s="627"/>
      <c r="Y20" s="627"/>
      <c r="Z20" s="627"/>
    </row>
    <row r="21" spans="1:26">
      <c r="A21" s="649"/>
      <c r="B21" s="637" t="s">
        <v>30</v>
      </c>
      <c r="C21" s="638">
        <f t="shared" ref="C21:N21" si="5">C18+C19+C20</f>
        <v>382745.34463381249</v>
      </c>
      <c r="D21" s="638">
        <f t="shared" si="5"/>
        <v>589966.86464095919</v>
      </c>
      <c r="E21" s="638">
        <f t="shared" si="5"/>
        <v>844727.75406246504</v>
      </c>
      <c r="F21" s="638">
        <f t="shared" si="5"/>
        <v>1054830.9508345108</v>
      </c>
      <c r="G21" s="638">
        <f t="shared" si="5"/>
        <v>1315054.9030431125</v>
      </c>
      <c r="H21" s="638">
        <f t="shared" si="5"/>
        <v>1541723.2360807189</v>
      </c>
      <c r="I21" s="638">
        <f t="shared" si="5"/>
        <v>1781788.6171472841</v>
      </c>
      <c r="J21" s="638">
        <f t="shared" si="5"/>
        <v>2015299.4467290207</v>
      </c>
      <c r="K21" s="638">
        <f t="shared" si="5"/>
        <v>2295057.4262487525</v>
      </c>
      <c r="L21" s="638">
        <f t="shared" si="5"/>
        <v>2568279.2389813275</v>
      </c>
      <c r="M21" s="638">
        <f t="shared" si="5"/>
        <v>2843843.6759355012</v>
      </c>
      <c r="N21" s="638">
        <f t="shared" si="5"/>
        <v>3139866.5341879874</v>
      </c>
      <c r="O21" s="638">
        <f>N21</f>
        <v>3139866.5341879874</v>
      </c>
      <c r="P21" s="187"/>
      <c r="Q21" s="649"/>
      <c r="R21" s="649"/>
      <c r="S21" s="649"/>
      <c r="T21" s="649"/>
      <c r="U21" s="649"/>
      <c r="V21" s="627"/>
      <c r="W21" s="627"/>
      <c r="X21" s="627"/>
      <c r="Y21" s="627"/>
      <c r="Z21" s="627"/>
    </row>
    <row r="22" spans="1:26">
      <c r="A22" s="649"/>
      <c r="B22" s="187"/>
      <c r="C22" s="186"/>
      <c r="D22" s="186"/>
      <c r="E22" s="186"/>
      <c r="F22" s="186"/>
      <c r="G22" s="186"/>
      <c r="H22" s="186"/>
      <c r="I22" s="186"/>
      <c r="J22" s="186"/>
      <c r="K22" s="186"/>
      <c r="L22" s="186"/>
      <c r="M22" s="186"/>
      <c r="N22" s="186"/>
      <c r="O22" s="186"/>
      <c r="P22" s="187"/>
      <c r="Q22" s="649"/>
      <c r="R22" s="649"/>
      <c r="S22" s="649"/>
      <c r="T22" s="649"/>
      <c r="U22" s="649"/>
      <c r="V22" s="627"/>
      <c r="W22" s="627"/>
      <c r="X22" s="627"/>
      <c r="Y22" s="627"/>
      <c r="Z22" s="627"/>
    </row>
    <row r="23" spans="1:26">
      <c r="A23" s="649"/>
      <c r="B23" s="637" t="s">
        <v>31</v>
      </c>
      <c r="C23" s="638">
        <f t="shared" ref="C23:O23" si="6">AVERAGE(C18,C21)</f>
        <v>286866.70321121521</v>
      </c>
      <c r="D23" s="638">
        <f t="shared" si="6"/>
        <v>486356.10463738581</v>
      </c>
      <c r="E23" s="638">
        <f t="shared" si="6"/>
        <v>717347.30935171212</v>
      </c>
      <c r="F23" s="638">
        <f t="shared" si="6"/>
        <v>949779.35244848789</v>
      </c>
      <c r="G23" s="638">
        <f t="shared" si="6"/>
        <v>1184942.9269388118</v>
      </c>
      <c r="H23" s="638">
        <f t="shared" si="6"/>
        <v>1428389.0695619157</v>
      </c>
      <c r="I23" s="638">
        <f t="shared" si="6"/>
        <v>1661755.9266140014</v>
      </c>
      <c r="J23" s="638">
        <f t="shared" si="6"/>
        <v>1898544.0319381524</v>
      </c>
      <c r="K23" s="638">
        <f t="shared" si="6"/>
        <v>2155178.4364888864</v>
      </c>
      <c r="L23" s="638">
        <f t="shared" si="6"/>
        <v>2431668.3326150402</v>
      </c>
      <c r="M23" s="638">
        <f t="shared" si="6"/>
        <v>2706061.4574584141</v>
      </c>
      <c r="N23" s="638">
        <f t="shared" si="6"/>
        <v>2991855.1050617443</v>
      </c>
      <c r="O23" s="638">
        <f t="shared" si="6"/>
        <v>3139866.5341879874</v>
      </c>
      <c r="P23" s="187"/>
      <c r="Q23" s="649"/>
      <c r="R23" s="649"/>
      <c r="S23" s="649"/>
      <c r="T23" s="649"/>
      <c r="U23" s="649"/>
      <c r="V23" s="627"/>
      <c r="W23" s="627"/>
      <c r="X23" s="627"/>
      <c r="Y23" s="627"/>
      <c r="Z23" s="627"/>
    </row>
    <row r="24" spans="1:26">
      <c r="A24" s="649"/>
      <c r="B24" s="187"/>
      <c r="C24" s="187"/>
      <c r="D24" s="187"/>
      <c r="E24" s="187"/>
      <c r="F24" s="187"/>
      <c r="G24" s="187"/>
      <c r="H24" s="187"/>
      <c r="I24" s="187"/>
      <c r="J24" s="187"/>
      <c r="K24" s="187"/>
      <c r="L24" s="187"/>
      <c r="M24" s="187"/>
      <c r="N24" s="187"/>
      <c r="O24" s="187"/>
      <c r="P24" s="187"/>
      <c r="Q24" s="649"/>
      <c r="R24" s="649"/>
      <c r="S24" s="649"/>
      <c r="T24" s="649"/>
      <c r="U24" s="649"/>
      <c r="V24" s="627"/>
      <c r="W24" s="627"/>
      <c r="X24" s="627"/>
      <c r="Y24" s="627"/>
      <c r="Z24" s="627"/>
    </row>
    <row r="25" spans="1:26">
      <c r="A25" s="649"/>
      <c r="B25" s="389" t="s">
        <v>32</v>
      </c>
      <c r="C25" s="389"/>
      <c r="D25" s="389"/>
      <c r="E25" s="389"/>
      <c r="F25" s="389"/>
      <c r="G25" s="389"/>
      <c r="H25" s="389"/>
      <c r="I25" s="389"/>
      <c r="J25" s="389"/>
      <c r="K25" s="389"/>
      <c r="L25" s="389"/>
      <c r="M25" s="389"/>
      <c r="N25" s="389"/>
      <c r="O25" s="389"/>
      <c r="P25" s="389"/>
      <c r="Q25" s="649"/>
      <c r="R25" s="649"/>
      <c r="S25" s="649"/>
      <c r="T25" s="649"/>
      <c r="U25" s="649"/>
      <c r="V25" s="627"/>
      <c r="W25" s="627"/>
      <c r="X25" s="627"/>
      <c r="Y25" s="627"/>
      <c r="Z25" s="627"/>
    </row>
    <row r="26" spans="1:26">
      <c r="A26" s="649"/>
      <c r="B26" s="187"/>
      <c r="C26" s="187"/>
      <c r="D26" s="187"/>
      <c r="E26" s="187"/>
      <c r="F26" s="187"/>
      <c r="G26" s="187"/>
      <c r="H26" s="187"/>
      <c r="I26" s="187"/>
      <c r="J26" s="187"/>
      <c r="K26" s="187"/>
      <c r="L26" s="187"/>
      <c r="M26" s="187"/>
      <c r="N26" s="187"/>
      <c r="O26" s="187"/>
      <c r="P26" s="187"/>
      <c r="Q26" s="649"/>
      <c r="R26" s="649"/>
      <c r="S26" s="649"/>
      <c r="T26" s="649"/>
      <c r="U26" s="649"/>
      <c r="V26" s="627"/>
      <c r="W26" s="627"/>
      <c r="X26" s="627"/>
      <c r="Y26" s="627"/>
      <c r="Z26" s="627"/>
    </row>
    <row r="27" spans="1:26">
      <c r="A27" s="649"/>
      <c r="B27" s="639" t="s">
        <v>33</v>
      </c>
      <c r="C27" s="186" t="s">
        <v>34</v>
      </c>
      <c r="D27" s="186" t="s">
        <v>35</v>
      </c>
      <c r="E27" s="187"/>
      <c r="F27" s="187"/>
      <c r="G27" s="187"/>
      <c r="H27" s="187"/>
      <c r="I27" s="187"/>
      <c r="J27" s="187"/>
      <c r="K27" s="187"/>
      <c r="L27" s="187"/>
      <c r="M27" s="187"/>
      <c r="N27" s="187"/>
      <c r="O27" s="187"/>
      <c r="P27" s="187"/>
      <c r="Q27" s="649"/>
      <c r="R27" s="649"/>
      <c r="S27" s="649"/>
      <c r="T27" s="649"/>
      <c r="U27" s="649"/>
      <c r="V27" s="627"/>
      <c r="W27" s="627"/>
      <c r="X27" s="627"/>
      <c r="Y27" s="627"/>
      <c r="Z27" s="627"/>
    </row>
    <row r="28" spans="1:26">
      <c r="A28" s="649"/>
      <c r="B28" s="639" t="s">
        <v>36</v>
      </c>
      <c r="C28" s="193">
        <f>Inputs!$C$12</f>
        <v>3300000</v>
      </c>
      <c r="D28" s="186"/>
      <c r="E28" s="187"/>
      <c r="F28" s="187"/>
      <c r="G28" s="187"/>
      <c r="H28" s="187"/>
      <c r="I28" s="187"/>
      <c r="J28" s="187"/>
      <c r="K28" s="187"/>
      <c r="L28" s="187"/>
      <c r="M28" s="187"/>
      <c r="N28" s="187"/>
      <c r="O28" s="187"/>
      <c r="P28" s="187"/>
      <c r="Q28" s="649"/>
      <c r="R28" s="649"/>
      <c r="S28" s="649"/>
      <c r="T28" s="649"/>
      <c r="U28" s="649"/>
      <c r="V28" s="627"/>
      <c r="W28" s="627"/>
      <c r="X28" s="627"/>
      <c r="Y28" s="627"/>
      <c r="Z28" s="627"/>
    </row>
    <row r="29" spans="1:26">
      <c r="A29" s="649"/>
      <c r="B29" s="640" t="s">
        <v>37</v>
      </c>
      <c r="C29" s="472">
        <f>P12</f>
        <v>3300000</v>
      </c>
      <c r="D29" s="464"/>
      <c r="E29" s="640"/>
      <c r="F29" s="640"/>
      <c r="G29" s="640"/>
      <c r="H29" s="640"/>
      <c r="I29" s="640"/>
      <c r="J29" s="640"/>
      <c r="K29" s="640"/>
      <c r="L29" s="640"/>
      <c r="M29" s="640"/>
      <c r="N29" s="640"/>
      <c r="O29" s="640"/>
      <c r="P29" s="640"/>
      <c r="Q29" s="649"/>
      <c r="R29" s="649"/>
      <c r="S29" s="649"/>
      <c r="T29" s="649"/>
      <c r="U29" s="649"/>
      <c r="V29" s="627"/>
      <c r="W29" s="627"/>
      <c r="X29" s="627"/>
      <c r="Y29" s="627"/>
      <c r="Z29" s="627"/>
    </row>
    <row r="30" spans="1:26">
      <c r="A30" s="649"/>
      <c r="B30" s="639" t="s">
        <v>38</v>
      </c>
      <c r="C30" s="183">
        <f>C29-C28</f>
        <v>0</v>
      </c>
      <c r="D30" s="186" t="str">
        <f>IF(ABS(C30)&lt;1000,"OK","GAP")</f>
        <v>OK</v>
      </c>
      <c r="E30" s="187"/>
      <c r="F30" s="187"/>
      <c r="G30" s="187"/>
      <c r="H30" s="187"/>
      <c r="I30" s="187"/>
      <c r="J30" s="187"/>
      <c r="K30" s="187"/>
      <c r="L30" s="187"/>
      <c r="M30" s="187"/>
      <c r="N30" s="187"/>
      <c r="O30" s="187"/>
      <c r="P30" s="187"/>
      <c r="Q30" s="649"/>
      <c r="R30" s="649"/>
      <c r="S30" s="649"/>
      <c r="T30" s="649"/>
      <c r="U30" s="649"/>
      <c r="V30" s="627"/>
      <c r="W30" s="627"/>
      <c r="X30" s="627"/>
      <c r="Y30" s="627"/>
      <c r="Z30" s="627"/>
    </row>
    <row r="31" spans="1:26">
      <c r="A31" s="649"/>
      <c r="B31" s="639"/>
      <c r="C31" s="186"/>
      <c r="D31" s="186"/>
      <c r="E31" s="187"/>
      <c r="F31" s="187"/>
      <c r="G31" s="187"/>
      <c r="H31" s="187"/>
      <c r="I31" s="187"/>
      <c r="J31" s="187"/>
      <c r="K31" s="187"/>
      <c r="L31" s="187"/>
      <c r="M31" s="187"/>
      <c r="N31" s="187"/>
      <c r="O31" s="187"/>
      <c r="P31" s="187"/>
      <c r="Q31" s="649"/>
      <c r="R31" s="649"/>
      <c r="S31" s="649"/>
      <c r="T31" s="649"/>
      <c r="U31" s="649"/>
      <c r="V31" s="627"/>
      <c r="W31" s="627"/>
      <c r="X31" s="627"/>
      <c r="Y31" s="627"/>
      <c r="Z31" s="627"/>
    </row>
    <row r="32" spans="1:26">
      <c r="A32" s="649"/>
      <c r="B32" s="639" t="s">
        <v>39</v>
      </c>
      <c r="C32" s="183">
        <f>N21</f>
        <v>3139866.5341879874</v>
      </c>
      <c r="D32" s="186"/>
      <c r="E32" s="187"/>
      <c r="F32" s="187"/>
      <c r="G32" s="187"/>
      <c r="H32" s="187"/>
      <c r="I32" s="187"/>
      <c r="J32" s="187"/>
      <c r="K32" s="187"/>
      <c r="L32" s="187"/>
      <c r="M32" s="187"/>
      <c r="N32" s="187"/>
      <c r="O32" s="187"/>
      <c r="P32" s="187"/>
      <c r="Q32" s="649"/>
      <c r="R32" s="649"/>
      <c r="S32" s="649"/>
      <c r="T32" s="649"/>
      <c r="U32" s="649"/>
      <c r="V32" s="627"/>
      <c r="W32" s="627"/>
      <c r="X32" s="627"/>
      <c r="Y32" s="627"/>
      <c r="Z32" s="627"/>
    </row>
    <row r="33" spans="1:26">
      <c r="A33" s="649"/>
      <c r="B33" s="639" t="s">
        <v>40</v>
      </c>
      <c r="C33" s="193">
        <f>Inputs!$C$15</f>
        <v>3036000</v>
      </c>
      <c r="D33" s="186"/>
      <c r="E33" s="187"/>
      <c r="F33" s="187"/>
      <c r="G33" s="187"/>
      <c r="H33" s="187"/>
      <c r="I33" s="187"/>
      <c r="J33" s="187"/>
      <c r="K33" s="187"/>
      <c r="L33" s="187"/>
      <c r="M33" s="187"/>
      <c r="N33" s="187"/>
      <c r="O33" s="187"/>
      <c r="P33" s="187"/>
      <c r="Q33" s="649"/>
      <c r="R33" s="649"/>
      <c r="S33" s="649"/>
      <c r="T33" s="649"/>
      <c r="U33" s="649"/>
      <c r="V33" s="627"/>
      <c r="W33" s="627"/>
      <c r="X33" s="627"/>
      <c r="Y33" s="627"/>
      <c r="Z33" s="627"/>
    </row>
    <row r="34" spans="1:26">
      <c r="A34" s="649"/>
      <c r="B34" s="639" t="s">
        <v>41</v>
      </c>
      <c r="C34" s="183">
        <f>C32-C33</f>
        <v>103866.53418798745</v>
      </c>
      <c r="D34" s="186" t="str">
        <f>IF(C34&gt;0,"ABOVE","BELOW")</f>
        <v>ABOVE</v>
      </c>
      <c r="E34" s="187"/>
      <c r="F34" s="187"/>
      <c r="G34" s="187"/>
      <c r="H34" s="187"/>
      <c r="I34" s="187"/>
      <c r="J34" s="187"/>
      <c r="K34" s="187"/>
      <c r="L34" s="187"/>
      <c r="M34" s="187"/>
      <c r="N34" s="187"/>
      <c r="O34" s="187"/>
      <c r="P34" s="187"/>
      <c r="Q34" s="649"/>
      <c r="R34" s="649"/>
      <c r="S34" s="649"/>
      <c r="T34" s="649"/>
      <c r="U34" s="649"/>
      <c r="V34" s="627"/>
      <c r="W34" s="627"/>
      <c r="X34" s="627"/>
      <c r="Y34" s="627"/>
      <c r="Z34" s="627"/>
    </row>
    <row r="35" spans="1:26">
      <c r="A35" s="649"/>
      <c r="B35" s="187"/>
      <c r="C35" s="187"/>
      <c r="D35" s="187"/>
      <c r="E35" s="187"/>
      <c r="F35" s="187"/>
      <c r="G35" s="187"/>
      <c r="H35" s="187"/>
      <c r="I35" s="187"/>
      <c r="J35" s="187"/>
      <c r="K35" s="187"/>
      <c r="L35" s="187"/>
      <c r="M35" s="187"/>
      <c r="N35" s="187"/>
      <c r="O35" s="187"/>
      <c r="P35" s="187"/>
      <c r="Q35" s="649"/>
      <c r="R35" s="649"/>
      <c r="S35" s="649"/>
      <c r="T35" s="649"/>
      <c r="U35" s="649"/>
      <c r="V35" s="627"/>
      <c r="W35" s="627"/>
      <c r="X35" s="627"/>
      <c r="Y35" s="627"/>
      <c r="Z35" s="627"/>
    </row>
    <row r="36" spans="1:26">
      <c r="A36" s="649"/>
      <c r="B36" s="639" t="s">
        <v>42</v>
      </c>
      <c r="C36" s="641">
        <f>Inputs!C21</f>
        <v>0.112</v>
      </c>
      <c r="D36" s="642" t="s">
        <v>43</v>
      </c>
      <c r="E36" s="187"/>
      <c r="F36" s="187"/>
      <c r="G36" s="187"/>
      <c r="H36" s="187"/>
      <c r="I36" s="187"/>
      <c r="J36" s="187"/>
      <c r="K36" s="187"/>
      <c r="L36" s="187"/>
      <c r="M36" s="187"/>
      <c r="N36" s="187"/>
      <c r="O36" s="187"/>
      <c r="P36" s="187"/>
      <c r="Q36" s="649"/>
      <c r="R36" s="649"/>
      <c r="S36" s="649"/>
      <c r="T36" s="649"/>
      <c r="U36" s="649"/>
      <c r="V36" s="627"/>
      <c r="W36" s="627"/>
      <c r="X36" s="627"/>
      <c r="Y36" s="627"/>
      <c r="Z36" s="627"/>
    </row>
    <row r="37" spans="1:26">
      <c r="A37" s="627"/>
      <c r="B37" s="575"/>
      <c r="C37" s="575"/>
      <c r="D37" s="575"/>
      <c r="E37" s="575"/>
      <c r="F37" s="575"/>
      <c r="G37" s="575"/>
      <c r="H37" s="575"/>
      <c r="I37" s="575"/>
      <c r="J37" s="575"/>
      <c r="K37" s="575"/>
      <c r="L37" s="575"/>
      <c r="M37" s="575"/>
      <c r="N37" s="575"/>
      <c r="O37" s="575"/>
      <c r="P37" s="575"/>
      <c r="Q37" s="627"/>
      <c r="R37" s="627"/>
      <c r="S37" s="627"/>
      <c r="T37" s="627"/>
      <c r="U37" s="627"/>
      <c r="V37" s="627"/>
      <c r="W37" s="627"/>
      <c r="X37" s="627"/>
      <c r="Y37" s="627"/>
      <c r="Z37" s="627"/>
    </row>
    <row r="38" spans="1:26">
      <c r="A38" s="627"/>
      <c r="B38" s="639" t="s">
        <v>44</v>
      </c>
      <c r="C38" s="643">
        <f>P12/(1-Inputs!C21)</f>
        <v>3716216.2162162163</v>
      </c>
      <c r="D38" s="575"/>
      <c r="E38" s="575"/>
      <c r="F38" s="575"/>
      <c r="G38" s="575"/>
      <c r="H38" s="575"/>
      <c r="I38" s="575"/>
      <c r="J38" s="575"/>
      <c r="K38" s="575"/>
      <c r="L38" s="575"/>
      <c r="M38" s="575"/>
      <c r="N38" s="575"/>
      <c r="O38" s="575"/>
      <c r="P38" s="575"/>
      <c r="Q38" s="627"/>
      <c r="R38" s="627"/>
      <c r="S38" s="627"/>
      <c r="T38" s="627"/>
      <c r="U38" s="627"/>
      <c r="V38" s="627"/>
      <c r="W38" s="627"/>
      <c r="X38" s="627"/>
      <c r="Y38" s="627"/>
      <c r="Z38" s="627"/>
    </row>
    <row r="39" spans="1:26">
      <c r="A39" s="627"/>
      <c r="B39" s="639" t="s">
        <v>45</v>
      </c>
      <c r="C39" s="644">
        <f>C38-P12</f>
        <v>416216.21621621633</v>
      </c>
      <c r="D39" s="575"/>
      <c r="E39" s="575"/>
      <c r="F39" s="575"/>
      <c r="G39" s="575"/>
      <c r="H39" s="575"/>
      <c r="I39" s="575"/>
      <c r="J39" s="575"/>
      <c r="K39" s="575"/>
      <c r="L39" s="575"/>
      <c r="M39" s="575"/>
      <c r="N39" s="575"/>
      <c r="O39" s="575"/>
      <c r="P39" s="575"/>
      <c r="Q39" s="627"/>
      <c r="R39" s="627"/>
      <c r="S39" s="627"/>
      <c r="T39" s="627"/>
      <c r="U39" s="627"/>
      <c r="V39" s="627"/>
      <c r="W39" s="627"/>
      <c r="X39" s="627"/>
      <c r="Y39" s="627"/>
      <c r="Z39" s="627"/>
    </row>
    <row r="40" spans="1:26">
      <c r="A40" s="627"/>
      <c r="B40" s="639" t="s">
        <v>46</v>
      </c>
      <c r="C40" s="643">
        <f>C39*Inputs!C6</f>
        <v>1535837837.8378382</v>
      </c>
      <c r="D40" s="575"/>
      <c r="E40" s="575"/>
      <c r="F40" s="575"/>
      <c r="G40" s="575"/>
      <c r="H40" s="575"/>
      <c r="I40" s="575"/>
      <c r="J40" s="575"/>
      <c r="K40" s="575"/>
      <c r="L40" s="575"/>
      <c r="M40" s="575"/>
      <c r="N40" s="575"/>
      <c r="O40" s="575"/>
      <c r="P40" s="575"/>
      <c r="Q40" s="627"/>
      <c r="R40" s="627"/>
      <c r="S40" s="627"/>
      <c r="T40" s="627"/>
      <c r="U40" s="627"/>
      <c r="V40" s="627"/>
      <c r="W40" s="627"/>
      <c r="X40" s="627"/>
      <c r="Y40" s="627"/>
      <c r="Z40" s="627"/>
    </row>
    <row r="41" spans="1:26">
      <c r="A41" s="627"/>
      <c r="B41" s="575"/>
      <c r="C41" s="575"/>
      <c r="D41" s="575"/>
      <c r="E41" s="575"/>
      <c r="F41" s="575"/>
      <c r="G41" s="575"/>
      <c r="H41" s="575"/>
      <c r="I41" s="575"/>
      <c r="J41" s="575"/>
      <c r="K41" s="575"/>
      <c r="L41" s="575"/>
      <c r="M41" s="575"/>
      <c r="N41" s="575"/>
      <c r="O41" s="575"/>
      <c r="P41" s="575"/>
      <c r="Q41" s="627"/>
      <c r="R41" s="627"/>
      <c r="S41" s="627"/>
      <c r="T41" s="627"/>
      <c r="U41" s="627"/>
      <c r="V41" s="627"/>
      <c r="W41" s="627"/>
      <c r="X41" s="627"/>
      <c r="Y41" s="627"/>
      <c r="Z41" s="627"/>
    </row>
    <row r="42" spans="1:26">
      <c r="A42" s="627"/>
      <c r="B42" s="575"/>
      <c r="C42" s="575"/>
      <c r="D42" s="575"/>
      <c r="E42" s="575"/>
      <c r="F42" s="575"/>
      <c r="G42" s="575"/>
      <c r="H42" s="575"/>
      <c r="I42" s="575"/>
      <c r="J42" s="575"/>
      <c r="K42" s="575"/>
      <c r="L42" s="575"/>
      <c r="M42" s="575"/>
      <c r="N42" s="575"/>
      <c r="O42" s="575"/>
      <c r="P42" s="575"/>
      <c r="Q42" s="627"/>
      <c r="R42" s="627"/>
      <c r="S42" s="627"/>
      <c r="T42" s="627"/>
      <c r="U42" s="627"/>
      <c r="V42" s="627"/>
      <c r="W42" s="627"/>
      <c r="X42" s="627"/>
      <c r="Y42" s="627"/>
      <c r="Z42" s="627"/>
    </row>
    <row r="43" spans="1:26">
      <c r="A43" s="627"/>
      <c r="B43" s="1095" t="s">
        <v>47</v>
      </c>
      <c r="C43" s="1095"/>
      <c r="D43" s="1095"/>
      <c r="E43" s="1095"/>
      <c r="F43" s="389"/>
      <c r="G43" s="389"/>
      <c r="H43" s="389"/>
      <c r="I43" s="389"/>
      <c r="J43" s="389"/>
      <c r="K43" s="389"/>
      <c r="L43" s="389"/>
      <c r="M43" s="389"/>
      <c r="N43" s="389"/>
      <c r="O43" s="389"/>
      <c r="P43" s="389"/>
      <c r="Q43" s="627"/>
      <c r="R43" s="627"/>
      <c r="S43" s="627"/>
      <c r="T43" s="627"/>
      <c r="U43" s="627"/>
      <c r="V43" s="627"/>
      <c r="W43" s="627"/>
      <c r="X43" s="627"/>
      <c r="Y43" s="627"/>
      <c r="Z43" s="627"/>
    </row>
    <row r="44" spans="1:26">
      <c r="A44" s="627"/>
      <c r="B44" s="583" t="s">
        <v>48</v>
      </c>
      <c r="C44" s="583"/>
      <c r="D44" s="583"/>
      <c r="E44" s="583"/>
      <c r="F44" s="583"/>
      <c r="G44" s="583"/>
      <c r="H44" s="583"/>
      <c r="I44" s="583"/>
      <c r="J44" s="583"/>
      <c r="K44" s="583"/>
      <c r="L44" s="583"/>
      <c r="M44" s="583"/>
      <c r="N44" s="583"/>
      <c r="O44" s="583"/>
      <c r="P44" s="583"/>
      <c r="Q44" s="627"/>
      <c r="R44" s="627"/>
      <c r="S44" s="627"/>
      <c r="T44" s="627"/>
      <c r="U44" s="627"/>
      <c r="V44" s="627"/>
      <c r="W44" s="627"/>
      <c r="X44" s="627"/>
      <c r="Y44" s="627"/>
      <c r="Z44" s="627"/>
    </row>
    <row r="45" spans="1:26">
      <c r="A45" s="627"/>
      <c r="B45" s="575"/>
      <c r="C45" s="575"/>
      <c r="D45" s="575"/>
      <c r="E45" s="575"/>
      <c r="F45" s="575"/>
      <c r="G45" s="575"/>
      <c r="H45" s="575"/>
      <c r="I45" s="575"/>
      <c r="J45" s="575"/>
      <c r="K45" s="575"/>
      <c r="L45" s="575"/>
      <c r="M45" s="575"/>
      <c r="N45" s="575"/>
      <c r="O45" s="575"/>
      <c r="P45" s="575"/>
      <c r="Q45" s="627"/>
      <c r="R45" s="627"/>
      <c r="S45" s="627"/>
      <c r="T45" s="627"/>
      <c r="U45" s="627"/>
      <c r="V45" s="627"/>
      <c r="W45" s="627"/>
      <c r="X45" s="627"/>
      <c r="Y45" s="627"/>
      <c r="Z45" s="627"/>
    </row>
    <row r="46" spans="1:26">
      <c r="A46" s="627"/>
      <c r="B46" s="140" t="s">
        <v>49</v>
      </c>
      <c r="C46" s="141" t="s">
        <v>50</v>
      </c>
      <c r="D46" s="141" t="s">
        <v>51</v>
      </c>
      <c r="E46" s="141" t="s">
        <v>52</v>
      </c>
      <c r="F46" s="141" t="s">
        <v>53</v>
      </c>
      <c r="G46" s="141" t="s">
        <v>54</v>
      </c>
      <c r="H46" s="141" t="s">
        <v>55</v>
      </c>
      <c r="I46" s="141" t="s">
        <v>56</v>
      </c>
      <c r="J46" s="141" t="s">
        <v>57</v>
      </c>
      <c r="K46" s="141" t="s">
        <v>58</v>
      </c>
      <c r="L46" s="141" t="s">
        <v>59</v>
      </c>
      <c r="M46" s="141" t="s">
        <v>60</v>
      </c>
      <c r="N46" s="141" t="s">
        <v>61</v>
      </c>
      <c r="O46" s="141" t="s">
        <v>62</v>
      </c>
      <c r="P46" s="141" t="s">
        <v>63</v>
      </c>
      <c r="Q46" s="627"/>
      <c r="R46" s="627"/>
      <c r="S46" s="627"/>
      <c r="T46" s="627"/>
      <c r="U46" s="627"/>
      <c r="V46" s="627"/>
      <c r="W46" s="627"/>
      <c r="X46" s="627"/>
      <c r="Y46" s="627"/>
      <c r="Z46" s="627"/>
    </row>
    <row r="47" spans="1:26">
      <c r="A47" s="627"/>
      <c r="B47" s="575" t="s">
        <v>64</v>
      </c>
      <c r="C47" s="645">
        <f>Inputs!$N$7*Inputs!$C$6</f>
        <v>8856000000</v>
      </c>
      <c r="D47" s="646">
        <f>C47*Inputs!D$31</f>
        <v>562140793.2322278</v>
      </c>
      <c r="E47" s="646">
        <f>C47*Inputs!E$31</f>
        <v>610046688.09080279</v>
      </c>
      <c r="F47" s="646">
        <f>C47*Inputs!F$31</f>
        <v>751741162.54385972</v>
      </c>
      <c r="G47" s="646">
        <f>C47*Inputs!G$31</f>
        <v>625190532.13541639</v>
      </c>
      <c r="H47" s="646">
        <f>C47*Inputs!H$31</f>
        <v>774456928.61078012</v>
      </c>
      <c r="I47" s="646">
        <f>C47*Inputs!I$31</f>
        <v>680370681.32008946</v>
      </c>
      <c r="J47" s="646">
        <f>C47*Inputs!J$31</f>
        <v>722755770.62554526</v>
      </c>
      <c r="K47" s="646">
        <f>C47*Inputs!K$31</f>
        <v>707137518.69009912</v>
      </c>
      <c r="L47" s="646">
        <f>C47*Inputs!N$31</f>
        <v>845446023.09878302</v>
      </c>
      <c r="M47" s="646">
        <f>C47*Inputs!O$31</f>
        <v>830460315.0177803</v>
      </c>
      <c r="N47" s="646">
        <f>C47*Inputs!P$31</f>
        <v>841278675.35186219</v>
      </c>
      <c r="O47" s="646">
        <f>C47*Inputs!Q$31</f>
        <v>904974911.28275394</v>
      </c>
      <c r="P47" s="611">
        <f>SUM(D47:O47)/C47</f>
        <v>1</v>
      </c>
      <c r="Q47" s="627"/>
      <c r="R47" s="627"/>
      <c r="S47" s="627"/>
      <c r="T47" s="627"/>
      <c r="U47" s="627"/>
      <c r="V47" s="627"/>
      <c r="W47" s="627"/>
      <c r="X47" s="627"/>
      <c r="Y47" s="627"/>
      <c r="Z47" s="627"/>
    </row>
    <row r="48" spans="1:26">
      <c r="A48" s="627"/>
      <c r="B48" s="575" t="s">
        <v>65</v>
      </c>
      <c r="C48" s="647">
        <f>SUM(D47:O47)</f>
        <v>8856000000</v>
      </c>
      <c r="D48" s="648" t="str">
        <f>IF(ABS(C47-C48)&lt;1,"OK","ERROR")</f>
        <v>OK</v>
      </c>
      <c r="E48" s="575"/>
      <c r="F48" s="575"/>
      <c r="G48" s="575"/>
      <c r="H48" s="575"/>
      <c r="I48" s="575"/>
      <c r="J48" s="575"/>
      <c r="K48" s="575"/>
      <c r="L48" s="575"/>
      <c r="M48" s="575"/>
      <c r="N48" s="575"/>
      <c r="O48" s="575"/>
      <c r="P48" s="575"/>
      <c r="Q48" s="627"/>
      <c r="R48" s="627"/>
      <c r="S48" s="627"/>
      <c r="T48" s="627"/>
      <c r="U48" s="627"/>
      <c r="V48" s="627"/>
      <c r="W48" s="627"/>
      <c r="X48" s="627"/>
      <c r="Y48" s="627"/>
      <c r="Z48" s="627"/>
    </row>
    <row r="49" spans="1:26">
      <c r="A49" s="627"/>
      <c r="B49" s="575"/>
      <c r="C49" s="575"/>
      <c r="D49" s="575"/>
      <c r="E49" s="575"/>
      <c r="F49" s="575"/>
      <c r="G49" s="575"/>
      <c r="H49" s="575"/>
      <c r="I49" s="575"/>
      <c r="J49" s="575"/>
      <c r="K49" s="575"/>
      <c r="L49" s="575"/>
      <c r="M49" s="575"/>
      <c r="N49" s="575"/>
      <c r="O49" s="575"/>
      <c r="P49" s="575"/>
      <c r="Q49" s="627"/>
      <c r="R49" s="627"/>
      <c r="S49" s="627"/>
      <c r="T49" s="627"/>
      <c r="U49" s="627"/>
      <c r="V49" s="627"/>
      <c r="W49" s="627"/>
      <c r="X49" s="627"/>
      <c r="Y49" s="627"/>
      <c r="Z49" s="627"/>
    </row>
    <row r="50" spans="1:26">
      <c r="A50" s="627"/>
      <c r="B50" s="575"/>
      <c r="C50" s="575"/>
      <c r="D50" s="575"/>
      <c r="E50" s="575"/>
      <c r="F50" s="575"/>
      <c r="G50" s="575"/>
      <c r="H50" s="575"/>
      <c r="I50" s="575"/>
      <c r="J50" s="575"/>
      <c r="K50" s="575"/>
      <c r="L50" s="575"/>
      <c r="M50" s="575"/>
      <c r="N50" s="575"/>
      <c r="O50" s="575"/>
      <c r="P50" s="575"/>
      <c r="Q50" s="627"/>
      <c r="R50" s="627"/>
      <c r="S50" s="627"/>
      <c r="T50" s="627"/>
      <c r="U50" s="627"/>
      <c r="V50" s="627"/>
      <c r="W50" s="627"/>
      <c r="X50" s="627"/>
      <c r="Y50" s="627"/>
      <c r="Z50" s="627"/>
    </row>
    <row r="51" spans="1:26" ht="30" customHeight="1">
      <c r="A51" s="627"/>
      <c r="B51" s="392" t="s">
        <v>66</v>
      </c>
      <c r="C51" s="386" t="s">
        <v>50</v>
      </c>
      <c r="D51" s="386" t="s">
        <v>51</v>
      </c>
      <c r="E51" s="386" t="s">
        <v>52</v>
      </c>
      <c r="F51" s="386" t="s">
        <v>53</v>
      </c>
      <c r="G51" s="386" t="s">
        <v>54</v>
      </c>
      <c r="H51" s="386" t="s">
        <v>55</v>
      </c>
      <c r="I51" s="386" t="s">
        <v>56</v>
      </c>
      <c r="J51" s="386" t="s">
        <v>57</v>
      </c>
      <c r="K51" s="386" t="s">
        <v>58</v>
      </c>
      <c r="L51" s="386" t="s">
        <v>59</v>
      </c>
      <c r="M51" s="386" t="s">
        <v>60</v>
      </c>
      <c r="N51" s="386" t="s">
        <v>61</v>
      </c>
      <c r="O51" s="386" t="s">
        <v>62</v>
      </c>
      <c r="P51" s="386" t="s">
        <v>63</v>
      </c>
      <c r="Q51" s="627"/>
      <c r="R51" s="627"/>
      <c r="S51" s="627"/>
      <c r="T51" s="627"/>
      <c r="U51" s="627"/>
      <c r="V51" s="627"/>
      <c r="W51" s="627"/>
      <c r="X51" s="627"/>
      <c r="Y51" s="627"/>
      <c r="Z51" s="627"/>
    </row>
    <row r="52" spans="1:26">
      <c r="A52" s="627"/>
      <c r="B52" s="575" t="s">
        <v>64</v>
      </c>
      <c r="C52" s="645">
        <f>Inputs!$N$8*Inputs!$C$6</f>
        <v>12177000000</v>
      </c>
      <c r="D52" s="646">
        <f>C52*Inputs!D$31</f>
        <v>772943590.69431317</v>
      </c>
      <c r="E52" s="646">
        <f>C52*Inputs!E$31</f>
        <v>838814196.12485385</v>
      </c>
      <c r="F52" s="646">
        <f>C52*Inputs!F$31</f>
        <v>1033644098.4978071</v>
      </c>
      <c r="G52" s="646">
        <f>C52*Inputs!G$31</f>
        <v>859636981.68619752</v>
      </c>
      <c r="H52" s="646">
        <f>C52*Inputs!H$31</f>
        <v>1064878276.8398226</v>
      </c>
      <c r="I52" s="646">
        <f>C52*Inputs!I$31</f>
        <v>935509686.81512308</v>
      </c>
      <c r="J52" s="646">
        <f>C52*Inputs!J$31</f>
        <v>993789184.61012471</v>
      </c>
      <c r="K52" s="646">
        <f>C52*Inputs!K$31</f>
        <v>972314088.19888628</v>
      </c>
      <c r="L52" s="646">
        <f>C52*Inputs!N$31</f>
        <v>1162488281.7608266</v>
      </c>
      <c r="M52" s="646">
        <f>C52*Inputs!O$31</f>
        <v>1141882933.1494479</v>
      </c>
      <c r="N52" s="646">
        <f>C52*Inputs!P$31</f>
        <v>1156758178.6088107</v>
      </c>
      <c r="O52" s="646">
        <f>C52*Inputs!Q$31</f>
        <v>1244340503.0137866</v>
      </c>
      <c r="P52" s="611">
        <f>SUM(D52:O52)/C52</f>
        <v>1</v>
      </c>
      <c r="Q52" s="627"/>
      <c r="R52" s="627"/>
      <c r="S52" s="627"/>
      <c r="T52" s="627"/>
      <c r="U52" s="627"/>
      <c r="V52" s="627"/>
      <c r="W52" s="627"/>
      <c r="X52" s="627"/>
      <c r="Y52" s="627"/>
      <c r="Z52" s="627"/>
    </row>
    <row r="53" spans="1:26">
      <c r="A53" s="627"/>
      <c r="B53" s="575" t="s">
        <v>65</v>
      </c>
      <c r="C53" s="647">
        <f>SUM(D52:O52)</f>
        <v>12177000000</v>
      </c>
      <c r="D53" s="648" t="str">
        <f>IF(ABS(C52-C53)&lt;1,"OK","ERROR")</f>
        <v>OK</v>
      </c>
      <c r="E53" s="575"/>
      <c r="F53" s="575"/>
      <c r="G53" s="575"/>
      <c r="H53" s="575"/>
      <c r="I53" s="575"/>
      <c r="J53" s="575"/>
      <c r="K53" s="575"/>
      <c r="L53" s="575"/>
      <c r="M53" s="575"/>
      <c r="N53" s="575"/>
      <c r="O53" s="575"/>
      <c r="P53" s="575"/>
      <c r="Q53" s="627"/>
      <c r="R53" s="627"/>
      <c r="S53" s="627"/>
      <c r="T53" s="627"/>
      <c r="U53" s="627"/>
      <c r="V53" s="627"/>
      <c r="W53" s="627"/>
      <c r="X53" s="627"/>
      <c r="Y53" s="627"/>
      <c r="Z53" s="627"/>
    </row>
    <row r="54" spans="1:26">
      <c r="A54" s="627"/>
      <c r="B54" s="575"/>
      <c r="C54" s="575"/>
      <c r="D54" s="575"/>
      <c r="E54" s="575"/>
      <c r="F54" s="575"/>
      <c r="G54" s="575"/>
      <c r="H54" s="575"/>
      <c r="I54" s="575"/>
      <c r="J54" s="575"/>
      <c r="K54" s="575"/>
      <c r="L54" s="575"/>
      <c r="M54" s="575"/>
      <c r="N54" s="575"/>
      <c r="O54" s="575"/>
      <c r="P54" s="575"/>
      <c r="Q54" s="627"/>
      <c r="R54" s="627"/>
      <c r="S54" s="627"/>
      <c r="T54" s="627"/>
      <c r="U54" s="627"/>
      <c r="V54" s="627"/>
      <c r="W54" s="627"/>
      <c r="X54" s="627"/>
      <c r="Y54" s="627"/>
      <c r="Z54" s="627"/>
    </row>
    <row r="55" spans="1:26">
      <c r="A55" s="627"/>
      <c r="B55" s="575"/>
      <c r="C55" s="575"/>
      <c r="D55" s="575"/>
      <c r="E55" s="575"/>
      <c r="F55" s="575"/>
      <c r="G55" s="575"/>
      <c r="H55" s="575"/>
      <c r="I55" s="575"/>
      <c r="J55" s="575"/>
      <c r="K55" s="575"/>
      <c r="L55" s="575"/>
      <c r="M55" s="575"/>
      <c r="N55" s="575"/>
      <c r="O55" s="575"/>
      <c r="P55" s="575"/>
      <c r="Q55" s="627"/>
      <c r="R55" s="627"/>
      <c r="S55" s="627"/>
      <c r="T55" s="627"/>
      <c r="U55" s="627"/>
      <c r="V55" s="627"/>
      <c r="W55" s="627"/>
      <c r="X55" s="627"/>
      <c r="Y55" s="627"/>
      <c r="Z55" s="627"/>
    </row>
    <row r="56" spans="1:26" ht="30" customHeight="1">
      <c r="A56" s="627"/>
      <c r="B56" s="392" t="s">
        <v>67</v>
      </c>
      <c r="C56" s="386" t="s">
        <v>50</v>
      </c>
      <c r="D56" s="386" t="s">
        <v>51</v>
      </c>
      <c r="E56" s="386" t="s">
        <v>52</v>
      </c>
      <c r="F56" s="386" t="s">
        <v>53</v>
      </c>
      <c r="G56" s="386" t="s">
        <v>54</v>
      </c>
      <c r="H56" s="386" t="s">
        <v>55</v>
      </c>
      <c r="I56" s="386" t="s">
        <v>56</v>
      </c>
      <c r="J56" s="386" t="s">
        <v>57</v>
      </c>
      <c r="K56" s="386" t="s">
        <v>58</v>
      </c>
      <c r="L56" s="386" t="s">
        <v>59</v>
      </c>
      <c r="M56" s="386" t="s">
        <v>60</v>
      </c>
      <c r="N56" s="386" t="s">
        <v>61</v>
      </c>
      <c r="O56" s="386" t="s">
        <v>62</v>
      </c>
      <c r="P56" s="386" t="s">
        <v>63</v>
      </c>
      <c r="Q56" s="627"/>
      <c r="R56" s="627"/>
      <c r="S56" s="627"/>
      <c r="T56" s="627"/>
      <c r="U56" s="627"/>
      <c r="V56" s="627"/>
      <c r="W56" s="627"/>
      <c r="X56" s="627"/>
      <c r="Y56" s="627"/>
      <c r="Z56" s="627"/>
    </row>
    <row r="57" spans="1:26">
      <c r="A57" s="627"/>
      <c r="B57" s="575" t="s">
        <v>64</v>
      </c>
      <c r="C57" s="645">
        <f>Inputs!$N$9*Inputs!$C$6</f>
        <v>16605000000</v>
      </c>
      <c r="D57" s="646">
        <f>C57*Inputs!D$31</f>
        <v>1054013987.3104271</v>
      </c>
      <c r="E57" s="646">
        <f>C57*Inputs!E$31</f>
        <v>1143837540.1702552</v>
      </c>
      <c r="F57" s="646">
        <f>C57*Inputs!F$31</f>
        <v>1409514679.769737</v>
      </c>
      <c r="G57" s="646">
        <f>C57*Inputs!G$31</f>
        <v>1172232247.7539058</v>
      </c>
      <c r="H57" s="646">
        <f>C57*Inputs!H$31</f>
        <v>1452106741.1452129</v>
      </c>
      <c r="I57" s="646">
        <f>C57*Inputs!I$31</f>
        <v>1275695027.4751678</v>
      </c>
      <c r="J57" s="646">
        <f>C57*Inputs!J$31</f>
        <v>1355167069.9228973</v>
      </c>
      <c r="K57" s="646">
        <f>C57*Inputs!K$31</f>
        <v>1325882847.5439358</v>
      </c>
      <c r="L57" s="646">
        <f>C57*Inputs!N$31</f>
        <v>1585211293.3102181</v>
      </c>
      <c r="M57" s="646">
        <f>C57*Inputs!O$31</f>
        <v>1557113090.6583381</v>
      </c>
      <c r="N57" s="646">
        <f>C57*Inputs!P$31</f>
        <v>1577397516.2847416</v>
      </c>
      <c r="O57" s="646">
        <f>C57*Inputs!Q$31</f>
        <v>1696827958.6551635</v>
      </c>
      <c r="P57" s="611">
        <f>SUM(D57:O57)/C57</f>
        <v>1.0000000000000002</v>
      </c>
      <c r="Q57" s="627"/>
      <c r="R57" s="627"/>
      <c r="S57" s="627"/>
      <c r="T57" s="627"/>
      <c r="U57" s="627"/>
      <c r="V57" s="627"/>
      <c r="W57" s="627"/>
      <c r="X57" s="627"/>
      <c r="Y57" s="627"/>
      <c r="Z57" s="627"/>
    </row>
    <row r="58" spans="1:26">
      <c r="A58" s="627"/>
      <c r="B58" s="575" t="s">
        <v>65</v>
      </c>
      <c r="C58" s="647">
        <f>SUM(D57:O57)</f>
        <v>16605000000.000002</v>
      </c>
      <c r="D58" s="648" t="str">
        <f>IF(ABS(C57-C58)&lt;1,"OK","ERROR")</f>
        <v>OK</v>
      </c>
      <c r="E58" s="575"/>
      <c r="F58" s="575"/>
      <c r="G58" s="575"/>
      <c r="H58" s="575"/>
      <c r="I58" s="575"/>
      <c r="J58" s="575"/>
      <c r="K58" s="575"/>
      <c r="L58" s="575"/>
      <c r="M58" s="575"/>
      <c r="N58" s="575"/>
      <c r="O58" s="575"/>
      <c r="P58" s="575"/>
      <c r="Q58" s="627"/>
      <c r="R58" s="627"/>
      <c r="S58" s="627"/>
      <c r="T58" s="627"/>
      <c r="U58" s="627"/>
      <c r="V58" s="627"/>
      <c r="W58" s="627"/>
      <c r="X58" s="627"/>
      <c r="Y58" s="627"/>
      <c r="Z58" s="627"/>
    </row>
    <row r="59" spans="1:26">
      <c r="A59" s="627"/>
      <c r="B59" s="575"/>
      <c r="C59" s="575"/>
      <c r="D59" s="575"/>
      <c r="E59" s="575"/>
      <c r="F59" s="575"/>
      <c r="G59" s="575"/>
      <c r="H59" s="575"/>
      <c r="I59" s="575"/>
      <c r="J59" s="575"/>
      <c r="K59" s="575"/>
      <c r="L59" s="575"/>
      <c r="M59" s="575"/>
      <c r="N59" s="575"/>
      <c r="O59" s="575"/>
      <c r="P59" s="575"/>
      <c r="Q59" s="627"/>
      <c r="R59" s="627"/>
      <c r="S59" s="627"/>
      <c r="T59" s="627"/>
      <c r="U59" s="627"/>
      <c r="V59" s="627"/>
      <c r="W59" s="627"/>
      <c r="X59" s="627"/>
      <c r="Y59" s="627"/>
      <c r="Z59" s="627"/>
    </row>
    <row r="60" spans="1:26">
      <c r="A60" s="627"/>
      <c r="B60" s="575"/>
      <c r="C60" s="575"/>
      <c r="D60" s="575"/>
      <c r="E60" s="575"/>
      <c r="F60" s="575"/>
      <c r="G60" s="575"/>
      <c r="H60" s="575"/>
      <c r="I60" s="575"/>
      <c r="J60" s="575"/>
      <c r="K60" s="575"/>
      <c r="L60" s="575"/>
      <c r="M60" s="575"/>
      <c r="N60" s="575"/>
      <c r="O60" s="575"/>
      <c r="P60" s="575"/>
      <c r="Q60" s="627"/>
      <c r="R60" s="627"/>
      <c r="S60" s="627"/>
      <c r="T60" s="627"/>
      <c r="U60" s="627"/>
      <c r="V60" s="627"/>
      <c r="W60" s="627"/>
      <c r="X60" s="627"/>
      <c r="Y60" s="627"/>
      <c r="Z60" s="627"/>
    </row>
    <row r="61" spans="1:26">
      <c r="A61" s="627"/>
      <c r="B61" s="1095" t="s">
        <v>68</v>
      </c>
      <c r="C61" s="1095"/>
      <c r="D61" s="1095"/>
      <c r="E61" s="1095"/>
      <c r="F61" s="389"/>
      <c r="G61" s="389"/>
      <c r="H61" s="389"/>
      <c r="I61" s="389"/>
      <c r="J61" s="389"/>
      <c r="K61" s="389"/>
      <c r="L61" s="389"/>
      <c r="M61" s="389"/>
      <c r="N61" s="389"/>
      <c r="O61" s="389"/>
      <c r="P61" s="389"/>
      <c r="Q61" s="627"/>
      <c r="R61" s="627"/>
      <c r="S61" s="627"/>
      <c r="T61" s="627"/>
      <c r="U61" s="627"/>
      <c r="V61" s="627"/>
      <c r="W61" s="627"/>
      <c r="X61" s="627"/>
      <c r="Y61" s="627"/>
      <c r="Z61" s="627"/>
    </row>
    <row r="62" spans="1:26">
      <c r="A62" s="627"/>
      <c r="B62" s="583" t="s">
        <v>69</v>
      </c>
      <c r="C62" s="583"/>
      <c r="D62" s="583"/>
      <c r="E62" s="583"/>
      <c r="F62" s="583"/>
      <c r="G62" s="583"/>
      <c r="H62" s="583"/>
      <c r="I62" s="583"/>
      <c r="J62" s="583"/>
      <c r="K62" s="583"/>
      <c r="L62" s="583"/>
      <c r="M62" s="583"/>
      <c r="N62" s="583"/>
      <c r="O62" s="583"/>
      <c r="P62" s="583"/>
      <c r="Q62" s="627"/>
      <c r="R62" s="627"/>
      <c r="S62" s="627"/>
      <c r="T62" s="627"/>
      <c r="U62" s="627"/>
      <c r="V62" s="627"/>
      <c r="W62" s="627"/>
      <c r="X62" s="627"/>
      <c r="Y62" s="627"/>
      <c r="Z62" s="627"/>
    </row>
    <row r="63" spans="1:26">
      <c r="A63" s="627"/>
      <c r="B63" s="575"/>
      <c r="C63" s="575"/>
      <c r="D63" s="575"/>
      <c r="E63" s="575"/>
      <c r="F63" s="575"/>
      <c r="G63" s="575"/>
      <c r="H63" s="575"/>
      <c r="I63" s="575"/>
      <c r="J63" s="575"/>
      <c r="K63" s="575"/>
      <c r="L63" s="575"/>
      <c r="M63" s="575"/>
      <c r="N63" s="575"/>
      <c r="O63" s="575"/>
      <c r="P63" s="575"/>
      <c r="Q63" s="627"/>
      <c r="R63" s="627"/>
      <c r="S63" s="627"/>
      <c r="T63" s="627"/>
      <c r="U63" s="627"/>
      <c r="V63" s="627"/>
      <c r="W63" s="627"/>
      <c r="X63" s="627"/>
      <c r="Y63" s="627"/>
      <c r="Z63" s="627"/>
    </row>
    <row r="64" spans="1:26">
      <c r="A64" s="627"/>
      <c r="B64" s="140" t="s">
        <v>70</v>
      </c>
      <c r="C64" s="141" t="s">
        <v>50</v>
      </c>
      <c r="D64" s="141" t="s">
        <v>51</v>
      </c>
      <c r="E64" s="141" t="s">
        <v>52</v>
      </c>
      <c r="F64" s="141" t="s">
        <v>53</v>
      </c>
      <c r="G64" s="141" t="s">
        <v>54</v>
      </c>
      <c r="H64" s="141" t="s">
        <v>55</v>
      </c>
      <c r="I64" s="141" t="s">
        <v>56</v>
      </c>
      <c r="J64" s="141" t="s">
        <v>57</v>
      </c>
      <c r="K64" s="141" t="s">
        <v>58</v>
      </c>
      <c r="L64" s="141" t="s">
        <v>59</v>
      </c>
      <c r="M64" s="141" t="s">
        <v>60</v>
      </c>
      <c r="N64" s="141" t="s">
        <v>61</v>
      </c>
      <c r="O64" s="141" t="s">
        <v>62</v>
      </c>
      <c r="P64" s="575"/>
      <c r="Q64" s="627"/>
      <c r="R64" s="627"/>
      <c r="S64" s="627"/>
      <c r="T64" s="627"/>
      <c r="U64" s="627"/>
      <c r="V64" s="627"/>
      <c r="W64" s="627"/>
      <c r="X64" s="627"/>
      <c r="Y64" s="627"/>
      <c r="Z64" s="627"/>
    </row>
    <row r="65" spans="1:26">
      <c r="A65" s="627"/>
      <c r="B65" s="575" t="s">
        <v>71</v>
      </c>
      <c r="C65" s="645">
        <f>Inputs!$N$7</f>
        <v>2400000</v>
      </c>
      <c r="D65" s="646">
        <f>D47/Inputs!$C$6</f>
        <v>152341.67838271757</v>
      </c>
      <c r="E65" s="646">
        <f>E47/Inputs!$C$6</f>
        <v>165324.30571566473</v>
      </c>
      <c r="F65" s="646">
        <f>F47/Inputs!$C$6</f>
        <v>203723.89228830888</v>
      </c>
      <c r="G65" s="646">
        <f>G47/Inputs!$C$6</f>
        <v>169428.32849198277</v>
      </c>
      <c r="H65" s="646">
        <f>H47/Inputs!$C$6</f>
        <v>209879.92645278593</v>
      </c>
      <c r="I65" s="646">
        <f>I47/Inputs!$C$6</f>
        <v>184382.29846072884</v>
      </c>
      <c r="J65" s="646">
        <f>J47/Inputs!$C$6</f>
        <v>195868.77252724805</v>
      </c>
      <c r="K65" s="646">
        <f>K47/Inputs!$C$6</f>
        <v>191636.18392685612</v>
      </c>
      <c r="L65" s="646">
        <f>L47/Inputs!$C$6</f>
        <v>229118.16344140461</v>
      </c>
      <c r="M65" s="646">
        <f>M47/Inputs!$C$6</f>
        <v>225056.99593977787</v>
      </c>
      <c r="N65" s="646">
        <f>N47/Inputs!$C$6</f>
        <v>227988.80090836374</v>
      </c>
      <c r="O65" s="646">
        <f>O47/Inputs!$C$6</f>
        <v>245250.65346416095</v>
      </c>
      <c r="P65" s="575"/>
      <c r="Q65" s="627"/>
      <c r="R65" s="627"/>
      <c r="S65" s="627"/>
      <c r="T65" s="627"/>
      <c r="U65" s="627"/>
      <c r="V65" s="627"/>
      <c r="W65" s="627"/>
      <c r="X65" s="627"/>
      <c r="Y65" s="627"/>
      <c r="Z65" s="627"/>
    </row>
    <row r="66" spans="1:26">
      <c r="A66" s="627"/>
      <c r="B66" s="575"/>
      <c r="C66" s="575"/>
      <c r="D66" s="575"/>
      <c r="E66" s="575"/>
      <c r="F66" s="575"/>
      <c r="G66" s="575"/>
      <c r="H66" s="575"/>
      <c r="I66" s="575"/>
      <c r="J66" s="575"/>
      <c r="K66" s="575"/>
      <c r="L66" s="575"/>
      <c r="M66" s="575"/>
      <c r="N66" s="575"/>
      <c r="O66" s="575"/>
      <c r="P66" s="575"/>
      <c r="Q66" s="627"/>
      <c r="R66" s="627"/>
      <c r="S66" s="627"/>
      <c r="T66" s="627"/>
      <c r="U66" s="627"/>
      <c r="V66" s="627"/>
      <c r="W66" s="627"/>
      <c r="X66" s="627"/>
      <c r="Y66" s="627"/>
      <c r="Z66" s="627"/>
    </row>
    <row r="67" spans="1:26">
      <c r="A67" s="627"/>
      <c r="B67" s="575"/>
      <c r="C67" s="575"/>
      <c r="D67" s="575"/>
      <c r="E67" s="575"/>
      <c r="F67" s="575"/>
      <c r="G67" s="575"/>
      <c r="H67" s="575"/>
      <c r="I67" s="575"/>
      <c r="J67" s="575"/>
      <c r="K67" s="575"/>
      <c r="L67" s="575"/>
      <c r="M67" s="575"/>
      <c r="N67" s="575"/>
      <c r="O67" s="575"/>
      <c r="P67" s="575"/>
      <c r="Q67" s="627"/>
      <c r="R67" s="627"/>
      <c r="S67" s="627"/>
      <c r="T67" s="627"/>
      <c r="U67" s="627"/>
      <c r="V67" s="627"/>
      <c r="W67" s="627"/>
      <c r="X67" s="627"/>
      <c r="Y67" s="627"/>
      <c r="Z67" s="627"/>
    </row>
    <row r="68" spans="1:26">
      <c r="A68" s="627"/>
      <c r="B68" s="575"/>
      <c r="C68" s="575"/>
      <c r="D68" s="575"/>
      <c r="E68" s="575"/>
      <c r="F68" s="575"/>
      <c r="G68" s="575"/>
      <c r="H68" s="575"/>
      <c r="I68" s="575"/>
      <c r="J68" s="575"/>
      <c r="K68" s="575"/>
      <c r="L68" s="575"/>
      <c r="M68" s="575"/>
      <c r="N68" s="575"/>
      <c r="O68" s="575"/>
      <c r="P68" s="575"/>
      <c r="Q68" s="627"/>
      <c r="R68" s="627"/>
      <c r="S68" s="627"/>
      <c r="T68" s="627"/>
      <c r="U68" s="627"/>
      <c r="V68" s="627"/>
      <c r="W68" s="627"/>
      <c r="X68" s="627"/>
      <c r="Y68" s="627"/>
      <c r="Z68" s="627"/>
    </row>
    <row r="69" spans="1:26" ht="30" customHeight="1">
      <c r="A69" s="627"/>
      <c r="B69" s="392" t="s">
        <v>72</v>
      </c>
      <c r="C69" s="386" t="s">
        <v>50</v>
      </c>
      <c r="D69" s="386" t="s">
        <v>51</v>
      </c>
      <c r="E69" s="386" t="s">
        <v>52</v>
      </c>
      <c r="F69" s="386" t="s">
        <v>53</v>
      </c>
      <c r="G69" s="386" t="s">
        <v>54</v>
      </c>
      <c r="H69" s="386" t="s">
        <v>55</v>
      </c>
      <c r="I69" s="386" t="s">
        <v>56</v>
      </c>
      <c r="J69" s="386" t="s">
        <v>57</v>
      </c>
      <c r="K69" s="386" t="s">
        <v>58</v>
      </c>
      <c r="L69" s="386" t="s">
        <v>59</v>
      </c>
      <c r="M69" s="386" t="s">
        <v>60</v>
      </c>
      <c r="N69" s="386" t="s">
        <v>61</v>
      </c>
      <c r="O69" s="386" t="s">
        <v>62</v>
      </c>
      <c r="P69" s="386"/>
      <c r="Q69" s="627"/>
      <c r="R69" s="627"/>
      <c r="S69" s="627"/>
      <c r="T69" s="627"/>
      <c r="U69" s="627"/>
      <c r="V69" s="627"/>
      <c r="W69" s="627"/>
      <c r="X69" s="627"/>
      <c r="Y69" s="627"/>
      <c r="Z69" s="627"/>
    </row>
    <row r="70" spans="1:26">
      <c r="A70" s="627"/>
      <c r="B70" s="575" t="s">
        <v>71</v>
      </c>
      <c r="C70" s="645">
        <f>Inputs!$N$8</f>
        <v>3300000</v>
      </c>
      <c r="D70" s="646">
        <f>D52/Inputs!$C$6</f>
        <v>209469.80777623664</v>
      </c>
      <c r="E70" s="646">
        <f>E52/Inputs!$C$6</f>
        <v>227320.92035903898</v>
      </c>
      <c r="F70" s="646">
        <f>F52/Inputs!$C$6</f>
        <v>280120.35189642472</v>
      </c>
      <c r="G70" s="646">
        <f>G52/Inputs!$C$6</f>
        <v>232963.95167647628</v>
      </c>
      <c r="H70" s="646">
        <f>H52/Inputs!$C$6</f>
        <v>288584.89887258067</v>
      </c>
      <c r="I70" s="646">
        <f>I52/Inputs!$C$6</f>
        <v>253525.6603835022</v>
      </c>
      <c r="J70" s="646">
        <f>J52/Inputs!$C$6</f>
        <v>269319.56222496607</v>
      </c>
      <c r="K70" s="646">
        <f>K52/Inputs!$C$6</f>
        <v>263499.7528994272</v>
      </c>
      <c r="L70" s="646">
        <f>L52/Inputs!$C$6</f>
        <v>315037.47473193135</v>
      </c>
      <c r="M70" s="646">
        <f>M52/Inputs!$C$6</f>
        <v>309453.36941719457</v>
      </c>
      <c r="N70" s="646">
        <f>N52/Inputs!$C$6</f>
        <v>313484.60124900017</v>
      </c>
      <c r="O70" s="646">
        <f>O52/Inputs!$C$6</f>
        <v>337219.6485132213</v>
      </c>
      <c r="P70" s="575"/>
      <c r="Q70" s="627"/>
      <c r="R70" s="627"/>
      <c r="S70" s="627"/>
      <c r="T70" s="627"/>
      <c r="U70" s="627"/>
      <c r="V70" s="627"/>
      <c r="W70" s="627"/>
      <c r="X70" s="627"/>
      <c r="Y70" s="627"/>
      <c r="Z70" s="627"/>
    </row>
    <row r="71" spans="1:26">
      <c r="A71" s="627"/>
      <c r="B71" s="575"/>
      <c r="C71" s="575"/>
      <c r="D71" s="575"/>
      <c r="E71" s="575"/>
      <c r="F71" s="575"/>
      <c r="G71" s="575"/>
      <c r="H71" s="575"/>
      <c r="I71" s="575"/>
      <c r="J71" s="575"/>
      <c r="K71" s="575"/>
      <c r="L71" s="575"/>
      <c r="M71" s="575"/>
      <c r="N71" s="575"/>
      <c r="O71" s="575"/>
      <c r="P71" s="575"/>
      <c r="Q71" s="627"/>
      <c r="R71" s="627"/>
      <c r="S71" s="627"/>
      <c r="T71" s="627"/>
      <c r="U71" s="627"/>
      <c r="V71" s="627"/>
      <c r="W71" s="627"/>
      <c r="X71" s="627"/>
      <c r="Y71" s="627"/>
      <c r="Z71" s="627"/>
    </row>
    <row r="72" spans="1:26">
      <c r="A72" s="627"/>
      <c r="B72" s="575"/>
      <c r="C72" s="575"/>
      <c r="D72" s="575"/>
      <c r="E72" s="575"/>
      <c r="F72" s="575"/>
      <c r="G72" s="575"/>
      <c r="H72" s="575"/>
      <c r="I72" s="575"/>
      <c r="J72" s="575"/>
      <c r="K72" s="575"/>
      <c r="L72" s="575"/>
      <c r="M72" s="575"/>
      <c r="N72" s="575"/>
      <c r="O72" s="575"/>
      <c r="P72" s="575"/>
      <c r="Q72" s="627"/>
      <c r="R72" s="627"/>
      <c r="S72" s="627"/>
      <c r="T72" s="627"/>
      <c r="U72" s="627"/>
      <c r="V72" s="627"/>
      <c r="W72" s="627"/>
      <c r="X72" s="627"/>
      <c r="Y72" s="627"/>
      <c r="Z72" s="627"/>
    </row>
    <row r="73" spans="1:26">
      <c r="A73" s="627"/>
      <c r="B73" s="575"/>
      <c r="C73" s="575"/>
      <c r="D73" s="575"/>
      <c r="E73" s="575"/>
      <c r="F73" s="575"/>
      <c r="G73" s="575"/>
      <c r="H73" s="575"/>
      <c r="I73" s="575"/>
      <c r="J73" s="575"/>
      <c r="K73" s="575"/>
      <c r="L73" s="575"/>
      <c r="M73" s="575"/>
      <c r="N73" s="575"/>
      <c r="O73" s="575"/>
      <c r="P73" s="575"/>
      <c r="Q73" s="627"/>
      <c r="R73" s="627"/>
      <c r="S73" s="627"/>
      <c r="T73" s="627"/>
      <c r="U73" s="627"/>
      <c r="V73" s="627"/>
      <c r="W73" s="627"/>
      <c r="X73" s="627"/>
      <c r="Y73" s="627"/>
      <c r="Z73" s="627"/>
    </row>
    <row r="74" spans="1:26" ht="30" customHeight="1">
      <c r="A74" s="627"/>
      <c r="B74" s="392" t="s">
        <v>73</v>
      </c>
      <c r="C74" s="386" t="s">
        <v>50</v>
      </c>
      <c r="D74" s="386" t="s">
        <v>51</v>
      </c>
      <c r="E74" s="386" t="s">
        <v>52</v>
      </c>
      <c r="F74" s="386" t="s">
        <v>53</v>
      </c>
      <c r="G74" s="386" t="s">
        <v>54</v>
      </c>
      <c r="H74" s="386" t="s">
        <v>55</v>
      </c>
      <c r="I74" s="386" t="s">
        <v>56</v>
      </c>
      <c r="J74" s="386" t="s">
        <v>57</v>
      </c>
      <c r="K74" s="386" t="s">
        <v>58</v>
      </c>
      <c r="L74" s="386" t="s">
        <v>59</v>
      </c>
      <c r="M74" s="386" t="s">
        <v>60</v>
      </c>
      <c r="N74" s="386" t="s">
        <v>61</v>
      </c>
      <c r="O74" s="386" t="s">
        <v>62</v>
      </c>
      <c r="P74" s="386"/>
      <c r="Q74" s="627"/>
      <c r="R74" s="627"/>
      <c r="S74" s="627"/>
      <c r="T74" s="627"/>
      <c r="U74" s="627"/>
      <c r="V74" s="627"/>
      <c r="W74" s="627"/>
      <c r="X74" s="627"/>
      <c r="Y74" s="627"/>
      <c r="Z74" s="627"/>
    </row>
    <row r="75" spans="1:26">
      <c r="A75" s="627"/>
      <c r="B75" s="575" t="s">
        <v>71</v>
      </c>
      <c r="C75" s="645">
        <f>Inputs!$N$9</f>
        <v>4500000</v>
      </c>
      <c r="D75" s="646">
        <f>D57/Inputs!$C$6</f>
        <v>285640.64696759538</v>
      </c>
      <c r="E75" s="646">
        <f>E57/Inputs!$C$6</f>
        <v>309983.0732168713</v>
      </c>
      <c r="F75" s="646">
        <f>F57/Inputs!$C$6</f>
        <v>381982.29804057913</v>
      </c>
      <c r="G75" s="646">
        <f>G57/Inputs!$C$6</f>
        <v>317678.11592246767</v>
      </c>
      <c r="H75" s="646">
        <f>H57/Inputs!$C$6</f>
        <v>393524.86209897371</v>
      </c>
      <c r="I75" s="646">
        <f>I57/Inputs!$C$6</f>
        <v>345716.80961386662</v>
      </c>
      <c r="J75" s="646">
        <f>J57/Inputs!$C$6</f>
        <v>367253.94848859007</v>
      </c>
      <c r="K75" s="646">
        <f>K57/Inputs!$C$6</f>
        <v>359317.84486285521</v>
      </c>
      <c r="L75" s="646">
        <f>L57/Inputs!$C$6</f>
        <v>429596.55645263364</v>
      </c>
      <c r="M75" s="646">
        <f>M57/Inputs!$C$6</f>
        <v>421981.86738708348</v>
      </c>
      <c r="N75" s="646">
        <f>N57/Inputs!$C$6</f>
        <v>427479.001703182</v>
      </c>
      <c r="O75" s="646">
        <f>O57/Inputs!$C$6</f>
        <v>459844.97524530179</v>
      </c>
      <c r="P75" s="575"/>
      <c r="Q75" s="627"/>
      <c r="R75" s="627"/>
      <c r="S75" s="627"/>
      <c r="T75" s="627"/>
      <c r="U75" s="627"/>
      <c r="V75" s="627"/>
      <c r="W75" s="627"/>
      <c r="X75" s="627"/>
      <c r="Y75" s="627"/>
      <c r="Z75" s="627"/>
    </row>
    <row r="76" spans="1:26">
      <c r="A76" s="627"/>
      <c r="B76" s="627"/>
      <c r="C76" s="627"/>
      <c r="D76" s="627"/>
      <c r="E76" s="627"/>
      <c r="F76" s="627"/>
      <c r="G76" s="627"/>
      <c r="H76" s="627"/>
      <c r="I76" s="627"/>
      <c r="J76" s="627"/>
      <c r="K76" s="627"/>
      <c r="L76" s="627"/>
      <c r="M76" s="627"/>
      <c r="N76" s="627"/>
      <c r="O76" s="627"/>
      <c r="P76" s="627"/>
      <c r="Q76" s="627"/>
      <c r="R76" s="627"/>
      <c r="S76" s="627"/>
      <c r="T76" s="627"/>
      <c r="U76" s="627"/>
      <c r="V76" s="627"/>
      <c r="W76" s="627"/>
      <c r="X76" s="627"/>
      <c r="Y76" s="627"/>
      <c r="Z76" s="627"/>
    </row>
    <row r="77" spans="1:26">
      <c r="A77" s="627"/>
      <c r="B77" s="627"/>
      <c r="C77" s="627"/>
      <c r="D77" s="627"/>
      <c r="E77" s="627"/>
      <c r="F77" s="627"/>
      <c r="G77" s="627"/>
      <c r="H77" s="627"/>
      <c r="I77" s="627"/>
      <c r="J77" s="627"/>
      <c r="K77" s="627"/>
      <c r="L77" s="627"/>
      <c r="M77" s="627"/>
      <c r="N77" s="627"/>
      <c r="O77" s="627"/>
      <c r="P77" s="627"/>
      <c r="Q77" s="627"/>
      <c r="R77" s="627"/>
      <c r="S77" s="627"/>
      <c r="T77" s="627"/>
      <c r="U77" s="627"/>
      <c r="V77" s="627"/>
      <c r="W77" s="627"/>
      <c r="X77" s="627"/>
      <c r="Y77" s="627"/>
      <c r="Z77" s="627"/>
    </row>
    <row r="78" spans="1:26">
      <c r="A78" s="627"/>
      <c r="B78" s="627"/>
      <c r="C78" s="627"/>
      <c r="D78" s="627"/>
      <c r="E78" s="627"/>
      <c r="F78" s="627"/>
      <c r="G78" s="627"/>
      <c r="H78" s="627"/>
      <c r="I78" s="627"/>
      <c r="J78" s="627"/>
      <c r="K78" s="627"/>
      <c r="L78" s="627"/>
      <c r="M78" s="627"/>
      <c r="N78" s="627"/>
      <c r="O78" s="627"/>
      <c r="P78" s="627"/>
      <c r="Q78" s="627"/>
      <c r="R78" s="627"/>
      <c r="S78" s="627"/>
      <c r="T78" s="627"/>
      <c r="U78" s="627"/>
      <c r="V78" s="627"/>
      <c r="W78" s="627"/>
      <c r="X78" s="627"/>
      <c r="Y78" s="627"/>
      <c r="Z78" s="627"/>
    </row>
    <row r="79" spans="1:26">
      <c r="A79" s="627"/>
      <c r="B79" s="627"/>
      <c r="C79" s="627"/>
      <c r="D79" s="627"/>
      <c r="E79" s="627"/>
      <c r="F79" s="627"/>
      <c r="G79" s="627"/>
      <c r="H79" s="627"/>
      <c r="I79" s="627"/>
      <c r="J79" s="627"/>
      <c r="K79" s="627"/>
      <c r="L79" s="627"/>
      <c r="M79" s="627"/>
      <c r="N79" s="627"/>
      <c r="O79" s="627"/>
      <c r="P79" s="627"/>
      <c r="Q79" s="627"/>
      <c r="R79" s="627"/>
      <c r="S79" s="627"/>
      <c r="T79" s="627"/>
      <c r="U79" s="627"/>
      <c r="V79" s="627"/>
      <c r="W79" s="627"/>
      <c r="X79" s="627"/>
      <c r="Y79" s="627"/>
      <c r="Z79" s="627"/>
    </row>
    <row r="80" spans="1:26">
      <c r="A80" s="627"/>
      <c r="B80" s="627"/>
      <c r="C80" s="627"/>
      <c r="D80" s="627"/>
      <c r="E80" s="627"/>
      <c r="F80" s="627"/>
      <c r="G80" s="627"/>
      <c r="H80" s="627"/>
      <c r="I80" s="627"/>
      <c r="J80" s="627"/>
      <c r="K80" s="627"/>
      <c r="L80" s="627"/>
      <c r="M80" s="627"/>
      <c r="N80" s="627"/>
      <c r="O80" s="627"/>
      <c r="P80" s="627"/>
      <c r="Q80" s="627"/>
      <c r="R80" s="627"/>
      <c r="S80" s="627"/>
      <c r="T80" s="627"/>
      <c r="U80" s="627"/>
      <c r="V80" s="627"/>
      <c r="W80" s="627"/>
      <c r="X80" s="627"/>
      <c r="Y80" s="627"/>
      <c r="Z80" s="627"/>
    </row>
    <row r="81" spans="1:26">
      <c r="A81" s="627"/>
      <c r="B81" s="627"/>
      <c r="C81" s="627"/>
      <c r="D81" s="627"/>
      <c r="E81" s="627"/>
      <c r="F81" s="627"/>
      <c r="G81" s="627"/>
      <c r="H81" s="627"/>
      <c r="I81" s="627"/>
      <c r="J81" s="627"/>
      <c r="K81" s="627"/>
      <c r="L81" s="627"/>
      <c r="M81" s="627"/>
      <c r="N81" s="627"/>
      <c r="O81" s="627"/>
      <c r="P81" s="627"/>
      <c r="Q81" s="627"/>
      <c r="R81" s="627"/>
      <c r="S81" s="627"/>
      <c r="T81" s="627"/>
      <c r="U81" s="627"/>
      <c r="V81" s="627"/>
      <c r="W81" s="627"/>
      <c r="X81" s="627"/>
      <c r="Y81" s="627"/>
      <c r="Z81" s="627"/>
    </row>
    <row r="82" spans="1:26">
      <c r="A82" s="627"/>
      <c r="B82" s="627"/>
      <c r="C82" s="627"/>
      <c r="D82" s="627"/>
      <c r="E82" s="627"/>
      <c r="F82" s="627"/>
      <c r="G82" s="627"/>
      <c r="H82" s="627"/>
      <c r="I82" s="627"/>
      <c r="J82" s="627"/>
      <c r="K82" s="627"/>
      <c r="L82" s="627"/>
      <c r="M82" s="627"/>
      <c r="N82" s="627"/>
      <c r="O82" s="627"/>
      <c r="P82" s="627"/>
      <c r="Q82" s="627"/>
      <c r="R82" s="627"/>
      <c r="S82" s="627"/>
      <c r="T82" s="627"/>
      <c r="U82" s="627"/>
      <c r="V82" s="627"/>
      <c r="W82" s="627"/>
      <c r="X82" s="627"/>
      <c r="Y82" s="627"/>
      <c r="Z82" s="627"/>
    </row>
    <row r="83" spans="1:26">
      <c r="A83" s="627"/>
      <c r="B83" s="627"/>
      <c r="C83" s="627"/>
      <c r="D83" s="627"/>
      <c r="E83" s="627"/>
      <c r="F83" s="627"/>
      <c r="G83" s="627"/>
      <c r="H83" s="627"/>
      <c r="I83" s="627"/>
      <c r="J83" s="627"/>
      <c r="K83" s="627"/>
      <c r="L83" s="627"/>
      <c r="M83" s="627"/>
      <c r="N83" s="627"/>
      <c r="O83" s="627"/>
      <c r="P83" s="627"/>
      <c r="Q83" s="627"/>
      <c r="R83" s="627"/>
      <c r="S83" s="627"/>
      <c r="T83" s="627"/>
      <c r="U83" s="627"/>
      <c r="V83" s="627"/>
      <c r="W83" s="627"/>
      <c r="X83" s="627"/>
      <c r="Y83" s="627"/>
      <c r="Z83" s="627"/>
    </row>
    <row r="84" spans="1:26">
      <c r="A84" s="627"/>
      <c r="B84" s="627"/>
      <c r="C84" s="627"/>
      <c r="D84" s="627"/>
      <c r="E84" s="627"/>
      <c r="F84" s="627"/>
      <c r="G84" s="627"/>
      <c r="H84" s="627"/>
      <c r="I84" s="627"/>
      <c r="J84" s="627"/>
      <c r="K84" s="627"/>
      <c r="L84" s="627"/>
      <c r="M84" s="627"/>
      <c r="N84" s="627"/>
      <c r="O84" s="627"/>
      <c r="P84" s="627"/>
      <c r="Q84" s="627"/>
      <c r="R84" s="627"/>
      <c r="S84" s="627"/>
      <c r="T84" s="627"/>
      <c r="U84" s="627"/>
      <c r="V84" s="627"/>
      <c r="W84" s="627"/>
      <c r="X84" s="627"/>
      <c r="Y84" s="627"/>
      <c r="Z84" s="627"/>
    </row>
    <row r="85" spans="1:26">
      <c r="A85" s="627"/>
      <c r="B85" s="627"/>
      <c r="C85" s="627"/>
      <c r="D85" s="627"/>
      <c r="E85" s="627"/>
      <c r="F85" s="627"/>
      <c r="G85" s="627"/>
      <c r="H85" s="627"/>
      <c r="I85" s="627"/>
      <c r="J85" s="627"/>
      <c r="K85" s="627"/>
      <c r="L85" s="627"/>
      <c r="M85" s="627"/>
      <c r="N85" s="627"/>
      <c r="O85" s="627"/>
      <c r="P85" s="627"/>
      <c r="Q85" s="627"/>
      <c r="R85" s="627"/>
      <c r="S85" s="627"/>
      <c r="T85" s="627"/>
      <c r="U85" s="627"/>
      <c r="V85" s="627"/>
      <c r="W85" s="627"/>
      <c r="X85" s="627"/>
      <c r="Y85" s="627"/>
      <c r="Z85" s="627"/>
    </row>
  </sheetData>
  <mergeCells count="3">
    <mergeCell ref="B3:P3"/>
    <mergeCell ref="B43:E43"/>
    <mergeCell ref="B61:E61"/>
  </mergeCells>
  <pageMargins left="0.25" right="0.25" top="0.5" bottom="0.5" header="0.511811023622047" footer="0.511811023622047"/>
  <pageSetup paperSize="9" fitToHeight="0" orientation="landscape" horizontalDpi="300" verticalDpi="30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EA9DB"/>
  </sheetPr>
  <dimension ref="B2:R171"/>
  <sheetViews>
    <sheetView showGridLines="0" topLeftCell="A148" zoomScale="68" workbookViewId="0">
      <pane xSplit="2" topLeftCell="C1" activePane="topRight" state="frozen"/>
      <selection activeCell="A146" sqref="A146"/>
      <selection pane="topRight" activeCell="E175" sqref="E175"/>
    </sheetView>
  </sheetViews>
  <sheetFormatPr defaultColWidth="8.6640625" defaultRowHeight="14.4"/>
  <cols>
    <col min="2" max="2" width="63" customWidth="1"/>
    <col min="3" max="13" width="17" customWidth="1"/>
    <col min="14" max="14" width="33.5546875" bestFit="1" customWidth="1"/>
    <col min="15" max="18" width="17" customWidth="1"/>
  </cols>
  <sheetData>
    <row r="2" spans="2:17" ht="15" thickBot="1">
      <c r="B2" s="1098" t="s">
        <v>74</v>
      </c>
      <c r="C2" s="1099"/>
      <c r="D2" s="1099"/>
      <c r="E2" s="1099"/>
      <c r="F2" s="1099"/>
      <c r="G2" s="1099"/>
      <c r="H2" s="131"/>
      <c r="I2" s="131"/>
      <c r="J2" s="131"/>
      <c r="K2" s="131"/>
      <c r="L2" s="131"/>
      <c r="M2" s="131"/>
      <c r="N2" s="131"/>
      <c r="O2" s="131"/>
      <c r="P2" s="131"/>
      <c r="Q2" s="131" t="s">
        <v>75</v>
      </c>
    </row>
    <row r="3" spans="2:17">
      <c r="B3" s="187"/>
      <c r="C3" s="187"/>
      <c r="D3" s="650"/>
      <c r="E3" s="187"/>
      <c r="F3" s="187"/>
      <c r="G3" s="187"/>
      <c r="H3" s="187"/>
      <c r="I3" s="187"/>
      <c r="J3" s="187"/>
      <c r="K3" s="187"/>
      <c r="L3" s="187"/>
      <c r="M3" s="187"/>
      <c r="N3" s="187"/>
      <c r="O3" s="187"/>
      <c r="P3" s="187"/>
      <c r="Q3" s="187"/>
    </row>
    <row r="4" spans="2:17">
      <c r="B4" s="143"/>
      <c r="C4" s="32"/>
      <c r="D4" s="144"/>
      <c r="E4" s="136" t="s">
        <v>76</v>
      </c>
      <c r="F4" s="136"/>
      <c r="G4" s="136"/>
      <c r="H4" s="136"/>
      <c r="I4" s="575"/>
      <c r="J4" s="575"/>
      <c r="K4" s="145" t="s">
        <v>77</v>
      </c>
      <c r="L4" s="145"/>
      <c r="M4" s="145"/>
      <c r="N4" s="146"/>
      <c r="O4" s="146"/>
      <c r="P4" s="146"/>
      <c r="Q4" s="146"/>
    </row>
    <row r="5" spans="2:17">
      <c r="B5" s="147"/>
      <c r="C5" s="148"/>
      <c r="D5" s="650"/>
      <c r="E5" s="651" t="s">
        <v>78</v>
      </c>
      <c r="F5" s="575"/>
      <c r="G5" s="651"/>
      <c r="H5" s="652">
        <f>C15</f>
        <v>3036000</v>
      </c>
      <c r="I5" s="575"/>
      <c r="J5" s="575"/>
      <c r="K5" s="1096" t="s">
        <v>79</v>
      </c>
      <c r="L5" s="567"/>
      <c r="M5" s="567"/>
      <c r="N5" s="1096" t="s">
        <v>80</v>
      </c>
      <c r="O5" s="1096" t="s">
        <v>81</v>
      </c>
      <c r="P5" s="1096" t="s">
        <v>82</v>
      </c>
      <c r="Q5" s="1096" t="s">
        <v>83</v>
      </c>
    </row>
    <row r="6" spans="2:17">
      <c r="B6" s="628" t="s">
        <v>84</v>
      </c>
      <c r="C6" s="653">
        <v>3690</v>
      </c>
      <c r="D6" s="654" t="s">
        <v>85</v>
      </c>
      <c r="E6" s="651" t="s">
        <v>86</v>
      </c>
      <c r="F6" s="575"/>
      <c r="G6" s="651"/>
      <c r="H6" s="652">
        <f>(C7*(1+C11))/C6</f>
        <v>190988.0617886179</v>
      </c>
      <c r="I6" s="187"/>
      <c r="J6" s="187"/>
      <c r="K6" s="1097"/>
      <c r="L6" s="575"/>
      <c r="M6" s="575"/>
      <c r="N6" s="1097"/>
      <c r="O6" s="1097"/>
      <c r="P6" s="1097"/>
      <c r="Q6" s="1097"/>
    </row>
    <row r="7" spans="2:17">
      <c r="B7" s="632" t="s">
        <v>87</v>
      </c>
      <c r="C7" s="655">
        <v>670548000</v>
      </c>
      <c r="D7" s="654" t="s">
        <v>88</v>
      </c>
      <c r="E7" s="656" t="s">
        <v>89</v>
      </c>
      <c r="F7" s="575"/>
      <c r="G7" s="656"/>
      <c r="H7" s="657">
        <v>612247701</v>
      </c>
      <c r="I7" s="187"/>
      <c r="J7" s="187"/>
      <c r="K7" s="658" t="s">
        <v>90</v>
      </c>
      <c r="L7" s="658"/>
      <c r="M7" s="658"/>
      <c r="N7" s="659">
        <v>2400000</v>
      </c>
      <c r="O7" s="660">
        <f>N7*$C$14</f>
        <v>192000</v>
      </c>
      <c r="P7" s="660">
        <f>N7-O7</f>
        <v>2208000</v>
      </c>
      <c r="Q7" s="660">
        <f>P7/12</f>
        <v>184000</v>
      </c>
    </row>
    <row r="8" spans="2:17">
      <c r="B8" s="632" t="s">
        <v>91</v>
      </c>
      <c r="C8" s="661">
        <v>90</v>
      </c>
      <c r="D8" s="654" t="s">
        <v>92</v>
      </c>
      <c r="E8" s="187"/>
      <c r="F8" s="575"/>
      <c r="G8" s="187"/>
      <c r="H8" s="187"/>
      <c r="I8" s="187"/>
      <c r="J8" s="187"/>
      <c r="K8" s="658" t="s">
        <v>93</v>
      </c>
      <c r="L8" s="658"/>
      <c r="M8" s="658"/>
      <c r="N8" s="659">
        <v>3300000</v>
      </c>
      <c r="O8" s="660">
        <f>N8*$C$14</f>
        <v>264000</v>
      </c>
      <c r="P8" s="660">
        <f>N8-O8</f>
        <v>3036000</v>
      </c>
      <c r="Q8" s="660">
        <f>P8/12</f>
        <v>253000</v>
      </c>
    </row>
    <row r="9" spans="2:17">
      <c r="B9" s="632" t="s">
        <v>94</v>
      </c>
      <c r="C9" s="662">
        <v>5.0000000000000001E-3</v>
      </c>
      <c r="D9" s="654" t="s">
        <v>95</v>
      </c>
      <c r="E9" s="187"/>
      <c r="F9" s="575"/>
      <c r="G9" s="187"/>
      <c r="H9" s="187"/>
      <c r="I9" s="187"/>
      <c r="J9" s="187"/>
      <c r="K9" s="658" t="s">
        <v>96</v>
      </c>
      <c r="L9" s="658"/>
      <c r="M9" s="658"/>
      <c r="N9" s="659">
        <v>4500000</v>
      </c>
      <c r="O9" s="660">
        <f>N9*$C$14</f>
        <v>360000</v>
      </c>
      <c r="P9" s="660">
        <f>N9-O9</f>
        <v>4140000</v>
      </c>
      <c r="Q9" s="660">
        <f>P9/12</f>
        <v>345000</v>
      </c>
    </row>
    <row r="10" spans="2:17">
      <c r="B10" s="632" t="s">
        <v>94</v>
      </c>
      <c r="C10" s="662">
        <v>5.0000000000000001E-3</v>
      </c>
      <c r="D10" s="654" t="s">
        <v>95</v>
      </c>
      <c r="E10" s="187"/>
      <c r="F10" s="575"/>
      <c r="G10" s="187"/>
      <c r="H10" s="187"/>
      <c r="I10" s="187"/>
      <c r="J10" s="187"/>
      <c r="K10" s="658"/>
      <c r="L10" s="658"/>
      <c r="M10" s="658"/>
      <c r="N10" s="658"/>
      <c r="O10" s="658"/>
      <c r="P10" s="658"/>
      <c r="Q10" s="658"/>
    </row>
    <row r="11" spans="2:17">
      <c r="B11" s="632" t="s">
        <v>97</v>
      </c>
      <c r="C11" s="662">
        <v>5.0999999999999997E-2</v>
      </c>
      <c r="D11" s="654" t="s">
        <v>98</v>
      </c>
      <c r="E11" s="187"/>
      <c r="F11" s="575"/>
      <c r="G11" s="187"/>
      <c r="H11" s="187"/>
      <c r="I11" s="187"/>
      <c r="J11" s="187"/>
      <c r="K11" s="149" t="s">
        <v>99</v>
      </c>
      <c r="L11" s="149"/>
      <c r="M11" s="149"/>
      <c r="N11" s="150" t="s">
        <v>93</v>
      </c>
      <c r="O11" s="658"/>
      <c r="P11" s="658"/>
      <c r="Q11" s="658"/>
    </row>
    <row r="12" spans="2:17">
      <c r="B12" s="632" t="s">
        <v>100</v>
      </c>
      <c r="C12" s="663">
        <f>INDEX($N$7:$N$9,MATCH($N$11,$K$7:$K$9,0))</f>
        <v>3300000</v>
      </c>
      <c r="D12" s="654" t="s">
        <v>101</v>
      </c>
      <c r="E12" s="187"/>
      <c r="F12" s="575"/>
      <c r="G12" s="187"/>
      <c r="H12" s="187"/>
      <c r="I12" s="187"/>
      <c r="J12" s="187"/>
      <c r="K12" s="187"/>
      <c r="L12" s="187"/>
      <c r="M12" s="187"/>
      <c r="N12" s="187"/>
      <c r="O12" s="187"/>
      <c r="P12" s="187"/>
      <c r="Q12" s="187"/>
    </row>
    <row r="13" spans="2:17">
      <c r="B13" s="632" t="s">
        <v>102</v>
      </c>
      <c r="C13" s="664">
        <f>C12*C14</f>
        <v>264000</v>
      </c>
      <c r="D13" s="654" t="s">
        <v>103</v>
      </c>
      <c r="E13" s="187"/>
      <c r="F13" s="575"/>
      <c r="G13" s="575"/>
      <c r="H13" s="187"/>
      <c r="I13" s="187"/>
      <c r="J13" s="187"/>
      <c r="K13" s="142" t="s">
        <v>104</v>
      </c>
      <c r="L13" s="142"/>
      <c r="M13" s="142"/>
      <c r="N13" s="142" t="s">
        <v>105</v>
      </c>
      <c r="O13" s="142" t="s">
        <v>81</v>
      </c>
      <c r="P13" s="142" t="s">
        <v>106</v>
      </c>
      <c r="Q13" s="142" t="s">
        <v>107</v>
      </c>
    </row>
    <row r="14" spans="2:17">
      <c r="B14" s="632" t="s">
        <v>108</v>
      </c>
      <c r="C14" s="665">
        <v>0.08</v>
      </c>
      <c r="D14" s="666" t="s">
        <v>109</v>
      </c>
      <c r="E14" s="187"/>
      <c r="F14" s="575"/>
      <c r="G14" s="575"/>
      <c r="H14" s="187"/>
      <c r="I14" s="187"/>
      <c r="J14" s="187"/>
      <c r="K14" s="667" t="s">
        <v>90</v>
      </c>
      <c r="L14" s="668"/>
      <c r="M14" s="668"/>
      <c r="N14" s="669">
        <f t="shared" ref="N14:Q15" si="0">N7</f>
        <v>2400000</v>
      </c>
      <c r="O14" s="669">
        <f t="shared" si="0"/>
        <v>192000</v>
      </c>
      <c r="P14" s="669">
        <f t="shared" si="0"/>
        <v>2208000</v>
      </c>
      <c r="Q14" s="670">
        <f t="shared" si="0"/>
        <v>184000</v>
      </c>
    </row>
    <row r="15" spans="2:17">
      <c r="B15" s="632" t="s">
        <v>110</v>
      </c>
      <c r="C15" s="664">
        <f>C12-C13</f>
        <v>3036000</v>
      </c>
      <c r="D15" s="654" t="s">
        <v>111</v>
      </c>
      <c r="E15" s="187"/>
      <c r="F15" s="575"/>
      <c r="G15" s="575"/>
      <c r="H15" s="187"/>
      <c r="I15" s="187"/>
      <c r="J15" s="187"/>
      <c r="K15" s="151" t="s">
        <v>93</v>
      </c>
      <c r="L15" s="152"/>
      <c r="M15" s="152"/>
      <c r="N15" s="153">
        <f t="shared" si="0"/>
        <v>3300000</v>
      </c>
      <c r="O15" s="153">
        <f t="shared" si="0"/>
        <v>264000</v>
      </c>
      <c r="P15" s="153">
        <f t="shared" si="0"/>
        <v>3036000</v>
      </c>
      <c r="Q15" s="154">
        <f t="shared" si="0"/>
        <v>253000</v>
      </c>
    </row>
    <row r="16" spans="2:17">
      <c r="B16" s="671" t="s">
        <v>112</v>
      </c>
      <c r="C16" s="672" t="str">
        <f>IF(ABS(C12-C15-C13)&lt;1,"OK","ERROR")</f>
        <v>OK</v>
      </c>
      <c r="D16" s="654" t="s">
        <v>113</v>
      </c>
      <c r="E16" s="187"/>
      <c r="F16" s="575"/>
      <c r="G16" s="575"/>
      <c r="H16" s="187"/>
      <c r="I16" s="187"/>
      <c r="J16" s="187"/>
      <c r="K16" s="673" t="s">
        <v>96</v>
      </c>
      <c r="L16" s="674"/>
      <c r="M16" s="674"/>
      <c r="N16" s="675">
        <f>N9</f>
        <v>4500000</v>
      </c>
      <c r="O16" s="675">
        <f t="shared" ref="O16:Q16" si="1">O9</f>
        <v>360000</v>
      </c>
      <c r="P16" s="675">
        <f t="shared" si="1"/>
        <v>4140000</v>
      </c>
      <c r="Q16" s="676">
        <f t="shared" si="1"/>
        <v>345000</v>
      </c>
    </row>
    <row r="17" spans="2:18">
      <c r="B17" s="671" t="s">
        <v>114</v>
      </c>
      <c r="C17" s="672" t="str">
        <f>IF(ABS(C12-SUM(D36:Q36))&lt;100,"OK","ERROR")</f>
        <v>ERROR</v>
      </c>
      <c r="D17" s="654" t="s">
        <v>115</v>
      </c>
      <c r="E17" s="187"/>
      <c r="F17" s="575"/>
      <c r="G17" s="575"/>
      <c r="H17" s="187"/>
      <c r="I17" s="187"/>
      <c r="J17" s="187"/>
      <c r="K17" s="677"/>
      <c r="L17" s="677"/>
      <c r="M17" s="677"/>
      <c r="N17" s="187"/>
      <c r="O17" s="187"/>
      <c r="P17" s="187"/>
      <c r="Q17" s="187"/>
      <c r="R17" s="575"/>
    </row>
    <row r="18" spans="2:18">
      <c r="B18" s="632" t="s">
        <v>116</v>
      </c>
      <c r="C18" s="678">
        <v>1.0900000000000001</v>
      </c>
      <c r="D18" s="654" t="s">
        <v>117</v>
      </c>
      <c r="E18" s="187"/>
      <c r="F18" s="575"/>
      <c r="G18" s="575"/>
      <c r="H18" s="187"/>
      <c r="I18" s="187"/>
      <c r="J18" s="187"/>
      <c r="K18" s="187"/>
      <c r="L18" s="187"/>
      <c r="M18" s="187"/>
      <c r="N18" s="187"/>
      <c r="O18" s="187"/>
      <c r="P18" s="187"/>
      <c r="Q18" s="187"/>
      <c r="R18" s="575"/>
    </row>
    <row r="19" spans="2:18">
      <c r="B19" s="632" t="s">
        <v>118</v>
      </c>
      <c r="C19" s="679">
        <v>0.65</v>
      </c>
      <c r="D19" s="654" t="s">
        <v>119</v>
      </c>
      <c r="E19" s="187"/>
      <c r="F19" s="575"/>
      <c r="G19" s="187"/>
      <c r="H19" s="187"/>
      <c r="I19" s="187"/>
      <c r="J19" s="187"/>
      <c r="K19" s="187"/>
      <c r="L19" s="187"/>
      <c r="M19" s="187"/>
      <c r="N19" s="187"/>
      <c r="O19" s="187"/>
      <c r="P19" s="187"/>
      <c r="Q19" s="187"/>
      <c r="R19" s="575"/>
    </row>
    <row r="20" spans="2:18">
      <c r="B20" s="680" t="s">
        <v>120</v>
      </c>
      <c r="C20" s="681">
        <f>1-C19</f>
        <v>0.35</v>
      </c>
      <c r="D20" s="654" t="s">
        <v>121</v>
      </c>
      <c r="E20" s="187"/>
      <c r="F20" s="575"/>
      <c r="G20" s="187"/>
      <c r="H20" s="187"/>
      <c r="I20" s="187"/>
      <c r="J20" s="187"/>
      <c r="K20" s="187"/>
      <c r="L20" s="187"/>
      <c r="M20" s="187"/>
      <c r="N20" s="187"/>
      <c r="O20" s="187"/>
      <c r="P20" s="187"/>
      <c r="Q20" s="187"/>
      <c r="R20" s="575"/>
    </row>
    <row r="21" spans="2:18">
      <c r="B21" s="155" t="s">
        <v>122</v>
      </c>
      <c r="C21" s="157">
        <v>0.112</v>
      </c>
      <c r="D21" s="654" t="s">
        <v>123</v>
      </c>
      <c r="E21" s="187"/>
      <c r="F21" s="575"/>
      <c r="G21" s="187"/>
      <c r="H21" s="187"/>
      <c r="I21" s="187"/>
      <c r="J21" s="187"/>
      <c r="K21" s="187"/>
      <c r="L21" s="187"/>
      <c r="M21" s="187"/>
      <c r="N21" s="187"/>
      <c r="O21" s="187"/>
      <c r="P21" s="187"/>
      <c r="Q21" s="187"/>
      <c r="R21" s="575"/>
    </row>
    <row r="22" spans="2:18" ht="17.399999999999999">
      <c r="B22" s="383" t="s">
        <v>124</v>
      </c>
      <c r="C22" s="383"/>
      <c r="D22" s="383"/>
      <c r="E22" s="383"/>
      <c r="F22" s="383"/>
      <c r="G22" s="383"/>
      <c r="H22" s="383"/>
      <c r="I22" s="383"/>
      <c r="J22" s="383"/>
      <c r="K22" s="383"/>
      <c r="L22" s="383"/>
      <c r="M22" s="383"/>
      <c r="N22" s="383"/>
      <c r="O22" s="383"/>
      <c r="P22" s="383"/>
      <c r="Q22" s="383"/>
      <c r="R22" s="383"/>
    </row>
    <row r="23" spans="2:18">
      <c r="B23" s="187" t="s">
        <v>125</v>
      </c>
      <c r="C23" s="156">
        <v>3600</v>
      </c>
      <c r="D23" s="654" t="s">
        <v>126</v>
      </c>
      <c r="E23" s="187"/>
      <c r="F23" s="575"/>
      <c r="G23" s="187"/>
      <c r="H23" s="187"/>
      <c r="I23" s="187"/>
      <c r="J23" s="187"/>
      <c r="K23" s="187"/>
      <c r="L23" s="187"/>
      <c r="M23" s="187"/>
      <c r="N23" s="187"/>
      <c r="O23" s="187"/>
      <c r="P23" s="187"/>
      <c r="Q23" s="187"/>
      <c r="R23" s="575"/>
    </row>
    <row r="24" spans="2:18">
      <c r="B24" s="187" t="s">
        <v>127</v>
      </c>
      <c r="C24" s="156">
        <v>4400</v>
      </c>
      <c r="D24" s="654" t="s">
        <v>128</v>
      </c>
      <c r="E24" s="187"/>
      <c r="F24" s="575"/>
      <c r="G24" s="187"/>
      <c r="H24" s="187"/>
      <c r="I24" s="187"/>
      <c r="J24" s="187"/>
      <c r="K24" s="187"/>
      <c r="L24" s="187"/>
      <c r="M24" s="187"/>
      <c r="N24" s="187"/>
      <c r="O24" s="187"/>
      <c r="P24" s="187"/>
      <c r="Q24" s="187"/>
      <c r="R24" s="575"/>
    </row>
    <row r="25" spans="2:18">
      <c r="B25" s="187" t="s">
        <v>129</v>
      </c>
      <c r="C25" s="157">
        <v>0.35</v>
      </c>
      <c r="D25" s="654" t="s">
        <v>130</v>
      </c>
      <c r="E25" s="187"/>
      <c r="F25" s="575"/>
      <c r="G25" s="187"/>
      <c r="H25" s="187"/>
      <c r="I25" s="187"/>
      <c r="J25" s="187"/>
      <c r="K25" s="187"/>
      <c r="L25" s="187"/>
      <c r="M25" s="187"/>
      <c r="N25" s="187"/>
      <c r="O25" s="187"/>
      <c r="P25" s="187"/>
      <c r="Q25" s="187"/>
      <c r="R25" s="575"/>
    </row>
    <row r="26" spans="2:18">
      <c r="B26" s="155" t="s">
        <v>131</v>
      </c>
      <c r="C26" s="156">
        <v>325080</v>
      </c>
      <c r="D26" s="654" t="s">
        <v>132</v>
      </c>
      <c r="E26" s="187"/>
      <c r="F26" s="575"/>
      <c r="G26" s="187"/>
      <c r="H26" s="187"/>
      <c r="I26" s="187"/>
      <c r="J26" s="187"/>
      <c r="K26" s="187"/>
      <c r="L26" s="187"/>
      <c r="M26" s="187"/>
      <c r="N26" s="187"/>
      <c r="O26" s="187"/>
      <c r="P26" s="187"/>
      <c r="Q26" s="187"/>
      <c r="R26" s="575"/>
    </row>
    <row r="27" spans="2:18">
      <c r="B27" s="155" t="s">
        <v>133</v>
      </c>
      <c r="C27" s="156">
        <v>3690</v>
      </c>
      <c r="D27" s="654" t="s">
        <v>134</v>
      </c>
      <c r="E27" s="187"/>
      <c r="F27" s="575"/>
      <c r="G27" s="187"/>
      <c r="H27" s="187"/>
      <c r="I27" s="187"/>
      <c r="J27" s="187"/>
      <c r="K27" s="187"/>
      <c r="L27" s="187"/>
      <c r="M27" s="187"/>
      <c r="N27" s="187"/>
      <c r="O27" s="187"/>
      <c r="P27" s="187"/>
      <c r="Q27" s="187"/>
      <c r="R27" s="575"/>
    </row>
    <row r="28" spans="2:18">
      <c r="B28" s="155" t="s">
        <v>135</v>
      </c>
      <c r="C28" s="157">
        <v>0.1</v>
      </c>
      <c r="D28" s="654" t="s">
        <v>136</v>
      </c>
      <c r="E28" s="187"/>
      <c r="F28" s="575"/>
      <c r="G28" s="187"/>
      <c r="H28" s="187"/>
      <c r="I28" s="187"/>
      <c r="J28" s="187"/>
      <c r="K28" s="187"/>
      <c r="L28" s="187"/>
      <c r="M28" s="187"/>
      <c r="N28" s="187"/>
      <c r="O28" s="187"/>
      <c r="P28" s="187"/>
      <c r="Q28" s="187"/>
      <c r="R28" s="575"/>
    </row>
    <row r="29" spans="2:18">
      <c r="B29" s="155" t="s">
        <v>137</v>
      </c>
      <c r="C29" s="157">
        <v>0.12</v>
      </c>
      <c r="D29" s="654" t="s">
        <v>138</v>
      </c>
      <c r="E29" s="137" t="s">
        <v>52</v>
      </c>
      <c r="F29" s="137" t="s">
        <v>53</v>
      </c>
      <c r="G29" s="137" t="s">
        <v>54</v>
      </c>
      <c r="H29" s="137" t="s">
        <v>55</v>
      </c>
      <c r="I29" s="137" t="s">
        <v>56</v>
      </c>
      <c r="J29" s="137" t="s">
        <v>57</v>
      </c>
      <c r="K29" s="137" t="s">
        <v>58</v>
      </c>
      <c r="L29" s="137"/>
      <c r="M29" s="137"/>
      <c r="N29" s="137" t="s">
        <v>59</v>
      </c>
      <c r="O29" s="137" t="s">
        <v>60</v>
      </c>
      <c r="P29" s="137" t="s">
        <v>61</v>
      </c>
      <c r="Q29" s="137" t="s">
        <v>62</v>
      </c>
      <c r="R29" s="137" t="s">
        <v>23</v>
      </c>
    </row>
    <row r="30" spans="2:18">
      <c r="B30" s="158" t="s">
        <v>139</v>
      </c>
      <c r="C30" s="159" t="s">
        <v>140</v>
      </c>
      <c r="D30" s="160">
        <v>483452000</v>
      </c>
      <c r="E30" s="160">
        <v>524652000</v>
      </c>
      <c r="F30" s="160">
        <v>646512000</v>
      </c>
      <c r="G30" s="160">
        <v>537676000</v>
      </c>
      <c r="H30" s="160">
        <v>666048000</v>
      </c>
      <c r="I30" s="160">
        <v>585132000</v>
      </c>
      <c r="J30" s="160">
        <v>621584000</v>
      </c>
      <c r="K30" s="160">
        <v>608152000</v>
      </c>
      <c r="L30" s="64"/>
      <c r="M30" s="64"/>
      <c r="N30" s="160">
        <v>727100000</v>
      </c>
      <c r="O30" s="160">
        <v>714212000</v>
      </c>
      <c r="P30" s="160">
        <v>723516000</v>
      </c>
      <c r="Q30" s="160">
        <v>778296000</v>
      </c>
      <c r="R30" s="160">
        <v>7616332000</v>
      </c>
    </row>
    <row r="31" spans="2:18">
      <c r="B31" s="187" t="s">
        <v>141</v>
      </c>
      <c r="C31" s="187"/>
      <c r="D31" s="184">
        <f t="shared" ref="D31:K31" si="2">D30/SUM($D$30:$Q$30)</f>
        <v>6.3475699326132312E-2</v>
      </c>
      <c r="E31" s="184">
        <f t="shared" si="2"/>
        <v>6.8885127381526967E-2</v>
      </c>
      <c r="F31" s="184">
        <f t="shared" si="2"/>
        <v>8.4884955120128697E-2</v>
      </c>
      <c r="G31" s="184">
        <f t="shared" si="2"/>
        <v>7.0595136871659483E-2</v>
      </c>
      <c r="H31" s="184">
        <f t="shared" si="2"/>
        <v>8.7449969355327478E-2</v>
      </c>
      <c r="I31" s="184">
        <f t="shared" si="2"/>
        <v>7.6825957691970356E-2</v>
      </c>
      <c r="J31" s="184">
        <f t="shared" si="2"/>
        <v>8.1611988553020015E-2</v>
      </c>
      <c r="K31" s="184">
        <f t="shared" si="2"/>
        <v>7.9848409969523387E-2</v>
      </c>
      <c r="L31" s="682"/>
      <c r="M31" s="682"/>
      <c r="N31" s="184">
        <f>N30/SUM($D$30:$Q$30)</f>
        <v>9.5465901433918587E-2</v>
      </c>
      <c r="O31" s="184">
        <f>O30/SUM($D$30:$Q$30)</f>
        <v>9.377374830824077E-2</v>
      </c>
      <c r="P31" s="184">
        <f>P30/SUM($D$30:$Q$30)</f>
        <v>9.4995333711818231E-2</v>
      </c>
      <c r="Q31" s="184">
        <f>Q30/SUM($D$30:$Q$30)</f>
        <v>0.10218777227673373</v>
      </c>
      <c r="R31" s="184">
        <f t="shared" ref="R31" si="3">SUM(D31:Q31)</f>
        <v>1.0000000000000002</v>
      </c>
    </row>
    <row r="32" spans="2:18">
      <c r="B32" s="187" t="s">
        <v>142</v>
      </c>
      <c r="C32" s="683" t="s">
        <v>143</v>
      </c>
      <c r="D32" s="684">
        <v>0.76170839191358797</v>
      </c>
      <c r="E32" s="684">
        <v>0.82662152857832405</v>
      </c>
      <c r="F32" s="684">
        <v>1.01861946144154</v>
      </c>
      <c r="G32" s="684">
        <v>0.84718761962596101</v>
      </c>
      <c r="H32" s="684">
        <v>1.0493890710813101</v>
      </c>
      <c r="I32" s="684">
        <v>0.92190076279325195</v>
      </c>
      <c r="J32" s="684">
        <v>0.97934386263624396</v>
      </c>
      <c r="K32" s="684">
        <v>0.95818091963435204</v>
      </c>
      <c r="L32" s="685"/>
      <c r="M32" s="685"/>
      <c r="N32" s="684">
        <v>1.14591081720879</v>
      </c>
      <c r="O32" s="684">
        <v>1.12511730086689</v>
      </c>
      <c r="P32" s="684">
        <v>1.1397767085167101</v>
      </c>
      <c r="Q32" s="684">
        <v>1.2265049908938901</v>
      </c>
      <c r="R32" s="684">
        <v>12</v>
      </c>
    </row>
    <row r="33" spans="2:18">
      <c r="B33" s="686" t="s">
        <v>144</v>
      </c>
      <c r="C33" s="687">
        <f>SUM(D31:Q31)</f>
        <v>1.0000000000000002</v>
      </c>
      <c r="D33" s="688"/>
      <c r="E33" s="686"/>
      <c r="F33" s="686"/>
      <c r="G33" s="686"/>
      <c r="H33" s="686"/>
      <c r="I33" s="686"/>
      <c r="J33" s="686"/>
      <c r="K33" s="686"/>
      <c r="L33" s="686"/>
      <c r="M33" s="686"/>
      <c r="N33" s="686"/>
      <c r="O33" s="686"/>
      <c r="P33" s="686"/>
      <c r="Q33" s="686"/>
      <c r="R33" s="689">
        <v>1</v>
      </c>
    </row>
    <row r="34" spans="2:18">
      <c r="B34" s="187"/>
      <c r="C34" s="320">
        <v>0</v>
      </c>
      <c r="D34" s="650"/>
      <c r="E34" s="187"/>
      <c r="F34" s="187"/>
      <c r="G34" s="187"/>
      <c r="H34" s="187"/>
      <c r="I34" s="187"/>
      <c r="J34" s="187"/>
      <c r="K34" s="187"/>
      <c r="L34" s="187"/>
      <c r="M34" s="187"/>
      <c r="N34" s="187"/>
      <c r="O34" s="187"/>
      <c r="P34" s="187"/>
      <c r="Q34" s="187"/>
      <c r="R34" s="320">
        <v>0</v>
      </c>
    </row>
    <row r="35" spans="2:18" ht="30" customHeight="1">
      <c r="B35" s="392" t="s">
        <v>145</v>
      </c>
      <c r="C35" s="386"/>
      <c r="D35" s="386" t="s">
        <v>51</v>
      </c>
      <c r="E35" s="386" t="s">
        <v>52</v>
      </c>
      <c r="F35" s="386" t="s">
        <v>53</v>
      </c>
      <c r="G35" s="386" t="s">
        <v>54</v>
      </c>
      <c r="H35" s="386" t="s">
        <v>55</v>
      </c>
      <c r="I35" s="386" t="s">
        <v>56</v>
      </c>
      <c r="J35" s="386" t="s">
        <v>57</v>
      </c>
      <c r="K35" s="386" t="s">
        <v>58</v>
      </c>
      <c r="L35" s="386"/>
      <c r="M35" s="386"/>
      <c r="N35" s="386" t="s">
        <v>59</v>
      </c>
      <c r="O35" s="386" t="s">
        <v>60</v>
      </c>
      <c r="P35" s="386" t="s">
        <v>61</v>
      </c>
      <c r="Q35" s="386" t="s">
        <v>62</v>
      </c>
      <c r="R35" s="386" t="s">
        <v>23</v>
      </c>
    </row>
    <row r="36" spans="2:18">
      <c r="B36" s="161" t="s">
        <v>146</v>
      </c>
      <c r="C36" s="162" t="s">
        <v>146</v>
      </c>
      <c r="D36" s="690">
        <v>176186.48699999999</v>
      </c>
      <c r="E36" s="690">
        <v>175305.554565</v>
      </c>
      <c r="F36" s="690">
        <v>175643.791792175</v>
      </c>
      <c r="G36" s="690">
        <v>230718.11989194501</v>
      </c>
      <c r="H36" s="690">
        <v>264031.05470671499</v>
      </c>
      <c r="I36" s="690">
        <v>275673.04386727</v>
      </c>
      <c r="J36" s="690">
        <v>274294.68153338501</v>
      </c>
      <c r="K36" s="690">
        <v>285467.08082098502</v>
      </c>
      <c r="L36" s="691"/>
      <c r="M36" s="691"/>
      <c r="N36" s="690">
        <v>284039.73890504497</v>
      </c>
      <c r="O36" s="690">
        <v>282619.54110522498</v>
      </c>
      <c r="P36" s="690">
        <v>281206.450878345</v>
      </c>
      <c r="Q36" s="690">
        <v>279800.41300662502</v>
      </c>
      <c r="R36" s="690">
        <v>2984985.9519196399</v>
      </c>
    </row>
    <row r="37" spans="2:18">
      <c r="B37" s="692" t="s">
        <v>147</v>
      </c>
      <c r="C37" s="187" t="s">
        <v>148</v>
      </c>
      <c r="D37" s="693">
        <v>2984985.9519196399</v>
      </c>
      <c r="E37" s="187"/>
      <c r="F37" s="187"/>
      <c r="G37" s="187"/>
      <c r="H37" s="187"/>
      <c r="I37" s="187"/>
      <c r="J37" s="187"/>
      <c r="K37" s="187"/>
      <c r="L37" s="187"/>
      <c r="M37" s="187"/>
      <c r="N37" s="187"/>
      <c r="O37" s="187"/>
      <c r="P37" s="187"/>
      <c r="Q37" s="187"/>
      <c r="R37" s="694">
        <v>2984985.9519196399</v>
      </c>
    </row>
    <row r="38" spans="2:18">
      <c r="B38" s="389" t="s">
        <v>149</v>
      </c>
      <c r="C38" s="389"/>
      <c r="D38" s="389"/>
      <c r="E38" s="389"/>
      <c r="F38" s="389"/>
      <c r="G38" s="389"/>
      <c r="H38" s="389"/>
      <c r="I38" s="389"/>
      <c r="J38" s="389"/>
      <c r="K38" s="389"/>
      <c r="L38" s="389"/>
      <c r="M38" s="389"/>
      <c r="N38" s="389"/>
      <c r="O38" s="389"/>
      <c r="P38" s="389"/>
      <c r="Q38" s="389"/>
      <c r="R38" s="389"/>
    </row>
    <row r="39" spans="2:18">
      <c r="B39" s="158" t="s">
        <v>150</v>
      </c>
      <c r="C39" s="159" t="s">
        <v>151</v>
      </c>
      <c r="D39" s="163" t="s">
        <v>152</v>
      </c>
      <c r="E39" s="187"/>
      <c r="F39" s="187"/>
      <c r="G39" s="575"/>
      <c r="H39" s="575"/>
      <c r="I39" s="575"/>
      <c r="J39" s="575"/>
      <c r="K39" s="575"/>
      <c r="L39" s="575"/>
      <c r="M39" s="575"/>
      <c r="N39" s="575"/>
      <c r="O39" s="575"/>
      <c r="P39" s="575"/>
      <c r="Q39" s="575"/>
      <c r="R39" s="575"/>
    </row>
    <row r="40" spans="2:18">
      <c r="B40" s="187" t="s">
        <v>153</v>
      </c>
      <c r="C40" s="695">
        <f>C135</f>
        <v>3795959000</v>
      </c>
      <c r="D40" s="696">
        <f>C40*(1+$C$11)</f>
        <v>3989552908.9999995</v>
      </c>
      <c r="E40" s="692" t="s">
        <v>154</v>
      </c>
      <c r="F40" s="187"/>
      <c r="G40" s="575"/>
      <c r="H40" s="575"/>
      <c r="I40" s="575"/>
      <c r="J40" s="575"/>
      <c r="K40" s="575"/>
      <c r="L40" s="575"/>
      <c r="M40" s="575"/>
      <c r="N40" s="575"/>
      <c r="O40" s="575"/>
      <c r="P40" s="575"/>
      <c r="Q40" s="575"/>
      <c r="R40" s="575"/>
    </row>
    <row r="41" spans="2:18">
      <c r="B41" s="187"/>
      <c r="C41" s="694">
        <v>3795959000</v>
      </c>
      <c r="D41" s="697">
        <v>3989552909</v>
      </c>
      <c r="E41" s="187"/>
      <c r="F41" s="187"/>
      <c r="G41" s="575"/>
      <c r="H41" s="575"/>
      <c r="I41" s="575"/>
      <c r="J41" s="575"/>
      <c r="K41" s="575"/>
      <c r="L41" s="575"/>
      <c r="M41" s="575"/>
      <c r="N41" s="575"/>
      <c r="O41" s="575"/>
      <c r="P41" s="575"/>
      <c r="Q41" s="575"/>
      <c r="R41" s="575"/>
    </row>
    <row r="42" spans="2:18">
      <c r="B42" s="187" t="s">
        <v>155</v>
      </c>
      <c r="C42" s="694">
        <v>0</v>
      </c>
      <c r="D42" s="697">
        <v>0</v>
      </c>
      <c r="E42" s="187"/>
      <c r="F42" s="187"/>
      <c r="G42" s="575"/>
      <c r="H42" s="575"/>
      <c r="I42" s="575"/>
      <c r="J42" s="575"/>
      <c r="K42" s="575"/>
      <c r="L42" s="575"/>
      <c r="M42" s="575"/>
      <c r="N42" s="575"/>
      <c r="O42" s="575"/>
      <c r="P42" s="575"/>
      <c r="Q42" s="575"/>
      <c r="R42" s="575"/>
    </row>
    <row r="43" spans="2:18">
      <c r="B43" s="187"/>
      <c r="C43" s="698"/>
      <c r="D43" s="699"/>
      <c r="E43" s="187"/>
      <c r="F43" s="187"/>
      <c r="G43" s="575"/>
      <c r="H43" s="575"/>
      <c r="I43" s="575"/>
      <c r="J43" s="575"/>
      <c r="K43" s="575"/>
      <c r="L43" s="575"/>
      <c r="M43" s="575"/>
      <c r="N43" s="575"/>
      <c r="O43" s="575"/>
      <c r="P43" s="575"/>
      <c r="Q43" s="575"/>
      <c r="R43" s="575"/>
    </row>
    <row r="44" spans="2:18">
      <c r="B44" s="187" t="s">
        <v>156</v>
      </c>
      <c r="C44" s="695">
        <f>C139</f>
        <v>1545956000</v>
      </c>
      <c r="D44" s="696">
        <f>C44*(1+$C$11)</f>
        <v>1624799756</v>
      </c>
      <c r="E44" s="692" t="s">
        <v>157</v>
      </c>
      <c r="F44" s="187"/>
      <c r="G44" s="575"/>
      <c r="H44" s="575"/>
      <c r="I44" s="575"/>
      <c r="J44" s="575"/>
      <c r="K44" s="575"/>
      <c r="L44" s="575"/>
      <c r="M44" s="575"/>
      <c r="N44" s="575"/>
      <c r="O44" s="575"/>
      <c r="P44" s="575"/>
      <c r="Q44" s="575"/>
      <c r="R44" s="575"/>
    </row>
    <row r="45" spans="2:18">
      <c r="B45" s="187" t="s">
        <v>158</v>
      </c>
      <c r="C45" s="694">
        <v>0</v>
      </c>
      <c r="D45" s="697">
        <v>0</v>
      </c>
      <c r="E45" s="187"/>
      <c r="F45" s="187"/>
      <c r="G45" s="575"/>
      <c r="H45" s="575"/>
      <c r="I45" s="575"/>
      <c r="J45" s="575"/>
      <c r="K45" s="575"/>
      <c r="L45" s="575"/>
      <c r="M45" s="575"/>
      <c r="N45" s="575"/>
      <c r="O45" s="575"/>
      <c r="P45" s="575"/>
      <c r="Q45" s="575"/>
      <c r="R45" s="575"/>
    </row>
    <row r="46" spans="2:18">
      <c r="B46" s="187"/>
      <c r="C46" s="694">
        <v>1545956000</v>
      </c>
      <c r="D46" s="697">
        <v>1624799756</v>
      </c>
      <c r="E46" s="187"/>
      <c r="F46" s="187"/>
      <c r="G46" s="575"/>
      <c r="H46" s="575"/>
      <c r="I46" s="575"/>
      <c r="J46" s="575"/>
      <c r="K46" s="575"/>
      <c r="L46" s="575"/>
      <c r="M46" s="575"/>
      <c r="N46" s="575"/>
      <c r="O46" s="575"/>
      <c r="P46" s="575"/>
      <c r="Q46" s="575"/>
      <c r="R46" s="575"/>
    </row>
    <row r="47" spans="2:18">
      <c r="B47" s="187"/>
      <c r="C47" s="698"/>
      <c r="D47" s="699"/>
      <c r="E47" s="187"/>
      <c r="F47" s="187"/>
      <c r="G47" s="575"/>
      <c r="H47" s="575"/>
      <c r="I47" s="575"/>
      <c r="J47" s="575"/>
      <c r="K47" s="575"/>
      <c r="L47" s="575"/>
      <c r="M47" s="575"/>
      <c r="N47" s="575"/>
      <c r="O47" s="575"/>
      <c r="P47" s="575"/>
      <c r="Q47" s="575"/>
      <c r="R47" s="575"/>
    </row>
    <row r="48" spans="2:18">
      <c r="B48" s="187" t="s">
        <v>159</v>
      </c>
      <c r="C48" s="695">
        <f>C142</f>
        <v>2481297000</v>
      </c>
      <c r="D48" s="696">
        <f>C48*(1+$C$11)</f>
        <v>2607843147</v>
      </c>
      <c r="E48" s="692" t="s">
        <v>160</v>
      </c>
      <c r="F48" s="187"/>
      <c r="G48" s="575"/>
      <c r="H48" s="575"/>
      <c r="I48" s="575"/>
      <c r="J48" s="575"/>
      <c r="K48" s="575"/>
      <c r="L48" s="575"/>
      <c r="M48" s="575"/>
      <c r="N48" s="575"/>
      <c r="O48" s="575"/>
      <c r="P48" s="575"/>
      <c r="Q48" s="575"/>
      <c r="R48" s="575"/>
    </row>
    <row r="49" spans="2:5">
      <c r="B49" s="187" t="s">
        <v>161</v>
      </c>
      <c r="C49" s="694">
        <v>0</v>
      </c>
      <c r="D49" s="697">
        <v>0</v>
      </c>
      <c r="E49" s="187"/>
    </row>
    <row r="50" spans="2:5">
      <c r="B50" s="187" t="s">
        <v>162</v>
      </c>
      <c r="C50" s="694">
        <v>0</v>
      </c>
      <c r="D50" s="697">
        <v>0</v>
      </c>
      <c r="E50" s="187"/>
    </row>
    <row r="51" spans="2:5">
      <c r="B51" s="187"/>
      <c r="C51" s="694">
        <v>2481297000</v>
      </c>
      <c r="D51" s="697">
        <v>2607843147</v>
      </c>
      <c r="E51" s="187"/>
    </row>
    <row r="52" spans="2:5">
      <c r="B52" s="187"/>
      <c r="C52" s="698"/>
      <c r="D52" s="699"/>
      <c r="E52" s="187"/>
    </row>
    <row r="53" spans="2:5">
      <c r="B53" s="187" t="s">
        <v>163</v>
      </c>
      <c r="C53" s="695">
        <f>C146</f>
        <v>133664000</v>
      </c>
      <c r="D53" s="696">
        <f>C53*(1+$C$11)</f>
        <v>140480864</v>
      </c>
      <c r="E53" s="692" t="s">
        <v>164</v>
      </c>
    </row>
    <row r="54" spans="2:5">
      <c r="B54" s="187" t="s">
        <v>165</v>
      </c>
      <c r="C54" s="695">
        <f>C150</f>
        <v>92043000</v>
      </c>
      <c r="D54" s="696">
        <f>C54*(1+$C$11)</f>
        <v>96737193</v>
      </c>
      <c r="E54" s="692" t="s">
        <v>166</v>
      </c>
    </row>
    <row r="55" spans="2:5">
      <c r="B55" s="187" t="s">
        <v>167</v>
      </c>
      <c r="C55" s="695">
        <f>C141</f>
        <v>1290488000</v>
      </c>
      <c r="D55" s="696">
        <f>C55*(1+$C$11)</f>
        <v>1356302888</v>
      </c>
      <c r="E55" s="692" t="s">
        <v>168</v>
      </c>
    </row>
    <row r="56" spans="2:5">
      <c r="B56" s="389" t="s">
        <v>169</v>
      </c>
      <c r="C56" s="389"/>
      <c r="D56" s="389"/>
      <c r="E56" s="389"/>
    </row>
    <row r="57" spans="2:5" ht="30" customHeight="1">
      <c r="B57" s="419" t="s">
        <v>170</v>
      </c>
      <c r="C57" s="418" t="s">
        <v>171</v>
      </c>
      <c r="D57" s="418" t="s">
        <v>172</v>
      </c>
      <c r="E57" s="418" t="s">
        <v>173</v>
      </c>
    </row>
    <row r="58" spans="2:5">
      <c r="B58" s="187" t="s">
        <v>17</v>
      </c>
      <c r="C58" s="697">
        <v>176435.77</v>
      </c>
      <c r="D58" s="157">
        <v>0.1</v>
      </c>
      <c r="E58" s="157">
        <v>-0.1</v>
      </c>
    </row>
    <row r="59" spans="2:5">
      <c r="B59" s="187" t="s">
        <v>174</v>
      </c>
      <c r="C59" s="697">
        <v>36800.019999999997</v>
      </c>
      <c r="D59" s="157">
        <v>0.25</v>
      </c>
      <c r="E59" s="157">
        <v>-0.2</v>
      </c>
    </row>
    <row r="60" spans="2:5">
      <c r="B60" s="187" t="s">
        <v>19</v>
      </c>
      <c r="C60" s="697">
        <v>110400.07</v>
      </c>
      <c r="D60" s="157">
        <v>0.25</v>
      </c>
      <c r="E60" s="157">
        <v>-0.25</v>
      </c>
    </row>
    <row r="61" spans="2:5">
      <c r="B61" s="187" t="s">
        <v>175</v>
      </c>
      <c r="C61" s="697">
        <v>102187.77</v>
      </c>
      <c r="D61" s="157">
        <v>0.3</v>
      </c>
      <c r="E61" s="157">
        <v>-0.3</v>
      </c>
    </row>
    <row r="62" spans="2:5">
      <c r="B62" s="187" t="s">
        <v>21</v>
      </c>
      <c r="C62" s="697">
        <v>10512.22</v>
      </c>
      <c r="D62" s="157">
        <v>0.15</v>
      </c>
      <c r="E62" s="157">
        <v>-0.15</v>
      </c>
    </row>
    <row r="63" spans="2:5">
      <c r="B63" s="187" t="s">
        <v>22</v>
      </c>
      <c r="C63" s="697">
        <v>5660.42</v>
      </c>
      <c r="D63" s="157">
        <v>0.15</v>
      </c>
      <c r="E63" s="157">
        <v>-0.15</v>
      </c>
    </row>
    <row r="64" spans="2:5">
      <c r="B64" s="640" t="s">
        <v>176</v>
      </c>
      <c r="C64" s="700">
        <f>SUM(C58:C63)</f>
        <v>441996.26999999996</v>
      </c>
      <c r="D64" s="701" t="s">
        <v>177</v>
      </c>
      <c r="E64" s="702" t="s">
        <v>178</v>
      </c>
    </row>
    <row r="66" spans="2:6">
      <c r="B66" s="389" t="s">
        <v>179</v>
      </c>
      <c r="C66" s="389"/>
      <c r="D66" s="389"/>
      <c r="E66" s="389"/>
      <c r="F66" s="389"/>
    </row>
    <row r="67" spans="2:6" ht="30" customHeight="1">
      <c r="B67" s="392" t="s">
        <v>180</v>
      </c>
      <c r="C67" s="386" t="s">
        <v>181</v>
      </c>
      <c r="D67" s="386" t="s">
        <v>182</v>
      </c>
      <c r="E67" s="386" t="s">
        <v>183</v>
      </c>
      <c r="F67" s="386"/>
    </row>
    <row r="68" spans="2:6">
      <c r="B68" s="187" t="s">
        <v>184</v>
      </c>
      <c r="C68" s="703">
        <v>1</v>
      </c>
      <c r="D68" s="320">
        <v>4531575</v>
      </c>
      <c r="E68" s="187" t="s">
        <v>185</v>
      </c>
      <c r="F68" s="187"/>
    </row>
    <row r="69" spans="2:6">
      <c r="B69" s="187" t="s">
        <v>186</v>
      </c>
      <c r="C69" s="703">
        <v>2</v>
      </c>
      <c r="D69" s="320">
        <v>2748792</v>
      </c>
      <c r="E69" s="187" t="s">
        <v>185</v>
      </c>
      <c r="F69" s="187"/>
    </row>
    <row r="70" spans="2:6">
      <c r="B70" s="187" t="s">
        <v>187</v>
      </c>
      <c r="C70" s="703">
        <v>1</v>
      </c>
      <c r="D70" s="320">
        <v>6781385</v>
      </c>
      <c r="E70" s="187" t="s">
        <v>188</v>
      </c>
      <c r="F70" s="187"/>
    </row>
    <row r="71" spans="2:6">
      <c r="B71" s="187" t="s">
        <v>189</v>
      </c>
      <c r="C71" s="704" t="s">
        <v>190</v>
      </c>
      <c r="D71" s="187" t="s">
        <v>191</v>
      </c>
      <c r="E71" s="187" t="s">
        <v>192</v>
      </c>
      <c r="F71" s="187"/>
    </row>
    <row r="72" spans="2:6">
      <c r="B72" s="187"/>
      <c r="C72" s="187"/>
      <c r="D72" s="187"/>
      <c r="E72" s="187"/>
      <c r="F72" s="187"/>
    </row>
    <row r="73" spans="2:6">
      <c r="B73" s="161" t="s">
        <v>193</v>
      </c>
      <c r="C73" s="162" t="s">
        <v>194</v>
      </c>
      <c r="D73" s="65" t="s">
        <v>195</v>
      </c>
      <c r="E73" s="162" t="s">
        <v>196</v>
      </c>
      <c r="F73" s="187"/>
    </row>
    <row r="74" spans="2:6">
      <c r="B74" s="639" t="s">
        <v>197</v>
      </c>
      <c r="C74" s="705">
        <v>0</v>
      </c>
      <c r="D74" s="706">
        <v>0</v>
      </c>
      <c r="E74" s="320">
        <v>0</v>
      </c>
      <c r="F74" s="692"/>
    </row>
    <row r="75" spans="2:6">
      <c r="B75" s="639" t="s">
        <v>198</v>
      </c>
      <c r="C75" s="703">
        <v>1</v>
      </c>
      <c r="D75" s="707">
        <f>C75*D80</f>
        <v>10029159</v>
      </c>
      <c r="E75" s="647">
        <f>C75*D81</f>
        <v>6781385</v>
      </c>
      <c r="F75" s="692" t="s">
        <v>199</v>
      </c>
    </row>
    <row r="76" spans="2:6">
      <c r="B76" s="639" t="s">
        <v>200</v>
      </c>
      <c r="C76" s="703">
        <v>2</v>
      </c>
      <c r="D76" s="707">
        <f>C76*D80</f>
        <v>20058318</v>
      </c>
      <c r="E76" s="647">
        <f>C76*D81</f>
        <v>13562770</v>
      </c>
      <c r="F76" s="692" t="s">
        <v>201</v>
      </c>
    </row>
    <row r="77" spans="2:6">
      <c r="B77" s="639" t="s">
        <v>202</v>
      </c>
      <c r="C77" s="703">
        <v>3</v>
      </c>
      <c r="D77" s="707">
        <f>C77*D80</f>
        <v>30087477</v>
      </c>
      <c r="E77" s="647">
        <f>C77*D81</f>
        <v>20344155</v>
      </c>
      <c r="F77" s="692" t="s">
        <v>203</v>
      </c>
    </row>
    <row r="78" spans="2:6">
      <c r="B78" s="639"/>
      <c r="C78" s="187"/>
      <c r="D78" s="708"/>
      <c r="E78" s="187"/>
      <c r="F78" s="187"/>
    </row>
    <row r="79" spans="2:6">
      <c r="B79" s="709" t="s">
        <v>204</v>
      </c>
      <c r="C79" s="583"/>
      <c r="D79" s="710"/>
      <c r="E79" s="583"/>
      <c r="F79" s="583"/>
    </row>
    <row r="80" spans="2:6">
      <c r="B80" s="639" t="s">
        <v>205</v>
      </c>
      <c r="C80" s="187"/>
      <c r="D80" s="706">
        <f t="array" ref="D80">SUMPRODUCT((E68:E69="COGS → Mano de Obra Directa")*C68:C69*D68:D69)</f>
        <v>10029159</v>
      </c>
      <c r="E80" s="187" t="s">
        <v>206</v>
      </c>
      <c r="F80" s="187"/>
    </row>
    <row r="81" spans="2:14">
      <c r="B81" s="639" t="s">
        <v>207</v>
      </c>
      <c r="C81" s="187"/>
      <c r="D81" s="706">
        <f t="array" ref="D81">SUMPRODUCT((E70="Ventas → Gastos de Personal")*C70*D70)</f>
        <v>6781385</v>
      </c>
      <c r="E81" s="187" t="s">
        <v>208</v>
      </c>
      <c r="F81" s="187"/>
      <c r="G81" s="187"/>
      <c r="H81" s="187"/>
      <c r="I81" s="187"/>
      <c r="J81" s="187"/>
      <c r="K81" s="187"/>
      <c r="L81" s="187"/>
      <c r="M81" s="187"/>
      <c r="N81" s="187"/>
    </row>
    <row r="82" spans="2:14">
      <c r="B82" s="187"/>
      <c r="C82" s="187"/>
      <c r="D82" s="187"/>
      <c r="E82" s="187"/>
      <c r="F82" s="187"/>
      <c r="G82" s="187"/>
      <c r="H82" s="187"/>
      <c r="I82" s="187"/>
      <c r="J82" s="187"/>
      <c r="K82" s="187"/>
      <c r="L82" s="187"/>
      <c r="M82" s="187"/>
      <c r="N82" s="187"/>
    </row>
    <row r="83" spans="2:14">
      <c r="B83" s="575"/>
      <c r="C83" s="575"/>
      <c r="D83" s="575"/>
      <c r="E83" s="575"/>
      <c r="F83" s="575"/>
      <c r="G83" s="575"/>
      <c r="H83" s="575"/>
      <c r="I83" s="575"/>
      <c r="J83" s="575"/>
      <c r="K83" s="575"/>
      <c r="L83" s="575"/>
      <c r="M83" s="575"/>
      <c r="N83" s="575"/>
    </row>
    <row r="84" spans="2:14">
      <c r="B84" s="421" t="s">
        <v>1113</v>
      </c>
      <c r="C84" s="421"/>
      <c r="D84" s="421"/>
      <c r="E84" s="421"/>
      <c r="F84" s="421"/>
      <c r="G84" s="389"/>
      <c r="H84" s="389"/>
      <c r="I84" s="421"/>
      <c r="J84" s="389"/>
      <c r="K84" s="389"/>
      <c r="L84" s="389"/>
      <c r="M84" s="389"/>
      <c r="N84" s="389"/>
    </row>
    <row r="85" spans="2:14">
      <c r="B85" s="420" t="s">
        <v>1114</v>
      </c>
      <c r="C85" s="420"/>
      <c r="D85" s="420"/>
      <c r="E85" s="420"/>
      <c r="F85" s="420"/>
      <c r="G85" s="583"/>
      <c r="H85" s="583"/>
      <c r="I85" s="420"/>
      <c r="J85" s="583"/>
      <c r="K85" s="583"/>
      <c r="L85" s="583"/>
      <c r="M85" s="583"/>
      <c r="N85" s="583"/>
    </row>
    <row r="86" spans="2:14">
      <c r="B86" s="165"/>
      <c r="C86" s="165"/>
      <c r="D86" s="165"/>
      <c r="E86" s="165"/>
      <c r="F86" s="165"/>
      <c r="G86" s="575"/>
      <c r="H86" s="575"/>
      <c r="I86" s="155"/>
      <c r="J86" s="575"/>
      <c r="K86" s="575"/>
      <c r="L86" s="575"/>
      <c r="M86" s="575"/>
      <c r="N86" s="575"/>
    </row>
    <row r="87" spans="2:14">
      <c r="B87" s="155"/>
      <c r="C87" s="155"/>
      <c r="D87" s="155"/>
      <c r="E87" s="155"/>
      <c r="F87" s="155"/>
      <c r="G87" s="575"/>
      <c r="H87" s="575"/>
      <c r="I87" s="155"/>
      <c r="J87" s="575"/>
      <c r="K87" s="575"/>
      <c r="L87" s="575"/>
      <c r="M87" s="575"/>
      <c r="N87" s="575"/>
    </row>
    <row r="88" spans="2:14">
      <c r="B88" s="421" t="s">
        <v>1115</v>
      </c>
      <c r="C88" s="421"/>
      <c r="D88" s="421"/>
      <c r="E88" s="421"/>
      <c r="F88" s="421"/>
      <c r="G88" s="389"/>
      <c r="H88" s="389"/>
      <c r="I88" s="389"/>
      <c r="J88" s="421"/>
      <c r="K88" s="389"/>
      <c r="L88" s="389"/>
      <c r="M88" s="389"/>
      <c r="N88" s="389"/>
    </row>
    <row r="89" spans="2:14">
      <c r="B89" s="155"/>
      <c r="C89" s="155"/>
      <c r="D89" s="155"/>
      <c r="E89" s="155"/>
      <c r="F89" s="155"/>
      <c r="G89" s="575"/>
      <c r="H89" s="575"/>
      <c r="I89" s="575"/>
      <c r="J89" s="575"/>
      <c r="K89" s="575"/>
      <c r="L89" s="575"/>
      <c r="M89" s="575"/>
      <c r="N89" s="575"/>
    </row>
    <row r="90" spans="2:14" ht="30" customHeight="1">
      <c r="B90" s="423" t="s">
        <v>210</v>
      </c>
      <c r="C90" s="422" t="s">
        <v>211</v>
      </c>
      <c r="D90" s="422" t="s">
        <v>212</v>
      </c>
      <c r="E90" s="422" t="s">
        <v>213</v>
      </c>
      <c r="F90" s="422" t="s">
        <v>214</v>
      </c>
      <c r="G90" s="422" t="s">
        <v>215</v>
      </c>
      <c r="H90" s="422" t="s">
        <v>868</v>
      </c>
      <c r="I90" s="422" t="s">
        <v>881</v>
      </c>
      <c r="J90" s="422" t="s">
        <v>1110</v>
      </c>
      <c r="K90" s="422" t="s">
        <v>1112</v>
      </c>
      <c r="L90" s="422" t="s">
        <v>216</v>
      </c>
      <c r="M90" s="386"/>
      <c r="N90" s="422" t="s">
        <v>217</v>
      </c>
    </row>
    <row r="91" spans="2:14">
      <c r="B91" s="538" t="s">
        <v>869</v>
      </c>
      <c r="C91" s="539"/>
      <c r="D91" s="539"/>
      <c r="E91" s="539"/>
      <c r="F91" s="539"/>
      <c r="G91" s="539"/>
      <c r="H91" s="539"/>
      <c r="I91" s="539"/>
      <c r="J91" s="539"/>
      <c r="K91" s="539"/>
      <c r="L91" s="540"/>
      <c r="M91" s="537"/>
      <c r="N91" s="541"/>
    </row>
    <row r="92" spans="2:14">
      <c r="B92" s="542" t="s">
        <v>870</v>
      </c>
      <c r="C92" s="543"/>
      <c r="D92" s="543"/>
      <c r="E92" s="543"/>
      <c r="F92" s="543"/>
      <c r="G92" s="543"/>
      <c r="H92" s="543"/>
      <c r="I92" s="543"/>
      <c r="J92" s="543"/>
      <c r="K92" s="543"/>
      <c r="L92" s="544"/>
      <c r="M92" s="537"/>
      <c r="N92" s="545"/>
    </row>
    <row r="93" spans="2:14">
      <c r="B93" s="167" t="s">
        <v>218</v>
      </c>
      <c r="C93" s="33"/>
      <c r="D93" s="35">
        <v>425594626</v>
      </c>
      <c r="E93" s="35">
        <v>120301539</v>
      </c>
      <c r="F93" s="35">
        <v>269488711</v>
      </c>
      <c r="G93" s="35">
        <v>357757161</v>
      </c>
      <c r="H93" s="35">
        <v>244822345</v>
      </c>
      <c r="I93" s="35">
        <v>115441362</v>
      </c>
      <c r="J93" s="35">
        <v>174266926</v>
      </c>
      <c r="K93" s="47">
        <f t="shared" ref="K93:K98" si="4">J93-I93</f>
        <v>58825564</v>
      </c>
      <c r="L93" s="285">
        <f t="shared" ref="L93:L98" si="5">IF(I93=0,"-",(J93-I93)/ABS(I93))</f>
        <v>0.50957094563731842</v>
      </c>
      <c r="M93" s="575"/>
      <c r="N93" s="37" t="s">
        <v>219</v>
      </c>
    </row>
    <row r="94" spans="2:14">
      <c r="B94" s="168" t="s">
        <v>220</v>
      </c>
      <c r="C94" s="38"/>
      <c r="D94" s="40">
        <v>92548595</v>
      </c>
      <c r="E94" s="40">
        <v>93008823</v>
      </c>
      <c r="F94" s="40">
        <v>93705293</v>
      </c>
      <c r="G94" s="40">
        <v>94574157</v>
      </c>
      <c r="H94" s="40">
        <v>175907394</v>
      </c>
      <c r="I94" s="40">
        <v>77569331</v>
      </c>
      <c r="J94" s="40">
        <v>78270032</v>
      </c>
      <c r="K94" s="38">
        <f t="shared" si="4"/>
        <v>700701</v>
      </c>
      <c r="L94" s="286">
        <f t="shared" si="5"/>
        <v>9.0332221635378036E-3</v>
      </c>
      <c r="M94" s="575"/>
      <c r="N94" s="41" t="s">
        <v>221</v>
      </c>
    </row>
    <row r="95" spans="2:14">
      <c r="B95" s="169" t="s">
        <v>222</v>
      </c>
      <c r="C95" s="42"/>
      <c r="D95" s="43">
        <v>4922286580</v>
      </c>
      <c r="E95" s="43">
        <v>5157064970</v>
      </c>
      <c r="F95" s="43">
        <v>5088484812</v>
      </c>
      <c r="G95" s="43">
        <v>5045610659</v>
      </c>
      <c r="H95" s="43">
        <v>5144264271</v>
      </c>
      <c r="I95" s="43">
        <v>5297287438</v>
      </c>
      <c r="J95" s="43">
        <v>5218154960</v>
      </c>
      <c r="K95" s="287">
        <f t="shared" si="4"/>
        <v>-79132478</v>
      </c>
      <c r="L95" s="288">
        <f t="shared" si="5"/>
        <v>-1.4938301711238951E-2</v>
      </c>
      <c r="M95" s="575"/>
      <c r="N95" s="44" t="s">
        <v>223</v>
      </c>
    </row>
    <row r="96" spans="2:14">
      <c r="B96" s="168" t="s">
        <v>224</v>
      </c>
      <c r="C96" s="38"/>
      <c r="D96" s="40">
        <v>1590540829</v>
      </c>
      <c r="E96" s="40">
        <v>1797557189</v>
      </c>
      <c r="F96" s="40">
        <v>1690589814</v>
      </c>
      <c r="G96" s="40">
        <v>1612589704</v>
      </c>
      <c r="H96" s="40">
        <v>1675346692</v>
      </c>
      <c r="I96" s="40">
        <v>1799431102</v>
      </c>
      <c r="J96" s="40">
        <v>1688457915</v>
      </c>
      <c r="K96" s="38">
        <f t="shared" si="4"/>
        <v>-110973187</v>
      </c>
      <c r="L96" s="286">
        <f t="shared" si="5"/>
        <v>-6.167126203201527E-2</v>
      </c>
      <c r="M96" s="575"/>
      <c r="N96" s="41" t="s">
        <v>223</v>
      </c>
    </row>
    <row r="97" spans="2:14">
      <c r="B97" s="169" t="s">
        <v>225</v>
      </c>
      <c r="C97" s="42"/>
      <c r="D97" s="43">
        <v>3331745751</v>
      </c>
      <c r="E97" s="43">
        <v>3359507781</v>
      </c>
      <c r="F97" s="43">
        <v>3397894998</v>
      </c>
      <c r="G97" s="43">
        <v>3433020955</v>
      </c>
      <c r="H97" s="287">
        <f>H95-H96</f>
        <v>3468917579</v>
      </c>
      <c r="I97" s="287">
        <f>I95-I96</f>
        <v>3497856336</v>
      </c>
      <c r="J97" s="287">
        <f>J95-J96</f>
        <v>3529697045</v>
      </c>
      <c r="K97" s="287">
        <f t="shared" si="4"/>
        <v>31840709</v>
      </c>
      <c r="L97" s="288">
        <f t="shared" si="5"/>
        <v>9.102920743855273E-3</v>
      </c>
      <c r="M97" s="575"/>
      <c r="N97" s="44" t="s">
        <v>223</v>
      </c>
    </row>
    <row r="98" spans="2:14" ht="15" thickBot="1">
      <c r="B98" s="170" t="s">
        <v>226</v>
      </c>
      <c r="C98" s="45"/>
      <c r="D98" s="45">
        <f t="shared" ref="D98:I98" si="6">SUM(D93:D95)</f>
        <v>5440429801</v>
      </c>
      <c r="E98" s="45">
        <f t="shared" si="6"/>
        <v>5370375332</v>
      </c>
      <c r="F98" s="45">
        <f t="shared" si="6"/>
        <v>5451678816</v>
      </c>
      <c r="G98" s="45">
        <f t="shared" si="6"/>
        <v>5497941977</v>
      </c>
      <c r="H98" s="45">
        <f t="shared" si="6"/>
        <v>5564994010</v>
      </c>
      <c r="I98" s="45">
        <f t="shared" si="6"/>
        <v>5490298131</v>
      </c>
      <c r="J98" s="45">
        <f>SUM(J93:J95)</f>
        <v>5470691918</v>
      </c>
      <c r="K98" s="45">
        <f t="shared" si="4"/>
        <v>-19606213</v>
      </c>
      <c r="L98" s="289">
        <f t="shared" si="5"/>
        <v>-3.5710652740872078E-3</v>
      </c>
      <c r="M98" s="711"/>
      <c r="N98" s="46" t="s">
        <v>227</v>
      </c>
    </row>
    <row r="99" spans="2:14" ht="15" thickTop="1">
      <c r="B99" s="167"/>
      <c r="C99" s="47"/>
      <c r="D99" s="34"/>
      <c r="E99" s="34"/>
      <c r="F99" s="34"/>
      <c r="G99" s="34"/>
      <c r="H99" s="34"/>
      <c r="I99" s="34"/>
      <c r="J99" s="34"/>
      <c r="K99" s="34"/>
      <c r="L99" s="36"/>
      <c r="M99" s="575"/>
      <c r="N99" s="37"/>
    </row>
    <row r="100" spans="2:14">
      <c r="B100" s="546" t="s">
        <v>871</v>
      </c>
      <c r="C100" s="547"/>
      <c r="D100" s="547"/>
      <c r="E100" s="547"/>
      <c r="F100" s="547"/>
      <c r="G100" s="547"/>
      <c r="H100" s="547"/>
      <c r="I100" s="547"/>
      <c r="J100" s="547"/>
      <c r="K100" s="547"/>
      <c r="L100" s="548"/>
      <c r="M100" s="537"/>
      <c r="N100" s="549"/>
    </row>
    <row r="101" spans="2:14">
      <c r="B101" s="167" t="s">
        <v>228</v>
      </c>
      <c r="C101" s="47"/>
      <c r="D101" s="35">
        <v>216571954</v>
      </c>
      <c r="E101" s="35">
        <v>222840954</v>
      </c>
      <c r="F101" s="35">
        <v>223130002</v>
      </c>
      <c r="G101" s="35">
        <v>218182533</v>
      </c>
      <c r="H101" s="35">
        <v>225975514</v>
      </c>
      <c r="I101" s="35">
        <v>225975514</v>
      </c>
      <c r="J101" s="35">
        <v>225975514</v>
      </c>
      <c r="K101" s="47">
        <f>J101-I101</f>
        <v>0</v>
      </c>
      <c r="L101" s="285">
        <f>IF(I101=0,"-",(J101-I101)/ABS(I101))</f>
        <v>0</v>
      </c>
      <c r="M101" s="575"/>
      <c r="N101" s="37" t="s">
        <v>229</v>
      </c>
    </row>
    <row r="102" spans="2:14">
      <c r="B102" s="168" t="s">
        <v>230</v>
      </c>
      <c r="C102" s="38"/>
      <c r="D102" s="40">
        <v>410000000</v>
      </c>
      <c r="E102" s="40">
        <v>410000000</v>
      </c>
      <c r="F102" s="40">
        <v>410000000</v>
      </c>
      <c r="G102" s="40">
        <v>410000000</v>
      </c>
      <c r="H102" s="40">
        <v>410000000</v>
      </c>
      <c r="I102" s="40">
        <v>410000000</v>
      </c>
      <c r="J102" s="40">
        <v>410000000</v>
      </c>
      <c r="K102" s="38">
        <f>J102-I102</f>
        <v>0</v>
      </c>
      <c r="L102" s="286">
        <f>IF(I102=0,"-",(J102-I102)/ABS(I102))</f>
        <v>0</v>
      </c>
      <c r="M102" s="575"/>
      <c r="N102" s="41" t="s">
        <v>231</v>
      </c>
    </row>
    <row r="103" spans="2:14" ht="15" thickBot="1">
      <c r="B103" s="424" t="s">
        <v>232</v>
      </c>
      <c r="C103" s="425"/>
      <c r="D103" s="426">
        <f t="shared" ref="D103:I103" si="7">SUM(D101:D102)</f>
        <v>626571954</v>
      </c>
      <c r="E103" s="426">
        <f t="shared" si="7"/>
        <v>632840954</v>
      </c>
      <c r="F103" s="426">
        <f t="shared" si="7"/>
        <v>633130002</v>
      </c>
      <c r="G103" s="426">
        <f t="shared" si="7"/>
        <v>628182533</v>
      </c>
      <c r="H103" s="426">
        <f t="shared" si="7"/>
        <v>635975514</v>
      </c>
      <c r="I103" s="426">
        <f t="shared" si="7"/>
        <v>635975514</v>
      </c>
      <c r="J103" s="426">
        <f>SUM(J101:J102)</f>
        <v>635975514</v>
      </c>
      <c r="K103" s="426">
        <f>J103-I103</f>
        <v>0</v>
      </c>
      <c r="L103" s="427">
        <f>IF(I103=0,"-",(J103-I103)/ABS(I103))</f>
        <v>0</v>
      </c>
      <c r="M103" s="580"/>
      <c r="N103" s="428" t="s">
        <v>227</v>
      </c>
    </row>
    <row r="104" spans="2:14" ht="15.6" thickTop="1" thickBot="1">
      <c r="B104" s="429" t="s">
        <v>233</v>
      </c>
      <c r="C104" s="430"/>
      <c r="D104" s="431">
        <f t="shared" ref="D104:I104" si="8">SUM(D98,D103)</f>
        <v>6067001755</v>
      </c>
      <c r="E104" s="431">
        <f t="shared" si="8"/>
        <v>6003216286</v>
      </c>
      <c r="F104" s="431">
        <f t="shared" si="8"/>
        <v>6084808818</v>
      </c>
      <c r="G104" s="431">
        <f t="shared" si="8"/>
        <v>6126124510</v>
      </c>
      <c r="H104" s="431">
        <f t="shared" si="8"/>
        <v>6200969524</v>
      </c>
      <c r="I104" s="431">
        <f t="shared" si="8"/>
        <v>6126273645</v>
      </c>
      <c r="J104" s="431">
        <f>SUM(J98,J103)</f>
        <v>6106667432</v>
      </c>
      <c r="K104" s="431">
        <f>J104-I104</f>
        <v>-19606213</v>
      </c>
      <c r="L104" s="432">
        <f>IF(I104=0,"-",(J104-I104)/ABS(I104))</f>
        <v>-3.2003488802694515E-3</v>
      </c>
      <c r="M104" s="712"/>
      <c r="N104" s="433" t="s">
        <v>234</v>
      </c>
    </row>
    <row r="105" spans="2:14" ht="15" thickTop="1">
      <c r="B105" s="167"/>
      <c r="C105" s="47"/>
      <c r="D105" s="34"/>
      <c r="E105" s="34"/>
      <c r="F105" s="34"/>
      <c r="G105" s="34"/>
      <c r="H105" s="34"/>
      <c r="I105" s="34"/>
      <c r="J105" s="34"/>
      <c r="K105" s="34"/>
      <c r="L105" s="36"/>
      <c r="M105" s="575"/>
      <c r="N105" s="37"/>
    </row>
    <row r="106" spans="2:14">
      <c r="B106" s="546" t="s">
        <v>872</v>
      </c>
      <c r="C106" s="547"/>
      <c r="D106" s="547"/>
      <c r="E106" s="547"/>
      <c r="F106" s="547"/>
      <c r="G106" s="547"/>
      <c r="H106" s="547"/>
      <c r="I106" s="547"/>
      <c r="J106" s="547"/>
      <c r="K106" s="547"/>
      <c r="L106" s="548"/>
      <c r="M106" s="537"/>
      <c r="N106" s="549"/>
    </row>
    <row r="107" spans="2:14">
      <c r="B107" s="546" t="s">
        <v>873</v>
      </c>
      <c r="C107" s="547"/>
      <c r="D107" s="547"/>
      <c r="E107" s="547"/>
      <c r="F107" s="547"/>
      <c r="G107" s="547"/>
      <c r="H107" s="547"/>
      <c r="I107" s="547"/>
      <c r="J107" s="547"/>
      <c r="K107" s="547"/>
      <c r="L107" s="548"/>
      <c r="M107" s="537"/>
      <c r="N107" s="549"/>
    </row>
    <row r="108" spans="2:14">
      <c r="B108" s="168" t="s">
        <v>235</v>
      </c>
      <c r="C108" s="38"/>
      <c r="D108" s="40">
        <v>72783461</v>
      </c>
      <c r="E108" s="40">
        <v>101365099</v>
      </c>
      <c r="F108" s="40">
        <v>104189980</v>
      </c>
      <c r="G108" s="40">
        <v>112563470</v>
      </c>
      <c r="H108" s="40">
        <v>99589767</v>
      </c>
      <c r="I108" s="40">
        <v>83503947</v>
      </c>
      <c r="J108" s="40">
        <v>104555195</v>
      </c>
      <c r="K108" s="38">
        <f t="shared" ref="K108:K114" si="9">J108-I108</f>
        <v>21051248</v>
      </c>
      <c r="L108" s="286">
        <f t="shared" ref="L108:L114" si="10">IF(I108=0,"-",(J108-I108)/ABS(I108))</f>
        <v>0.25209883791481136</v>
      </c>
      <c r="M108" s="575"/>
      <c r="N108" s="41" t="s">
        <v>236</v>
      </c>
    </row>
    <row r="109" spans="2:14">
      <c r="B109" s="167" t="s">
        <v>237</v>
      </c>
      <c r="C109" s="33"/>
      <c r="D109" s="35">
        <v>502128241</v>
      </c>
      <c r="E109" s="35">
        <v>493782297</v>
      </c>
      <c r="F109" s="35">
        <v>571037565</v>
      </c>
      <c r="G109" s="35">
        <v>563841763</v>
      </c>
      <c r="H109" s="35">
        <v>502311050</v>
      </c>
      <c r="I109" s="35">
        <v>483390906</v>
      </c>
      <c r="J109" s="47">
        <f>SUM(J110:J111)</f>
        <v>403760304</v>
      </c>
      <c r="K109" s="47">
        <f t="shared" si="9"/>
        <v>-79630602</v>
      </c>
      <c r="L109" s="285">
        <f t="shared" si="10"/>
        <v>-0.16473334730049721</v>
      </c>
      <c r="M109" s="575"/>
      <c r="N109" s="37" t="s">
        <v>238</v>
      </c>
    </row>
    <row r="110" spans="2:14">
      <c r="B110" s="169" t="s">
        <v>874</v>
      </c>
      <c r="C110" s="43">
        <v>544703000</v>
      </c>
      <c r="D110" s="43">
        <v>496565120</v>
      </c>
      <c r="E110" s="43">
        <v>476073840.19999999</v>
      </c>
      <c r="F110" s="43">
        <v>555649841</v>
      </c>
      <c r="G110" s="43">
        <v>547636362</v>
      </c>
      <c r="H110" s="43">
        <v>500381050</v>
      </c>
      <c r="I110" s="43">
        <v>469974009</v>
      </c>
      <c r="J110" s="43">
        <v>384931931</v>
      </c>
      <c r="K110" s="287">
        <f t="shared" si="9"/>
        <v>-85042078</v>
      </c>
      <c r="L110" s="288">
        <f t="shared" si="10"/>
        <v>-0.18095059805743427</v>
      </c>
      <c r="M110" s="575"/>
      <c r="N110" s="44" t="s">
        <v>236</v>
      </c>
    </row>
    <row r="111" spans="2:14">
      <c r="B111" s="167" t="s">
        <v>875</v>
      </c>
      <c r="C111" s="47"/>
      <c r="D111" s="47">
        <f t="shared" ref="D111:I111" si="11">D109-D110</f>
        <v>5563121</v>
      </c>
      <c r="E111" s="47">
        <f t="shared" si="11"/>
        <v>17708456.800000012</v>
      </c>
      <c r="F111" s="47">
        <f t="shared" si="11"/>
        <v>15387724</v>
      </c>
      <c r="G111" s="47">
        <f t="shared" si="11"/>
        <v>16205401</v>
      </c>
      <c r="H111" s="47">
        <f t="shared" si="11"/>
        <v>1930000</v>
      </c>
      <c r="I111" s="47">
        <f t="shared" si="11"/>
        <v>13416897</v>
      </c>
      <c r="J111" s="35">
        <v>18828373</v>
      </c>
      <c r="K111" s="47">
        <f t="shared" si="9"/>
        <v>5411476</v>
      </c>
      <c r="L111" s="285">
        <f t="shared" si="10"/>
        <v>0.40333290178794695</v>
      </c>
      <c r="M111" s="575"/>
      <c r="N111" s="37" t="s">
        <v>236</v>
      </c>
    </row>
    <row r="112" spans="2:14">
      <c r="B112" s="155" t="s">
        <v>239</v>
      </c>
      <c r="C112" s="38"/>
      <c r="D112" s="40">
        <v>14350080</v>
      </c>
      <c r="E112" s="40">
        <v>1791700</v>
      </c>
      <c r="F112" s="40">
        <v>25570584</v>
      </c>
      <c r="G112" s="40">
        <v>24496645</v>
      </c>
      <c r="H112" s="40">
        <v>22513416</v>
      </c>
      <c r="I112" s="40">
        <v>23325495</v>
      </c>
      <c r="J112" s="40">
        <v>19229474</v>
      </c>
      <c r="K112" s="38">
        <f t="shared" si="9"/>
        <v>-4096021</v>
      </c>
      <c r="L112" s="286">
        <f t="shared" si="10"/>
        <v>-0.17560274712283705</v>
      </c>
      <c r="M112" s="575"/>
      <c r="N112" s="41" t="s">
        <v>236</v>
      </c>
    </row>
    <row r="113" spans="2:14">
      <c r="B113" s="171" t="s">
        <v>240</v>
      </c>
      <c r="C113" s="48"/>
      <c r="D113" s="49">
        <v>344307623</v>
      </c>
      <c r="E113" s="49">
        <v>241683051</v>
      </c>
      <c r="F113" s="49">
        <v>236353731</v>
      </c>
      <c r="G113" s="49">
        <v>271532869</v>
      </c>
      <c r="H113" s="49">
        <v>320296862</v>
      </c>
      <c r="I113" s="49">
        <v>247533920</v>
      </c>
      <c r="J113" s="49">
        <v>265675229</v>
      </c>
      <c r="K113" s="290">
        <f t="shared" si="9"/>
        <v>18141309</v>
      </c>
      <c r="L113" s="291">
        <f t="shared" si="10"/>
        <v>7.3288174000557177E-2</v>
      </c>
      <c r="M113" s="575"/>
      <c r="N113" s="50" t="s">
        <v>236</v>
      </c>
    </row>
    <row r="114" spans="2:14" ht="15" thickBot="1">
      <c r="B114" s="172" t="s">
        <v>241</v>
      </c>
      <c r="C114" s="51"/>
      <c r="D114" s="51">
        <f t="shared" ref="D114:I114" si="12">SUM(D108:D109,D112:D113)</f>
        <v>933569405</v>
      </c>
      <c r="E114" s="51">
        <f t="shared" si="12"/>
        <v>838622147</v>
      </c>
      <c r="F114" s="51">
        <f t="shared" si="12"/>
        <v>937151860</v>
      </c>
      <c r="G114" s="51">
        <f t="shared" si="12"/>
        <v>972434747</v>
      </c>
      <c r="H114" s="51">
        <f t="shared" si="12"/>
        <v>944711095</v>
      </c>
      <c r="I114" s="51">
        <f t="shared" si="12"/>
        <v>837754268</v>
      </c>
      <c r="J114" s="51">
        <f>SUM(J108:J109,J112:J113)</f>
        <v>793220202</v>
      </c>
      <c r="K114" s="51">
        <f t="shared" si="9"/>
        <v>-44534066</v>
      </c>
      <c r="L114" s="292">
        <f t="shared" si="10"/>
        <v>-5.3158864957283634E-2</v>
      </c>
      <c r="M114" s="713"/>
      <c r="N114" s="52" t="s">
        <v>227</v>
      </c>
    </row>
    <row r="115" spans="2:14" ht="15" thickTop="1">
      <c r="B115" s="546" t="s">
        <v>876</v>
      </c>
      <c r="C115" s="547"/>
      <c r="D115" s="547"/>
      <c r="E115" s="547"/>
      <c r="F115" s="547"/>
      <c r="G115" s="547"/>
      <c r="H115" s="547"/>
      <c r="I115" s="550"/>
      <c r="J115" s="550"/>
      <c r="K115" s="551"/>
      <c r="L115" s="552"/>
      <c r="M115" s="537"/>
      <c r="N115" s="537"/>
    </row>
    <row r="116" spans="2:14">
      <c r="B116" s="168" t="s">
        <v>242</v>
      </c>
      <c r="C116" s="38"/>
      <c r="D116" s="40">
        <v>2645015181</v>
      </c>
      <c r="E116" s="40">
        <v>2622128056</v>
      </c>
      <c r="F116" s="40">
        <v>2643128881</v>
      </c>
      <c r="G116" s="40">
        <v>2648455481</v>
      </c>
      <c r="H116" s="40">
        <v>2642649181</v>
      </c>
      <c r="I116" s="53">
        <v>2641566481</v>
      </c>
      <c r="J116" s="53">
        <v>2641787281</v>
      </c>
      <c r="K116" s="714">
        <f>J116-I116</f>
        <v>220800</v>
      </c>
      <c r="L116" s="55">
        <f>IF(I116=0,"-",(J116-I116)/ABS(I116))</f>
        <v>8.3586766257123774E-5</v>
      </c>
      <c r="M116" s="575"/>
      <c r="N116" s="187" t="s">
        <v>236</v>
      </c>
    </row>
    <row r="117" spans="2:14" ht="15" thickBot="1">
      <c r="B117" s="434" t="s">
        <v>877</v>
      </c>
      <c r="C117" s="435"/>
      <c r="D117" s="435">
        <f t="shared" ref="D117:I117" si="13">D116</f>
        <v>2645015181</v>
      </c>
      <c r="E117" s="435">
        <f t="shared" si="13"/>
        <v>2622128056</v>
      </c>
      <c r="F117" s="435">
        <f t="shared" si="13"/>
        <v>2643128881</v>
      </c>
      <c r="G117" s="715">
        <f t="shared" si="13"/>
        <v>2648455481</v>
      </c>
      <c r="H117" s="436">
        <f t="shared" si="13"/>
        <v>2642649181</v>
      </c>
      <c r="I117" s="436">
        <f t="shared" si="13"/>
        <v>2641566481</v>
      </c>
      <c r="J117" s="436">
        <f>J116</f>
        <v>2641787281</v>
      </c>
      <c r="K117" s="715">
        <f>J117-I117</f>
        <v>220800</v>
      </c>
      <c r="L117" s="437">
        <f>IF(I117=0,"-",(J117-I117)/ABS(I117))</f>
        <v>8.3586766257123774E-5</v>
      </c>
      <c r="M117" s="580"/>
      <c r="N117" s="716" t="s">
        <v>227</v>
      </c>
    </row>
    <row r="118" spans="2:14" ht="15.6" thickTop="1" thickBot="1">
      <c r="B118" s="438" t="s">
        <v>243</v>
      </c>
      <c r="C118" s="439"/>
      <c r="D118" s="440">
        <f t="shared" ref="D118:I118" si="14">SUM(D114,D117)</f>
        <v>3578584586</v>
      </c>
      <c r="E118" s="440">
        <f t="shared" si="14"/>
        <v>3460750203</v>
      </c>
      <c r="F118" s="440">
        <f t="shared" si="14"/>
        <v>3580280741</v>
      </c>
      <c r="G118" s="717">
        <f t="shared" si="14"/>
        <v>3620890228</v>
      </c>
      <c r="H118" s="441">
        <f t="shared" si="14"/>
        <v>3587360276</v>
      </c>
      <c r="I118" s="441">
        <f t="shared" si="14"/>
        <v>3479320749</v>
      </c>
      <c r="J118" s="441">
        <f>SUM(J114,J117)</f>
        <v>3435007483</v>
      </c>
      <c r="K118" s="717">
        <f>J118-I118</f>
        <v>-44313266</v>
      </c>
      <c r="L118" s="442">
        <f>IF(I118=0,"-",(J118-I118)/ABS(I118))</f>
        <v>-1.2736183064678984E-2</v>
      </c>
      <c r="M118" s="712"/>
      <c r="N118" s="718" t="s">
        <v>227</v>
      </c>
    </row>
    <row r="119" spans="2:14" ht="15" thickTop="1">
      <c r="B119" s="168"/>
      <c r="C119" s="38"/>
      <c r="D119" s="38"/>
      <c r="E119" s="38"/>
      <c r="F119" s="38"/>
      <c r="G119" s="719"/>
      <c r="H119" s="719"/>
      <c r="I119" s="719"/>
      <c r="J119" s="719"/>
      <c r="K119" s="719"/>
      <c r="L119" s="720"/>
      <c r="M119" s="575"/>
      <c r="N119" s="575"/>
    </row>
    <row r="120" spans="2:14">
      <c r="B120" s="546" t="s">
        <v>251</v>
      </c>
      <c r="C120" s="553"/>
      <c r="D120" s="551"/>
      <c r="E120" s="551"/>
      <c r="F120" s="551"/>
      <c r="G120" s="551"/>
      <c r="H120" s="551"/>
      <c r="I120" s="551"/>
      <c r="J120" s="551"/>
      <c r="K120" s="551"/>
      <c r="L120" s="552"/>
      <c r="M120" s="537"/>
      <c r="N120" s="537"/>
    </row>
    <row r="121" spans="2:14">
      <c r="B121" s="155" t="s">
        <v>244</v>
      </c>
      <c r="C121" s="54"/>
      <c r="D121" s="721">
        <v>1210339000</v>
      </c>
      <c r="E121" s="721">
        <v>1210339000</v>
      </c>
      <c r="F121" s="721">
        <v>1210339000</v>
      </c>
      <c r="G121" s="721">
        <v>1210339000</v>
      </c>
      <c r="H121" s="721">
        <v>1210339000</v>
      </c>
      <c r="I121" s="721">
        <v>1210339000</v>
      </c>
      <c r="J121" s="721">
        <v>1210339000</v>
      </c>
      <c r="K121" s="714">
        <f>J121-I121</f>
        <v>0</v>
      </c>
      <c r="L121" s="55">
        <f>IF(I121=0,"-",(J121-I121)/ABS(I121))</f>
        <v>0</v>
      </c>
      <c r="M121" s="575"/>
      <c r="N121" s="575" t="s">
        <v>245</v>
      </c>
    </row>
    <row r="122" spans="2:14">
      <c r="B122" s="155" t="s">
        <v>246</v>
      </c>
      <c r="C122" s="54"/>
      <c r="D122" s="721">
        <v>1278078168</v>
      </c>
      <c r="E122" s="721">
        <v>1332127083</v>
      </c>
      <c r="F122" s="721">
        <v>1294189077</v>
      </c>
      <c r="G122" s="721">
        <v>1294895280</v>
      </c>
      <c r="H122" s="721">
        <v>1403270248</v>
      </c>
      <c r="I122" s="721">
        <v>1436613897</v>
      </c>
      <c r="J122" s="721">
        <v>1461320949</v>
      </c>
      <c r="K122" s="714">
        <f>J122-I122</f>
        <v>24707052</v>
      </c>
      <c r="L122" s="55">
        <f>IF(I122=0,"-",(J122-I122)/ABS(I122))</f>
        <v>1.7198115688282251E-2</v>
      </c>
      <c r="M122" s="575"/>
      <c r="N122" s="575" t="s">
        <v>245</v>
      </c>
    </row>
    <row r="123" spans="2:14" ht="15" thickBot="1">
      <c r="B123" s="434" t="s">
        <v>247</v>
      </c>
      <c r="C123" s="444"/>
      <c r="D123" s="715">
        <f t="shared" ref="D123:I123" si="15">SUM(D121:D122)</f>
        <v>2488417168</v>
      </c>
      <c r="E123" s="715">
        <f t="shared" si="15"/>
        <v>2542466083</v>
      </c>
      <c r="F123" s="715">
        <f t="shared" si="15"/>
        <v>2504528077</v>
      </c>
      <c r="G123" s="715">
        <f t="shared" si="15"/>
        <v>2505234280</v>
      </c>
      <c r="H123" s="715">
        <f t="shared" si="15"/>
        <v>2613609248</v>
      </c>
      <c r="I123" s="715">
        <f t="shared" si="15"/>
        <v>2646952897</v>
      </c>
      <c r="J123" s="715">
        <f>SUM(J121:J122)</f>
        <v>2671659949</v>
      </c>
      <c r="K123" s="715">
        <f>J123-I123</f>
        <v>24707052</v>
      </c>
      <c r="L123" s="437">
        <f>IF(I123=0,"-",(J123-I123)/ABS(I123))</f>
        <v>9.3341487217254403E-3</v>
      </c>
      <c r="M123" s="580"/>
      <c r="N123" s="716" t="s">
        <v>227</v>
      </c>
    </row>
    <row r="124" spans="2:14" ht="15.6" thickTop="1" thickBot="1">
      <c r="B124" s="445" t="s">
        <v>248</v>
      </c>
      <c r="C124" s="446"/>
      <c r="D124" s="717">
        <f t="shared" ref="D124:I124" si="16">SUM(D118,D123)</f>
        <v>6067001754</v>
      </c>
      <c r="E124" s="717">
        <f t="shared" si="16"/>
        <v>6003216286</v>
      </c>
      <c r="F124" s="717">
        <f t="shared" si="16"/>
        <v>6084808818</v>
      </c>
      <c r="G124" s="717">
        <f t="shared" si="16"/>
        <v>6126124508</v>
      </c>
      <c r="H124" s="717">
        <f t="shared" si="16"/>
        <v>6200969524</v>
      </c>
      <c r="I124" s="717">
        <f t="shared" si="16"/>
        <v>6126273646</v>
      </c>
      <c r="J124" s="717">
        <f>SUM(J118,J123)</f>
        <v>6106667432</v>
      </c>
      <c r="K124" s="717">
        <f>J124-I124</f>
        <v>-19606214</v>
      </c>
      <c r="L124" s="447">
        <f>IF(I124=0,"-",(J124-I124)/ABS(I124))</f>
        <v>-3.2003490429784176E-3</v>
      </c>
      <c r="M124" s="712"/>
      <c r="N124" s="718" t="s">
        <v>227</v>
      </c>
    </row>
    <row r="125" spans="2:14" ht="15.6" thickTop="1" thickBot="1">
      <c r="B125" s="173" t="s">
        <v>249</v>
      </c>
      <c r="C125" s="56"/>
      <c r="D125" s="722">
        <f t="shared" ref="D125:I125" si="17">IF(ABS(D104-D124)&lt;=2,0,D104-D124)</f>
        <v>0</v>
      </c>
      <c r="E125" s="722">
        <f t="shared" si="17"/>
        <v>0</v>
      </c>
      <c r="F125" s="722">
        <f t="shared" si="17"/>
        <v>0</v>
      </c>
      <c r="G125" s="722">
        <f t="shared" si="17"/>
        <v>0</v>
      </c>
      <c r="H125" s="722">
        <f t="shared" si="17"/>
        <v>0</v>
      </c>
      <c r="I125" s="722">
        <f t="shared" si="17"/>
        <v>0</v>
      </c>
      <c r="J125" s="722">
        <f>IF(ABS(J104-J124)&lt;=2,0,J104-J124)</f>
        <v>0</v>
      </c>
      <c r="K125" s="723"/>
      <c r="L125" s="57"/>
      <c r="M125" s="575"/>
      <c r="N125" s="724" t="s">
        <v>250</v>
      </c>
    </row>
    <row r="129" spans="2:14">
      <c r="B129" s="421" t="s">
        <v>1116</v>
      </c>
      <c r="C129" s="421"/>
      <c r="D129" s="421"/>
      <c r="E129" s="421"/>
      <c r="F129" s="421"/>
      <c r="G129" s="443"/>
      <c r="H129" s="389"/>
      <c r="I129" s="389"/>
      <c r="J129" s="389"/>
      <c r="K129" s="389"/>
      <c r="L129" s="389"/>
      <c r="M129" s="389"/>
      <c r="N129" s="389"/>
    </row>
    <row r="130" spans="2:14">
      <c r="B130" s="155"/>
      <c r="C130" s="54"/>
      <c r="D130" s="575"/>
      <c r="E130" s="575"/>
      <c r="F130" s="575"/>
      <c r="G130" s="575"/>
      <c r="H130" s="575"/>
      <c r="I130" s="575"/>
      <c r="J130" s="575"/>
      <c r="K130" s="575"/>
      <c r="L130" s="575"/>
      <c r="M130" s="575"/>
      <c r="N130" s="575"/>
    </row>
    <row r="131" spans="2:14" ht="30" customHeight="1">
      <c r="B131" s="423" t="s">
        <v>210</v>
      </c>
      <c r="C131" s="422" t="s">
        <v>211</v>
      </c>
      <c r="D131" s="422" t="s">
        <v>212</v>
      </c>
      <c r="E131" s="422" t="s">
        <v>213</v>
      </c>
      <c r="F131" s="422" t="s">
        <v>214</v>
      </c>
      <c r="G131" s="422" t="s">
        <v>215</v>
      </c>
      <c r="H131" s="422" t="s">
        <v>868</v>
      </c>
      <c r="I131" s="422" t="s">
        <v>881</v>
      </c>
      <c r="J131" s="422" t="s">
        <v>1110</v>
      </c>
      <c r="K131" s="422" t="s">
        <v>1112</v>
      </c>
      <c r="L131" s="422" t="s">
        <v>216</v>
      </c>
      <c r="M131" s="386" t="s">
        <v>880</v>
      </c>
      <c r="N131" s="386" t="s">
        <v>1111</v>
      </c>
    </row>
    <row r="132" spans="2:14">
      <c r="B132" s="174" t="s">
        <v>252</v>
      </c>
      <c r="C132" s="293">
        <f t="shared" ref="C132:H132" si="18">SUM(C133:C134)</f>
        <v>7968872000</v>
      </c>
      <c r="D132" s="725">
        <f t="shared" si="18"/>
        <v>612247701</v>
      </c>
      <c r="E132" s="725">
        <f t="shared" si="18"/>
        <v>744218137</v>
      </c>
      <c r="F132" s="726">
        <f t="shared" si="18"/>
        <v>787041187</v>
      </c>
      <c r="G132" s="294">
        <f t="shared" si="18"/>
        <v>750867662</v>
      </c>
      <c r="H132" s="294">
        <f t="shared" si="18"/>
        <v>826514746</v>
      </c>
      <c r="I132" s="294">
        <f>SUM(I133:I134)</f>
        <v>751453314</v>
      </c>
      <c r="J132" s="294">
        <f>SUM(J133:J134)</f>
        <v>679890552</v>
      </c>
      <c r="K132" s="294">
        <f>J132-I132</f>
        <v>-71562762</v>
      </c>
      <c r="L132" s="295">
        <f>IF(I132=0,"-",(J132-I132)/ABS(I132))</f>
        <v>-9.5232479073210932E-2</v>
      </c>
      <c r="M132" s="647">
        <f>SUM(M133:M134)</f>
        <v>4472342747</v>
      </c>
      <c r="N132" s="647">
        <f>SUM(N133:N134)</f>
        <v>5152233299</v>
      </c>
    </row>
    <row r="133" spans="2:14">
      <c r="B133" s="168" t="s">
        <v>253</v>
      </c>
      <c r="C133" s="40">
        <v>8560432000</v>
      </c>
      <c r="D133" s="727">
        <v>689690890</v>
      </c>
      <c r="E133" s="727">
        <v>744218137</v>
      </c>
      <c r="F133" s="728">
        <v>839105106</v>
      </c>
      <c r="G133" s="296">
        <v>819197300</v>
      </c>
      <c r="H133" s="296">
        <v>881948086</v>
      </c>
      <c r="I133" s="297">
        <f>M133-SUM(D133:H133)</f>
        <v>929451219</v>
      </c>
      <c r="J133" s="297">
        <f>N133-SUM(D133:I133)</f>
        <v>711900651</v>
      </c>
      <c r="K133" s="297">
        <f>J133-I133</f>
        <v>-217550568</v>
      </c>
      <c r="L133" s="298">
        <f>IF(I133=0,"-",(J133-I133)/ABS(I133))</f>
        <v>-0.23406345976291629</v>
      </c>
      <c r="M133" s="320">
        <v>4903610738</v>
      </c>
      <c r="N133" s="320">
        <v>5615511389</v>
      </c>
    </row>
    <row r="134" spans="2:14">
      <c r="B134" s="167" t="s">
        <v>254</v>
      </c>
      <c r="C134" s="35">
        <v>-591560000</v>
      </c>
      <c r="D134" s="40">
        <v>-77443189</v>
      </c>
      <c r="E134" s="40">
        <v>0</v>
      </c>
      <c r="F134" s="729">
        <v>-52063919</v>
      </c>
      <c r="G134" s="299">
        <v>-68329638</v>
      </c>
      <c r="H134" s="299">
        <v>-55433340</v>
      </c>
      <c r="I134" s="300">
        <f>M134-SUM(D134:H134)</f>
        <v>-177997905</v>
      </c>
      <c r="J134" s="300">
        <f>N134-SUM(D134:I134)</f>
        <v>-32010099</v>
      </c>
      <c r="K134" s="300">
        <f>J134-I134</f>
        <v>145987806</v>
      </c>
      <c r="L134" s="301">
        <f>IF(I134=0,"-",(J134-I134)/ABS(I134))</f>
        <v>0.82016586655893509</v>
      </c>
      <c r="M134" s="320">
        <v>-431267991</v>
      </c>
      <c r="N134" s="320">
        <v>-463278090</v>
      </c>
    </row>
    <row r="135" spans="2:14">
      <c r="B135" s="175" t="s">
        <v>255</v>
      </c>
      <c r="C135" s="302">
        <v>3795959000</v>
      </c>
      <c r="D135" s="730">
        <v>238535794</v>
      </c>
      <c r="E135" s="730">
        <v>343308791</v>
      </c>
      <c r="F135" s="730">
        <v>455639201</v>
      </c>
      <c r="G135" s="730">
        <v>379273594</v>
      </c>
      <c r="H135" s="730">
        <v>355470523</v>
      </c>
      <c r="I135" s="731">
        <f>M135-SUM(D135:H135)</f>
        <v>348477606</v>
      </c>
      <c r="J135" s="731">
        <f>N135-SUM(D135:I135)</f>
        <v>321917838</v>
      </c>
      <c r="K135" s="731">
        <f>J135-I135</f>
        <v>-26559768</v>
      </c>
      <c r="L135" s="732">
        <f>IF(I135=0,"-",(J135-I135)/ABS(I135))</f>
        <v>-7.6216570427196983E-2</v>
      </c>
      <c r="M135" s="320">
        <v>2120705509</v>
      </c>
      <c r="N135" s="320">
        <v>2442623347</v>
      </c>
    </row>
    <row r="136" spans="2:14">
      <c r="B136" s="168"/>
      <c r="C136" s="38"/>
      <c r="D136" s="39"/>
      <c r="E136" s="39"/>
      <c r="F136" s="733"/>
      <c r="G136" s="60"/>
      <c r="H136" s="60"/>
      <c r="I136" s="60"/>
      <c r="J136" s="60"/>
      <c r="K136" s="60"/>
      <c r="L136" s="61"/>
      <c r="M136" s="575"/>
      <c r="N136" s="575"/>
    </row>
    <row r="137" spans="2:14">
      <c r="B137" s="176" t="s">
        <v>256</v>
      </c>
      <c r="C137" s="303">
        <f t="shared" ref="C137:H137" si="19">C132-C135</f>
        <v>4172913000</v>
      </c>
      <c r="D137" s="725">
        <f t="shared" si="19"/>
        <v>373711907</v>
      </c>
      <c r="E137" s="725">
        <f t="shared" si="19"/>
        <v>400909346</v>
      </c>
      <c r="F137" s="726">
        <f t="shared" si="19"/>
        <v>331401986</v>
      </c>
      <c r="G137" s="304">
        <f t="shared" si="19"/>
        <v>371594068</v>
      </c>
      <c r="H137" s="304">
        <f t="shared" si="19"/>
        <v>471044223</v>
      </c>
      <c r="I137" s="304">
        <f>I132-I135</f>
        <v>402975708</v>
      </c>
      <c r="J137" s="304">
        <f>J132-J135</f>
        <v>357972714</v>
      </c>
      <c r="K137" s="304">
        <f>J137-I137</f>
        <v>-45002994</v>
      </c>
      <c r="L137" s="305">
        <f>IF(I137=0,"-",(J137-I137)/ABS(I137))</f>
        <v>-0.11167669193598141</v>
      </c>
      <c r="M137" s="647">
        <f>M132-M135</f>
        <v>2351637238</v>
      </c>
      <c r="N137" s="647">
        <f>N132-N135</f>
        <v>2709609952</v>
      </c>
    </row>
    <row r="138" spans="2:14">
      <c r="B138" s="155"/>
      <c r="C138" s="38"/>
      <c r="D138" s="734"/>
      <c r="E138" s="734"/>
      <c r="F138" s="735"/>
      <c r="G138" s="60"/>
      <c r="H138" s="60"/>
      <c r="I138" s="60"/>
      <c r="J138" s="60"/>
      <c r="K138" s="60"/>
      <c r="L138" s="61"/>
      <c r="M138" s="575"/>
      <c r="N138" s="575"/>
    </row>
    <row r="139" spans="2:14">
      <c r="B139" s="175" t="s">
        <v>257</v>
      </c>
      <c r="C139" s="302">
        <v>1545956000</v>
      </c>
      <c r="D139" s="306">
        <v>98722435</v>
      </c>
      <c r="E139" s="306">
        <v>105633472</v>
      </c>
      <c r="F139" s="306">
        <v>141811865</v>
      </c>
      <c r="G139" s="306">
        <v>114280887</v>
      </c>
      <c r="H139" s="306">
        <v>116808824</v>
      </c>
      <c r="I139" s="307">
        <f>M139-SUM(D139:H139)</f>
        <v>112288693</v>
      </c>
      <c r="J139" s="307">
        <f>N139-SUM(D139:I139)</f>
        <v>107932742</v>
      </c>
      <c r="K139" s="307">
        <f>J139-I139</f>
        <v>-4355951</v>
      </c>
      <c r="L139" s="308">
        <f>IF(I139=0,"-",(J139-I139)/ABS(I139))</f>
        <v>-3.8792427657876473E-2</v>
      </c>
      <c r="M139" s="320">
        <v>689546176</v>
      </c>
      <c r="N139" s="320">
        <v>797478918</v>
      </c>
    </row>
    <row r="140" spans="2:14">
      <c r="B140" s="167"/>
      <c r="C140" s="33"/>
      <c r="D140" s="39"/>
      <c r="E140" s="39"/>
      <c r="F140" s="733"/>
      <c r="G140" s="58"/>
      <c r="H140" s="58"/>
      <c r="I140" s="58"/>
      <c r="J140" s="58"/>
      <c r="K140" s="58"/>
      <c r="L140" s="59"/>
      <c r="M140" s="575"/>
      <c r="N140" s="575"/>
    </row>
    <row r="141" spans="2:14">
      <c r="B141" s="155" t="s">
        <v>258</v>
      </c>
      <c r="C141" s="40">
        <v>1290488000</v>
      </c>
      <c r="D141" s="40">
        <v>73409852</v>
      </c>
      <c r="E141" s="40">
        <v>75509638</v>
      </c>
      <c r="F141" s="729">
        <v>72217138</v>
      </c>
      <c r="G141" s="53">
        <v>122384514</v>
      </c>
      <c r="H141" s="53">
        <v>120992711</v>
      </c>
      <c r="I141" s="66">
        <f>M141-SUM(D141:H141)</f>
        <v>108908060</v>
      </c>
      <c r="J141" s="66">
        <f>N141-SUM(D141:I141)</f>
        <v>102936374</v>
      </c>
      <c r="K141" s="66">
        <f>J141-I141</f>
        <v>-5971686</v>
      </c>
      <c r="L141" s="309">
        <f>IF(I141=0,"-",(J141-I141)/ABS(I141))</f>
        <v>-5.4832360433194755E-2</v>
      </c>
      <c r="M141" s="320">
        <v>573421913</v>
      </c>
      <c r="N141" s="320">
        <v>676358287</v>
      </c>
    </row>
    <row r="142" spans="2:14">
      <c r="B142" s="175" t="s">
        <v>259</v>
      </c>
      <c r="C142" s="302">
        <v>2481297000</v>
      </c>
      <c r="D142" s="306">
        <v>131600259</v>
      </c>
      <c r="E142" s="306">
        <v>173632204</v>
      </c>
      <c r="F142" s="306">
        <v>139615776</v>
      </c>
      <c r="G142" s="306">
        <v>130090415</v>
      </c>
      <c r="H142" s="306">
        <v>120233213</v>
      </c>
      <c r="I142" s="307">
        <f>M142-SUM(D142:H142)</f>
        <v>146803460</v>
      </c>
      <c r="J142" s="307">
        <f>N142-SUM(D142:I142)</f>
        <v>117761236</v>
      </c>
      <c r="K142" s="307">
        <f>J142-I142</f>
        <v>-29042224</v>
      </c>
      <c r="L142" s="308">
        <f>IF(I142=0,"-",(J142-I142)/ABS(I142))</f>
        <v>-0.19783065058548346</v>
      </c>
      <c r="M142" s="320">
        <v>841975327</v>
      </c>
      <c r="N142" s="320">
        <v>959736563</v>
      </c>
    </row>
    <row r="143" spans="2:14">
      <c r="B143" s="155"/>
      <c r="C143" s="38"/>
      <c r="D143" s="39"/>
      <c r="E143" s="39"/>
      <c r="F143" s="733"/>
      <c r="G143" s="60"/>
      <c r="H143" s="60"/>
      <c r="I143" s="60"/>
      <c r="J143" s="60"/>
      <c r="K143" s="60"/>
      <c r="L143" s="61"/>
      <c r="M143" s="575"/>
      <c r="N143" s="575"/>
    </row>
    <row r="144" spans="2:14">
      <c r="B144" s="176" t="s">
        <v>260</v>
      </c>
      <c r="C144" s="303">
        <f t="shared" ref="C144:H144" si="20">C137-C139-C141-C142</f>
        <v>-1144828000</v>
      </c>
      <c r="D144" s="725">
        <f t="shared" si="20"/>
        <v>69979361</v>
      </c>
      <c r="E144" s="725">
        <f t="shared" si="20"/>
        <v>46134032</v>
      </c>
      <c r="F144" s="726">
        <f t="shared" si="20"/>
        <v>-22242793</v>
      </c>
      <c r="G144" s="304">
        <f t="shared" si="20"/>
        <v>4838252</v>
      </c>
      <c r="H144" s="304">
        <f t="shared" si="20"/>
        <v>113009475</v>
      </c>
      <c r="I144" s="304">
        <f>I137-I139-I141-I142</f>
        <v>34975495</v>
      </c>
      <c r="J144" s="304">
        <f>J137-J139-J141-J142</f>
        <v>29342362</v>
      </c>
      <c r="K144" s="304">
        <f>J144-I144</f>
        <v>-5633133</v>
      </c>
      <c r="L144" s="305">
        <f>IF(I144=0,"-",(J144-I144)/ABS(I144))</f>
        <v>-0.16105942174656857</v>
      </c>
      <c r="M144" s="647">
        <f>M137-M139-M141-M142</f>
        <v>246693822</v>
      </c>
      <c r="N144" s="647">
        <f>N137-N139-N141-N142</f>
        <v>276036184</v>
      </c>
    </row>
    <row r="146" spans="2:14">
      <c r="B146" s="175" t="s">
        <v>261</v>
      </c>
      <c r="C146" s="310">
        <f t="shared" ref="C146:H146" si="21">SUM(C147:C148)</f>
        <v>133664000</v>
      </c>
      <c r="D146" s="736">
        <f t="shared" si="21"/>
        <v>597687</v>
      </c>
      <c r="E146" s="736">
        <f t="shared" si="21"/>
        <v>13488976</v>
      </c>
      <c r="F146" s="737">
        <f t="shared" si="21"/>
        <v>-10197660</v>
      </c>
      <c r="G146" s="311">
        <f t="shared" si="21"/>
        <v>906545</v>
      </c>
      <c r="H146" s="311">
        <f t="shared" si="21"/>
        <v>1366339</v>
      </c>
      <c r="I146" s="311">
        <f>SUM(I147:I148)</f>
        <v>3920249</v>
      </c>
      <c r="J146" s="311">
        <f>SUM(J147:J148)</f>
        <v>718311</v>
      </c>
      <c r="K146" s="311">
        <f>J146-I146</f>
        <v>-3201938</v>
      </c>
      <c r="L146" s="312">
        <f>IF(I146=0,"-",(J146-I146)/ABS(I146))</f>
        <v>-0.81676903686475022</v>
      </c>
      <c r="M146" s="647">
        <f>SUM(M147:M148)</f>
        <v>10082136</v>
      </c>
      <c r="N146" s="647">
        <f>SUM(N147:N148)</f>
        <v>10800447</v>
      </c>
    </row>
    <row r="147" spans="2:14">
      <c r="B147" s="168" t="s">
        <v>262</v>
      </c>
      <c r="C147" s="40">
        <v>21583000</v>
      </c>
      <c r="D147" s="40">
        <v>597687</v>
      </c>
      <c r="E147" s="40">
        <v>13488976</v>
      </c>
      <c r="F147" s="729">
        <v>-10197660</v>
      </c>
      <c r="G147" s="296">
        <v>906545</v>
      </c>
      <c r="H147" s="296">
        <v>1366339</v>
      </c>
      <c r="I147" s="297">
        <f>M147-SUM(D147:H147)</f>
        <v>3920249</v>
      </c>
      <c r="J147" s="297">
        <f>N147-SUM(D147:I147)</f>
        <v>718311</v>
      </c>
      <c r="K147" s="297">
        <f>J147-I147</f>
        <v>-3201938</v>
      </c>
      <c r="L147" s="298">
        <f>IF(I147=0,"-",(J147-I147)/ABS(I147))</f>
        <v>-0.81676903686475022</v>
      </c>
      <c r="M147" s="320">
        <v>10082136</v>
      </c>
      <c r="N147" s="320">
        <v>10800447</v>
      </c>
    </row>
    <row r="148" spans="2:14">
      <c r="B148" s="167" t="s">
        <v>263</v>
      </c>
      <c r="C148" s="35">
        <v>112081000</v>
      </c>
      <c r="D148" s="40">
        <v>0</v>
      </c>
      <c r="E148" s="40">
        <v>0</v>
      </c>
      <c r="F148" s="729">
        <v>0</v>
      </c>
      <c r="G148" s="299">
        <v>0</v>
      </c>
      <c r="H148" s="299">
        <v>0</v>
      </c>
      <c r="I148" s="300">
        <f>M148-SUM(D148:H148)</f>
        <v>0</v>
      </c>
      <c r="J148" s="300">
        <f>N148-SUM(D148:I148)</f>
        <v>0</v>
      </c>
      <c r="K148" s="300">
        <f>J148-I148</f>
        <v>0</v>
      </c>
      <c r="L148" s="59" t="str">
        <f>IF(I148=0,"-",(J148-I148)/ABS(I148))</f>
        <v>-</v>
      </c>
      <c r="M148" s="320">
        <v>0</v>
      </c>
      <c r="N148" s="320">
        <v>0</v>
      </c>
    </row>
    <row r="149" spans="2:14">
      <c r="B149" s="155"/>
      <c r="C149" s="38"/>
      <c r="D149" s="39"/>
      <c r="E149" s="39"/>
      <c r="F149" s="733"/>
      <c r="G149" s="60"/>
      <c r="H149" s="60"/>
      <c r="I149" s="60"/>
      <c r="J149" s="60"/>
      <c r="K149" s="60"/>
      <c r="L149" s="61"/>
      <c r="M149" s="575"/>
      <c r="N149" s="575"/>
    </row>
    <row r="150" spans="2:14">
      <c r="B150" s="175" t="s">
        <v>264</v>
      </c>
      <c r="C150" s="310">
        <f t="shared" ref="C150:H150" si="22">SUM(C151:C151)</f>
        <v>92043000</v>
      </c>
      <c r="D150" s="731">
        <f t="shared" si="22"/>
        <v>7091551</v>
      </c>
      <c r="E150" s="731">
        <f t="shared" si="22"/>
        <v>5574093</v>
      </c>
      <c r="F150" s="738">
        <f t="shared" si="22"/>
        <v>5497554</v>
      </c>
      <c r="G150" s="311">
        <f t="shared" si="22"/>
        <v>5038594</v>
      </c>
      <c r="H150" s="311">
        <f t="shared" si="22"/>
        <v>6000846</v>
      </c>
      <c r="I150" s="311">
        <f>SUM(I151:I151)</f>
        <v>5552094</v>
      </c>
      <c r="J150" s="311">
        <f>SUM(J151:J151)</f>
        <v>5353621</v>
      </c>
      <c r="K150" s="311">
        <f>J150-I150</f>
        <v>-198473</v>
      </c>
      <c r="L150" s="312">
        <f>IF(I150=0,"-",(J150-I150)/ABS(I150))</f>
        <v>-3.5747413498402582E-2</v>
      </c>
      <c r="M150" s="647">
        <f>SUM(M151:M151)</f>
        <v>34754732</v>
      </c>
      <c r="N150" s="647">
        <f>SUM(N151:N151)</f>
        <v>40108353</v>
      </c>
    </row>
    <row r="151" spans="2:14">
      <c r="B151" s="168" t="s">
        <v>265</v>
      </c>
      <c r="C151" s="40">
        <v>92043000</v>
      </c>
      <c r="D151" s="40">
        <v>7091551</v>
      </c>
      <c r="E151" s="40">
        <v>5574093</v>
      </c>
      <c r="F151" s="729">
        <v>5497554</v>
      </c>
      <c r="G151" s="296">
        <v>5038594</v>
      </c>
      <c r="H151" s="296">
        <v>6000846</v>
      </c>
      <c r="I151" s="297">
        <f>M151-SUM(D151:H151)</f>
        <v>5552094</v>
      </c>
      <c r="J151" s="297">
        <f>N151-SUM(D151:I151)</f>
        <v>5353621</v>
      </c>
      <c r="K151" s="297">
        <f>J151-I151</f>
        <v>-198473</v>
      </c>
      <c r="L151" s="298">
        <f>IF(I151=0,"-",(J151-I151)/ABS(I151))</f>
        <v>-3.5747413498402582E-2</v>
      </c>
      <c r="M151" s="320">
        <v>34754732</v>
      </c>
      <c r="N151" s="320">
        <v>40108353</v>
      </c>
    </row>
    <row r="152" spans="2:14">
      <c r="B152" s="155"/>
      <c r="C152" s="38"/>
      <c r="D152" s="39"/>
      <c r="E152" s="39"/>
      <c r="F152" s="733"/>
      <c r="G152" s="60"/>
      <c r="H152" s="60"/>
      <c r="I152" s="60"/>
      <c r="J152" s="60"/>
      <c r="K152" s="60"/>
      <c r="L152" s="61"/>
      <c r="M152" s="575"/>
      <c r="N152" s="575"/>
    </row>
    <row r="153" spans="2:14">
      <c r="B153" s="177" t="s">
        <v>266</v>
      </c>
      <c r="C153" s="313">
        <f t="shared" ref="C153:H153" si="23">C144+C146-C150</f>
        <v>-1103207000</v>
      </c>
      <c r="D153" s="739">
        <f t="shared" si="23"/>
        <v>63485497</v>
      </c>
      <c r="E153" s="739">
        <f t="shared" si="23"/>
        <v>54048915</v>
      </c>
      <c r="F153" s="740">
        <f t="shared" si="23"/>
        <v>-37938007</v>
      </c>
      <c r="G153" s="314">
        <f t="shared" si="23"/>
        <v>706203</v>
      </c>
      <c r="H153" s="314">
        <f t="shared" si="23"/>
        <v>108374968</v>
      </c>
      <c r="I153" s="314">
        <f>I144+I146-I150</f>
        <v>33343650</v>
      </c>
      <c r="J153" s="314">
        <f>J144+J146-J150</f>
        <v>24707052</v>
      </c>
      <c r="K153" s="314">
        <f>J153-I153</f>
        <v>-8636598</v>
      </c>
      <c r="L153" s="315">
        <f>IF(I153=0,"-",(J153-I153)/ABS(I153))</f>
        <v>-0.25901777399894732</v>
      </c>
      <c r="M153" s="647">
        <f>M144+M146-M150</f>
        <v>222021226</v>
      </c>
      <c r="N153" s="647">
        <f>N144+N146-N150</f>
        <v>246728278</v>
      </c>
    </row>
    <row r="154" spans="2:14">
      <c r="B154" s="167" t="s">
        <v>267</v>
      </c>
      <c r="C154" s="35">
        <v>0</v>
      </c>
      <c r="D154" s="741">
        <v>0</v>
      </c>
      <c r="E154" s="741">
        <v>0</v>
      </c>
      <c r="F154" s="742">
        <v>0</v>
      </c>
      <c r="G154" s="316">
        <v>0</v>
      </c>
      <c r="H154" s="316">
        <v>0</v>
      </c>
      <c r="I154" s="316">
        <v>0</v>
      </c>
      <c r="J154" s="316">
        <v>0</v>
      </c>
      <c r="K154" s="317">
        <f>J154-I154</f>
        <v>0</v>
      </c>
      <c r="L154" s="62" t="str">
        <f>IF(I154=0,"-",(J154-I154)/ABS(I154))</f>
        <v>-</v>
      </c>
      <c r="M154" s="320">
        <v>0</v>
      </c>
      <c r="N154" s="320">
        <v>0</v>
      </c>
    </row>
    <row r="155" spans="2:14">
      <c r="B155" s="171" t="s">
        <v>268</v>
      </c>
      <c r="C155" s="290">
        <f t="shared" ref="C155:H155" si="24">C153-C154</f>
        <v>-1103207000</v>
      </c>
      <c r="D155" s="743">
        <f t="shared" si="24"/>
        <v>63485497</v>
      </c>
      <c r="E155" s="743">
        <f t="shared" si="24"/>
        <v>54048915</v>
      </c>
      <c r="F155" s="744">
        <f t="shared" si="24"/>
        <v>-37938007</v>
      </c>
      <c r="G155" s="318">
        <f t="shared" si="24"/>
        <v>706203</v>
      </c>
      <c r="H155" s="318">
        <f t="shared" si="24"/>
        <v>108374968</v>
      </c>
      <c r="I155" s="318">
        <f>I153-I154</f>
        <v>33343650</v>
      </c>
      <c r="J155" s="318">
        <f>J153-J154</f>
        <v>24707052</v>
      </c>
      <c r="K155" s="318">
        <f>J155-I155</f>
        <v>-8636598</v>
      </c>
      <c r="L155" s="319">
        <f>IF(I155=0,"-",(J155-I155)/ABS(I155))</f>
        <v>-0.25901777399894732</v>
      </c>
      <c r="M155" s="647">
        <f>M153-M154</f>
        <v>222021226</v>
      </c>
      <c r="N155" s="647">
        <f>N153-N154</f>
        <v>246728278</v>
      </c>
    </row>
    <row r="156" spans="2:14">
      <c r="B156" s="575"/>
      <c r="C156" s="575"/>
      <c r="D156" s="575"/>
      <c r="E156" s="575"/>
      <c r="F156" s="575"/>
      <c r="G156" s="575"/>
      <c r="H156" s="575"/>
      <c r="I156" s="575"/>
      <c r="J156" s="575"/>
      <c r="K156" s="575"/>
      <c r="L156" s="575"/>
      <c r="M156" s="575"/>
      <c r="N156" s="575"/>
    </row>
    <row r="157" spans="2:14">
      <c r="B157" s="168"/>
      <c r="C157" s="168"/>
      <c r="D157" s="63"/>
      <c r="E157" s="63"/>
      <c r="F157" s="63"/>
      <c r="G157" s="63"/>
      <c r="H157" s="575"/>
      <c r="I157" s="575"/>
      <c r="J157" s="575"/>
      <c r="K157" s="575"/>
      <c r="L157" s="575"/>
      <c r="M157" s="575"/>
      <c r="N157" s="575"/>
    </row>
    <row r="158" spans="2:14" ht="15" thickBot="1">
      <c r="B158" s="421" t="s">
        <v>1117</v>
      </c>
      <c r="C158" s="421"/>
      <c r="D158" s="421"/>
      <c r="E158" s="421"/>
      <c r="F158" s="421"/>
      <c r="G158" s="448"/>
      <c r="H158" s="389"/>
      <c r="I158" s="389"/>
      <c r="J158" s="389"/>
      <c r="K158" s="389"/>
      <c r="L158" s="389"/>
      <c r="M158" s="389"/>
      <c r="N158" s="389"/>
    </row>
    <row r="159" spans="2:14" ht="30" customHeight="1" thickTop="1">
      <c r="B159" s="387" t="s">
        <v>210</v>
      </c>
      <c r="C159" s="384" t="s">
        <v>1118</v>
      </c>
      <c r="D159" s="384" t="s">
        <v>1119</v>
      </c>
      <c r="E159" s="384" t="s">
        <v>274</v>
      </c>
      <c r="F159" s="384" t="s">
        <v>820</v>
      </c>
      <c r="G159" s="449"/>
      <c r="H159" s="386"/>
      <c r="I159" s="386"/>
      <c r="J159" s="386"/>
      <c r="K159" s="386"/>
      <c r="L159" s="386"/>
      <c r="M159" s="386"/>
      <c r="N159" s="386"/>
    </row>
    <row r="160" spans="2:14">
      <c r="B160" s="168" t="s">
        <v>1031</v>
      </c>
      <c r="C160" s="66">
        <f>SUM($D$133:$J$133)</f>
        <v>5615511389</v>
      </c>
      <c r="D160" s="66">
        <f>N133</f>
        <v>5615511389</v>
      </c>
      <c r="E160" s="66">
        <f t="shared" ref="E160:E171" si="25">C160-D160</f>
        <v>0</v>
      </c>
      <c r="F160" s="179" t="str">
        <f t="shared" ref="F160:F167" si="26">IF(E160=0,"OK","REVISAR")</f>
        <v>OK</v>
      </c>
      <c r="G160" s="575"/>
      <c r="H160" s="575"/>
      <c r="I160" s="575"/>
      <c r="J160" s="575"/>
      <c r="K160" s="575"/>
      <c r="L160" s="575"/>
      <c r="M160" s="575"/>
      <c r="N160" s="155"/>
    </row>
    <row r="161" spans="2:6">
      <c r="B161" s="168" t="s">
        <v>1032</v>
      </c>
      <c r="C161" s="66">
        <f>SUM($D$134:$J$134)</f>
        <v>-463278090</v>
      </c>
      <c r="D161" s="66">
        <f>N134</f>
        <v>-463278090</v>
      </c>
      <c r="E161" s="66">
        <f t="shared" si="25"/>
        <v>0</v>
      </c>
      <c r="F161" s="179" t="str">
        <f t="shared" si="26"/>
        <v>OK</v>
      </c>
    </row>
    <row r="162" spans="2:6">
      <c r="B162" s="168" t="s">
        <v>255</v>
      </c>
      <c r="C162" s="66">
        <f>SUM($D$135:$J$135)</f>
        <v>2442623347</v>
      </c>
      <c r="D162" s="66">
        <f>N135</f>
        <v>2442623347</v>
      </c>
      <c r="E162" s="66">
        <f t="shared" si="25"/>
        <v>0</v>
      </c>
      <c r="F162" s="179" t="str">
        <f t="shared" si="26"/>
        <v>OK</v>
      </c>
    </row>
    <row r="163" spans="2:6">
      <c r="B163" s="168" t="s">
        <v>1033</v>
      </c>
      <c r="C163" s="66">
        <f>SUM($D$139:$J$139)</f>
        <v>797478918</v>
      </c>
      <c r="D163" s="66">
        <f>N139</f>
        <v>797478918</v>
      </c>
      <c r="E163" s="66">
        <f t="shared" si="25"/>
        <v>0</v>
      </c>
      <c r="F163" s="179" t="str">
        <f t="shared" si="26"/>
        <v>OK</v>
      </c>
    </row>
    <row r="164" spans="2:6">
      <c r="B164" s="168" t="s">
        <v>1034</v>
      </c>
      <c r="C164" s="66">
        <f>SUM($D$141:$J$141)</f>
        <v>676358287</v>
      </c>
      <c r="D164" s="66">
        <f>N141</f>
        <v>676358287</v>
      </c>
      <c r="E164" s="66">
        <f t="shared" si="25"/>
        <v>0</v>
      </c>
      <c r="F164" s="179" t="str">
        <f t="shared" si="26"/>
        <v>OK</v>
      </c>
    </row>
    <row r="165" spans="2:6">
      <c r="B165" s="168" t="s">
        <v>804</v>
      </c>
      <c r="C165" s="66">
        <f>SUM($D$142:$J$142)</f>
        <v>959736563</v>
      </c>
      <c r="D165" s="66">
        <f>N142</f>
        <v>959736563</v>
      </c>
      <c r="E165" s="66">
        <f t="shared" si="25"/>
        <v>0</v>
      </c>
      <c r="F165" s="179" t="str">
        <f t="shared" si="26"/>
        <v>OK</v>
      </c>
    </row>
    <row r="166" spans="2:6">
      <c r="B166" s="168" t="s">
        <v>261</v>
      </c>
      <c r="C166" s="66">
        <f>SUM($D$146:$J$146)</f>
        <v>10800447</v>
      </c>
      <c r="D166" s="66">
        <f>N146</f>
        <v>10800447</v>
      </c>
      <c r="E166" s="66">
        <f t="shared" si="25"/>
        <v>0</v>
      </c>
      <c r="F166" s="179" t="str">
        <f t="shared" si="26"/>
        <v>OK</v>
      </c>
    </row>
    <row r="167" spans="2:6">
      <c r="B167" s="168" t="s">
        <v>985</v>
      </c>
      <c r="C167" s="66">
        <f>SUM($D$150:$J$150)</f>
        <v>40108353</v>
      </c>
      <c r="D167" s="66">
        <f>N150</f>
        <v>40108353</v>
      </c>
      <c r="E167" s="66">
        <f t="shared" si="25"/>
        <v>0</v>
      </c>
      <c r="F167" s="179" t="str">
        <f t="shared" si="26"/>
        <v>OK</v>
      </c>
    </row>
    <row r="168" spans="2:6">
      <c r="B168" s="168" t="s">
        <v>1035</v>
      </c>
      <c r="C168" s="66">
        <f>SUM($D$144:$J$144)</f>
        <v>276036184</v>
      </c>
      <c r="D168" s="53">
        <v>276036182</v>
      </c>
      <c r="E168" s="66">
        <f t="shared" si="25"/>
        <v>2</v>
      </c>
      <c r="F168" s="180" t="str">
        <f>IF(E168=0,"OK","DIF. PDF")</f>
        <v>DIF. PDF</v>
      </c>
    </row>
    <row r="169" spans="2:6">
      <c r="B169" s="168" t="s">
        <v>268</v>
      </c>
      <c r="C169" s="66">
        <f>SUM($D$155:$J$155)</f>
        <v>246728278</v>
      </c>
      <c r="D169" s="53">
        <v>246728277</v>
      </c>
      <c r="E169" s="66">
        <f t="shared" si="25"/>
        <v>1</v>
      </c>
      <c r="F169" s="180" t="str">
        <f>IF(E169=0,"OK","DIF. PDF")</f>
        <v>DIF. PDF</v>
      </c>
    </row>
    <row r="170" spans="2:6">
      <c r="B170" s="450" t="s">
        <v>1120</v>
      </c>
      <c r="C170" s="451">
        <f>$J$104</f>
        <v>6106667432</v>
      </c>
      <c r="D170" s="452">
        <v>6106667432</v>
      </c>
      <c r="E170" s="451">
        <f t="shared" si="25"/>
        <v>0</v>
      </c>
      <c r="F170" s="453" t="str">
        <f>IF(E170=0,"OK","REVISAR")</f>
        <v>OK</v>
      </c>
    </row>
    <row r="171" spans="2:6">
      <c r="B171" s="450" t="s">
        <v>1121</v>
      </c>
      <c r="C171" s="451">
        <f>$J$124</f>
        <v>6106667432</v>
      </c>
      <c r="D171" s="452">
        <v>6106667432</v>
      </c>
      <c r="E171" s="451">
        <f t="shared" si="25"/>
        <v>0</v>
      </c>
      <c r="F171" s="455" t="str">
        <f>IF(E171=0,"OK","DIF. PDF")</f>
        <v>OK</v>
      </c>
    </row>
  </sheetData>
  <mergeCells count="6">
    <mergeCell ref="P5:P6"/>
    <mergeCell ref="B2:G2"/>
    <mergeCell ref="K5:K6"/>
    <mergeCell ref="Q5:Q6"/>
    <mergeCell ref="N5:N6"/>
    <mergeCell ref="O5:O6"/>
  </mergeCells>
  <conditionalFormatting sqref="C16:C17">
    <cfRule type="containsText" dxfId="21" priority="32" operator="containsText" text="OK">
      <formula>NOT(ISERROR(SEARCH("OK",C16)))</formula>
    </cfRule>
    <cfRule type="containsText" dxfId="20" priority="33" operator="containsText" text="ERROR">
      <formula>NOT(ISERROR(SEARCH("ERROR",C16)))</formula>
    </cfRule>
  </conditionalFormatting>
  <pageMargins left="0.25" right="0.25" top="0.5" bottom="0.5" header="0.511811023622047" footer="0.511811023622047"/>
  <pageSetup paperSize="9" orientation="portrait" horizontalDpi="300" verticalDpi="300"/>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C98A-76FB-4CA8-B8CC-D6A34B07F2E2}">
  <sheetPr>
    <tabColor rgb="FF2F5597"/>
  </sheetPr>
  <dimension ref="A1:U489"/>
  <sheetViews>
    <sheetView showGridLines="0" topLeftCell="A165" zoomScale="70" zoomScaleNormal="70" workbookViewId="0">
      <pane xSplit="2" topLeftCell="L1" activePane="topRight" state="frozen"/>
      <selection activeCell="A14" sqref="A14"/>
      <selection pane="topRight" activeCell="L180" sqref="L180"/>
    </sheetView>
  </sheetViews>
  <sheetFormatPr defaultRowHeight="14.4" outlineLevelRow="1"/>
  <cols>
    <col min="1" max="1" width="29.6640625" customWidth="1"/>
    <col min="2" max="2" width="63" customWidth="1"/>
    <col min="3" max="17" width="17" customWidth="1"/>
    <col min="18" max="18" width="33.88671875" bestFit="1" customWidth="1"/>
    <col min="19" max="19" width="14.5546875" bestFit="1" customWidth="1"/>
    <col min="20" max="20" width="13.44140625" bestFit="1" customWidth="1"/>
    <col min="21" max="21" width="25.5546875" bestFit="1" customWidth="1"/>
  </cols>
  <sheetData>
    <row r="1" spans="2:20" ht="15" thickBot="1">
      <c r="B1" s="178" t="s">
        <v>321</v>
      </c>
      <c r="C1" s="178"/>
      <c r="D1" s="178"/>
      <c r="E1" s="181"/>
      <c r="F1" s="181"/>
      <c r="G1" s="181"/>
      <c r="H1" s="181"/>
      <c r="I1" s="181"/>
      <c r="J1" s="181"/>
      <c r="K1" s="181"/>
      <c r="L1" s="181"/>
      <c r="M1" s="181"/>
      <c r="N1" s="181"/>
      <c r="O1" s="181"/>
      <c r="P1" s="181"/>
      <c r="Q1" s="181"/>
      <c r="R1" s="181"/>
      <c r="S1" s="181"/>
      <c r="T1" s="181"/>
    </row>
    <row r="2" spans="2:20" ht="15.6" thickTop="1" thickBot="1">
      <c r="B2" s="1100" t="s">
        <v>322</v>
      </c>
      <c r="C2" s="1101"/>
      <c r="D2" s="839"/>
      <c r="E2" s="838" t="s">
        <v>323</v>
      </c>
      <c r="F2" s="838" t="s">
        <v>209</v>
      </c>
      <c r="G2" s="838" t="s">
        <v>324</v>
      </c>
      <c r="H2" s="838" t="s">
        <v>325</v>
      </c>
      <c r="I2" s="838" t="s">
        <v>326</v>
      </c>
      <c r="J2" s="838" t="s">
        <v>327</v>
      </c>
      <c r="K2" s="838" t="s">
        <v>328</v>
      </c>
      <c r="L2" s="838" t="s">
        <v>329</v>
      </c>
      <c r="M2" s="838" t="s">
        <v>330</v>
      </c>
      <c r="N2" s="838" t="s">
        <v>331</v>
      </c>
      <c r="O2" s="838" t="s">
        <v>332</v>
      </c>
      <c r="P2" s="838" t="s">
        <v>333</v>
      </c>
      <c r="Q2" s="838" t="s">
        <v>334</v>
      </c>
      <c r="R2" s="840"/>
      <c r="S2" s="840"/>
      <c r="T2" s="575"/>
    </row>
    <row r="3" spans="2:20" ht="15" outlineLevel="1" thickBot="1">
      <c r="B3" s="589"/>
      <c r="C3" s="575"/>
      <c r="D3" s="575"/>
      <c r="E3" s="841"/>
      <c r="F3" s="842"/>
      <c r="G3" s="842"/>
      <c r="H3" s="842"/>
      <c r="I3" s="842"/>
      <c r="J3" s="842"/>
      <c r="K3" s="842"/>
      <c r="L3" s="842"/>
      <c r="M3" s="842"/>
      <c r="N3" s="842"/>
      <c r="O3" s="842"/>
      <c r="P3" s="842"/>
      <c r="Q3" s="842"/>
      <c r="R3" s="841"/>
      <c r="S3" s="841"/>
      <c r="T3" s="575"/>
    </row>
    <row r="4" spans="2:20" ht="17.399999999999999" outlineLevel="1">
      <c r="B4" s="456" t="s">
        <v>335</v>
      </c>
      <c r="C4" s="457"/>
      <c r="D4" s="457"/>
      <c r="E4" s="458"/>
      <c r="F4" s="458"/>
      <c r="G4" s="458"/>
      <c r="H4" s="458"/>
      <c r="I4" s="458"/>
      <c r="J4" s="458"/>
      <c r="K4" s="458"/>
      <c r="L4" s="458"/>
      <c r="M4" s="458"/>
      <c r="N4" s="458"/>
      <c r="O4" s="458"/>
      <c r="P4" s="458"/>
      <c r="Q4" s="458"/>
      <c r="R4" s="459"/>
      <c r="S4" s="459"/>
      <c r="T4" s="383"/>
    </row>
    <row r="5" spans="2:20" outlineLevel="1">
      <c r="B5" s="420" t="s">
        <v>336</v>
      </c>
      <c r="C5" s="583"/>
      <c r="D5" s="583"/>
      <c r="E5" s="475"/>
      <c r="F5" s="475"/>
      <c r="G5" s="475"/>
      <c r="H5" s="475"/>
      <c r="I5" s="475"/>
      <c r="J5" s="475"/>
      <c r="K5" s="475"/>
      <c r="L5" s="475"/>
      <c r="M5" s="475"/>
      <c r="N5" s="475"/>
      <c r="O5" s="475"/>
      <c r="P5" s="475"/>
      <c r="Q5" s="475"/>
      <c r="R5" s="475"/>
      <c r="S5" s="475"/>
      <c r="T5" s="583"/>
    </row>
    <row r="6" spans="2:20" outlineLevel="1">
      <c r="B6" s="589" t="s">
        <v>337</v>
      </c>
      <c r="C6" s="575" t="s">
        <v>338</v>
      </c>
      <c r="D6" s="575"/>
      <c r="E6" s="197">
        <f t="shared" ref="E6" si="0">TrmLargoPlazo</f>
        <v>3690</v>
      </c>
      <c r="F6" s="757">
        <v>3690</v>
      </c>
      <c r="G6" s="757">
        <v>3690</v>
      </c>
      <c r="H6" s="757">
        <v>3690</v>
      </c>
      <c r="I6" s="757">
        <v>3690</v>
      </c>
      <c r="J6" s="757">
        <v>3690</v>
      </c>
      <c r="K6" s="757">
        <v>3690</v>
      </c>
      <c r="L6" s="757">
        <v>3690</v>
      </c>
      <c r="M6" s="757">
        <v>3690</v>
      </c>
      <c r="N6" s="757">
        <v>3690</v>
      </c>
      <c r="O6" s="757">
        <v>3690</v>
      </c>
      <c r="P6" s="757">
        <v>3690</v>
      </c>
      <c r="Q6" s="757">
        <v>3690</v>
      </c>
      <c r="R6" s="843"/>
      <c r="S6" s="843"/>
      <c r="T6" s="575"/>
    </row>
    <row r="7" spans="2:20" outlineLevel="1">
      <c r="B7" s="589" t="s">
        <v>339</v>
      </c>
      <c r="C7" s="575" t="s">
        <v>340</v>
      </c>
      <c r="D7" s="575"/>
      <c r="E7" s="213">
        <f t="shared" ref="E7:Q7" si="1">TasaImpuesto</f>
        <v>0.35</v>
      </c>
      <c r="F7" s="213">
        <f t="shared" si="1"/>
        <v>0.35</v>
      </c>
      <c r="G7" s="213">
        <f t="shared" si="1"/>
        <v>0.35</v>
      </c>
      <c r="H7" s="213">
        <f t="shared" si="1"/>
        <v>0.35</v>
      </c>
      <c r="I7" s="213">
        <f t="shared" si="1"/>
        <v>0.35</v>
      </c>
      <c r="J7" s="213">
        <f t="shared" si="1"/>
        <v>0.35</v>
      </c>
      <c r="K7" s="213">
        <f t="shared" si="1"/>
        <v>0.35</v>
      </c>
      <c r="L7" s="213">
        <f t="shared" si="1"/>
        <v>0.35</v>
      </c>
      <c r="M7" s="213">
        <f t="shared" si="1"/>
        <v>0.35</v>
      </c>
      <c r="N7" s="213">
        <f t="shared" si="1"/>
        <v>0.35</v>
      </c>
      <c r="O7" s="213">
        <f t="shared" si="1"/>
        <v>0.35</v>
      </c>
      <c r="P7" s="213">
        <f t="shared" si="1"/>
        <v>0.35</v>
      </c>
      <c r="Q7" s="213">
        <f t="shared" si="1"/>
        <v>0.35</v>
      </c>
      <c r="R7" s="844"/>
      <c r="S7" s="844"/>
      <c r="T7" s="575"/>
    </row>
    <row r="8" spans="2:20" outlineLevel="1">
      <c r="B8" s="592"/>
      <c r="C8" s="575"/>
      <c r="D8" s="575"/>
      <c r="E8" s="841"/>
      <c r="F8" s="841"/>
      <c r="G8" s="841"/>
      <c r="H8" s="841"/>
      <c r="I8" s="841"/>
      <c r="J8" s="841"/>
      <c r="K8" s="841"/>
      <c r="L8" s="841"/>
      <c r="M8" s="841"/>
      <c r="N8" s="841"/>
      <c r="O8" s="841"/>
      <c r="P8" s="841"/>
      <c r="Q8" s="841"/>
      <c r="R8" s="841"/>
      <c r="S8" s="841"/>
      <c r="T8" s="575"/>
    </row>
    <row r="9" spans="2:20" outlineLevel="1">
      <c r="B9" s="845" t="s">
        <v>341</v>
      </c>
      <c r="C9" s="575"/>
      <c r="D9" s="575"/>
      <c r="E9" s="841"/>
      <c r="F9" s="841"/>
      <c r="G9" s="841"/>
      <c r="H9" s="841"/>
      <c r="I9" s="841"/>
      <c r="J9" s="841"/>
      <c r="K9" s="841"/>
      <c r="L9" s="841"/>
      <c r="M9" s="841"/>
      <c r="N9" s="841"/>
      <c r="O9" s="841"/>
      <c r="P9" s="841"/>
      <c r="Q9" s="841"/>
      <c r="R9" s="841"/>
      <c r="S9" s="842" t="s">
        <v>342</v>
      </c>
      <c r="T9" s="846" t="s">
        <v>343</v>
      </c>
    </row>
    <row r="10" spans="2:20" outlineLevel="1">
      <c r="B10" s="589" t="s">
        <v>344</v>
      </c>
      <c r="C10" s="575" t="s">
        <v>345</v>
      </c>
      <c r="D10" s="575"/>
      <c r="E10" s="841"/>
      <c r="F10" s="182">
        <f>Inputs!$D$132</f>
        <v>612247701</v>
      </c>
      <c r="G10" s="182">
        <f>Inputs!$E$132</f>
        <v>744218137</v>
      </c>
      <c r="H10" s="182">
        <f>Inputs!$F$132</f>
        <v>787041187</v>
      </c>
      <c r="I10" s="182">
        <f>Inputs!$G$132</f>
        <v>750867662</v>
      </c>
      <c r="J10" s="193">
        <f>Inputs!$H$132</f>
        <v>826514746</v>
      </c>
      <c r="K10" s="193">
        <f>Inputs!$I$132</f>
        <v>751453314</v>
      </c>
      <c r="L10" s="193">
        <f>Inputs!$J$132</f>
        <v>679890552</v>
      </c>
      <c r="M10" s="193" cm="1">
        <f t="array" ref="M10">INDEX(Revenue!K:K,$E$18)</f>
        <v>972314088.19888628</v>
      </c>
      <c r="N10" s="193" cm="1">
        <f t="array" ref="N10">INDEX(Revenue!L:L,$E$18)</f>
        <v>1162488281.7608266</v>
      </c>
      <c r="O10" s="193" cm="1">
        <f t="array" ref="O10">INDEX(Revenue!M:M,$E$18)</f>
        <v>1141882933.1494479</v>
      </c>
      <c r="P10" s="193" cm="1">
        <f t="array" ref="P10">INDEX(Revenue!N:N,$E$18)</f>
        <v>1156758178.6088107</v>
      </c>
      <c r="Q10" s="193" cm="1">
        <f t="array" ref="Q10">INDEX(Revenue!O:O,$E$18)</f>
        <v>1244340503.0137866</v>
      </c>
      <c r="R10" s="841"/>
      <c r="S10" s="183">
        <f>SUM(F10:Q10)</f>
        <v>10830017283.731758</v>
      </c>
      <c r="T10" s="184">
        <f t="shared" ref="T10:T16" si="2">S10/TrmLargoPlazo</f>
        <v>2934964.0335316416</v>
      </c>
    </row>
    <row r="11" spans="2:20" outlineLevel="1">
      <c r="B11" s="589" t="s">
        <v>346</v>
      </c>
      <c r="C11" s="575" t="s">
        <v>345</v>
      </c>
      <c r="D11" s="575"/>
      <c r="E11" s="841"/>
      <c r="F11" s="182">
        <f>Inputs!$D$135</f>
        <v>238535794</v>
      </c>
      <c r="G11" s="182">
        <f>Inputs!$E$135</f>
        <v>343308791</v>
      </c>
      <c r="H11" s="182">
        <f>Inputs!$F$135</f>
        <v>455639201</v>
      </c>
      <c r="I11" s="182">
        <f>Inputs!$G$135</f>
        <v>379273594</v>
      </c>
      <c r="J11" s="193">
        <f>Inputs!H135</f>
        <v>355470523</v>
      </c>
      <c r="K11" s="193">
        <f>Inputs!I135</f>
        <v>348477606</v>
      </c>
      <c r="L11" s="193">
        <f>Inputs!J135</f>
        <v>321917838</v>
      </c>
      <c r="M11" s="183">
        <f>CostoVentasBase*(1+InflacionAnual)*(1/12)+DeltaModQ3</f>
        <v>352521060.41666663</v>
      </c>
      <c r="N11" s="183">
        <f>CostoVentasBase*(1+InflacionAnual)*(1/12)+DeltaModQ3</f>
        <v>352521060.41666663</v>
      </c>
      <c r="O11" s="183">
        <f>CostoVentasBase*(1+InflacionAnual)*(1/12)+DeltaModQ3</f>
        <v>352521060.41666663</v>
      </c>
      <c r="P11" s="183">
        <f>CostoVentasBase*(1+InflacionAnual)*(1/12)+DeltaModQ4</f>
        <v>362550219.41666663</v>
      </c>
      <c r="Q11" s="183">
        <f>CostoVentasBase*(1+InflacionAnual)*(1/12)+DeltaModQ4</f>
        <v>362550219.41666663</v>
      </c>
      <c r="R11" s="841"/>
      <c r="S11" s="183">
        <f t="shared" ref="S11:S16" si="3">SUM(F11:Q11)</f>
        <v>4225286967.0833325</v>
      </c>
      <c r="T11" s="184">
        <f t="shared" si="2"/>
        <v>1145064.2187217704</v>
      </c>
    </row>
    <row r="12" spans="2:20" outlineLevel="1">
      <c r="B12" s="589" t="s">
        <v>347</v>
      </c>
      <c r="C12" s="575"/>
      <c r="D12" s="575"/>
      <c r="E12" s="841"/>
      <c r="F12" s="182">
        <f>Inputs!$D$139</f>
        <v>98722435</v>
      </c>
      <c r="G12" s="182">
        <f>Inputs!$E$139</f>
        <v>105633472</v>
      </c>
      <c r="H12" s="182">
        <f>Inputs!$F$139</f>
        <v>141811865</v>
      </c>
      <c r="I12" s="182">
        <f>Inputs!$G$139</f>
        <v>114280887</v>
      </c>
      <c r="J12" s="193">
        <f>Inputs!H139</f>
        <v>116808824</v>
      </c>
      <c r="K12" s="193">
        <f>Inputs!I139</f>
        <v>112288693</v>
      </c>
      <c r="L12" s="193">
        <f>Inputs!J139</f>
        <v>107932742</v>
      </c>
      <c r="M12" s="183">
        <f t="shared" ref="M12:Q12" si="4">GtosAdminBase*(1+InflacionAnual)*(1/12)</f>
        <v>135399979.66666666</v>
      </c>
      <c r="N12" s="183">
        <f t="shared" si="4"/>
        <v>135399979.66666666</v>
      </c>
      <c r="O12" s="183">
        <f t="shared" si="4"/>
        <v>135399979.66666666</v>
      </c>
      <c r="P12" s="183">
        <f t="shared" si="4"/>
        <v>135399979.66666666</v>
      </c>
      <c r="Q12" s="183">
        <f t="shared" si="4"/>
        <v>135399979.66666666</v>
      </c>
      <c r="R12" s="841"/>
      <c r="S12" s="183">
        <f t="shared" si="3"/>
        <v>1474478816.3333335</v>
      </c>
      <c r="T12" s="184">
        <f t="shared" si="2"/>
        <v>399587.75510388444</v>
      </c>
    </row>
    <row r="13" spans="2:20" outlineLevel="1">
      <c r="B13" s="589" t="s">
        <v>348</v>
      </c>
      <c r="C13" s="575"/>
      <c r="D13" s="575"/>
      <c r="E13" s="841"/>
      <c r="F13" s="182">
        <f>Inputs!$D$142</f>
        <v>131600259</v>
      </c>
      <c r="G13" s="182">
        <f>Inputs!$E$142</f>
        <v>173632204</v>
      </c>
      <c r="H13" s="182">
        <f>Inputs!$F$142</f>
        <v>139615776</v>
      </c>
      <c r="I13" s="182">
        <f>Inputs!$G$142</f>
        <v>130090415</v>
      </c>
      <c r="J13" s="193">
        <f>Inputs!H142</f>
        <v>120233213</v>
      </c>
      <c r="K13" s="193">
        <f>Inputs!I142</f>
        <v>146803460</v>
      </c>
      <c r="L13" s="193">
        <f>Inputs!J142</f>
        <v>117761236</v>
      </c>
      <c r="M13" s="183">
        <f>GtosVentasBase*(1+InflacionAnual)*(1/12)+DeltaVtasQ3</f>
        <v>230883032.25</v>
      </c>
      <c r="N13" s="183">
        <f>GtosVentasBase*(1+InflacionAnual)*(1/12)+DeltaVtasQ3</f>
        <v>230883032.25</v>
      </c>
      <c r="O13" s="183">
        <f>GtosVentasBase*(1+InflacionAnual)*(1/12)+DeltaVtasQ3</f>
        <v>230883032.25</v>
      </c>
      <c r="P13" s="183">
        <f>GtosVentasBase*(1+InflacionAnual)*(1/12)+DeltaVtasQ4</f>
        <v>237664417.25</v>
      </c>
      <c r="Q13" s="183">
        <f>GtosVentasBase*(1+InflacionAnual)*(1/12)+DeltaVtasQ4</f>
        <v>237664417.25</v>
      </c>
      <c r="R13" s="841"/>
      <c r="S13" s="183">
        <f t="shared" si="3"/>
        <v>2127714494.25</v>
      </c>
      <c r="T13" s="184">
        <f t="shared" si="2"/>
        <v>576616.39410569111</v>
      </c>
    </row>
    <row r="14" spans="2:20" outlineLevel="1">
      <c r="B14" s="589" t="s">
        <v>349</v>
      </c>
      <c r="C14" s="575"/>
      <c r="D14" s="575"/>
      <c r="E14" s="841"/>
      <c r="F14" s="182">
        <f>Inputs!$D$141</f>
        <v>73409852</v>
      </c>
      <c r="G14" s="182">
        <f>Inputs!$E$141</f>
        <v>75509638</v>
      </c>
      <c r="H14" s="182">
        <f>Inputs!$F$141</f>
        <v>72217138</v>
      </c>
      <c r="I14" s="182">
        <f>Inputs!$G$141</f>
        <v>122384514</v>
      </c>
      <c r="J14" s="193">
        <f>Inputs!H141</f>
        <v>120992711</v>
      </c>
      <c r="K14" s="193">
        <f>Inputs!I141</f>
        <v>108908060</v>
      </c>
      <c r="L14" s="193">
        <f>Inputs!J141</f>
        <v>102936374</v>
      </c>
      <c r="M14" s="183">
        <f t="shared" ref="M14:Q14" si="5">GtosOpInflado*(1/12)</f>
        <v>113025240.66666666</v>
      </c>
      <c r="N14" s="183">
        <f t="shared" si="5"/>
        <v>113025240.66666666</v>
      </c>
      <c r="O14" s="183">
        <f t="shared" si="5"/>
        <v>113025240.66666666</v>
      </c>
      <c r="P14" s="183">
        <f t="shared" si="5"/>
        <v>113025240.66666666</v>
      </c>
      <c r="Q14" s="183">
        <f t="shared" si="5"/>
        <v>113025240.66666666</v>
      </c>
      <c r="R14" s="841"/>
      <c r="S14" s="183">
        <f t="shared" si="3"/>
        <v>1241484490.3333333</v>
      </c>
      <c r="T14" s="184">
        <f t="shared" si="2"/>
        <v>336445.66133694671</v>
      </c>
    </row>
    <row r="15" spans="2:20" outlineLevel="1">
      <c r="B15" s="589" t="s">
        <v>350</v>
      </c>
      <c r="C15" s="575"/>
      <c r="D15" s="575"/>
      <c r="E15" s="841"/>
      <c r="F15" s="182">
        <f>Inputs!$D$146</f>
        <v>597687</v>
      </c>
      <c r="G15" s="182">
        <f>Inputs!$E$146</f>
        <v>13488976</v>
      </c>
      <c r="H15" s="182">
        <f>Inputs!$F$146</f>
        <v>-10197660</v>
      </c>
      <c r="I15" s="182">
        <f>Inputs!$G$146</f>
        <v>906545</v>
      </c>
      <c r="J15" s="193">
        <f>Inputs!H146</f>
        <v>1366339</v>
      </c>
      <c r="K15" s="193">
        <f>Inputs!I146</f>
        <v>3920249</v>
      </c>
      <c r="L15" s="193">
        <f>Inputs!J146</f>
        <v>718311</v>
      </c>
      <c r="M15" s="183">
        <f t="shared" ref="M15:Q15" si="6">IngNoOpBase*(1+InflacionAnual)*(1/12)</f>
        <v>11706738.666666666</v>
      </c>
      <c r="N15" s="183">
        <f t="shared" si="6"/>
        <v>11706738.666666666</v>
      </c>
      <c r="O15" s="183">
        <f t="shared" si="6"/>
        <v>11706738.666666666</v>
      </c>
      <c r="P15" s="183">
        <f t="shared" si="6"/>
        <v>11706738.666666666</v>
      </c>
      <c r="Q15" s="183">
        <f t="shared" si="6"/>
        <v>11706738.666666666</v>
      </c>
      <c r="R15" s="841"/>
      <c r="S15" s="183">
        <f t="shared" si="3"/>
        <v>69334140.333333328</v>
      </c>
      <c r="T15" s="184">
        <f t="shared" si="2"/>
        <v>18789.739927732608</v>
      </c>
    </row>
    <row r="16" spans="2:20" outlineLevel="1">
      <c r="B16" s="589" t="s">
        <v>351</v>
      </c>
      <c r="C16" s="575"/>
      <c r="D16" s="575"/>
      <c r="E16" s="841"/>
      <c r="F16" s="182">
        <f>Inputs!$D$150</f>
        <v>7091551</v>
      </c>
      <c r="G16" s="182">
        <f>Inputs!$E$150</f>
        <v>5574093</v>
      </c>
      <c r="H16" s="182">
        <f>Inputs!$F$150</f>
        <v>5497554</v>
      </c>
      <c r="I16" s="182">
        <f>Inputs!$G$150</f>
        <v>5038594</v>
      </c>
      <c r="J16" s="193">
        <f>Inputs!$H$150</f>
        <v>6000846</v>
      </c>
      <c r="K16" s="193">
        <f>Inputs!$I$150</f>
        <v>5552094</v>
      </c>
      <c r="L16" s="193">
        <f>Inputs!$J$150</f>
        <v>5353621</v>
      </c>
      <c r="M16" s="183">
        <f t="shared" ref="M16:Q16" si="7">GtosNoOpBase*(1+InflacionAnual)*(1/12)</f>
        <v>8061432.75</v>
      </c>
      <c r="N16" s="183">
        <f t="shared" si="7"/>
        <v>8061432.75</v>
      </c>
      <c r="O16" s="183">
        <f t="shared" si="7"/>
        <v>8061432.75</v>
      </c>
      <c r="P16" s="183">
        <f t="shared" si="7"/>
        <v>8061432.75</v>
      </c>
      <c r="Q16" s="183">
        <f t="shared" si="7"/>
        <v>8061432.75</v>
      </c>
      <c r="R16" s="841"/>
      <c r="S16" s="183">
        <f t="shared" si="3"/>
        <v>80415516.75</v>
      </c>
      <c r="T16" s="184">
        <f t="shared" si="2"/>
        <v>21792.822967479675</v>
      </c>
    </row>
    <row r="17" spans="2:20" outlineLevel="1"/>
    <row r="18" spans="2:20" outlineLevel="1">
      <c r="B18" s="589" t="s">
        <v>79</v>
      </c>
      <c r="C18" s="185" t="s">
        <v>93</v>
      </c>
      <c r="D18" s="849" t="s">
        <v>911</v>
      </c>
      <c r="E18" s="850">
        <f>IF(C18="Conservador",47,IF(C18="Optimista",57,52))</f>
        <v>52</v>
      </c>
      <c r="F18" s="850">
        <f>IF($C$18="Optimista",1,IF($C$18="Conservador",2,3))</f>
        <v>3</v>
      </c>
      <c r="G18" s="847"/>
      <c r="H18" s="847"/>
      <c r="I18" s="68"/>
      <c r="J18" s="68"/>
      <c r="K18" s="68"/>
      <c r="L18" s="68"/>
      <c r="M18" s="68"/>
      <c r="N18" s="68"/>
      <c r="O18" s="68"/>
      <c r="P18" s="68"/>
      <c r="Q18" s="68"/>
      <c r="R18" s="841"/>
      <c r="S18" s="848"/>
      <c r="T18" s="698"/>
    </row>
    <row r="19" spans="2:20" outlineLevel="1">
      <c r="B19" s="592" t="s">
        <v>912</v>
      </c>
      <c r="C19" s="185" t="s">
        <v>146</v>
      </c>
      <c r="D19" s="851" t="s">
        <v>913</v>
      </c>
      <c r="E19" s="841"/>
      <c r="F19" s="847"/>
      <c r="G19" s="847"/>
      <c r="H19" s="847"/>
      <c r="I19" s="68"/>
      <c r="J19" s="68"/>
      <c r="K19" s="68"/>
      <c r="L19" s="68"/>
      <c r="M19" s="68"/>
      <c r="N19" s="68"/>
      <c r="O19" s="68"/>
      <c r="P19" s="68"/>
      <c r="Q19" s="68"/>
      <c r="R19" s="841"/>
      <c r="S19" s="848"/>
      <c r="T19" s="698"/>
    </row>
    <row r="20" spans="2:20" ht="30" customHeight="1" outlineLevel="1">
      <c r="B20" s="386" t="s">
        <v>352</v>
      </c>
      <c r="C20" s="386"/>
      <c r="D20" s="386"/>
      <c r="E20" s="386"/>
      <c r="F20" s="460" t="str">
        <f>F2</f>
        <v>Ene-26</v>
      </c>
      <c r="G20" s="460" t="str">
        <f t="shared" ref="G20:Q20" si="8">G2</f>
        <v>Feb-26</v>
      </c>
      <c r="H20" s="460" t="str">
        <f t="shared" si="8"/>
        <v>Mar-26</v>
      </c>
      <c r="I20" s="460" t="str">
        <f t="shared" si="8"/>
        <v>Abr-26</v>
      </c>
      <c r="J20" s="460" t="str">
        <f t="shared" si="8"/>
        <v>May-26</v>
      </c>
      <c r="K20" s="460" t="str">
        <f t="shared" ref="K20" si="9">K2</f>
        <v>Jun-26</v>
      </c>
      <c r="L20" s="460" t="str">
        <f t="shared" si="8"/>
        <v>Jul-26</v>
      </c>
      <c r="M20" s="460" t="str">
        <f t="shared" si="8"/>
        <v>Ago-26</v>
      </c>
      <c r="N20" s="460" t="str">
        <f t="shared" si="8"/>
        <v>Sep-26</v>
      </c>
      <c r="O20" s="460" t="str">
        <f t="shared" si="8"/>
        <v>Oct-26</v>
      </c>
      <c r="P20" s="460" t="str">
        <f t="shared" si="8"/>
        <v>Nov-26</v>
      </c>
      <c r="Q20" s="460" t="str">
        <f t="shared" si="8"/>
        <v>Dic-26</v>
      </c>
      <c r="R20" s="386"/>
      <c r="S20" s="461" t="s">
        <v>342</v>
      </c>
      <c r="T20" s="461" t="s">
        <v>343</v>
      </c>
    </row>
    <row r="21" spans="2:20" outlineLevel="1">
      <c r="B21" s="589" t="str">
        <f>'Consol. Pptos'!B40</f>
        <v>Proyección mensual COP — Ppto Metas</v>
      </c>
      <c r="C21" s="575"/>
      <c r="D21" s="575"/>
      <c r="E21" s="852" t="s">
        <v>96</v>
      </c>
      <c r="F21" s="183">
        <f>F10</f>
        <v>612247701</v>
      </c>
      <c r="G21" s="183">
        <f t="shared" ref="G21:H21" si="10">G10</f>
        <v>744218137</v>
      </c>
      <c r="H21" s="183">
        <f t="shared" si="10"/>
        <v>787041187</v>
      </c>
      <c r="I21" s="183">
        <f t="shared" ref="I21" si="11">I10</f>
        <v>750867662</v>
      </c>
      <c r="J21" s="193">
        <f>'Consol. Pptos'!H63</f>
        <v>1013200000</v>
      </c>
      <c r="K21" s="193">
        <f>'Consol. Pptos'!I63</f>
        <v>1186615357.1428571</v>
      </c>
      <c r="L21" s="193">
        <f>'Consol. Pptos'!J63</f>
        <v>1360030714.2857144</v>
      </c>
      <c r="M21" s="193">
        <f>'Consol. Pptos'!K63</f>
        <v>1533446071.4285715</v>
      </c>
      <c r="N21" s="193">
        <f>'Consol. Pptos'!L63</f>
        <v>1706861428.5714285</v>
      </c>
      <c r="O21" s="193">
        <f>'Consol. Pptos'!M63</f>
        <v>1880276785.7142859</v>
      </c>
      <c r="P21" s="193">
        <f>'Consol. Pptos'!N63</f>
        <v>2053692142.8571429</v>
      </c>
      <c r="Q21" s="193">
        <f>'Consol. Pptos'!O63</f>
        <v>2227107500</v>
      </c>
      <c r="R21" s="841"/>
      <c r="S21" s="183">
        <f t="shared" ref="S21:S23" si="12">SUM(F21:Q21)</f>
        <v>15855604687</v>
      </c>
      <c r="T21" s="184">
        <f t="shared" ref="T21:T23" si="13">S21/TrmLargoPlazo</f>
        <v>4296911.8392953929</v>
      </c>
    </row>
    <row r="22" spans="2:20" outlineLevel="1">
      <c r="B22" s="589" t="str">
        <f>'Consol. Pptos'!B108</f>
        <v>Proyección mensual COP — Ppto Intnl</v>
      </c>
      <c r="C22" s="575"/>
      <c r="D22" s="575"/>
      <c r="E22" s="852" t="s">
        <v>353</v>
      </c>
      <c r="F22" s="183">
        <f>F10</f>
        <v>612247701</v>
      </c>
      <c r="G22" s="183">
        <f t="shared" ref="G22:H22" si="14">G10</f>
        <v>744218137</v>
      </c>
      <c r="H22" s="183">
        <f t="shared" si="14"/>
        <v>787041187</v>
      </c>
      <c r="I22" s="183">
        <f t="shared" ref="I22" si="15">I10</f>
        <v>750867662</v>
      </c>
      <c r="J22" s="193">
        <f>'Consol. Pptos'!H122</f>
        <v>1218402709.5</v>
      </c>
      <c r="K22" s="193">
        <f>'Consol. Pptos'!I122</f>
        <v>759478939.5</v>
      </c>
      <c r="L22" s="193">
        <f>'Consol. Pptos'!J122</f>
        <v>803436463.33333337</v>
      </c>
      <c r="M22" s="193">
        <f>'Consol. Pptos'!K122</f>
        <v>1243640233.3333333</v>
      </c>
      <c r="N22" s="193">
        <f>'Consol. Pptos'!L122</f>
        <v>1249040233.3333333</v>
      </c>
      <c r="O22" s="193">
        <f>'Consol. Pptos'!M122</f>
        <v>1350420930.6666667</v>
      </c>
      <c r="P22" s="193">
        <f>'Consol. Pptos'!N122</f>
        <v>1355820930.6666667</v>
      </c>
      <c r="Q22" s="193">
        <f>'Consol. Pptos'!O122</f>
        <v>1361220930.6666667</v>
      </c>
      <c r="R22" s="841"/>
      <c r="S22" s="183">
        <f t="shared" si="12"/>
        <v>12235836057.999998</v>
      </c>
      <c r="T22" s="184">
        <f t="shared" si="13"/>
        <v>3315944.7311653113</v>
      </c>
    </row>
    <row r="23" spans="2:20" outlineLevel="1">
      <c r="B23" s="589" t="str">
        <f>'Consol. Pptos'!B177</f>
        <v>Proyección mensual COP — Ppto Consolidado</v>
      </c>
      <c r="C23" s="575"/>
      <c r="D23" s="575"/>
      <c r="E23" s="852" t="s">
        <v>93</v>
      </c>
      <c r="F23" s="183">
        <f>F10</f>
        <v>612247701</v>
      </c>
      <c r="G23" s="183">
        <f t="shared" ref="G23:H23" si="16">G10</f>
        <v>744218137</v>
      </c>
      <c r="H23" s="183">
        <f t="shared" si="16"/>
        <v>787041187</v>
      </c>
      <c r="I23" s="183">
        <f t="shared" ref="I23" si="17">I10</f>
        <v>750867662</v>
      </c>
      <c r="J23" s="193">
        <f>Inputs!H132</f>
        <v>826514746</v>
      </c>
      <c r="K23" s="193">
        <f>Inputs!I132</f>
        <v>751453314</v>
      </c>
      <c r="L23" s="193">
        <f>'Consol. Pptos'!J202</f>
        <v>1047406944.2857144</v>
      </c>
      <c r="M23" s="193">
        <f>'Consol. Pptos'!K202</f>
        <v>1573626071.4285715</v>
      </c>
      <c r="N23" s="193">
        <f>'Consol. Pptos'!L202</f>
        <v>1665041428.5714285</v>
      </c>
      <c r="O23" s="193">
        <f>'Consol. Pptos'!M202</f>
        <v>1756456785.7142859</v>
      </c>
      <c r="P23" s="193">
        <f>'Consol. Pptos'!N202</f>
        <v>1847872142.8571429</v>
      </c>
      <c r="Q23" s="193">
        <f>'Consol. Pptos'!O202</f>
        <v>1939287500</v>
      </c>
      <c r="R23" s="841"/>
      <c r="S23" s="183">
        <f t="shared" si="12"/>
        <v>14302033619.857143</v>
      </c>
      <c r="T23" s="184">
        <f t="shared" si="13"/>
        <v>3875889.8698799848</v>
      </c>
    </row>
    <row r="24" spans="2:20" outlineLevel="1">
      <c r="B24" s="589"/>
      <c r="C24" s="575"/>
      <c r="D24" s="575"/>
      <c r="E24" s="841"/>
      <c r="F24" s="847"/>
      <c r="G24" s="847"/>
      <c r="H24" s="847"/>
      <c r="I24" s="68"/>
      <c r="J24" s="68"/>
      <c r="K24" s="68"/>
      <c r="L24" s="68"/>
      <c r="M24" s="68"/>
      <c r="N24" s="68"/>
      <c r="O24" s="68"/>
      <c r="P24" s="68"/>
      <c r="Q24" s="68"/>
      <c r="R24" s="841"/>
      <c r="S24" s="848"/>
      <c r="T24" s="698"/>
    </row>
    <row r="25" spans="2:20" ht="15" outlineLevel="1" thickBot="1">
      <c r="B25" s="589"/>
      <c r="C25" s="575"/>
      <c r="D25" s="575"/>
      <c r="E25" s="841"/>
      <c r="F25" s="841"/>
      <c r="G25" s="841"/>
      <c r="H25" s="841"/>
      <c r="I25" s="841"/>
      <c r="J25" s="841"/>
      <c r="K25" s="841"/>
      <c r="L25" s="841"/>
      <c r="M25" s="841"/>
      <c r="N25" s="841"/>
      <c r="O25" s="841"/>
      <c r="P25" s="841"/>
      <c r="Q25" s="841"/>
      <c r="R25" s="841"/>
      <c r="S25" s="841"/>
      <c r="T25" s="575"/>
    </row>
    <row r="26" spans="2:20" outlineLevel="1">
      <c r="B26" s="205" t="s">
        <v>354</v>
      </c>
      <c r="C26" s="853"/>
      <c r="D26" s="853"/>
      <c r="E26" s="854"/>
      <c r="F26" s="854"/>
      <c r="G26" s="854"/>
      <c r="H26" s="854"/>
      <c r="I26" s="854"/>
      <c r="J26" s="854"/>
      <c r="K26" s="854"/>
      <c r="L26" s="854"/>
      <c r="M26" s="854"/>
      <c r="N26" s="854"/>
      <c r="O26" s="854"/>
      <c r="P26" s="854"/>
      <c r="Q26" s="854"/>
      <c r="R26" s="181" t="s">
        <v>355</v>
      </c>
      <c r="S26" s="181"/>
      <c r="T26" s="106"/>
    </row>
    <row r="27" spans="2:20" outlineLevel="1">
      <c r="B27" s="164" t="s">
        <v>356</v>
      </c>
      <c r="C27" s="855" t="s">
        <v>357</v>
      </c>
      <c r="D27" s="855"/>
      <c r="E27" s="856">
        <v>84</v>
      </c>
      <c r="F27" s="857"/>
      <c r="G27" s="857"/>
      <c r="H27" s="857"/>
      <c r="I27" s="857"/>
      <c r="J27" s="857"/>
      <c r="K27" s="857"/>
      <c r="L27" s="857"/>
      <c r="M27" s="857"/>
      <c r="N27" s="857"/>
      <c r="O27" s="857"/>
      <c r="P27" s="857"/>
      <c r="Q27" s="857"/>
      <c r="R27" s="186" t="s">
        <v>358</v>
      </c>
      <c r="S27" s="186" t="s">
        <v>359</v>
      </c>
      <c r="T27" s="187" t="s">
        <v>1196</v>
      </c>
    </row>
    <row r="28" spans="2:20" outlineLevel="1">
      <c r="B28" s="589" t="s">
        <v>360</v>
      </c>
      <c r="C28" s="575" t="s">
        <v>357</v>
      </c>
      <c r="D28" s="575"/>
      <c r="E28" s="858">
        <v>52</v>
      </c>
      <c r="F28" s="63"/>
      <c r="G28" s="63"/>
      <c r="H28" s="63"/>
      <c r="I28" s="63"/>
      <c r="J28" s="63"/>
      <c r="K28" s="63"/>
      <c r="L28" s="63"/>
      <c r="M28" s="63"/>
      <c r="N28" s="63"/>
      <c r="O28" s="63"/>
      <c r="P28" s="63"/>
      <c r="Q28" s="63"/>
      <c r="R28" s="186" t="s">
        <v>361</v>
      </c>
      <c r="S28" s="186" t="s">
        <v>146</v>
      </c>
      <c r="T28" s="320">
        <f>'Consolidado '!R26</f>
        <v>302331.63</v>
      </c>
    </row>
    <row r="29" spans="2:20" outlineLevel="1">
      <c r="B29" s="589" t="s">
        <v>362</v>
      </c>
      <c r="C29" s="575" t="s">
        <v>363</v>
      </c>
      <c r="D29" s="575"/>
      <c r="E29" s="858">
        <v>60</v>
      </c>
      <c r="F29" s="63"/>
      <c r="G29" s="63"/>
      <c r="H29" s="63"/>
      <c r="I29" s="63"/>
      <c r="J29" s="63"/>
      <c r="K29" s="63"/>
      <c r="L29" s="63"/>
      <c r="M29" s="63"/>
      <c r="N29" s="63"/>
      <c r="O29" s="63"/>
      <c r="P29" s="63"/>
      <c r="Q29" s="63"/>
      <c r="R29" s="186" t="s">
        <v>364</v>
      </c>
      <c r="S29" s="186" t="s">
        <v>140</v>
      </c>
      <c r="T29" s="695">
        <f>T35</f>
        <v>750436931.71350002</v>
      </c>
    </row>
    <row r="30" spans="2:20" outlineLevel="1">
      <c r="B30" s="589" t="s">
        <v>365</v>
      </c>
      <c r="C30" s="575" t="s">
        <v>140</v>
      </c>
      <c r="D30" s="575"/>
      <c r="E30" s="858">
        <v>7360092</v>
      </c>
      <c r="F30" s="63"/>
      <c r="G30" s="63"/>
      <c r="H30" s="63"/>
      <c r="I30" s="63"/>
      <c r="J30" s="63"/>
      <c r="K30" s="63"/>
      <c r="L30" s="63"/>
      <c r="M30" s="63"/>
      <c r="N30" s="63"/>
      <c r="O30" s="63"/>
      <c r="P30" s="63"/>
      <c r="Q30" s="63"/>
      <c r="R30" s="186" t="s">
        <v>366</v>
      </c>
      <c r="S30" s="186" t="s">
        <v>367</v>
      </c>
      <c r="T30" s="321">
        <v>0</v>
      </c>
    </row>
    <row r="31" spans="2:20" outlineLevel="1">
      <c r="B31" s="589" t="s">
        <v>368</v>
      </c>
      <c r="C31" s="575" t="s">
        <v>291</v>
      </c>
      <c r="D31" s="575"/>
      <c r="E31" s="157">
        <v>1</v>
      </c>
      <c r="F31" s="63"/>
      <c r="G31" s="63"/>
      <c r="H31" s="63"/>
      <c r="I31" s="63"/>
      <c r="J31" s="63"/>
      <c r="K31" s="63"/>
      <c r="L31" s="63"/>
      <c r="M31" s="63"/>
      <c r="N31" s="63"/>
      <c r="O31" s="63"/>
      <c r="P31" s="63"/>
      <c r="Q31" s="63"/>
      <c r="R31" s="186" t="s">
        <v>369</v>
      </c>
      <c r="S31" s="186" t="s">
        <v>370</v>
      </c>
      <c r="T31" s="69" t="s">
        <v>327</v>
      </c>
    </row>
    <row r="32" spans="2:20" ht="15" outlineLevel="1" thickBot="1">
      <c r="B32" s="589" t="s">
        <v>371</v>
      </c>
      <c r="C32" s="575" t="s">
        <v>140</v>
      </c>
      <c r="D32" s="575"/>
      <c r="E32" s="919">
        <v>200000000</v>
      </c>
      <c r="F32" s="841"/>
      <c r="G32" s="841"/>
      <c r="H32" s="841"/>
      <c r="I32" s="841"/>
      <c r="J32" s="841"/>
      <c r="K32" s="841"/>
      <c r="L32" s="841"/>
      <c r="M32" s="841"/>
      <c r="N32" s="841"/>
      <c r="O32" s="841"/>
      <c r="P32" s="841"/>
      <c r="Q32" s="841"/>
      <c r="R32" s="841"/>
      <c r="S32" s="841" t="s">
        <v>363</v>
      </c>
      <c r="T32" s="920">
        <v>6</v>
      </c>
    </row>
    <row r="33" spans="2:20" outlineLevel="1">
      <c r="B33" s="473" t="s">
        <v>372</v>
      </c>
      <c r="C33" s="860"/>
      <c r="D33" s="860"/>
      <c r="E33" s="861"/>
      <c r="F33" s="861"/>
      <c r="G33" s="861"/>
      <c r="H33" s="861"/>
      <c r="I33" s="861"/>
      <c r="J33" s="861"/>
      <c r="K33" s="861"/>
      <c r="L33" s="861"/>
      <c r="M33" s="861"/>
      <c r="N33" s="861"/>
      <c r="O33" s="861"/>
      <c r="P33" s="861"/>
      <c r="Q33" s="861"/>
      <c r="R33" s="475"/>
      <c r="S33" s="475" t="s">
        <v>1195</v>
      </c>
      <c r="T33" s="583">
        <f>ABS('Consolidado '!R25)</f>
        <v>12127.75</v>
      </c>
    </row>
    <row r="34" spans="2:20" outlineLevel="1">
      <c r="B34" s="589" t="s">
        <v>373</v>
      </c>
      <c r="C34" s="575"/>
      <c r="D34" s="575"/>
      <c r="E34" s="322">
        <v>231459000</v>
      </c>
      <c r="F34" s="193">
        <f>Inputs!D93</f>
        <v>425594626</v>
      </c>
      <c r="G34" s="193">
        <f>Inputs!E93</f>
        <v>120301539</v>
      </c>
      <c r="H34" s="193">
        <f>Inputs!F93</f>
        <v>269488711</v>
      </c>
      <c r="I34" s="193">
        <f>Inputs!G93</f>
        <v>357757161</v>
      </c>
      <c r="J34" s="193">
        <f>Inputs!H93</f>
        <v>244822345</v>
      </c>
      <c r="K34" s="193">
        <f>Inputs!I93</f>
        <v>115441362</v>
      </c>
      <c r="L34" s="193">
        <f>Inputs!J93</f>
        <v>174266926</v>
      </c>
      <c r="M34" s="862"/>
      <c r="N34" s="862"/>
      <c r="O34" s="862"/>
      <c r="P34" s="862"/>
      <c r="Q34" s="862"/>
      <c r="R34" s="841"/>
      <c r="S34" s="841" t="s">
        <v>146</v>
      </c>
      <c r="T34" s="575">
        <f>T32*T33</f>
        <v>72766.5</v>
      </c>
    </row>
    <row r="35" spans="2:20" outlineLevel="1">
      <c r="B35" s="164" t="s">
        <v>374</v>
      </c>
      <c r="C35" s="855"/>
      <c r="D35" s="855"/>
      <c r="E35" s="323">
        <v>1833296000</v>
      </c>
      <c r="F35" s="193">
        <f>Inputs!D96</f>
        <v>1590540829</v>
      </c>
      <c r="G35" s="193">
        <f>Inputs!E96</f>
        <v>1797557189</v>
      </c>
      <c r="H35" s="193">
        <f>Inputs!F96</f>
        <v>1690589814</v>
      </c>
      <c r="I35" s="193">
        <f>Inputs!G96</f>
        <v>1612589704</v>
      </c>
      <c r="J35" s="196">
        <f>Inputs!H96</f>
        <v>1675346692</v>
      </c>
      <c r="K35" s="196">
        <f>Inputs!I96</f>
        <v>1799431102</v>
      </c>
      <c r="L35" s="196">
        <f>Inputs!J96</f>
        <v>1688457915</v>
      </c>
      <c r="M35" s="863"/>
      <c r="N35" s="863"/>
      <c r="O35" s="863"/>
      <c r="P35" s="863"/>
      <c r="Q35" s="863"/>
      <c r="R35" s="841"/>
      <c r="S35" s="841" t="s">
        <v>140</v>
      </c>
      <c r="T35" s="575">
        <f>MAX(0,T28-T34)*'Consolidado '!U4</f>
        <v>750436931.71350002</v>
      </c>
    </row>
    <row r="36" spans="2:20" outlineLevel="1">
      <c r="B36" s="589" t="s">
        <v>220</v>
      </c>
      <c r="C36" s="575"/>
      <c r="D36" s="575"/>
      <c r="E36" s="323">
        <v>92028000</v>
      </c>
      <c r="F36" s="193">
        <f>Inputs!D94</f>
        <v>92548595</v>
      </c>
      <c r="G36" s="193">
        <f>Inputs!E94</f>
        <v>93008823</v>
      </c>
      <c r="H36" s="193">
        <f>Inputs!F94</f>
        <v>93705293</v>
      </c>
      <c r="I36" s="193">
        <f>Inputs!G94</f>
        <v>94574157</v>
      </c>
      <c r="J36" s="193">
        <f>Inputs!H94</f>
        <v>175907394</v>
      </c>
      <c r="K36" s="193">
        <f>Inputs!I94</f>
        <v>77569331</v>
      </c>
      <c r="L36" s="193">
        <f>Inputs!J94</f>
        <v>78270032</v>
      </c>
      <c r="M36" s="862"/>
      <c r="N36" s="862"/>
      <c r="O36" s="862"/>
      <c r="P36" s="862"/>
      <c r="Q36" s="862"/>
      <c r="R36" s="841"/>
      <c r="S36" s="841"/>
      <c r="T36" s="859"/>
    </row>
    <row r="37" spans="2:20" outlineLevel="1">
      <c r="B37" s="589" t="s">
        <v>375</v>
      </c>
      <c r="C37" s="575"/>
      <c r="D37" s="575"/>
      <c r="E37" s="323">
        <v>3301925000</v>
      </c>
      <c r="F37" s="193">
        <f>Inputs!D97</f>
        <v>3331745751</v>
      </c>
      <c r="G37" s="193">
        <f>Inputs!E97</f>
        <v>3359507781</v>
      </c>
      <c r="H37" s="193">
        <f>Inputs!F97</f>
        <v>3397894998</v>
      </c>
      <c r="I37" s="193">
        <f>Inputs!G97</f>
        <v>3433020955</v>
      </c>
      <c r="J37" s="193">
        <f>Inputs!H97</f>
        <v>3468917579</v>
      </c>
      <c r="K37" s="193">
        <f>Inputs!I97</f>
        <v>3497856336</v>
      </c>
      <c r="L37" s="193">
        <f>Inputs!J97</f>
        <v>3529697045</v>
      </c>
      <c r="M37" s="862"/>
      <c r="N37" s="862"/>
      <c r="O37" s="862"/>
      <c r="P37" s="862"/>
      <c r="Q37" s="862"/>
      <c r="R37" s="841"/>
      <c r="S37" s="841"/>
      <c r="T37" s="859"/>
    </row>
    <row r="38" spans="2:20" outlineLevel="1">
      <c r="B38" s="589" t="s">
        <v>376</v>
      </c>
      <c r="C38" s="575"/>
      <c r="D38" s="575"/>
      <c r="E38" s="324">
        <v>209212000</v>
      </c>
      <c r="F38" s="193">
        <f>Inputs!D101</f>
        <v>216571954</v>
      </c>
      <c r="G38" s="193">
        <f>Inputs!E101</f>
        <v>222840954</v>
      </c>
      <c r="H38" s="193">
        <f>Inputs!F101</f>
        <v>223130002</v>
      </c>
      <c r="I38" s="193">
        <f>Inputs!G101</f>
        <v>218182533</v>
      </c>
      <c r="J38" s="193">
        <f>Inputs!H101</f>
        <v>225975514</v>
      </c>
      <c r="K38" s="193">
        <f>Inputs!I101</f>
        <v>225975514</v>
      </c>
      <c r="L38" s="193">
        <f>Inputs!J101</f>
        <v>225975514</v>
      </c>
      <c r="M38" s="848"/>
      <c r="N38" s="848"/>
      <c r="O38" s="848"/>
      <c r="P38" s="848"/>
      <c r="Q38" s="848"/>
      <c r="R38" s="841"/>
      <c r="S38" s="848"/>
      <c r="T38" s="859"/>
    </row>
    <row r="39" spans="2:20" outlineLevel="1">
      <c r="B39" s="589" t="s">
        <v>377</v>
      </c>
      <c r="C39" s="575"/>
      <c r="D39" s="575"/>
      <c r="E39" s="324">
        <v>410000000</v>
      </c>
      <c r="F39" s="193">
        <f>Inputs!D102</f>
        <v>410000000</v>
      </c>
      <c r="G39" s="193">
        <f>Inputs!E102</f>
        <v>410000000</v>
      </c>
      <c r="H39" s="193">
        <f>Inputs!F102</f>
        <v>410000000</v>
      </c>
      <c r="I39" s="193">
        <f>Inputs!G102</f>
        <v>410000000</v>
      </c>
      <c r="J39" s="193">
        <f>Inputs!H102</f>
        <v>410000000</v>
      </c>
      <c r="K39" s="193">
        <f>Inputs!I102</f>
        <v>410000000</v>
      </c>
      <c r="L39" s="193">
        <f>Inputs!J102</f>
        <v>410000000</v>
      </c>
      <c r="M39" s="68"/>
      <c r="N39" s="68"/>
      <c r="O39" s="68"/>
      <c r="P39" s="68"/>
      <c r="Q39" s="68"/>
      <c r="R39" s="841"/>
      <c r="S39" s="848"/>
      <c r="T39" s="859"/>
    </row>
    <row r="40" spans="2:20" outlineLevel="1">
      <c r="B40" s="589" t="s">
        <v>378</v>
      </c>
      <c r="C40" s="575"/>
      <c r="D40" s="575"/>
      <c r="E40" s="324">
        <v>544703000</v>
      </c>
      <c r="F40" s="193">
        <f>Inputs!D109</f>
        <v>502128241</v>
      </c>
      <c r="G40" s="193">
        <f>Inputs!E109</f>
        <v>493782297</v>
      </c>
      <c r="H40" s="193">
        <f>Inputs!F109</f>
        <v>571037565</v>
      </c>
      <c r="I40" s="193">
        <f>Inputs!G109</f>
        <v>563841763</v>
      </c>
      <c r="J40" s="193">
        <f>Inputs!H109</f>
        <v>502311050</v>
      </c>
      <c r="K40" s="193">
        <f>Inputs!I109</f>
        <v>483390906</v>
      </c>
      <c r="L40" s="193">
        <f>Inputs!J109</f>
        <v>403760304</v>
      </c>
      <c r="M40" s="68"/>
      <c r="N40" s="68"/>
      <c r="O40" s="68"/>
      <c r="P40" s="68"/>
      <c r="Q40" s="68"/>
      <c r="R40" s="841"/>
      <c r="S40" s="848"/>
      <c r="T40" s="859"/>
    </row>
    <row r="41" spans="2:20" outlineLevel="1">
      <c r="B41" s="589" t="s">
        <v>379</v>
      </c>
      <c r="C41" s="575"/>
      <c r="D41" s="575"/>
      <c r="E41" s="324">
        <v>2654919000</v>
      </c>
      <c r="F41" s="193">
        <f>Inputs!D116</f>
        <v>2645015181</v>
      </c>
      <c r="G41" s="193">
        <f>Inputs!E116</f>
        <v>2622128056</v>
      </c>
      <c r="H41" s="193">
        <f>Inputs!F116</f>
        <v>2643128881</v>
      </c>
      <c r="I41" s="193">
        <f>Inputs!G116</f>
        <v>2648455481</v>
      </c>
      <c r="J41" s="193">
        <f>Inputs!H116</f>
        <v>2642649181</v>
      </c>
      <c r="K41" s="193">
        <f>Inputs!I116</f>
        <v>2641566481</v>
      </c>
      <c r="L41" s="193">
        <f>Inputs!J116</f>
        <v>2641787281</v>
      </c>
      <c r="M41" s="68"/>
      <c r="N41" s="68"/>
      <c r="O41" s="68"/>
      <c r="P41" s="68"/>
      <c r="Q41" s="68"/>
      <c r="R41" s="841"/>
      <c r="S41" s="848"/>
      <c r="T41" s="859"/>
    </row>
    <row r="42" spans="2:20" outlineLevel="1">
      <c r="B42" s="589" t="s">
        <v>380</v>
      </c>
      <c r="C42" s="575"/>
      <c r="D42" s="575"/>
      <c r="E42" s="324">
        <v>40077000</v>
      </c>
      <c r="F42" s="193">
        <f>Inputs!D112</f>
        <v>14350080</v>
      </c>
      <c r="G42" s="193">
        <f>Inputs!E112</f>
        <v>1791700</v>
      </c>
      <c r="H42" s="193">
        <f>Inputs!F112</f>
        <v>25570584</v>
      </c>
      <c r="I42" s="193">
        <f>Inputs!G112</f>
        <v>24496645</v>
      </c>
      <c r="J42" s="193">
        <f>Inputs!H112</f>
        <v>22513416</v>
      </c>
      <c r="K42" s="193">
        <f>Inputs!I112</f>
        <v>23325495</v>
      </c>
      <c r="L42" s="193">
        <f>Inputs!J112</f>
        <v>19229474</v>
      </c>
      <c r="M42" s="68"/>
      <c r="N42" s="68"/>
      <c r="O42" s="68"/>
      <c r="P42" s="68"/>
      <c r="Q42" s="68"/>
      <c r="R42" s="841"/>
      <c r="S42" s="848"/>
      <c r="T42" s="859"/>
    </row>
    <row r="43" spans="2:20" outlineLevel="1">
      <c r="B43" s="589" t="s">
        <v>381</v>
      </c>
      <c r="C43" s="575"/>
      <c r="D43" s="575"/>
      <c r="E43" s="324">
        <v>333178000</v>
      </c>
      <c r="F43" s="193">
        <f>Inputs!D113</f>
        <v>344307623</v>
      </c>
      <c r="G43" s="193">
        <f>Inputs!E113</f>
        <v>241683051</v>
      </c>
      <c r="H43" s="193">
        <f>Inputs!F113</f>
        <v>236353731</v>
      </c>
      <c r="I43" s="193">
        <f>Inputs!G113</f>
        <v>271532869</v>
      </c>
      <c r="J43" s="193">
        <f>Inputs!H113</f>
        <v>320296862</v>
      </c>
      <c r="K43" s="193">
        <f>Inputs!I113</f>
        <v>247533920</v>
      </c>
      <c r="L43" s="193">
        <f>Inputs!J113</f>
        <v>265675229</v>
      </c>
      <c r="M43" s="68"/>
      <c r="N43" s="68"/>
      <c r="O43" s="68"/>
      <c r="P43" s="68"/>
      <c r="Q43" s="68"/>
      <c r="R43" s="841"/>
      <c r="S43" s="848"/>
      <c r="T43" s="859"/>
    </row>
    <row r="44" spans="2:20" outlineLevel="1">
      <c r="B44" s="589" t="s">
        <v>382</v>
      </c>
      <c r="C44" s="575"/>
      <c r="D44" s="575"/>
      <c r="E44" s="324">
        <v>80111000</v>
      </c>
      <c r="F44" s="193">
        <f>Inputs!D108</f>
        <v>72783461</v>
      </c>
      <c r="G44" s="193">
        <f>Inputs!E108</f>
        <v>101365099</v>
      </c>
      <c r="H44" s="193">
        <f>Inputs!F108</f>
        <v>104189980</v>
      </c>
      <c r="I44" s="193">
        <f>Inputs!G108</f>
        <v>112563470</v>
      </c>
      <c r="J44" s="193">
        <f>Inputs!H108</f>
        <v>99589767</v>
      </c>
      <c r="K44" s="193">
        <f>Inputs!I108</f>
        <v>83503947</v>
      </c>
      <c r="L44" s="193">
        <f>Inputs!J108</f>
        <v>104555195</v>
      </c>
      <c r="M44" s="68"/>
      <c r="N44" s="68"/>
      <c r="O44" s="68"/>
      <c r="P44" s="68"/>
      <c r="Q44" s="68"/>
      <c r="R44" s="841"/>
      <c r="S44" s="848"/>
      <c r="T44" s="859"/>
    </row>
    <row r="45" spans="2:20" outlineLevel="1">
      <c r="B45" s="589" t="s">
        <v>383</v>
      </c>
      <c r="C45" s="575"/>
      <c r="D45" s="575"/>
      <c r="E45" s="324">
        <v>1210339000</v>
      </c>
      <c r="F45" s="193">
        <f>Inputs!D121</f>
        <v>1210339000</v>
      </c>
      <c r="G45" s="193">
        <f>Inputs!E121</f>
        <v>1210339000</v>
      </c>
      <c r="H45" s="193">
        <f>Inputs!F121</f>
        <v>1210339000</v>
      </c>
      <c r="I45" s="193">
        <f>Inputs!G121</f>
        <v>1210339000</v>
      </c>
      <c r="J45" s="193">
        <f>Inputs!H121</f>
        <v>1210339000</v>
      </c>
      <c r="K45" s="193">
        <f>Inputs!I121</f>
        <v>1210339000</v>
      </c>
      <c r="L45" s="193">
        <f>Inputs!J121</f>
        <v>1210339000</v>
      </c>
      <c r="M45" s="68"/>
      <c r="N45" s="68"/>
      <c r="O45" s="68"/>
      <c r="P45" s="68"/>
      <c r="Q45" s="68"/>
      <c r="R45" s="841"/>
      <c r="S45" s="848"/>
      <c r="T45" s="859"/>
    </row>
    <row r="46" spans="2:20" outlineLevel="1">
      <c r="B46" s="589" t="s">
        <v>384</v>
      </c>
      <c r="C46" s="575"/>
      <c r="D46" s="575"/>
      <c r="E46" s="324">
        <v>1214593000</v>
      </c>
      <c r="F46" s="193">
        <f>Inputs!D122</f>
        <v>1278078168</v>
      </c>
      <c r="G46" s="193">
        <f>Inputs!E122</f>
        <v>1332127083</v>
      </c>
      <c r="H46" s="193">
        <f>Inputs!F122</f>
        <v>1294189077</v>
      </c>
      <c r="I46" s="193">
        <f>Inputs!G122</f>
        <v>1294895280</v>
      </c>
      <c r="J46" s="193">
        <f>Inputs!H122</f>
        <v>1403270248</v>
      </c>
      <c r="K46" s="193">
        <f>Inputs!I122</f>
        <v>1436613897</v>
      </c>
      <c r="L46" s="193">
        <f>Inputs!J122</f>
        <v>1461320949</v>
      </c>
      <c r="M46" s="68"/>
      <c r="N46" s="68"/>
      <c r="O46" s="68"/>
      <c r="P46" s="68"/>
      <c r="Q46" s="68"/>
      <c r="R46" s="841"/>
      <c r="S46" s="848"/>
      <c r="T46" s="859"/>
    </row>
    <row r="47" spans="2:20" ht="15" outlineLevel="1" thickBot="1">
      <c r="B47" s="589"/>
      <c r="C47" s="575"/>
      <c r="D47" s="575"/>
      <c r="E47" s="841"/>
      <c r="F47" s="841"/>
      <c r="G47" s="841"/>
      <c r="H47" s="841"/>
      <c r="I47" s="841"/>
      <c r="J47" s="841"/>
      <c r="K47" s="841"/>
      <c r="L47" s="841"/>
      <c r="M47" s="841"/>
      <c r="N47" s="841"/>
      <c r="O47" s="841"/>
      <c r="P47" s="841"/>
      <c r="Q47" s="841"/>
      <c r="R47" s="841"/>
      <c r="S47" s="841"/>
      <c r="T47" s="859"/>
    </row>
    <row r="48" spans="2:20" outlineLevel="1">
      <c r="B48" s="473" t="s">
        <v>385</v>
      </c>
      <c r="C48" s="473"/>
      <c r="D48" s="473"/>
      <c r="E48" s="474"/>
      <c r="F48" s="474"/>
      <c r="G48" s="474"/>
      <c r="H48" s="474"/>
      <c r="I48" s="474"/>
      <c r="J48" s="474"/>
      <c r="K48" s="474"/>
      <c r="L48" s="474"/>
      <c r="M48" s="474"/>
      <c r="N48" s="474"/>
      <c r="O48" s="474"/>
      <c r="P48" s="474"/>
      <c r="Q48" s="474"/>
      <c r="R48" s="475"/>
      <c r="S48" s="474"/>
      <c r="T48" s="864"/>
    </row>
    <row r="49" spans="2:19" outlineLevel="1"/>
    <row r="50" spans="2:19" ht="30" customHeight="1">
      <c r="B50" s="386"/>
      <c r="C50" s="386"/>
      <c r="D50" s="386"/>
      <c r="E50" s="386"/>
      <c r="F50" s="386" t="str">
        <f>F2</f>
        <v>Ene-26</v>
      </c>
      <c r="G50" s="386" t="str">
        <f t="shared" ref="G50:Q50" si="18">G2</f>
        <v>Feb-26</v>
      </c>
      <c r="H50" s="386" t="str">
        <f t="shared" si="18"/>
        <v>Mar-26</v>
      </c>
      <c r="I50" s="386" t="str">
        <f t="shared" si="18"/>
        <v>Abr-26</v>
      </c>
      <c r="J50" s="386" t="str">
        <f t="shared" si="18"/>
        <v>May-26</v>
      </c>
      <c r="K50" s="386" t="str">
        <f t="shared" ref="K50" si="19">K2</f>
        <v>Jun-26</v>
      </c>
      <c r="L50" s="386" t="str">
        <f t="shared" si="18"/>
        <v>Jul-26</v>
      </c>
      <c r="M50" s="386" t="str">
        <f t="shared" si="18"/>
        <v>Ago-26</v>
      </c>
      <c r="N50" s="386" t="str">
        <f t="shared" si="18"/>
        <v>Sep-26</v>
      </c>
      <c r="O50" s="386" t="str">
        <f t="shared" si="18"/>
        <v>Oct-26</v>
      </c>
      <c r="P50" s="386" t="str">
        <f t="shared" si="18"/>
        <v>Nov-26</v>
      </c>
      <c r="Q50" s="386" t="str">
        <f t="shared" si="18"/>
        <v>Dic-26</v>
      </c>
      <c r="R50" s="386"/>
      <c r="S50" s="386" t="s">
        <v>386</v>
      </c>
    </row>
    <row r="51" spans="2:19">
      <c r="B51" s="164" t="s">
        <v>387</v>
      </c>
      <c r="C51" s="865"/>
      <c r="D51" s="865"/>
      <c r="E51" s="865"/>
      <c r="F51" s="197">
        <f>F23</f>
        <v>612247701</v>
      </c>
      <c r="G51" s="197">
        <f t="shared" ref="G51:J51" si="20">G23</f>
        <v>744218137</v>
      </c>
      <c r="H51" s="197">
        <f t="shared" si="20"/>
        <v>787041187</v>
      </c>
      <c r="I51" s="197">
        <f t="shared" si="20"/>
        <v>750867662</v>
      </c>
      <c r="J51" s="197">
        <f t="shared" si="20"/>
        <v>826514746</v>
      </c>
      <c r="K51" s="197">
        <f t="shared" ref="K51" si="21">K23</f>
        <v>751453314</v>
      </c>
      <c r="L51" s="197">
        <f>L10</f>
        <v>679890552</v>
      </c>
      <c r="M51" s="197" cm="1">
        <f t="array" ref="M51">INDEX(M$21:M$23,$F$18)</f>
        <v>1573626071.4285715</v>
      </c>
      <c r="N51" s="197" cm="1">
        <f t="array" ref="N51">INDEX(N$21:N$23,$F$18)</f>
        <v>1665041428.5714285</v>
      </c>
      <c r="O51" s="197" cm="1">
        <f t="array" ref="O51">INDEX(O$21:O$23,$F$18)</f>
        <v>1756456785.7142859</v>
      </c>
      <c r="P51" s="197" cm="1">
        <f t="array" ref="P51">INDEX(P$21:P$23,$F$18)</f>
        <v>1847872142.8571429</v>
      </c>
      <c r="Q51" s="197" cm="1">
        <f t="array" ref="Q51">INDEX(Q$21:Q$23,$F$18)</f>
        <v>1939287500</v>
      </c>
      <c r="R51" s="841"/>
      <c r="S51" s="197">
        <f>SUM(F51:Q51)</f>
        <v>13934517227.57143</v>
      </c>
    </row>
    <row r="52" spans="2:19">
      <c r="B52" s="155" t="s">
        <v>153</v>
      </c>
      <c r="C52" s="186"/>
      <c r="D52" s="186"/>
      <c r="E52" s="186"/>
      <c r="F52" s="183">
        <f t="shared" ref="F52:Q52" si="22">F11</f>
        <v>238535794</v>
      </c>
      <c r="G52" s="183">
        <f t="shared" si="22"/>
        <v>343308791</v>
      </c>
      <c r="H52" s="183">
        <f t="shared" si="22"/>
        <v>455639201</v>
      </c>
      <c r="I52" s="183">
        <f t="shared" si="22"/>
        <v>379273594</v>
      </c>
      <c r="J52" s="183">
        <f t="shared" si="22"/>
        <v>355470523</v>
      </c>
      <c r="K52" s="183">
        <f t="shared" ref="K52" si="23">K11</f>
        <v>348477606</v>
      </c>
      <c r="L52" s="183">
        <f t="shared" si="22"/>
        <v>321917838</v>
      </c>
      <c r="M52" s="183">
        <f t="shared" si="22"/>
        <v>352521060.41666663</v>
      </c>
      <c r="N52" s="183">
        <f t="shared" si="22"/>
        <v>352521060.41666663</v>
      </c>
      <c r="O52" s="183">
        <f t="shared" si="22"/>
        <v>352521060.41666663</v>
      </c>
      <c r="P52" s="183">
        <f t="shared" si="22"/>
        <v>362550219.41666663</v>
      </c>
      <c r="Q52" s="183">
        <f t="shared" si="22"/>
        <v>362550219.41666663</v>
      </c>
      <c r="R52" s="841"/>
      <c r="S52" s="183">
        <f>SUM(F52:Q52)</f>
        <v>4225286967.0833325</v>
      </c>
    </row>
    <row r="53" spans="2:19">
      <c r="B53" s="188" t="s">
        <v>388</v>
      </c>
      <c r="C53" s="189"/>
      <c r="D53" s="189"/>
      <c r="E53" s="189"/>
      <c r="F53" s="190">
        <f t="shared" ref="F53:Q53" si="24">F51-F52</f>
        <v>373711907</v>
      </c>
      <c r="G53" s="190">
        <f t="shared" si="24"/>
        <v>400909346</v>
      </c>
      <c r="H53" s="190">
        <f t="shared" si="24"/>
        <v>331401986</v>
      </c>
      <c r="I53" s="190">
        <f t="shared" si="24"/>
        <v>371594068</v>
      </c>
      <c r="J53" s="190">
        <f t="shared" si="24"/>
        <v>471044223</v>
      </c>
      <c r="K53" s="190">
        <f t="shared" ref="K53" si="25">K51-K52</f>
        <v>402975708</v>
      </c>
      <c r="L53" s="190">
        <f t="shared" si="24"/>
        <v>357972714</v>
      </c>
      <c r="M53" s="190">
        <f t="shared" si="24"/>
        <v>1221105011.0119047</v>
      </c>
      <c r="N53" s="190">
        <f t="shared" si="24"/>
        <v>1312520368.1547618</v>
      </c>
      <c r="O53" s="190">
        <f t="shared" si="24"/>
        <v>1403935725.2976193</v>
      </c>
      <c r="P53" s="190">
        <f t="shared" si="24"/>
        <v>1485321923.4404764</v>
      </c>
      <c r="Q53" s="190">
        <f t="shared" si="24"/>
        <v>1576737280.5833335</v>
      </c>
      <c r="R53" s="841"/>
      <c r="S53" s="190">
        <f>SUM(F53:Q53)</f>
        <v>9709230260.4880943</v>
      </c>
    </row>
    <row r="54" spans="2:19">
      <c r="B54" s="191" t="s">
        <v>389</v>
      </c>
      <c r="C54" s="192"/>
      <c r="D54" s="192"/>
      <c r="E54" s="866"/>
      <c r="F54" s="867">
        <f t="shared" ref="F54:Q54" si="26">IF(F51=0,0,F53/F51)</f>
        <v>0.6103933202029288</v>
      </c>
      <c r="G54" s="867">
        <f t="shared" si="26"/>
        <v>0.53869870414082643</v>
      </c>
      <c r="H54" s="867">
        <f t="shared" si="26"/>
        <v>0.42107324429007298</v>
      </c>
      <c r="I54" s="867">
        <f t="shared" si="26"/>
        <v>0.49488623202952642</v>
      </c>
      <c r="J54" s="867">
        <f t="shared" si="26"/>
        <v>0.56991629644802488</v>
      </c>
      <c r="K54" s="867">
        <f t="shared" ref="K54" si="27">IF(K51=0,0,K53/K51)</f>
        <v>0.53626180162138459</v>
      </c>
      <c r="L54" s="867">
        <f t="shared" si="26"/>
        <v>0.52651520593567536</v>
      </c>
      <c r="M54" s="867">
        <f t="shared" si="26"/>
        <v>0.7759816853462268</v>
      </c>
      <c r="N54" s="867">
        <f t="shared" si="26"/>
        <v>0.78828090738911971</v>
      </c>
      <c r="O54" s="867">
        <f t="shared" si="26"/>
        <v>0.79929989551475966</v>
      </c>
      <c r="P54" s="867">
        <f t="shared" si="26"/>
        <v>0.80380124197548719</v>
      </c>
      <c r="Q54" s="867">
        <f t="shared" si="26"/>
        <v>0.81304978275956175</v>
      </c>
      <c r="R54" s="841"/>
      <c r="S54" s="867">
        <f>IF(S51=0,0,S53/S51)</f>
        <v>0.69677550373090769</v>
      </c>
    </row>
    <row r="55" spans="2:19">
      <c r="B55" s="155"/>
      <c r="C55" s="186"/>
      <c r="D55" s="186"/>
      <c r="E55" s="186"/>
      <c r="F55" s="186"/>
      <c r="G55" s="186"/>
      <c r="H55" s="186"/>
      <c r="I55" s="186"/>
      <c r="J55" s="186"/>
      <c r="K55" s="186"/>
      <c r="L55" s="186"/>
      <c r="M55" s="186"/>
      <c r="N55" s="186"/>
      <c r="O55" s="186"/>
      <c r="P55" s="186"/>
      <c r="Q55" s="186"/>
      <c r="R55" s="841"/>
      <c r="S55" s="186"/>
    </row>
    <row r="56" spans="2:19">
      <c r="B56" s="155" t="s">
        <v>390</v>
      </c>
      <c r="C56" s="186"/>
      <c r="D56" s="186"/>
      <c r="E56" s="186"/>
      <c r="F56" s="183">
        <f t="shared" ref="F56:Q56" si="28">F12</f>
        <v>98722435</v>
      </c>
      <c r="G56" s="183">
        <f t="shared" si="28"/>
        <v>105633472</v>
      </c>
      <c r="H56" s="183">
        <f t="shared" si="28"/>
        <v>141811865</v>
      </c>
      <c r="I56" s="183">
        <f t="shared" si="28"/>
        <v>114280887</v>
      </c>
      <c r="J56" s="183">
        <f t="shared" si="28"/>
        <v>116808824</v>
      </c>
      <c r="K56" s="183">
        <f t="shared" ref="K56" si="29">K12</f>
        <v>112288693</v>
      </c>
      <c r="L56" s="183">
        <f t="shared" si="28"/>
        <v>107932742</v>
      </c>
      <c r="M56" s="183">
        <f t="shared" si="28"/>
        <v>135399979.66666666</v>
      </c>
      <c r="N56" s="183">
        <f t="shared" si="28"/>
        <v>135399979.66666666</v>
      </c>
      <c r="O56" s="183">
        <f t="shared" si="28"/>
        <v>135399979.66666666</v>
      </c>
      <c r="P56" s="183">
        <f t="shared" si="28"/>
        <v>135399979.66666666</v>
      </c>
      <c r="Q56" s="183">
        <f t="shared" si="28"/>
        <v>135399979.66666666</v>
      </c>
      <c r="R56" s="841"/>
      <c r="S56" s="183">
        <f t="shared" ref="S56:S61" si="30">SUM(F56:Q56)</f>
        <v>1474478816.3333335</v>
      </c>
    </row>
    <row r="57" spans="2:19">
      <c r="B57" s="166" t="s">
        <v>391</v>
      </c>
      <c r="C57" s="195"/>
      <c r="D57" s="195"/>
      <c r="E57" s="195"/>
      <c r="F57" s="197">
        <f t="shared" ref="F57:Q57" si="31">F13</f>
        <v>131600259</v>
      </c>
      <c r="G57" s="197">
        <f t="shared" si="31"/>
        <v>173632204</v>
      </c>
      <c r="H57" s="197">
        <f t="shared" si="31"/>
        <v>139615776</v>
      </c>
      <c r="I57" s="197">
        <f t="shared" si="31"/>
        <v>130090415</v>
      </c>
      <c r="J57" s="197">
        <f t="shared" si="31"/>
        <v>120233213</v>
      </c>
      <c r="K57" s="197">
        <f t="shared" ref="K57" si="32">K13</f>
        <v>146803460</v>
      </c>
      <c r="L57" s="197">
        <f t="shared" si="31"/>
        <v>117761236</v>
      </c>
      <c r="M57" s="197">
        <f t="shared" si="31"/>
        <v>230883032.25</v>
      </c>
      <c r="N57" s="197">
        <f t="shared" si="31"/>
        <v>230883032.25</v>
      </c>
      <c r="O57" s="197">
        <f t="shared" si="31"/>
        <v>230883032.25</v>
      </c>
      <c r="P57" s="197">
        <f t="shared" si="31"/>
        <v>237664417.25</v>
      </c>
      <c r="Q57" s="197">
        <f t="shared" si="31"/>
        <v>237664417.25</v>
      </c>
      <c r="R57" s="841"/>
      <c r="S57" s="197">
        <f t="shared" si="30"/>
        <v>2127714494.25</v>
      </c>
    </row>
    <row r="58" spans="2:19">
      <c r="B58" s="155" t="s">
        <v>392</v>
      </c>
      <c r="C58" s="186"/>
      <c r="D58" s="186"/>
      <c r="E58" s="186"/>
      <c r="F58" s="183">
        <f t="shared" ref="F58:Q58" si="33">F14</f>
        <v>73409852</v>
      </c>
      <c r="G58" s="183">
        <f t="shared" si="33"/>
        <v>75509638</v>
      </c>
      <c r="H58" s="183">
        <f t="shared" si="33"/>
        <v>72217138</v>
      </c>
      <c r="I58" s="183">
        <f t="shared" si="33"/>
        <v>122384514</v>
      </c>
      <c r="J58" s="183">
        <f t="shared" si="33"/>
        <v>120992711</v>
      </c>
      <c r="K58" s="183">
        <f t="shared" ref="K58" si="34">K14</f>
        <v>108908060</v>
      </c>
      <c r="L58" s="183">
        <f t="shared" si="33"/>
        <v>102936374</v>
      </c>
      <c r="M58" s="183">
        <f t="shared" si="33"/>
        <v>113025240.66666666</v>
      </c>
      <c r="N58" s="183">
        <f t="shared" si="33"/>
        <v>113025240.66666666</v>
      </c>
      <c r="O58" s="183">
        <f t="shared" si="33"/>
        <v>113025240.66666666</v>
      </c>
      <c r="P58" s="183">
        <f t="shared" si="33"/>
        <v>113025240.66666666</v>
      </c>
      <c r="Q58" s="183">
        <f t="shared" si="33"/>
        <v>113025240.66666666</v>
      </c>
      <c r="R58" s="841"/>
      <c r="S58" s="183">
        <f t="shared" si="30"/>
        <v>1241484490.3333333</v>
      </c>
    </row>
    <row r="59" spans="2:19" s="1" customFormat="1" ht="15">
      <c r="B59" s="188" t="s">
        <v>278</v>
      </c>
      <c r="C59" s="189"/>
      <c r="D59" s="189"/>
      <c r="E59" s="189"/>
      <c r="F59" s="190">
        <f t="shared" ref="F59:Q59" si="35">F53-F56-F57-F58</f>
        <v>69979361</v>
      </c>
      <c r="G59" s="190">
        <f t="shared" si="35"/>
        <v>46134032</v>
      </c>
      <c r="H59" s="190">
        <f t="shared" si="35"/>
        <v>-22242793</v>
      </c>
      <c r="I59" s="190">
        <f t="shared" si="35"/>
        <v>4838252</v>
      </c>
      <c r="J59" s="190">
        <f t="shared" si="35"/>
        <v>113009475</v>
      </c>
      <c r="K59" s="190">
        <f t="shared" ref="K59" si="36">K53-K56-K57-K58</f>
        <v>34975495</v>
      </c>
      <c r="L59" s="190">
        <f t="shared" si="35"/>
        <v>29342362</v>
      </c>
      <c r="M59" s="190">
        <f t="shared" si="35"/>
        <v>741796758.42857134</v>
      </c>
      <c r="N59" s="190">
        <f t="shared" si="35"/>
        <v>833212115.57142842</v>
      </c>
      <c r="O59" s="190">
        <f t="shared" si="35"/>
        <v>924627472.71428597</v>
      </c>
      <c r="P59" s="190">
        <f t="shared" si="35"/>
        <v>999232285.85714304</v>
      </c>
      <c r="Q59" s="190">
        <f t="shared" si="35"/>
        <v>1090647643</v>
      </c>
      <c r="R59" s="841"/>
      <c r="S59" s="190">
        <f t="shared" si="30"/>
        <v>4865552459.5714283</v>
      </c>
    </row>
    <row r="60" spans="2:19" s="1" customFormat="1" ht="15">
      <c r="B60" s="155" t="s">
        <v>393</v>
      </c>
      <c r="C60" s="186"/>
      <c r="D60" s="186"/>
      <c r="E60" s="186"/>
      <c r="F60" s="66">
        <f>0</f>
        <v>0</v>
      </c>
      <c r="G60" s="66">
        <f>0</f>
        <v>0</v>
      </c>
      <c r="H60" s="66">
        <f>0</f>
        <v>0</v>
      </c>
      <c r="I60" s="66">
        <f>0</f>
        <v>0</v>
      </c>
      <c r="J60" s="156">
        <v>0</v>
      </c>
      <c r="K60" s="156">
        <v>0</v>
      </c>
      <c r="L60" s="183">
        <f>0</f>
        <v>0</v>
      </c>
      <c r="M60" s="183">
        <f t="shared" ref="M60:Q60" si="37">M170</f>
        <v>3766258.5666666669</v>
      </c>
      <c r="N60" s="183">
        <f t="shared" si="37"/>
        <v>3826155.7905555558</v>
      </c>
      <c r="O60" s="183">
        <f t="shared" si="37"/>
        <v>3885054.7273796294</v>
      </c>
      <c r="P60" s="183">
        <f t="shared" si="37"/>
        <v>3942972.0152566358</v>
      </c>
      <c r="Q60" s="183">
        <f t="shared" si="37"/>
        <v>3999924.0150023582</v>
      </c>
      <c r="R60" s="841"/>
      <c r="S60" s="183">
        <f t="shared" si="30"/>
        <v>19420365.114860848</v>
      </c>
    </row>
    <row r="61" spans="2:19" s="1" customFormat="1" ht="15">
      <c r="B61" s="188" t="s">
        <v>394</v>
      </c>
      <c r="C61" s="189"/>
      <c r="D61" s="189"/>
      <c r="E61" s="189"/>
      <c r="F61" s="190">
        <f t="shared" ref="F61:Q61" si="38">F59-F60</f>
        <v>69979361</v>
      </c>
      <c r="G61" s="190">
        <f t="shared" si="38"/>
        <v>46134032</v>
      </c>
      <c r="H61" s="190">
        <f t="shared" si="38"/>
        <v>-22242793</v>
      </c>
      <c r="I61" s="190">
        <f t="shared" si="38"/>
        <v>4838252</v>
      </c>
      <c r="J61" s="190">
        <f t="shared" si="38"/>
        <v>113009475</v>
      </c>
      <c r="K61" s="190">
        <f t="shared" ref="K61" si="39">K59-K60</f>
        <v>34975495</v>
      </c>
      <c r="L61" s="190">
        <f t="shared" si="38"/>
        <v>29342362</v>
      </c>
      <c r="M61" s="190">
        <f t="shared" si="38"/>
        <v>738030499.86190462</v>
      </c>
      <c r="N61" s="190">
        <f t="shared" si="38"/>
        <v>829385959.78087282</v>
      </c>
      <c r="O61" s="190">
        <f t="shared" si="38"/>
        <v>920742417.98690629</v>
      </c>
      <c r="P61" s="190">
        <f t="shared" si="38"/>
        <v>995289313.8418864</v>
      </c>
      <c r="Q61" s="190">
        <f t="shared" si="38"/>
        <v>1086647718.9849977</v>
      </c>
      <c r="R61" s="841"/>
      <c r="S61" s="190">
        <f t="shared" si="30"/>
        <v>4846132094.4565678</v>
      </c>
    </row>
    <row r="62" spans="2:19">
      <c r="B62" s="191" t="s">
        <v>395</v>
      </c>
      <c r="C62" s="192"/>
      <c r="D62" s="192"/>
      <c r="E62" s="192"/>
      <c r="F62" s="325">
        <f t="shared" ref="F62:Q62" si="40">IF(F51=0,0,F61/F51)</f>
        <v>0.11429909967109864</v>
      </c>
      <c r="G62" s="325">
        <f t="shared" si="40"/>
        <v>6.1989932395318657E-2</v>
      </c>
      <c r="H62" s="325">
        <f t="shared" si="40"/>
        <v>-2.8261282087134278E-2</v>
      </c>
      <c r="I62" s="325">
        <f t="shared" si="40"/>
        <v>6.4435482373989888E-3</v>
      </c>
      <c r="J62" s="325">
        <f t="shared" si="40"/>
        <v>0.13673013766169395</v>
      </c>
      <c r="K62" s="325">
        <f t="shared" ref="K62" si="41">IF(K51=0,0,K61/K51)</f>
        <v>4.6543802986009589E-2</v>
      </c>
      <c r="L62" s="325">
        <f t="shared" si="40"/>
        <v>4.3157478676067854E-2</v>
      </c>
      <c r="M62" s="325">
        <f t="shared" si="40"/>
        <v>0.46899991888918358</v>
      </c>
      <c r="N62" s="325">
        <f t="shared" si="40"/>
        <v>0.49811731140676119</v>
      </c>
      <c r="O62" s="325">
        <f t="shared" si="40"/>
        <v>0.5242044241996392</v>
      </c>
      <c r="P62" s="325">
        <f t="shared" si="40"/>
        <v>0.53861373347129415</v>
      </c>
      <c r="Q62" s="325">
        <f t="shared" si="40"/>
        <v>0.56033348277911232</v>
      </c>
      <c r="R62" s="841"/>
      <c r="S62" s="325">
        <f>IF(S51=0,0,S61/S51)</f>
        <v>0.34777897327277363</v>
      </c>
    </row>
    <row r="63" spans="2:19">
      <c r="B63" s="155"/>
      <c r="C63" s="186"/>
      <c r="D63" s="186"/>
      <c r="E63" s="186"/>
      <c r="F63" s="60"/>
      <c r="G63" s="60"/>
      <c r="H63" s="60"/>
      <c r="I63" s="60"/>
      <c r="J63" s="186"/>
      <c r="K63" s="186"/>
      <c r="L63" s="186"/>
      <c r="M63" s="186"/>
      <c r="N63" s="186"/>
      <c r="O63" s="186"/>
      <c r="P63" s="186"/>
      <c r="Q63" s="186"/>
      <c r="R63" s="841"/>
      <c r="S63" s="186"/>
    </row>
    <row r="64" spans="2:19">
      <c r="B64" s="155" t="s">
        <v>396</v>
      </c>
      <c r="C64" s="186"/>
      <c r="D64" s="186"/>
      <c r="E64" s="186"/>
      <c r="F64" s="183">
        <f t="shared" ref="F64:Q64" si="42">F15</f>
        <v>597687</v>
      </c>
      <c r="G64" s="183">
        <f t="shared" si="42"/>
        <v>13488976</v>
      </c>
      <c r="H64" s="183">
        <f t="shared" si="42"/>
        <v>-10197660</v>
      </c>
      <c r="I64" s="183">
        <f t="shared" si="42"/>
        <v>906545</v>
      </c>
      <c r="J64" s="183">
        <f t="shared" si="42"/>
        <v>1366339</v>
      </c>
      <c r="K64" s="183">
        <f t="shared" ref="K64" si="43">K15</f>
        <v>3920249</v>
      </c>
      <c r="L64" s="183">
        <f t="shared" si="42"/>
        <v>718311</v>
      </c>
      <c r="M64" s="183">
        <f t="shared" si="42"/>
        <v>11706738.666666666</v>
      </c>
      <c r="N64" s="183">
        <f t="shared" si="42"/>
        <v>11706738.666666666</v>
      </c>
      <c r="O64" s="183">
        <f t="shared" si="42"/>
        <v>11706738.666666666</v>
      </c>
      <c r="P64" s="183">
        <f t="shared" si="42"/>
        <v>11706738.666666666</v>
      </c>
      <c r="Q64" s="183">
        <f t="shared" si="42"/>
        <v>11706738.666666666</v>
      </c>
      <c r="R64" s="841"/>
      <c r="S64" s="183">
        <f>SUM(F64:Q64)</f>
        <v>69334140.333333328</v>
      </c>
    </row>
    <row r="65" spans="2:19">
      <c r="B65" s="155" t="s">
        <v>397</v>
      </c>
      <c r="C65" s="186"/>
      <c r="D65" s="186"/>
      <c r="E65" s="186"/>
      <c r="F65" s="183">
        <f>F16</f>
        <v>7091551</v>
      </c>
      <c r="G65" s="183">
        <f t="shared" ref="G65:I65" si="44">G16</f>
        <v>5574093</v>
      </c>
      <c r="H65" s="183">
        <f t="shared" si="44"/>
        <v>5497554</v>
      </c>
      <c r="I65" s="183">
        <f t="shared" si="44"/>
        <v>5038594</v>
      </c>
      <c r="J65" s="183">
        <f>J16</f>
        <v>6000846</v>
      </c>
      <c r="K65" s="183">
        <f>K16</f>
        <v>5552094</v>
      </c>
      <c r="L65" s="183">
        <f>L16</f>
        <v>5353621</v>
      </c>
      <c r="M65" s="183">
        <f t="shared" ref="M65:Q65" si="45">M16+M138</f>
        <v>8932726.041666666</v>
      </c>
      <c r="N65" s="183">
        <f t="shared" si="45"/>
        <v>8932726.041666666</v>
      </c>
      <c r="O65" s="183">
        <f t="shared" si="45"/>
        <v>8932726.041666666</v>
      </c>
      <c r="P65" s="183">
        <f t="shared" si="45"/>
        <v>8932726.041666666</v>
      </c>
      <c r="Q65" s="183">
        <f t="shared" si="45"/>
        <v>8932726.041666666</v>
      </c>
      <c r="R65" s="841"/>
      <c r="S65" s="183">
        <f>SUM(F65:Q65)</f>
        <v>84771983.208333328</v>
      </c>
    </row>
    <row r="66" spans="2:19">
      <c r="B66" s="155"/>
      <c r="C66" s="186"/>
      <c r="D66" s="186"/>
      <c r="E66" s="186"/>
      <c r="F66" s="60"/>
      <c r="G66" s="60"/>
      <c r="H66" s="60"/>
      <c r="I66" s="60"/>
      <c r="J66" s="68"/>
      <c r="K66" s="68"/>
      <c r="L66" s="68"/>
      <c r="M66" s="68"/>
      <c r="N66" s="68"/>
      <c r="O66" s="68"/>
      <c r="P66" s="68"/>
      <c r="Q66" s="68"/>
      <c r="R66" s="841"/>
      <c r="S66" s="68"/>
    </row>
    <row r="67" spans="2:19">
      <c r="B67" s="188" t="s">
        <v>398</v>
      </c>
      <c r="C67" s="189"/>
      <c r="D67" s="189"/>
      <c r="E67" s="189"/>
      <c r="F67" s="190">
        <f t="shared" ref="F67:Q67" si="46">F61+F64-F65</f>
        <v>63485497</v>
      </c>
      <c r="G67" s="190">
        <f t="shared" si="46"/>
        <v>54048915</v>
      </c>
      <c r="H67" s="190">
        <f t="shared" si="46"/>
        <v>-37938007</v>
      </c>
      <c r="I67" s="190">
        <f t="shared" si="46"/>
        <v>706203</v>
      </c>
      <c r="J67" s="190">
        <f t="shared" si="46"/>
        <v>108374968</v>
      </c>
      <c r="K67" s="190">
        <f t="shared" ref="K67" si="47">K61+K64-K65</f>
        <v>33343650</v>
      </c>
      <c r="L67" s="190">
        <f t="shared" si="46"/>
        <v>24707052</v>
      </c>
      <c r="M67" s="190">
        <f t="shared" si="46"/>
        <v>740804512.48690462</v>
      </c>
      <c r="N67" s="190">
        <f t="shared" si="46"/>
        <v>832159972.40587282</v>
      </c>
      <c r="O67" s="190">
        <f t="shared" si="46"/>
        <v>923516430.61190629</v>
      </c>
      <c r="P67" s="190">
        <f t="shared" si="46"/>
        <v>998063326.4668864</v>
      </c>
      <c r="Q67" s="190">
        <f t="shared" si="46"/>
        <v>1089421731.6099977</v>
      </c>
      <c r="R67" s="841"/>
      <c r="S67" s="190">
        <f>SUM(F67:Q67)</f>
        <v>4830694251.5815678</v>
      </c>
    </row>
    <row r="68" spans="2:19">
      <c r="B68" s="166"/>
      <c r="C68" s="195"/>
      <c r="D68" s="195"/>
      <c r="E68" s="195"/>
      <c r="F68" s="868"/>
      <c r="G68" s="868"/>
      <c r="H68" s="868"/>
      <c r="I68" s="868"/>
      <c r="J68" s="72"/>
      <c r="K68" s="72"/>
      <c r="L68" s="72"/>
      <c r="M68" s="72"/>
      <c r="N68" s="72"/>
      <c r="O68" s="72"/>
      <c r="P68" s="72"/>
      <c r="Q68" s="72"/>
      <c r="R68" s="841"/>
      <c r="S68" s="72"/>
    </row>
    <row r="69" spans="2:19">
      <c r="B69" s="155" t="s">
        <v>399</v>
      </c>
      <c r="C69" s="186"/>
      <c r="D69" s="186"/>
      <c r="E69" s="186"/>
      <c r="F69" s="193">
        <f>Inputs!D154</f>
        <v>0</v>
      </c>
      <c r="G69" s="193">
        <f>Inputs!$E$154</f>
        <v>0</v>
      </c>
      <c r="H69" s="193">
        <f>Inputs!$F$154</f>
        <v>0</v>
      </c>
      <c r="I69" s="193">
        <f>Inputs!$G$154</f>
        <v>0</v>
      </c>
      <c r="J69" s="193">
        <f>Inputs!H154</f>
        <v>0</v>
      </c>
      <c r="K69" s="193">
        <f>Inputs!I154</f>
        <v>0</v>
      </c>
      <c r="L69" s="193">
        <f>Inputs!J154</f>
        <v>0</v>
      </c>
      <c r="M69" s="183">
        <f t="shared" ref="M69:Q69" si="48">IF(M67&gt;0,M67*M$7,0)</f>
        <v>259281579.37041661</v>
      </c>
      <c r="N69" s="183">
        <f t="shared" si="48"/>
        <v>291255990.34205544</v>
      </c>
      <c r="O69" s="183">
        <f t="shared" si="48"/>
        <v>323230750.71416718</v>
      </c>
      <c r="P69" s="183">
        <f t="shared" si="48"/>
        <v>349322164.26341021</v>
      </c>
      <c r="Q69" s="183">
        <f t="shared" si="48"/>
        <v>381297606.06349921</v>
      </c>
      <c r="R69" s="841"/>
      <c r="S69" s="183">
        <f>SUM(F69:Q69)</f>
        <v>1604388090.7535489</v>
      </c>
    </row>
    <row r="70" spans="2:19">
      <c r="B70" s="166" t="s">
        <v>400</v>
      </c>
      <c r="C70" s="195"/>
      <c r="D70" s="195"/>
      <c r="E70" s="195"/>
      <c r="F70" s="197">
        <f t="shared" ref="F70:Q70" si="49">F67-F69</f>
        <v>63485497</v>
      </c>
      <c r="G70" s="197">
        <f t="shared" si="49"/>
        <v>54048915</v>
      </c>
      <c r="H70" s="197">
        <f t="shared" si="49"/>
        <v>-37938007</v>
      </c>
      <c r="I70" s="197">
        <f t="shared" si="49"/>
        <v>706203</v>
      </c>
      <c r="J70" s="197">
        <f t="shared" si="49"/>
        <v>108374968</v>
      </c>
      <c r="K70" s="197">
        <f t="shared" ref="K70" si="50">K67-K69</f>
        <v>33343650</v>
      </c>
      <c r="L70" s="197">
        <f t="shared" si="49"/>
        <v>24707052</v>
      </c>
      <c r="M70" s="197">
        <f t="shared" si="49"/>
        <v>481522933.11648798</v>
      </c>
      <c r="N70" s="197">
        <f t="shared" si="49"/>
        <v>540903982.06381738</v>
      </c>
      <c r="O70" s="197">
        <f t="shared" si="49"/>
        <v>600285679.89773917</v>
      </c>
      <c r="P70" s="197">
        <f t="shared" si="49"/>
        <v>648741162.20347619</v>
      </c>
      <c r="Q70" s="197">
        <f t="shared" si="49"/>
        <v>708124125.54649854</v>
      </c>
      <c r="R70" s="841"/>
      <c r="S70" s="197">
        <f>SUM(F70:Q70)</f>
        <v>3226306160.8280191</v>
      </c>
    </row>
    <row r="71" spans="2:19">
      <c r="B71" s="869" t="s">
        <v>401</v>
      </c>
      <c r="C71" s="870"/>
      <c r="D71" s="870"/>
      <c r="E71" s="871"/>
      <c r="F71" s="872">
        <f t="shared" ref="F71:Q71" si="51">IF(F51=0,0,F70/F51)</f>
        <v>0.10369250369794365</v>
      </c>
      <c r="G71" s="872">
        <f t="shared" si="51"/>
        <v>7.2625097821285692E-2</v>
      </c>
      <c r="H71" s="872">
        <f t="shared" si="51"/>
        <v>-4.820333119364438E-2</v>
      </c>
      <c r="I71" s="872">
        <f t="shared" si="51"/>
        <v>9.4051593341890386E-4</v>
      </c>
      <c r="J71" s="872">
        <f t="shared" si="51"/>
        <v>0.13112284871442573</v>
      </c>
      <c r="K71" s="872">
        <f t="shared" ref="K71" si="52">IF(K51=0,0,K70/K51)</f>
        <v>4.4372217646511038E-2</v>
      </c>
      <c r="L71" s="872">
        <f t="shared" si="51"/>
        <v>3.6339748989481474E-2</v>
      </c>
      <c r="M71" s="872">
        <f t="shared" si="51"/>
        <v>0.3059957774335495</v>
      </c>
      <c r="N71" s="872">
        <f t="shared" si="51"/>
        <v>0.32485917334075098</v>
      </c>
      <c r="O71" s="872">
        <f t="shared" si="51"/>
        <v>0.34175943568894879</v>
      </c>
      <c r="P71" s="872">
        <f t="shared" si="51"/>
        <v>0.35107470217090109</v>
      </c>
      <c r="Q71" s="872">
        <f t="shared" si="51"/>
        <v>0.36514654250414058</v>
      </c>
      <c r="R71" s="841"/>
      <c r="S71" s="872">
        <f>IF(S51=0,0,S70/S51)</f>
        <v>0.23153340070112455</v>
      </c>
    </row>
    <row r="72" spans="2:19">
      <c r="B72" s="592" t="s">
        <v>1197</v>
      </c>
      <c r="C72" s="583" t="s">
        <v>1198</v>
      </c>
      <c r="D72" s="575"/>
      <c r="E72" s="841"/>
      <c r="F72" s="922">
        <f>MAX(0,F67*F$7)-F69</f>
        <v>22219923.949999999</v>
      </c>
      <c r="G72" s="922">
        <f t="shared" ref="G72:Q72" si="53">MAX(0,G67*G$7)-G69</f>
        <v>18917120.25</v>
      </c>
      <c r="H72" s="922">
        <f t="shared" si="53"/>
        <v>0</v>
      </c>
      <c r="I72" s="922">
        <f t="shared" si="53"/>
        <v>247171.05</v>
      </c>
      <c r="J72" s="922">
        <f t="shared" si="53"/>
        <v>37931238.799999997</v>
      </c>
      <c r="K72" s="922">
        <f t="shared" si="53"/>
        <v>11670277.5</v>
      </c>
      <c r="L72" s="922">
        <f t="shared" si="53"/>
        <v>8647468.1999999993</v>
      </c>
      <c r="M72" s="922">
        <f t="shared" si="53"/>
        <v>0</v>
      </c>
      <c r="N72" s="922">
        <f t="shared" si="53"/>
        <v>0</v>
      </c>
      <c r="O72" s="922">
        <f t="shared" si="53"/>
        <v>0</v>
      </c>
      <c r="P72" s="922">
        <f t="shared" si="53"/>
        <v>0</v>
      </c>
      <c r="Q72" s="922">
        <f t="shared" si="53"/>
        <v>0</v>
      </c>
      <c r="R72" s="841"/>
      <c r="S72" s="841"/>
    </row>
    <row r="73" spans="2:19" ht="15" thickBot="1">
      <c r="B73" s="592" t="s">
        <v>1199</v>
      </c>
      <c r="C73" s="575"/>
      <c r="D73" s="575"/>
      <c r="E73" s="841"/>
      <c r="F73" s="923">
        <f>F70-F72</f>
        <v>41265573.049999997</v>
      </c>
      <c r="G73" s="923">
        <f t="shared" ref="G73:Q73" si="54">G70-G72</f>
        <v>35131794.75</v>
      </c>
      <c r="H73" s="923">
        <f t="shared" si="54"/>
        <v>-37938007</v>
      </c>
      <c r="I73" s="923">
        <f t="shared" si="54"/>
        <v>459031.95</v>
      </c>
      <c r="J73" s="923">
        <f t="shared" si="54"/>
        <v>70443729.200000003</v>
      </c>
      <c r="K73" s="923">
        <f t="shared" si="54"/>
        <v>21673372.5</v>
      </c>
      <c r="L73" s="923">
        <f t="shared" si="54"/>
        <v>16059583.800000001</v>
      </c>
      <c r="M73" s="923">
        <f t="shared" si="54"/>
        <v>481522933.11648798</v>
      </c>
      <c r="N73" s="923">
        <f t="shared" si="54"/>
        <v>540903982.06381738</v>
      </c>
      <c r="O73" s="923">
        <f t="shared" si="54"/>
        <v>600285679.89773917</v>
      </c>
      <c r="P73" s="923">
        <f t="shared" si="54"/>
        <v>648741162.20347619</v>
      </c>
      <c r="Q73" s="923">
        <f t="shared" si="54"/>
        <v>708124125.54649854</v>
      </c>
      <c r="R73" s="841"/>
      <c r="S73" s="841"/>
    </row>
    <row r="74" spans="2:19">
      <c r="B74" s="473" t="s">
        <v>402</v>
      </c>
      <c r="C74" s="473"/>
      <c r="D74" s="473"/>
      <c r="E74" s="474"/>
      <c r="F74" s="474"/>
      <c r="G74" s="474"/>
      <c r="H74" s="474"/>
      <c r="I74" s="474"/>
      <c r="J74" s="474"/>
      <c r="K74" s="474"/>
      <c r="L74" s="474"/>
      <c r="M74" s="474"/>
      <c r="N74" s="474"/>
      <c r="O74" s="474"/>
      <c r="P74" s="474"/>
      <c r="Q74" s="474"/>
      <c r="R74" s="475"/>
      <c r="S74" s="474"/>
    </row>
    <row r="75" spans="2:19">
      <c r="B75" s="155"/>
      <c r="C75" s="186"/>
      <c r="D75" s="186"/>
      <c r="E75" s="186"/>
      <c r="F75" s="186"/>
      <c r="G75" s="186"/>
      <c r="H75" s="186"/>
      <c r="I75" s="186"/>
      <c r="J75" s="186"/>
      <c r="K75" s="186"/>
      <c r="L75" s="186"/>
      <c r="M75" s="186"/>
      <c r="N75" s="186"/>
      <c r="O75" s="186"/>
      <c r="P75" s="186"/>
      <c r="Q75" s="186"/>
      <c r="R75" s="841"/>
      <c r="S75" s="186"/>
    </row>
    <row r="76" spans="2:19" ht="30" customHeight="1">
      <c r="B76" s="386"/>
      <c r="C76" s="386"/>
      <c r="D76" s="386"/>
      <c r="E76" s="462">
        <v>2025</v>
      </c>
      <c r="F76" s="461" t="s">
        <v>209</v>
      </c>
      <c r="G76" s="461" t="s">
        <v>324</v>
      </c>
      <c r="H76" s="461" t="s">
        <v>325</v>
      </c>
      <c r="I76" s="461" t="s">
        <v>326</v>
      </c>
      <c r="J76" s="461" t="s">
        <v>327</v>
      </c>
      <c r="K76" s="461" t="s">
        <v>328</v>
      </c>
      <c r="L76" s="461" t="s">
        <v>329</v>
      </c>
      <c r="M76" s="461" t="s">
        <v>330</v>
      </c>
      <c r="N76" s="461" t="s">
        <v>331</v>
      </c>
      <c r="O76" s="461" t="s">
        <v>332</v>
      </c>
      <c r="P76" s="461" t="s">
        <v>333</v>
      </c>
      <c r="Q76" s="461" t="s">
        <v>334</v>
      </c>
      <c r="R76" s="386"/>
      <c r="S76" s="461" t="s">
        <v>16</v>
      </c>
    </row>
    <row r="77" spans="2:19">
      <c r="B77" s="546" t="s">
        <v>403</v>
      </c>
      <c r="C77" s="554"/>
      <c r="D77" s="554"/>
      <c r="E77" s="554"/>
      <c r="F77" s="554"/>
      <c r="G77" s="554"/>
      <c r="H77" s="554"/>
      <c r="I77" s="554"/>
      <c r="J77" s="554"/>
      <c r="K77" s="554"/>
      <c r="L77" s="554"/>
      <c r="M77" s="554"/>
      <c r="N77" s="554"/>
      <c r="O77" s="554"/>
      <c r="P77" s="554"/>
      <c r="Q77" s="554"/>
      <c r="R77" s="554"/>
      <c r="S77" s="554"/>
    </row>
    <row r="78" spans="2:19">
      <c r="B78" s="155" t="s">
        <v>373</v>
      </c>
      <c r="C78" s="186"/>
      <c r="D78" s="186"/>
      <c r="E78" s="326">
        <f t="shared" ref="E78:I81" si="55">E34</f>
        <v>231459000</v>
      </c>
      <c r="F78" s="198">
        <f t="shared" si="55"/>
        <v>425594626</v>
      </c>
      <c r="G78" s="198">
        <f t="shared" si="55"/>
        <v>120301539</v>
      </c>
      <c r="H78" s="198">
        <f t="shared" si="55"/>
        <v>269488711</v>
      </c>
      <c r="I78" s="198">
        <f t="shared" si="55"/>
        <v>357757161</v>
      </c>
      <c r="J78" s="183">
        <f t="shared" ref="J78:K81" si="56">J34</f>
        <v>244822345</v>
      </c>
      <c r="K78" s="183">
        <f t="shared" si="56"/>
        <v>115441362</v>
      </c>
      <c r="L78" s="183">
        <f>L34</f>
        <v>174266926</v>
      </c>
      <c r="M78" s="183">
        <f t="shared" ref="M78:Q78" si="57">M189</f>
        <v>-867733821.51070666</v>
      </c>
      <c r="N78" s="183">
        <f t="shared" si="57"/>
        <v>-554352364.68469501</v>
      </c>
      <c r="O78" s="183">
        <f t="shared" si="57"/>
        <v>-181529961.68746448</v>
      </c>
      <c r="P78" s="183">
        <f t="shared" si="57"/>
        <v>200000000</v>
      </c>
      <c r="Q78" s="183">
        <f t="shared" si="57"/>
        <v>200000000</v>
      </c>
      <c r="R78" s="841"/>
      <c r="S78" s="183">
        <f t="shared" ref="S78:S85" si="58">Q78</f>
        <v>200000000</v>
      </c>
    </row>
    <row r="79" spans="2:19">
      <c r="B79" s="155" t="s">
        <v>374</v>
      </c>
      <c r="C79" s="186"/>
      <c r="D79" s="186"/>
      <c r="E79" s="326">
        <f t="shared" si="55"/>
        <v>1833296000</v>
      </c>
      <c r="F79" s="198">
        <f t="shared" si="55"/>
        <v>1590540829</v>
      </c>
      <c r="G79" s="198">
        <f t="shared" si="55"/>
        <v>1797557189</v>
      </c>
      <c r="H79" s="198">
        <f t="shared" si="55"/>
        <v>1690589814</v>
      </c>
      <c r="I79" s="198">
        <f t="shared" si="55"/>
        <v>1612589704</v>
      </c>
      <c r="J79" s="183">
        <f t="shared" si="56"/>
        <v>1675346692</v>
      </c>
      <c r="K79" s="183">
        <f t="shared" si="56"/>
        <v>1799431102</v>
      </c>
      <c r="L79" s="183">
        <f>L35</f>
        <v>1688457915</v>
      </c>
      <c r="M79" s="183">
        <f t="shared" ref="M79:Q79" si="59">M51*$E$27/30</f>
        <v>4406153000</v>
      </c>
      <c r="N79" s="183">
        <f t="shared" si="59"/>
        <v>4662116000</v>
      </c>
      <c r="O79" s="183">
        <f t="shared" si="59"/>
        <v>4918079000</v>
      </c>
      <c r="P79" s="183">
        <f t="shared" si="59"/>
        <v>5174042000</v>
      </c>
      <c r="Q79" s="183">
        <f t="shared" si="59"/>
        <v>5430005000</v>
      </c>
      <c r="R79" s="841"/>
      <c r="S79" s="183">
        <f t="shared" si="58"/>
        <v>5430005000</v>
      </c>
    </row>
    <row r="80" spans="2:19">
      <c r="B80" s="155" t="s">
        <v>220</v>
      </c>
      <c r="C80" s="186"/>
      <c r="D80" s="186"/>
      <c r="E80" s="326">
        <f t="shared" si="55"/>
        <v>92028000</v>
      </c>
      <c r="F80" s="198">
        <f t="shared" si="55"/>
        <v>92548595</v>
      </c>
      <c r="G80" s="198">
        <f t="shared" si="55"/>
        <v>93008823</v>
      </c>
      <c r="H80" s="198">
        <f t="shared" si="55"/>
        <v>93705293</v>
      </c>
      <c r="I80" s="198">
        <f t="shared" si="55"/>
        <v>94574157</v>
      </c>
      <c r="J80" s="183">
        <f t="shared" si="56"/>
        <v>175907394</v>
      </c>
      <c r="K80" s="183">
        <f t="shared" si="56"/>
        <v>77569331</v>
      </c>
      <c r="L80" s="183">
        <f>L36</f>
        <v>78270032</v>
      </c>
      <c r="M80" s="183">
        <f>$L$80*(1-$D$168)</f>
        <v>78270032</v>
      </c>
      <c r="N80" s="183">
        <f>M80*(1-$D$168)</f>
        <v>78270032</v>
      </c>
      <c r="O80" s="183">
        <f>N80*(1-$D$168)</f>
        <v>78270032</v>
      </c>
      <c r="P80" s="183">
        <f>O80*(1-$D$168)</f>
        <v>78270032</v>
      </c>
      <c r="Q80" s="183">
        <f>P80*(1-$D$168)</f>
        <v>78270032</v>
      </c>
      <c r="R80" s="841"/>
      <c r="S80" s="183">
        <f t="shared" si="58"/>
        <v>78270032</v>
      </c>
    </row>
    <row r="81" spans="2:19">
      <c r="B81" s="164" t="s">
        <v>375</v>
      </c>
      <c r="C81" s="865"/>
      <c r="D81" s="865"/>
      <c r="E81" s="326">
        <f t="shared" si="55"/>
        <v>3301925000</v>
      </c>
      <c r="F81" s="199">
        <f t="shared" si="55"/>
        <v>3331745751</v>
      </c>
      <c r="G81" s="199">
        <f t="shared" si="55"/>
        <v>3359507781</v>
      </c>
      <c r="H81" s="199">
        <f t="shared" si="55"/>
        <v>3397894998</v>
      </c>
      <c r="I81" s="199">
        <f t="shared" si="55"/>
        <v>3433020955</v>
      </c>
      <c r="J81" s="197">
        <f t="shared" si="56"/>
        <v>3468917579</v>
      </c>
      <c r="K81" s="197">
        <f t="shared" si="56"/>
        <v>3497856336</v>
      </c>
      <c r="L81" s="197">
        <f>L37</f>
        <v>3529697045</v>
      </c>
      <c r="M81" s="197">
        <f>$L$81*(1-$D$167)</f>
        <v>3529697045</v>
      </c>
      <c r="N81" s="197">
        <f>M81*(1-$D$167)</f>
        <v>3529697045</v>
      </c>
      <c r="O81" s="197">
        <f>N81*(1-$D$167)</f>
        <v>3529697045</v>
      </c>
      <c r="P81" s="197">
        <f>O81*(1-$D$167)</f>
        <v>3529697045</v>
      </c>
      <c r="Q81" s="197">
        <f>P81*(1-$D$167)</f>
        <v>3529697045</v>
      </c>
      <c r="R81" s="841"/>
      <c r="S81" s="197">
        <f t="shared" si="58"/>
        <v>3529697045</v>
      </c>
    </row>
    <row r="82" spans="2:19">
      <c r="B82" s="454" t="s">
        <v>404</v>
      </c>
      <c r="C82" s="464"/>
      <c r="D82" s="464"/>
      <c r="E82" s="465">
        <f t="shared" ref="E82" si="60">SUM(E78:E81)</f>
        <v>5458708000</v>
      </c>
      <c r="F82" s="466">
        <f t="shared" ref="F82:Q82" si="61">SUM(F78:F81)</f>
        <v>5440429801</v>
      </c>
      <c r="G82" s="466">
        <f t="shared" si="61"/>
        <v>5370375332</v>
      </c>
      <c r="H82" s="466">
        <f t="shared" si="61"/>
        <v>5451678816</v>
      </c>
      <c r="I82" s="466">
        <f t="shared" si="61"/>
        <v>5497941977</v>
      </c>
      <c r="J82" s="472">
        <f>SUM(J78:J81)</f>
        <v>5564994010</v>
      </c>
      <c r="K82" s="472">
        <f>SUM(K78:K81)</f>
        <v>5490298131</v>
      </c>
      <c r="L82" s="472">
        <f t="shared" si="61"/>
        <v>5470691918</v>
      </c>
      <c r="M82" s="472">
        <f t="shared" si="61"/>
        <v>7146386255.4892931</v>
      </c>
      <c r="N82" s="472">
        <f t="shared" si="61"/>
        <v>7715730712.3153048</v>
      </c>
      <c r="O82" s="472">
        <f t="shared" si="61"/>
        <v>8344516115.3125353</v>
      </c>
      <c r="P82" s="472">
        <f t="shared" si="61"/>
        <v>8982009077</v>
      </c>
      <c r="Q82" s="472">
        <f t="shared" si="61"/>
        <v>9237972077</v>
      </c>
      <c r="R82" s="873"/>
      <c r="S82" s="472">
        <f t="shared" si="58"/>
        <v>9237972077</v>
      </c>
    </row>
    <row r="83" spans="2:19">
      <c r="B83" s="155" t="s">
        <v>376</v>
      </c>
      <c r="C83" s="186"/>
      <c r="D83" s="186"/>
      <c r="E83" s="326">
        <f t="shared" ref="E83:I84" si="62">E38</f>
        <v>209212000</v>
      </c>
      <c r="F83" s="198">
        <f t="shared" si="62"/>
        <v>216571954</v>
      </c>
      <c r="G83" s="198">
        <f t="shared" si="62"/>
        <v>222840954</v>
      </c>
      <c r="H83" s="198">
        <f t="shared" si="62"/>
        <v>223130002</v>
      </c>
      <c r="I83" s="198">
        <f t="shared" si="62"/>
        <v>218182533</v>
      </c>
      <c r="J83" s="183">
        <f t="shared" ref="J83:L84" si="63">J38</f>
        <v>225975514</v>
      </c>
      <c r="K83" s="183">
        <f t="shared" si="63"/>
        <v>225975514</v>
      </c>
      <c r="L83" s="183">
        <f t="shared" si="63"/>
        <v>225975514</v>
      </c>
      <c r="M83" s="183">
        <f t="shared" ref="M83:Q83" si="64">M126</f>
        <v>229569347.43333334</v>
      </c>
      <c r="N83" s="183">
        <f t="shared" si="64"/>
        <v>233103283.64277777</v>
      </c>
      <c r="O83" s="183">
        <f t="shared" si="64"/>
        <v>236578320.91539815</v>
      </c>
      <c r="P83" s="183">
        <f t="shared" si="64"/>
        <v>239995440.90014151</v>
      </c>
      <c r="Q83" s="183">
        <f t="shared" si="64"/>
        <v>243355608.88513914</v>
      </c>
      <c r="R83" s="841"/>
      <c r="S83" s="183">
        <f t="shared" si="58"/>
        <v>243355608.88513914</v>
      </c>
    </row>
    <row r="84" spans="2:19">
      <c r="B84" s="155" t="s">
        <v>377</v>
      </c>
      <c r="C84" s="186"/>
      <c r="D84" s="186"/>
      <c r="E84" s="326">
        <f t="shared" si="62"/>
        <v>410000000</v>
      </c>
      <c r="F84" s="198">
        <f t="shared" si="62"/>
        <v>410000000</v>
      </c>
      <c r="G84" s="198">
        <f t="shared" si="62"/>
        <v>410000000</v>
      </c>
      <c r="H84" s="198">
        <f t="shared" si="62"/>
        <v>410000000</v>
      </c>
      <c r="I84" s="198">
        <f t="shared" si="62"/>
        <v>410000000</v>
      </c>
      <c r="J84" s="183">
        <f t="shared" si="63"/>
        <v>410000000</v>
      </c>
      <c r="K84" s="183">
        <f t="shared" si="63"/>
        <v>410000000</v>
      </c>
      <c r="L84" s="183">
        <f t="shared" si="63"/>
        <v>410000000</v>
      </c>
      <c r="M84" s="183">
        <f t="shared" ref="M84:Q84" si="65">$I84</f>
        <v>410000000</v>
      </c>
      <c r="N84" s="183">
        <f t="shared" si="65"/>
        <v>410000000</v>
      </c>
      <c r="O84" s="183">
        <f t="shared" si="65"/>
        <v>410000000</v>
      </c>
      <c r="P84" s="183">
        <f t="shared" si="65"/>
        <v>410000000</v>
      </c>
      <c r="Q84" s="183">
        <f t="shared" si="65"/>
        <v>410000000</v>
      </c>
      <c r="R84" s="841"/>
      <c r="S84" s="183">
        <f t="shared" si="58"/>
        <v>410000000</v>
      </c>
    </row>
    <row r="85" spans="2:19">
      <c r="B85" s="467" t="s">
        <v>405</v>
      </c>
      <c r="C85" s="468"/>
      <c r="D85" s="468"/>
      <c r="E85" s="469">
        <f t="shared" ref="E85" si="66">E82+E83+E84</f>
        <v>6077920000</v>
      </c>
      <c r="F85" s="470">
        <f>SUM(F82:F84)</f>
        <v>6067001755</v>
      </c>
      <c r="G85" s="470">
        <f>SUM(G82:G84)</f>
        <v>6003216286</v>
      </c>
      <c r="H85" s="470">
        <f>SUM(H82:H84)</f>
        <v>6084808818</v>
      </c>
      <c r="I85" s="470">
        <f>SUM(I82:I84)</f>
        <v>6126124510</v>
      </c>
      <c r="J85" s="471">
        <f>J82+J83+J84</f>
        <v>6200969524</v>
      </c>
      <c r="K85" s="471">
        <f>K82+K83+K84</f>
        <v>6126273645</v>
      </c>
      <c r="L85" s="471">
        <f t="shared" ref="L85:Q85" si="67">L82+L83+L84</f>
        <v>6106667432</v>
      </c>
      <c r="M85" s="471">
        <f t="shared" si="67"/>
        <v>7785955602.9226265</v>
      </c>
      <c r="N85" s="471">
        <f t="shared" si="67"/>
        <v>8358833995.9580822</v>
      </c>
      <c r="O85" s="471">
        <f t="shared" si="67"/>
        <v>8991094436.2279339</v>
      </c>
      <c r="P85" s="471">
        <f t="shared" si="67"/>
        <v>9632004517.9001408</v>
      </c>
      <c r="Q85" s="471">
        <f t="shared" si="67"/>
        <v>9891327685.8851395</v>
      </c>
      <c r="R85" s="873"/>
      <c r="S85" s="471">
        <f t="shared" si="58"/>
        <v>9891327685.8851395</v>
      </c>
    </row>
    <row r="86" spans="2:19">
      <c r="B86" s="155"/>
      <c r="C86" s="186"/>
      <c r="D86" s="186"/>
      <c r="E86" s="73"/>
      <c r="F86" s="74"/>
      <c r="G86" s="74"/>
      <c r="H86" s="74"/>
      <c r="I86" s="74"/>
      <c r="J86" s="68"/>
      <c r="K86" s="68"/>
      <c r="L86" s="68"/>
      <c r="M86" s="68"/>
      <c r="N86" s="68"/>
      <c r="O86" s="68"/>
      <c r="P86" s="68"/>
      <c r="Q86" s="68"/>
      <c r="R86" s="841"/>
      <c r="S86" s="68"/>
    </row>
    <row r="87" spans="2:19">
      <c r="B87" s="546" t="s">
        <v>406</v>
      </c>
      <c r="C87" s="554"/>
      <c r="D87" s="554"/>
      <c r="E87" s="550"/>
      <c r="F87" s="550"/>
      <c r="G87" s="550"/>
      <c r="H87" s="550"/>
      <c r="I87" s="550"/>
      <c r="J87" s="555"/>
      <c r="K87" s="555"/>
      <c r="L87" s="555"/>
      <c r="M87" s="555"/>
      <c r="N87" s="555"/>
      <c r="O87" s="555"/>
      <c r="P87" s="555"/>
      <c r="Q87" s="555"/>
      <c r="R87" s="554"/>
      <c r="S87" s="555"/>
    </row>
    <row r="88" spans="2:19">
      <c r="B88" s="155" t="s">
        <v>407</v>
      </c>
      <c r="C88" s="186"/>
      <c r="D88" s="186"/>
      <c r="E88" s="326">
        <f t="shared" ref="E88:J88" si="68">E44</f>
        <v>80111000</v>
      </c>
      <c r="F88" s="198">
        <f t="shared" si="68"/>
        <v>72783461</v>
      </c>
      <c r="G88" s="198">
        <f t="shared" si="68"/>
        <v>101365099</v>
      </c>
      <c r="H88" s="198">
        <f t="shared" si="68"/>
        <v>104189980</v>
      </c>
      <c r="I88" s="198">
        <f t="shared" si="68"/>
        <v>112563470</v>
      </c>
      <c r="J88" s="183">
        <f t="shared" si="68"/>
        <v>99589767</v>
      </c>
      <c r="K88" s="183">
        <f t="shared" ref="K88" si="69">K44</f>
        <v>83503947</v>
      </c>
      <c r="L88" s="183">
        <f>L44</f>
        <v>104555195</v>
      </c>
      <c r="M88" s="183">
        <f>M133</f>
        <v>104555195</v>
      </c>
      <c r="N88" s="183">
        <f>N133</f>
        <v>104555195</v>
      </c>
      <c r="O88" s="183">
        <f>O133</f>
        <v>104555195</v>
      </c>
      <c r="P88" s="183">
        <f>P133</f>
        <v>104555195</v>
      </c>
      <c r="Q88" s="183">
        <f>Q133</f>
        <v>104555195</v>
      </c>
      <c r="R88" s="841"/>
      <c r="S88" s="183">
        <f>Q88</f>
        <v>104555195</v>
      </c>
    </row>
    <row r="89" spans="2:19">
      <c r="B89" s="155" t="s">
        <v>378</v>
      </c>
      <c r="C89" s="186"/>
      <c r="D89" s="186"/>
      <c r="E89" s="326">
        <f t="shared" ref="E89:J89" si="70">E40</f>
        <v>544703000</v>
      </c>
      <c r="F89" s="198">
        <f t="shared" si="70"/>
        <v>502128241</v>
      </c>
      <c r="G89" s="198">
        <f t="shared" si="70"/>
        <v>493782297</v>
      </c>
      <c r="H89" s="198">
        <f t="shared" si="70"/>
        <v>571037565</v>
      </c>
      <c r="I89" s="198">
        <f t="shared" si="70"/>
        <v>563841763</v>
      </c>
      <c r="J89" s="183">
        <f t="shared" si="70"/>
        <v>502311050</v>
      </c>
      <c r="K89" s="183">
        <f t="shared" ref="K89" si="71">K40</f>
        <v>483390906</v>
      </c>
      <c r="L89" s="183">
        <f>L40</f>
        <v>403760304</v>
      </c>
      <c r="M89" s="183">
        <f t="shared" ref="M89:Q89" si="72">M52*$E$28/30</f>
        <v>611036504.72222209</v>
      </c>
      <c r="N89" s="183">
        <f t="shared" si="72"/>
        <v>611036504.72222209</v>
      </c>
      <c r="O89" s="183">
        <f t="shared" si="72"/>
        <v>611036504.72222209</v>
      </c>
      <c r="P89" s="183">
        <f t="shared" si="72"/>
        <v>628420380.32222211</v>
      </c>
      <c r="Q89" s="183">
        <f t="shared" si="72"/>
        <v>628420380.32222211</v>
      </c>
      <c r="R89" s="841"/>
      <c r="S89" s="183">
        <f>Q89</f>
        <v>628420380.32222211</v>
      </c>
    </row>
    <row r="90" spans="2:19">
      <c r="B90" s="166" t="s">
        <v>380</v>
      </c>
      <c r="C90" s="195"/>
      <c r="D90" s="195"/>
      <c r="E90" s="326">
        <f t="shared" ref="E90:I91" si="73">E42</f>
        <v>40077000</v>
      </c>
      <c r="F90" s="198">
        <f t="shared" si="73"/>
        <v>14350080</v>
      </c>
      <c r="G90" s="198">
        <f t="shared" si="73"/>
        <v>1791700</v>
      </c>
      <c r="H90" s="198">
        <f t="shared" si="73"/>
        <v>25570584</v>
      </c>
      <c r="I90" s="198">
        <f t="shared" si="73"/>
        <v>24496645</v>
      </c>
      <c r="J90" s="197">
        <f t="shared" ref="J90:L91" si="74">J42</f>
        <v>22513416</v>
      </c>
      <c r="K90" s="197">
        <f t="shared" si="74"/>
        <v>23325495</v>
      </c>
      <c r="L90" s="197">
        <f t="shared" si="74"/>
        <v>19229474</v>
      </c>
      <c r="M90" s="197">
        <f t="shared" ref="M90:Q90" si="75">M69*$E$31</f>
        <v>259281579.37041661</v>
      </c>
      <c r="N90" s="197">
        <f t="shared" si="75"/>
        <v>291255990.34205544</v>
      </c>
      <c r="O90" s="197">
        <f t="shared" si="75"/>
        <v>323230750.71416718</v>
      </c>
      <c r="P90" s="197">
        <f t="shared" si="75"/>
        <v>349322164.26341021</v>
      </c>
      <c r="Q90" s="197">
        <f t="shared" si="75"/>
        <v>381297606.06349921</v>
      </c>
      <c r="R90" s="841"/>
      <c r="S90" s="197">
        <f>Q90</f>
        <v>381297606.06349921</v>
      </c>
    </row>
    <row r="91" spans="2:19">
      <c r="B91" s="155" t="s">
        <v>381</v>
      </c>
      <c r="C91" s="186"/>
      <c r="D91" s="186"/>
      <c r="E91" s="326">
        <f t="shared" si="73"/>
        <v>333178000</v>
      </c>
      <c r="F91" s="198">
        <f t="shared" si="73"/>
        <v>344307623</v>
      </c>
      <c r="G91" s="198">
        <f t="shared" si="73"/>
        <v>241683051</v>
      </c>
      <c r="H91" s="198">
        <f t="shared" si="73"/>
        <v>236353731</v>
      </c>
      <c r="I91" s="198">
        <f t="shared" si="73"/>
        <v>271532869</v>
      </c>
      <c r="J91" s="183">
        <f t="shared" si="74"/>
        <v>320296862</v>
      </c>
      <c r="K91" s="183">
        <f t="shared" si="74"/>
        <v>247533920</v>
      </c>
      <c r="L91" s="183">
        <f t="shared" si="74"/>
        <v>265675229</v>
      </c>
      <c r="M91" s="183">
        <f>$L$91*(1+$D$169)</f>
        <v>265675229</v>
      </c>
      <c r="N91" s="183">
        <f>M91*(1+$D$169)</f>
        <v>265675229</v>
      </c>
      <c r="O91" s="183">
        <f>N91*(1+$D$169)</f>
        <v>265675229</v>
      </c>
      <c r="P91" s="183">
        <f>O91*(1+$D$169)</f>
        <v>265675229</v>
      </c>
      <c r="Q91" s="183">
        <f>P91*(1+$D$169)</f>
        <v>265675229</v>
      </c>
      <c r="R91" s="841"/>
      <c r="S91" s="183">
        <f>Q91</f>
        <v>265675229</v>
      </c>
    </row>
    <row r="92" spans="2:19">
      <c r="B92" s="454" t="s">
        <v>408</v>
      </c>
      <c r="C92" s="464"/>
      <c r="D92" s="464"/>
      <c r="E92" s="465">
        <f t="shared" ref="E92:Q92" si="76">SUM(E88:E91)</f>
        <v>998069000</v>
      </c>
      <c r="F92" s="466">
        <f t="shared" si="76"/>
        <v>933569405</v>
      </c>
      <c r="G92" s="466">
        <f t="shared" si="76"/>
        <v>838622147</v>
      </c>
      <c r="H92" s="466">
        <f t="shared" si="76"/>
        <v>937151860</v>
      </c>
      <c r="I92" s="466">
        <f t="shared" si="76"/>
        <v>972434747</v>
      </c>
      <c r="J92" s="472">
        <f>SUM(J88:J91)</f>
        <v>944711095</v>
      </c>
      <c r="K92" s="472">
        <f>SUM(K88:K91)</f>
        <v>837754268</v>
      </c>
      <c r="L92" s="472">
        <f t="shared" si="76"/>
        <v>793220202</v>
      </c>
      <c r="M92" s="472">
        <f t="shared" si="76"/>
        <v>1240548508.0926387</v>
      </c>
      <c r="N92" s="472">
        <f t="shared" si="76"/>
        <v>1272522919.0642776</v>
      </c>
      <c r="O92" s="472">
        <f t="shared" si="76"/>
        <v>1304497679.4363892</v>
      </c>
      <c r="P92" s="472">
        <f t="shared" si="76"/>
        <v>1347972968.5856323</v>
      </c>
      <c r="Q92" s="472">
        <f t="shared" si="76"/>
        <v>1379948410.3857212</v>
      </c>
      <c r="R92" s="873"/>
      <c r="S92" s="472">
        <f>Q92</f>
        <v>1379948410.3857212</v>
      </c>
    </row>
    <row r="93" spans="2:19">
      <c r="B93" s="166"/>
      <c r="C93" s="195"/>
      <c r="D93" s="195"/>
      <c r="E93" s="67"/>
      <c r="F93" s="75"/>
      <c r="G93" s="75"/>
      <c r="H93" s="75"/>
      <c r="I93" s="75"/>
      <c r="J93" s="72"/>
      <c r="K93" s="72"/>
      <c r="L93" s="72"/>
      <c r="M93" s="72"/>
      <c r="N93" s="72"/>
      <c r="O93" s="72"/>
      <c r="P93" s="72"/>
      <c r="Q93" s="72"/>
      <c r="R93" s="841"/>
      <c r="S93" s="72"/>
    </row>
    <row r="94" spans="2:19">
      <c r="B94" s="166" t="s">
        <v>409</v>
      </c>
      <c r="C94" s="195"/>
      <c r="D94" s="195"/>
      <c r="E94" s="327">
        <f t="shared" ref="E94:J94" si="77">E41</f>
        <v>2654919000</v>
      </c>
      <c r="F94" s="199">
        <f t="shared" si="77"/>
        <v>2645015181</v>
      </c>
      <c r="G94" s="199">
        <f t="shared" si="77"/>
        <v>2622128056</v>
      </c>
      <c r="H94" s="199">
        <f t="shared" si="77"/>
        <v>2643128881</v>
      </c>
      <c r="I94" s="199">
        <f t="shared" si="77"/>
        <v>2648455481</v>
      </c>
      <c r="J94" s="197">
        <f t="shared" si="77"/>
        <v>2642649181</v>
      </c>
      <c r="K94" s="197">
        <f t="shared" ref="K94" si="78">K41</f>
        <v>2641566481</v>
      </c>
      <c r="L94" s="197">
        <f>L41</f>
        <v>2641787281</v>
      </c>
      <c r="M94" s="197">
        <f>M144</f>
        <v>3392224212.7135</v>
      </c>
      <c r="N94" s="197">
        <f>N144</f>
        <v>3392224212.7135</v>
      </c>
      <c r="O94" s="197">
        <f>O144</f>
        <v>3392224212.7135</v>
      </c>
      <c r="P94" s="197">
        <f>P144</f>
        <v>3340917843.0329885</v>
      </c>
      <c r="Q94" s="197">
        <f>Q144</f>
        <v>2860141443.6713986</v>
      </c>
      <c r="R94" s="874"/>
      <c r="S94" s="197">
        <f>Q94</f>
        <v>2860141443.6713986</v>
      </c>
    </row>
    <row r="95" spans="2:19">
      <c r="B95" s="454" t="s">
        <v>410</v>
      </c>
      <c r="C95" s="464"/>
      <c r="D95" s="464"/>
      <c r="E95" s="465">
        <f t="shared" ref="E95:Q95" si="79">E94</f>
        <v>2654919000</v>
      </c>
      <c r="F95" s="466">
        <f t="shared" si="79"/>
        <v>2645015181</v>
      </c>
      <c r="G95" s="466">
        <f t="shared" si="79"/>
        <v>2622128056</v>
      </c>
      <c r="H95" s="466">
        <f t="shared" si="79"/>
        <v>2643128881</v>
      </c>
      <c r="I95" s="466">
        <f t="shared" si="79"/>
        <v>2648455481</v>
      </c>
      <c r="J95" s="472">
        <f>J94</f>
        <v>2642649181</v>
      </c>
      <c r="K95" s="472">
        <f>K94</f>
        <v>2641566481</v>
      </c>
      <c r="L95" s="472">
        <f t="shared" si="79"/>
        <v>2641787281</v>
      </c>
      <c r="M95" s="472">
        <f t="shared" si="79"/>
        <v>3392224212.7135</v>
      </c>
      <c r="N95" s="472">
        <f t="shared" si="79"/>
        <v>3392224212.7135</v>
      </c>
      <c r="O95" s="472">
        <f t="shared" si="79"/>
        <v>3392224212.7135</v>
      </c>
      <c r="P95" s="472">
        <f t="shared" si="79"/>
        <v>3340917843.0329885</v>
      </c>
      <c r="Q95" s="472">
        <f t="shared" si="79"/>
        <v>2860141443.6713986</v>
      </c>
      <c r="R95" s="873"/>
      <c r="S95" s="472">
        <f>Q95</f>
        <v>2860141443.6713986</v>
      </c>
    </row>
    <row r="96" spans="2:19">
      <c r="B96" s="467" t="s">
        <v>411</v>
      </c>
      <c r="C96" s="468"/>
      <c r="D96" s="468"/>
      <c r="E96" s="469">
        <f t="shared" ref="E96:Q96" si="80">E92+E95</f>
        <v>3652988000</v>
      </c>
      <c r="F96" s="470">
        <f t="shared" si="80"/>
        <v>3578584586</v>
      </c>
      <c r="G96" s="470">
        <f t="shared" si="80"/>
        <v>3460750203</v>
      </c>
      <c r="H96" s="470">
        <f t="shared" si="80"/>
        <v>3580280741</v>
      </c>
      <c r="I96" s="470">
        <f t="shared" si="80"/>
        <v>3620890228</v>
      </c>
      <c r="J96" s="471">
        <f>J92+J95</f>
        <v>3587360276</v>
      </c>
      <c r="K96" s="471">
        <f>K92+K95</f>
        <v>3479320749</v>
      </c>
      <c r="L96" s="471">
        <f t="shared" si="80"/>
        <v>3435007483</v>
      </c>
      <c r="M96" s="471">
        <f t="shared" si="80"/>
        <v>4632772720.806139</v>
      </c>
      <c r="N96" s="471">
        <f t="shared" si="80"/>
        <v>4664747131.7777777</v>
      </c>
      <c r="O96" s="471">
        <f t="shared" si="80"/>
        <v>4696721892.149889</v>
      </c>
      <c r="P96" s="471">
        <f t="shared" si="80"/>
        <v>4688890811.6186209</v>
      </c>
      <c r="Q96" s="471">
        <f t="shared" si="80"/>
        <v>4240089854.0571198</v>
      </c>
      <c r="R96" s="873"/>
      <c r="S96" s="471">
        <f>Q96</f>
        <v>4240089854.0571198</v>
      </c>
    </row>
    <row r="98" spans="2:19">
      <c r="B98" s="546" t="s">
        <v>251</v>
      </c>
      <c r="C98" s="554"/>
      <c r="D98" s="554"/>
      <c r="E98" s="550"/>
      <c r="F98" s="550"/>
      <c r="G98" s="550"/>
      <c r="H98" s="550"/>
      <c r="I98" s="550"/>
      <c r="J98" s="555"/>
      <c r="K98" s="555"/>
      <c r="L98" s="555"/>
      <c r="M98" s="555"/>
      <c r="N98" s="555"/>
      <c r="O98" s="555"/>
      <c r="P98" s="555"/>
      <c r="Q98" s="555"/>
      <c r="R98" s="554"/>
      <c r="S98" s="555"/>
    </row>
    <row r="99" spans="2:19">
      <c r="B99" s="155" t="s">
        <v>383</v>
      </c>
      <c r="C99" s="186"/>
      <c r="D99" s="186"/>
      <c r="E99" s="326">
        <f t="shared" ref="E99:I100" si="81">E45</f>
        <v>1210339000</v>
      </c>
      <c r="F99" s="198">
        <f t="shared" si="81"/>
        <v>1210339000</v>
      </c>
      <c r="G99" s="198">
        <f t="shared" si="81"/>
        <v>1210339000</v>
      </c>
      <c r="H99" s="198">
        <f t="shared" si="81"/>
        <v>1210339000</v>
      </c>
      <c r="I99" s="198">
        <f t="shared" si="81"/>
        <v>1210339000</v>
      </c>
      <c r="J99" s="183">
        <f t="shared" ref="J99:L100" si="82">J45</f>
        <v>1210339000</v>
      </c>
      <c r="K99" s="183">
        <f t="shared" si="82"/>
        <v>1210339000</v>
      </c>
      <c r="L99" s="183">
        <f t="shared" si="82"/>
        <v>1210339000</v>
      </c>
      <c r="M99" s="183">
        <f t="shared" ref="M99:Q99" si="83">M149</f>
        <v>1210339000</v>
      </c>
      <c r="N99" s="183">
        <f t="shared" si="83"/>
        <v>1210339000</v>
      </c>
      <c r="O99" s="183">
        <f t="shared" si="83"/>
        <v>1210339000</v>
      </c>
      <c r="P99" s="183">
        <f t="shared" si="83"/>
        <v>1210339000</v>
      </c>
      <c r="Q99" s="183">
        <f t="shared" si="83"/>
        <v>1210339000</v>
      </c>
      <c r="R99" s="841"/>
      <c r="S99" s="183">
        <f>Q99</f>
        <v>1210339000</v>
      </c>
    </row>
    <row r="100" spans="2:19">
      <c r="B100" s="155" t="s">
        <v>384</v>
      </c>
      <c r="C100" s="186"/>
      <c r="D100" s="186"/>
      <c r="E100" s="326">
        <f t="shared" si="81"/>
        <v>1214593000</v>
      </c>
      <c r="F100" s="198">
        <f t="shared" si="81"/>
        <v>1278078168</v>
      </c>
      <c r="G100" s="198">
        <f t="shared" si="81"/>
        <v>1332127083</v>
      </c>
      <c r="H100" s="198">
        <f t="shared" si="81"/>
        <v>1294189077</v>
      </c>
      <c r="I100" s="198">
        <f t="shared" si="81"/>
        <v>1294895280</v>
      </c>
      <c r="J100" s="183">
        <f t="shared" si="82"/>
        <v>1403270248</v>
      </c>
      <c r="K100" s="183">
        <f t="shared" si="82"/>
        <v>1436613897</v>
      </c>
      <c r="L100" s="183">
        <f t="shared" si="82"/>
        <v>1461320949</v>
      </c>
      <c r="M100" s="183">
        <f t="shared" ref="M100:Q100" si="84">M155</f>
        <v>1942843882.116488</v>
      </c>
      <c r="N100" s="183">
        <f t="shared" si="84"/>
        <v>2483747864.1803055</v>
      </c>
      <c r="O100" s="183">
        <f t="shared" si="84"/>
        <v>3084033544.0780449</v>
      </c>
      <c r="P100" s="183">
        <f t="shared" si="84"/>
        <v>3732774706.2815208</v>
      </c>
      <c r="Q100" s="183">
        <f t="shared" si="84"/>
        <v>4440898831.8280191</v>
      </c>
      <c r="R100" s="841"/>
      <c r="S100" s="183">
        <f>Q100</f>
        <v>4440898831.8280191</v>
      </c>
    </row>
    <row r="101" spans="2:19">
      <c r="B101" s="467" t="s">
        <v>247</v>
      </c>
      <c r="C101" s="468"/>
      <c r="D101" s="468"/>
      <c r="E101" s="469">
        <f t="shared" ref="E101:Q101" si="85">E99+E100</f>
        <v>2424932000</v>
      </c>
      <c r="F101" s="470">
        <f>SUM(F99:F100)</f>
        <v>2488417168</v>
      </c>
      <c r="G101" s="470">
        <f>SUM(G99:G100)</f>
        <v>2542466083</v>
      </c>
      <c r="H101" s="470">
        <f>SUM(H99:H100)</f>
        <v>2504528077</v>
      </c>
      <c r="I101" s="470">
        <f>SUM(I99:I100)</f>
        <v>2505234280</v>
      </c>
      <c r="J101" s="471">
        <f>J99+J100</f>
        <v>2613609248</v>
      </c>
      <c r="K101" s="471">
        <f>K99+K100</f>
        <v>2646952897</v>
      </c>
      <c r="L101" s="471">
        <f t="shared" si="85"/>
        <v>2671659949</v>
      </c>
      <c r="M101" s="471">
        <f t="shared" si="85"/>
        <v>3153182882.116488</v>
      </c>
      <c r="N101" s="471">
        <f t="shared" si="85"/>
        <v>3694086864.1803055</v>
      </c>
      <c r="O101" s="471">
        <f t="shared" si="85"/>
        <v>4294372544.0780449</v>
      </c>
      <c r="P101" s="471">
        <f t="shared" si="85"/>
        <v>4943113706.2815208</v>
      </c>
      <c r="Q101" s="471">
        <f t="shared" si="85"/>
        <v>5651237831.8280191</v>
      </c>
      <c r="R101" s="873"/>
      <c r="S101" s="471">
        <f>Q101</f>
        <v>5651237831.8280191</v>
      </c>
    </row>
    <row r="102" spans="2:19">
      <c r="B102" s="166"/>
      <c r="C102" s="195"/>
      <c r="D102" s="195"/>
      <c r="E102" s="73"/>
      <c r="F102" s="76"/>
      <c r="G102" s="76"/>
      <c r="H102" s="76"/>
      <c r="I102" s="76"/>
      <c r="J102" s="72"/>
      <c r="K102" s="72"/>
      <c r="L102" s="72"/>
      <c r="M102" s="72"/>
      <c r="N102" s="72"/>
      <c r="O102" s="72"/>
      <c r="P102" s="72"/>
      <c r="Q102" s="72"/>
      <c r="R102" s="841"/>
      <c r="S102" s="72"/>
    </row>
    <row r="103" spans="2:19">
      <c r="B103" s="467" t="s">
        <v>248</v>
      </c>
      <c r="C103" s="468"/>
      <c r="D103" s="468"/>
      <c r="E103" s="469">
        <f t="shared" ref="E103:Q103" si="86">E96+E101</f>
        <v>6077920000</v>
      </c>
      <c r="F103" s="470">
        <f>SUM(F96,F101)</f>
        <v>6067001754</v>
      </c>
      <c r="G103" s="470">
        <f>SUM(G96,G101)</f>
        <v>6003216286</v>
      </c>
      <c r="H103" s="470">
        <f>SUM(H96,H101)</f>
        <v>6084808818</v>
      </c>
      <c r="I103" s="470">
        <f>SUM(I96,I101)</f>
        <v>6126124508</v>
      </c>
      <c r="J103" s="471">
        <f>J96+J101</f>
        <v>6200969524</v>
      </c>
      <c r="K103" s="471">
        <f>K96+K101</f>
        <v>6126273646</v>
      </c>
      <c r="L103" s="471">
        <f t="shared" si="86"/>
        <v>6106667432</v>
      </c>
      <c r="M103" s="471">
        <f t="shared" si="86"/>
        <v>7785955602.9226265</v>
      </c>
      <c r="N103" s="471">
        <f t="shared" si="86"/>
        <v>8358833995.9580832</v>
      </c>
      <c r="O103" s="471">
        <f t="shared" si="86"/>
        <v>8991094436.2279339</v>
      </c>
      <c r="P103" s="471">
        <f t="shared" si="86"/>
        <v>9632004517.9001427</v>
      </c>
      <c r="Q103" s="471">
        <f t="shared" si="86"/>
        <v>9891327685.8851395</v>
      </c>
      <c r="R103" s="873"/>
      <c r="S103" s="471">
        <f>Q103</f>
        <v>9891327685.8851395</v>
      </c>
    </row>
    <row r="104" spans="2:19">
      <c r="B104" s="166"/>
      <c r="C104" s="195"/>
      <c r="D104" s="195"/>
      <c r="E104" s="72"/>
      <c r="F104" s="868"/>
      <c r="G104" s="868"/>
      <c r="H104" s="868"/>
      <c r="I104" s="868"/>
      <c r="J104" s="72"/>
      <c r="K104" s="72"/>
      <c r="L104" s="72"/>
      <c r="M104" s="72"/>
      <c r="N104" s="72"/>
      <c r="O104" s="72"/>
      <c r="P104" s="72"/>
      <c r="Q104" s="72"/>
      <c r="R104" s="841"/>
      <c r="S104" s="72"/>
    </row>
    <row r="105" spans="2:19">
      <c r="B105" s="203" t="s">
        <v>412</v>
      </c>
      <c r="C105" s="204"/>
      <c r="D105" s="204"/>
      <c r="E105" s="328">
        <f t="shared" ref="E105" si="87">ROUND(E85-E103,0)</f>
        <v>0</v>
      </c>
      <c r="F105" s="329">
        <f>IF(ABS(F85-F103)&lt;=2,0,ROUND(F85-F103,0))</f>
        <v>0</v>
      </c>
      <c r="G105" s="329">
        <f>IF(ABS(G85-G103)&lt;=2,0,ROUND(G85-G103,0))</f>
        <v>0</v>
      </c>
      <c r="H105" s="329">
        <f>IF(ABS(H85-H103)&lt;=2,0,ROUND(H85-H103,0))</f>
        <v>0</v>
      </c>
      <c r="I105" s="329">
        <f>IF(ABS(I85-I103)&lt;=2,0,ROUND(I85-I103,0))</f>
        <v>0</v>
      </c>
      <c r="J105" s="328">
        <f>IF(ABS(J85-J103)&lt;=5,0,ROUND(J85-J103,0))</f>
        <v>0</v>
      </c>
      <c r="K105" s="328">
        <f>IF(ABS(K85-K103)&lt;=5,0,ROUND(K85-K103,0))</f>
        <v>0</v>
      </c>
      <c r="L105" s="328">
        <f t="shared" ref="L105:Q105" si="88">IF(ABS(L85-L103)&lt;=5,0,ROUND(L85-L103,0))</f>
        <v>0</v>
      </c>
      <c r="M105" s="328">
        <f t="shared" si="88"/>
        <v>0</v>
      </c>
      <c r="N105" s="328">
        <f t="shared" si="88"/>
        <v>0</v>
      </c>
      <c r="O105" s="328">
        <f t="shared" si="88"/>
        <v>0</v>
      </c>
      <c r="P105" s="328">
        <f t="shared" si="88"/>
        <v>0</v>
      </c>
      <c r="Q105" s="328">
        <f t="shared" si="88"/>
        <v>0</v>
      </c>
      <c r="R105" s="841"/>
      <c r="S105" s="328">
        <f>IF(ABS(S85-S103)&lt;=5,0,ROUND(S85-S103,0))</f>
        <v>0</v>
      </c>
    </row>
    <row r="106" spans="2:19" s="2" customFormat="1" ht="15" thickBot="1">
      <c r="B106" s="921" t="s">
        <v>1200</v>
      </c>
      <c r="C106" s="187"/>
      <c r="D106" s="187"/>
      <c r="E106" s="68"/>
      <c r="F106" s="922">
        <f>F72</f>
        <v>22219923.949999999</v>
      </c>
      <c r="G106" s="922">
        <f>F106+G72</f>
        <v>41137044.200000003</v>
      </c>
      <c r="H106" s="922">
        <f t="shared" ref="H106:Q106" si="89">G106+H72</f>
        <v>41137044.200000003</v>
      </c>
      <c r="I106" s="922">
        <f t="shared" si="89"/>
        <v>41384215.25</v>
      </c>
      <c r="J106" s="922">
        <f t="shared" si="89"/>
        <v>79315454.049999997</v>
      </c>
      <c r="K106" s="922">
        <f t="shared" si="89"/>
        <v>90985731.549999997</v>
      </c>
      <c r="L106" s="922">
        <f t="shared" si="89"/>
        <v>99633199.75</v>
      </c>
      <c r="M106" s="922">
        <f t="shared" si="89"/>
        <v>99633199.75</v>
      </c>
      <c r="N106" s="922">
        <f t="shared" si="89"/>
        <v>99633199.75</v>
      </c>
      <c r="O106" s="922">
        <f t="shared" si="89"/>
        <v>99633199.75</v>
      </c>
      <c r="P106" s="922">
        <f t="shared" si="89"/>
        <v>99633199.75</v>
      </c>
      <c r="Q106" s="922">
        <f t="shared" si="89"/>
        <v>99633199.75</v>
      </c>
      <c r="R106" s="841"/>
      <c r="S106" s="68"/>
    </row>
    <row r="107" spans="2:19" s="2" customFormat="1">
      <c r="B107" s="473" t="s">
        <v>413</v>
      </c>
      <c r="C107" s="474"/>
      <c r="D107" s="474"/>
      <c r="E107" s="474"/>
      <c r="F107" s="474"/>
      <c r="G107" s="474"/>
      <c r="H107" s="474"/>
      <c r="I107" s="474"/>
      <c r="J107" s="474"/>
      <c r="K107" s="474"/>
      <c r="L107" s="474"/>
      <c r="M107" s="474"/>
      <c r="N107" s="474"/>
      <c r="O107" s="474"/>
      <c r="P107" s="474"/>
      <c r="Q107" s="474"/>
      <c r="R107" s="475"/>
      <c r="S107" s="474"/>
    </row>
    <row r="108" spans="2:19" s="2" customFormat="1">
      <c r="B108" s="155"/>
      <c r="C108" s="186"/>
      <c r="D108" s="186"/>
      <c r="E108" s="186"/>
      <c r="F108" s="186"/>
      <c r="G108" s="186"/>
      <c r="H108" s="186"/>
      <c r="I108" s="186"/>
      <c r="J108" s="186"/>
      <c r="K108" s="186"/>
      <c r="L108" s="186"/>
      <c r="M108" s="186"/>
      <c r="N108" s="186"/>
      <c r="O108" s="186"/>
      <c r="P108" s="186"/>
      <c r="Q108" s="186"/>
      <c r="R108" s="841"/>
      <c r="S108" s="186"/>
    </row>
    <row r="109" spans="2:19" s="2" customFormat="1">
      <c r="B109" s="875" t="s">
        <v>414</v>
      </c>
      <c r="C109" s="876"/>
      <c r="D109" s="876"/>
      <c r="E109" s="876"/>
      <c r="F109" s="876"/>
      <c r="G109" s="876"/>
      <c r="H109" s="876"/>
      <c r="I109" s="876"/>
      <c r="J109" s="876"/>
      <c r="K109" s="876"/>
      <c r="L109" s="876"/>
      <c r="M109" s="876"/>
      <c r="N109" s="876"/>
      <c r="O109" s="876"/>
      <c r="P109" s="876"/>
      <c r="Q109" s="876"/>
      <c r="R109" s="475"/>
      <c r="S109" s="876"/>
    </row>
    <row r="110" spans="2:19" s="2" customFormat="1">
      <c r="B110" s="207" t="s">
        <v>415</v>
      </c>
      <c r="C110" s="208"/>
      <c r="D110" s="208"/>
      <c r="E110" s="330">
        <f t="shared" ref="E110:Q110" si="90">E79</f>
        <v>1833296000</v>
      </c>
      <c r="F110" s="330">
        <f t="shared" si="90"/>
        <v>1590540829</v>
      </c>
      <c r="G110" s="330">
        <f t="shared" si="90"/>
        <v>1797557189</v>
      </c>
      <c r="H110" s="330">
        <f t="shared" si="90"/>
        <v>1690589814</v>
      </c>
      <c r="I110" s="330">
        <f t="shared" si="90"/>
        <v>1612589704</v>
      </c>
      <c r="J110" s="330">
        <f>J79</f>
        <v>1675346692</v>
      </c>
      <c r="K110" s="330">
        <f t="shared" si="90"/>
        <v>1799431102</v>
      </c>
      <c r="L110" s="330">
        <f t="shared" si="90"/>
        <v>1688457915</v>
      </c>
      <c r="M110" s="330">
        <f t="shared" si="90"/>
        <v>4406153000</v>
      </c>
      <c r="N110" s="330">
        <f t="shared" si="90"/>
        <v>4662116000</v>
      </c>
      <c r="O110" s="330">
        <f t="shared" si="90"/>
        <v>4918079000</v>
      </c>
      <c r="P110" s="330">
        <f t="shared" si="90"/>
        <v>5174042000</v>
      </c>
      <c r="Q110" s="330">
        <f t="shared" si="90"/>
        <v>5430005000</v>
      </c>
      <c r="R110" s="841"/>
      <c r="S110" s="330">
        <f>Q110</f>
        <v>5430005000</v>
      </c>
    </row>
    <row r="111" spans="2:19" s="2" customFormat="1">
      <c r="B111" s="209" t="s">
        <v>416</v>
      </c>
      <c r="C111" s="210"/>
      <c r="D111" s="210"/>
      <c r="E111" s="331">
        <f t="shared" ref="E111:Q111" si="91">E80</f>
        <v>92028000</v>
      </c>
      <c r="F111" s="331">
        <f t="shared" si="91"/>
        <v>92548595</v>
      </c>
      <c r="G111" s="331">
        <f t="shared" si="91"/>
        <v>93008823</v>
      </c>
      <c r="H111" s="331">
        <f t="shared" si="91"/>
        <v>93705293</v>
      </c>
      <c r="I111" s="331">
        <f t="shared" si="91"/>
        <v>94574157</v>
      </c>
      <c r="J111" s="331">
        <f>J80</f>
        <v>175907394</v>
      </c>
      <c r="K111" s="331">
        <f t="shared" si="91"/>
        <v>77569331</v>
      </c>
      <c r="L111" s="331">
        <f t="shared" si="91"/>
        <v>78270032</v>
      </c>
      <c r="M111" s="331">
        <f t="shared" si="91"/>
        <v>78270032</v>
      </c>
      <c r="N111" s="331">
        <f t="shared" si="91"/>
        <v>78270032</v>
      </c>
      <c r="O111" s="331">
        <f t="shared" si="91"/>
        <v>78270032</v>
      </c>
      <c r="P111" s="331">
        <f t="shared" si="91"/>
        <v>78270032</v>
      </c>
      <c r="Q111" s="331">
        <f t="shared" si="91"/>
        <v>78270032</v>
      </c>
      <c r="R111" s="841"/>
      <c r="S111" s="331">
        <f>Q111</f>
        <v>78270032</v>
      </c>
    </row>
    <row r="112" spans="2:19" s="2" customFormat="1">
      <c r="B112" s="877" t="s">
        <v>417</v>
      </c>
      <c r="C112" s="878"/>
      <c r="D112" s="878"/>
      <c r="E112" s="879">
        <f t="shared" ref="E112:Q112" si="92">E81</f>
        <v>3301925000</v>
      </c>
      <c r="F112" s="879">
        <f t="shared" si="92"/>
        <v>3331745751</v>
      </c>
      <c r="G112" s="879">
        <f t="shared" si="92"/>
        <v>3359507781</v>
      </c>
      <c r="H112" s="879">
        <f t="shared" si="92"/>
        <v>3397894998</v>
      </c>
      <c r="I112" s="879">
        <f t="shared" si="92"/>
        <v>3433020955</v>
      </c>
      <c r="J112" s="879">
        <f>J81</f>
        <v>3468917579</v>
      </c>
      <c r="K112" s="879">
        <f t="shared" si="92"/>
        <v>3497856336</v>
      </c>
      <c r="L112" s="879">
        <f t="shared" si="92"/>
        <v>3529697045</v>
      </c>
      <c r="M112" s="879">
        <f t="shared" si="92"/>
        <v>3529697045</v>
      </c>
      <c r="N112" s="879">
        <f t="shared" si="92"/>
        <v>3529697045</v>
      </c>
      <c r="O112" s="879">
        <f t="shared" si="92"/>
        <v>3529697045</v>
      </c>
      <c r="P112" s="879">
        <f t="shared" si="92"/>
        <v>3529697045</v>
      </c>
      <c r="Q112" s="879">
        <f t="shared" si="92"/>
        <v>3529697045</v>
      </c>
      <c r="R112" s="841"/>
      <c r="S112" s="879">
        <f>Q112</f>
        <v>3529697045</v>
      </c>
    </row>
    <row r="113" spans="2:19" s="2" customFormat="1">
      <c r="B113" s="454" t="s">
        <v>418</v>
      </c>
      <c r="C113" s="464"/>
      <c r="D113" s="464"/>
      <c r="E113" s="472">
        <f>SUM(E110:E112)</f>
        <v>5227249000</v>
      </c>
      <c r="F113" s="472">
        <f>SUM(F110:F112)</f>
        <v>5014835175</v>
      </c>
      <c r="G113" s="472">
        <f>SUM(G110:G112)</f>
        <v>5250073793</v>
      </c>
      <c r="H113" s="472">
        <f t="shared" ref="H113:Q113" si="93">SUM(H110:H112)</f>
        <v>5182190105</v>
      </c>
      <c r="I113" s="472">
        <f t="shared" si="93"/>
        <v>5140184816</v>
      </c>
      <c r="J113" s="472">
        <f>SUM(J110:J112)</f>
        <v>5320171665</v>
      </c>
      <c r="K113" s="472">
        <f t="shared" si="93"/>
        <v>5374856769</v>
      </c>
      <c r="L113" s="472">
        <f t="shared" si="93"/>
        <v>5296424992</v>
      </c>
      <c r="M113" s="472">
        <f t="shared" si="93"/>
        <v>8014120077</v>
      </c>
      <c r="N113" s="472">
        <f t="shared" si="93"/>
        <v>8270083077</v>
      </c>
      <c r="O113" s="472">
        <f t="shared" si="93"/>
        <v>8526046077</v>
      </c>
      <c r="P113" s="472">
        <f t="shared" si="93"/>
        <v>8782009077</v>
      </c>
      <c r="Q113" s="472">
        <f t="shared" si="93"/>
        <v>9037972077</v>
      </c>
      <c r="R113" s="873"/>
      <c r="S113" s="472">
        <f>Q113</f>
        <v>9037972077</v>
      </c>
    </row>
    <row r="114" spans="2:19" s="2" customFormat="1">
      <c r="B114" s="155"/>
      <c r="C114" s="186"/>
      <c r="D114" s="186"/>
      <c r="E114" s="68"/>
      <c r="F114" s="68"/>
      <c r="G114" s="68"/>
      <c r="H114" s="68"/>
      <c r="I114" s="68"/>
      <c r="J114" s="68"/>
      <c r="K114" s="68"/>
      <c r="L114" s="68"/>
      <c r="M114" s="68"/>
      <c r="N114" s="68"/>
      <c r="O114" s="68"/>
      <c r="P114" s="68"/>
      <c r="Q114" s="68"/>
      <c r="R114" s="841"/>
      <c r="S114" s="68"/>
    </row>
    <row r="115" spans="2:19" s="2" customFormat="1">
      <c r="B115" s="420" t="s">
        <v>419</v>
      </c>
      <c r="C115" s="475"/>
      <c r="D115" s="475"/>
      <c r="E115" s="476"/>
      <c r="F115" s="476"/>
      <c r="G115" s="476"/>
      <c r="H115" s="476"/>
      <c r="I115" s="476"/>
      <c r="J115" s="476"/>
      <c r="K115" s="476"/>
      <c r="L115" s="476"/>
      <c r="M115" s="476"/>
      <c r="N115" s="476"/>
      <c r="O115" s="476"/>
      <c r="P115" s="476"/>
      <c r="Q115" s="476"/>
      <c r="R115" s="475"/>
      <c r="S115" s="476"/>
    </row>
    <row r="116" spans="2:19" s="2" customFormat="1">
      <c r="B116" s="207" t="s">
        <v>420</v>
      </c>
      <c r="C116" s="208"/>
      <c r="D116" s="208"/>
      <c r="E116" s="330">
        <f t="shared" ref="E116:Q116" si="94">E89</f>
        <v>544703000</v>
      </c>
      <c r="F116" s="330">
        <f t="shared" si="94"/>
        <v>502128241</v>
      </c>
      <c r="G116" s="330">
        <f t="shared" si="94"/>
        <v>493782297</v>
      </c>
      <c r="H116" s="330">
        <f t="shared" si="94"/>
        <v>571037565</v>
      </c>
      <c r="I116" s="330">
        <f t="shared" si="94"/>
        <v>563841763</v>
      </c>
      <c r="J116" s="330">
        <f>J89</f>
        <v>502311050</v>
      </c>
      <c r="K116" s="330">
        <f t="shared" si="94"/>
        <v>483390906</v>
      </c>
      <c r="L116" s="330">
        <f t="shared" si="94"/>
        <v>403760304</v>
      </c>
      <c r="M116" s="330">
        <f t="shared" si="94"/>
        <v>611036504.72222209</v>
      </c>
      <c r="N116" s="330">
        <f t="shared" si="94"/>
        <v>611036504.72222209</v>
      </c>
      <c r="O116" s="330">
        <f t="shared" si="94"/>
        <v>611036504.72222209</v>
      </c>
      <c r="P116" s="330">
        <f t="shared" si="94"/>
        <v>628420380.32222211</v>
      </c>
      <c r="Q116" s="330">
        <f t="shared" si="94"/>
        <v>628420380.32222211</v>
      </c>
      <c r="R116" s="841"/>
      <c r="S116" s="330">
        <f>Q116</f>
        <v>628420380.32222211</v>
      </c>
    </row>
    <row r="117" spans="2:19" s="2" customFormat="1">
      <c r="B117" s="211" t="s">
        <v>421</v>
      </c>
      <c r="C117" s="212"/>
      <c r="D117" s="212"/>
      <c r="E117" s="332">
        <f t="shared" ref="E117:Q117" si="95">E90</f>
        <v>40077000</v>
      </c>
      <c r="F117" s="332">
        <f t="shared" si="95"/>
        <v>14350080</v>
      </c>
      <c r="G117" s="332">
        <f t="shared" si="95"/>
        <v>1791700</v>
      </c>
      <c r="H117" s="332">
        <f t="shared" si="95"/>
        <v>25570584</v>
      </c>
      <c r="I117" s="332">
        <f t="shared" si="95"/>
        <v>24496645</v>
      </c>
      <c r="J117" s="332">
        <f>J90</f>
        <v>22513416</v>
      </c>
      <c r="K117" s="332">
        <f t="shared" si="95"/>
        <v>23325495</v>
      </c>
      <c r="L117" s="332">
        <f t="shared" si="95"/>
        <v>19229474</v>
      </c>
      <c r="M117" s="332">
        <f t="shared" si="95"/>
        <v>259281579.37041661</v>
      </c>
      <c r="N117" s="332">
        <f t="shared" si="95"/>
        <v>291255990.34205544</v>
      </c>
      <c r="O117" s="332">
        <f t="shared" si="95"/>
        <v>323230750.71416718</v>
      </c>
      <c r="P117" s="332">
        <f t="shared" si="95"/>
        <v>349322164.26341021</v>
      </c>
      <c r="Q117" s="332">
        <f t="shared" si="95"/>
        <v>381297606.06349921</v>
      </c>
      <c r="R117" s="841"/>
      <c r="S117" s="332">
        <f>Q117</f>
        <v>381297606.06349921</v>
      </c>
    </row>
    <row r="118" spans="2:19" s="2" customFormat="1">
      <c r="B118" s="454" t="s">
        <v>422</v>
      </c>
      <c r="C118" s="464"/>
      <c r="D118" s="464"/>
      <c r="E118" s="472">
        <f t="shared" ref="E118:Q118" si="96">SUM(E116:E117)</f>
        <v>584780000</v>
      </c>
      <c r="F118" s="472">
        <f t="shared" si="96"/>
        <v>516478321</v>
      </c>
      <c r="G118" s="472">
        <f t="shared" si="96"/>
        <v>495573997</v>
      </c>
      <c r="H118" s="472">
        <f t="shared" si="96"/>
        <v>596608149</v>
      </c>
      <c r="I118" s="472">
        <f t="shared" si="96"/>
        <v>588338408</v>
      </c>
      <c r="J118" s="472">
        <f>SUM(J116:J117)</f>
        <v>524824466</v>
      </c>
      <c r="K118" s="472">
        <f t="shared" si="96"/>
        <v>506716401</v>
      </c>
      <c r="L118" s="472">
        <f t="shared" si="96"/>
        <v>422989778</v>
      </c>
      <c r="M118" s="472">
        <f t="shared" si="96"/>
        <v>870318084.09263873</v>
      </c>
      <c r="N118" s="472">
        <f t="shared" si="96"/>
        <v>902292495.06427753</v>
      </c>
      <c r="O118" s="472">
        <f t="shared" si="96"/>
        <v>934267255.43638921</v>
      </c>
      <c r="P118" s="472">
        <f t="shared" si="96"/>
        <v>977742544.58563232</v>
      </c>
      <c r="Q118" s="472">
        <f t="shared" si="96"/>
        <v>1009717986.3857213</v>
      </c>
      <c r="R118" s="873"/>
      <c r="S118" s="472">
        <f>Q118</f>
        <v>1009717986.3857213</v>
      </c>
    </row>
    <row r="119" spans="2:19" s="2" customFormat="1">
      <c r="B119" s="188" t="s">
        <v>423</v>
      </c>
      <c r="C119" s="190">
        <f>G119-F119</f>
        <v>256142942</v>
      </c>
      <c r="D119" s="70"/>
      <c r="E119" s="190">
        <f>E113-E118</f>
        <v>4642469000</v>
      </c>
      <c r="F119" s="190">
        <f>F113-F118</f>
        <v>4498356854</v>
      </c>
      <c r="G119" s="190">
        <f>G113-G118</f>
        <v>4754499796</v>
      </c>
      <c r="H119" s="190">
        <f t="shared" ref="H119:Q119" si="97">H113-H118</f>
        <v>4585581956</v>
      </c>
      <c r="I119" s="190">
        <f t="shared" si="97"/>
        <v>4551846408</v>
      </c>
      <c r="J119" s="190">
        <f>J113-J118</f>
        <v>4795347199</v>
      </c>
      <c r="K119" s="190">
        <f t="shared" si="97"/>
        <v>4868140368</v>
      </c>
      <c r="L119" s="190">
        <f t="shared" si="97"/>
        <v>4873435214</v>
      </c>
      <c r="M119" s="190">
        <f t="shared" si="97"/>
        <v>7143801992.907361</v>
      </c>
      <c r="N119" s="190">
        <f t="shared" si="97"/>
        <v>7367790581.9357224</v>
      </c>
      <c r="O119" s="190">
        <f t="shared" si="97"/>
        <v>7591778821.563611</v>
      </c>
      <c r="P119" s="190">
        <f t="shared" si="97"/>
        <v>7804266532.4143677</v>
      </c>
      <c r="Q119" s="190">
        <f t="shared" si="97"/>
        <v>8028254090.6142788</v>
      </c>
      <c r="R119" s="841"/>
      <c r="S119" s="190">
        <f>Q119</f>
        <v>8028254090.6142788</v>
      </c>
    </row>
    <row r="120" spans="2:19" s="2" customFormat="1" ht="15" thickBot="1">
      <c r="B120" s="155"/>
      <c r="C120" s="186"/>
      <c r="D120" s="186"/>
      <c r="E120" s="68"/>
      <c r="F120" s="68"/>
      <c r="G120" s="68"/>
      <c r="H120" s="68"/>
      <c r="I120" s="68"/>
      <c r="J120" s="68"/>
      <c r="K120" s="68"/>
      <c r="L120" s="68"/>
      <c r="M120" s="68"/>
      <c r="N120" s="68"/>
      <c r="O120" s="68"/>
      <c r="P120" s="68"/>
      <c r="Q120" s="68"/>
      <c r="R120" s="841"/>
      <c r="S120" s="68"/>
    </row>
    <row r="121" spans="2:19" s="2" customFormat="1">
      <c r="B121" s="473" t="s">
        <v>424</v>
      </c>
      <c r="C121" s="474"/>
      <c r="D121" s="474"/>
      <c r="E121" s="477"/>
      <c r="F121" s="477"/>
      <c r="G121" s="477"/>
      <c r="H121" s="477"/>
      <c r="I121" s="477"/>
      <c r="J121" s="477"/>
      <c r="K121" s="477"/>
      <c r="L121" s="477"/>
      <c r="M121" s="477"/>
      <c r="N121" s="477"/>
      <c r="O121" s="477"/>
      <c r="P121" s="477"/>
      <c r="Q121" s="477"/>
      <c r="R121" s="475"/>
      <c r="S121" s="477"/>
    </row>
    <row r="122" spans="2:19" s="2" customFormat="1">
      <c r="B122" s="155"/>
      <c r="C122" s="186"/>
      <c r="D122" s="186"/>
      <c r="E122" s="68"/>
      <c r="F122" s="68"/>
      <c r="G122" s="68"/>
      <c r="H122" s="68"/>
      <c r="I122" s="68"/>
      <c r="J122" s="68"/>
      <c r="K122" s="68"/>
      <c r="L122" s="68"/>
      <c r="M122" s="68"/>
      <c r="N122" s="68"/>
      <c r="O122" s="68"/>
      <c r="P122" s="68"/>
      <c r="Q122" s="68"/>
      <c r="R122" s="841"/>
      <c r="S122" s="68"/>
    </row>
    <row r="123" spans="2:19" s="2" customFormat="1">
      <c r="B123" s="166" t="s">
        <v>425</v>
      </c>
      <c r="C123" s="195"/>
      <c r="D123" s="195"/>
      <c r="E123" s="197">
        <f>E83</f>
        <v>209212000</v>
      </c>
      <c r="F123" s="197">
        <f>E126</f>
        <v>209212000</v>
      </c>
      <c r="G123" s="197">
        <f>F126</f>
        <v>216571954</v>
      </c>
      <c r="H123" s="197">
        <f>G126</f>
        <v>222840954</v>
      </c>
      <c r="I123" s="197">
        <f t="shared" ref="I123:Q123" si="98">H126</f>
        <v>223130002</v>
      </c>
      <c r="J123" s="197">
        <f>I126</f>
        <v>3433020955</v>
      </c>
      <c r="K123" s="197">
        <f>J126</f>
        <v>225975514</v>
      </c>
      <c r="L123" s="197">
        <f t="shared" si="98"/>
        <v>225975514</v>
      </c>
      <c r="M123" s="197">
        <f>L83</f>
        <v>225975514</v>
      </c>
      <c r="N123" s="197">
        <f t="shared" si="98"/>
        <v>229569347.43333334</v>
      </c>
      <c r="O123" s="197">
        <f t="shared" si="98"/>
        <v>233103283.64277777</v>
      </c>
      <c r="P123" s="197">
        <f t="shared" si="98"/>
        <v>236578320.91539815</v>
      </c>
      <c r="Q123" s="197">
        <f t="shared" si="98"/>
        <v>239995440.90014151</v>
      </c>
      <c r="R123" s="841"/>
      <c r="S123" s="197">
        <f>F123</f>
        <v>209212000</v>
      </c>
    </row>
    <row r="124" spans="2:19" s="2" customFormat="1">
      <c r="B124" s="155" t="s">
        <v>426</v>
      </c>
      <c r="C124" s="186"/>
      <c r="D124" s="186"/>
      <c r="E124" s="156">
        <v>0</v>
      </c>
      <c r="F124" s="183">
        <f>F126-F123-F125</f>
        <v>10846820.666666666</v>
      </c>
      <c r="G124" s="183">
        <f>G126-G123-G125</f>
        <v>9878532.5666666664</v>
      </c>
      <c r="H124" s="156">
        <v>0</v>
      </c>
      <c r="I124" s="183">
        <f>I126-I123-I125</f>
        <v>3213609786.3666668</v>
      </c>
      <c r="J124" s="183">
        <f>J126-J123-J125</f>
        <v>-3149828425.0833335</v>
      </c>
      <c r="K124" s="183">
        <f>K126-K123-K125</f>
        <v>3766258.5666666669</v>
      </c>
      <c r="L124" s="183">
        <f t="shared" ref="L124:Q124" si="99">$E$30</f>
        <v>7360092</v>
      </c>
      <c r="M124" s="183">
        <f t="shared" si="99"/>
        <v>7360092</v>
      </c>
      <c r="N124" s="183">
        <f t="shared" si="99"/>
        <v>7360092</v>
      </c>
      <c r="O124" s="183">
        <f t="shared" si="99"/>
        <v>7360092</v>
      </c>
      <c r="P124" s="183">
        <f t="shared" si="99"/>
        <v>7360092</v>
      </c>
      <c r="Q124" s="183">
        <f t="shared" si="99"/>
        <v>7360092</v>
      </c>
      <c r="R124" s="841"/>
      <c r="S124" s="183">
        <f>SUM(F124:Q124)</f>
        <v>132433525.08333308</v>
      </c>
    </row>
    <row r="125" spans="2:19" s="2" customFormat="1">
      <c r="B125" s="155" t="s">
        <v>427</v>
      </c>
      <c r="C125" s="186"/>
      <c r="D125" s="186"/>
      <c r="E125" s="156">
        <v>0</v>
      </c>
      <c r="F125" s="183">
        <f t="shared" ref="F125:Q125" si="100">-F123/$E$29</f>
        <v>-3486866.6666666665</v>
      </c>
      <c r="G125" s="183">
        <f t="shared" si="100"/>
        <v>-3609532.5666666669</v>
      </c>
      <c r="H125" s="183">
        <f t="shared" si="100"/>
        <v>-3714015.9</v>
      </c>
      <c r="I125" s="183">
        <f t="shared" si="100"/>
        <v>-3718833.3666666667</v>
      </c>
      <c r="J125" s="183">
        <f t="shared" si="100"/>
        <v>-57217015.916666664</v>
      </c>
      <c r="K125" s="183">
        <f t="shared" ref="K125" si="101">-K123/$E$29</f>
        <v>-3766258.5666666669</v>
      </c>
      <c r="L125" s="183">
        <f t="shared" si="100"/>
        <v>-3766258.5666666669</v>
      </c>
      <c r="M125" s="183">
        <f t="shared" si="100"/>
        <v>-3766258.5666666669</v>
      </c>
      <c r="N125" s="183">
        <f t="shared" si="100"/>
        <v>-3826155.7905555558</v>
      </c>
      <c r="O125" s="183">
        <f t="shared" si="100"/>
        <v>-3885054.7273796294</v>
      </c>
      <c r="P125" s="183">
        <f t="shared" si="100"/>
        <v>-3942972.0152566358</v>
      </c>
      <c r="Q125" s="183">
        <f t="shared" si="100"/>
        <v>-3999924.0150023582</v>
      </c>
      <c r="R125" s="841"/>
      <c r="S125" s="183">
        <f>SUM(F125:Q125)</f>
        <v>-98699146.66486083</v>
      </c>
    </row>
    <row r="126" spans="2:19" s="2" customFormat="1">
      <c r="B126" s="880" t="s">
        <v>428</v>
      </c>
      <c r="C126" s="881"/>
      <c r="D126" s="881"/>
      <c r="E126" s="190">
        <f>E83</f>
        <v>209212000</v>
      </c>
      <c r="F126" s="190">
        <f>F83</f>
        <v>216571954</v>
      </c>
      <c r="G126" s="190">
        <f>G83</f>
        <v>222840954</v>
      </c>
      <c r="H126" s="190">
        <f>H83</f>
        <v>223130002</v>
      </c>
      <c r="I126" s="194">
        <f>Inputs!$G$97</f>
        <v>3433020955</v>
      </c>
      <c r="J126" s="190">
        <f>J83</f>
        <v>225975514</v>
      </c>
      <c r="K126" s="190">
        <f>K83</f>
        <v>225975514</v>
      </c>
      <c r="L126" s="190">
        <f t="shared" ref="L126:Q126" si="102">L123+L124+L125</f>
        <v>229569347.43333334</v>
      </c>
      <c r="M126" s="190">
        <f t="shared" si="102"/>
        <v>229569347.43333334</v>
      </c>
      <c r="N126" s="190">
        <f t="shared" si="102"/>
        <v>233103283.64277777</v>
      </c>
      <c r="O126" s="190">
        <f t="shared" si="102"/>
        <v>236578320.91539815</v>
      </c>
      <c r="P126" s="190">
        <f t="shared" si="102"/>
        <v>239995440.90014151</v>
      </c>
      <c r="Q126" s="190">
        <f t="shared" si="102"/>
        <v>243355608.88513914</v>
      </c>
      <c r="R126" s="841"/>
      <c r="S126" s="190">
        <f>Q126</f>
        <v>243355608.88513914</v>
      </c>
    </row>
    <row r="127" spans="2:19" s="2" customFormat="1" ht="15" thickBot="1">
      <c r="B127" s="155"/>
      <c r="C127" s="186"/>
      <c r="D127" s="186"/>
      <c r="E127" s="68"/>
      <c r="F127" s="68"/>
      <c r="G127" s="68"/>
      <c r="H127" s="68"/>
      <c r="I127" s="68"/>
      <c r="J127" s="68"/>
      <c r="K127" s="68"/>
      <c r="L127" s="68"/>
      <c r="M127" s="68"/>
      <c r="N127" s="68"/>
      <c r="O127" s="68"/>
      <c r="P127" s="68"/>
      <c r="Q127" s="68"/>
      <c r="R127" s="841"/>
      <c r="S127" s="68"/>
    </row>
    <row r="128" spans="2:19" s="2" customFormat="1">
      <c r="B128" s="473" t="s">
        <v>429</v>
      </c>
      <c r="C128" s="474"/>
      <c r="D128" s="474"/>
      <c r="E128" s="477"/>
      <c r="F128" s="477"/>
      <c r="G128" s="477"/>
      <c r="H128" s="477"/>
      <c r="I128" s="477"/>
      <c r="J128" s="477"/>
      <c r="K128" s="477"/>
      <c r="L128" s="477"/>
      <c r="M128" s="477"/>
      <c r="N128" s="477"/>
      <c r="O128" s="477"/>
      <c r="P128" s="477"/>
      <c r="Q128" s="477"/>
      <c r="R128" s="475"/>
      <c r="S128" s="477"/>
    </row>
    <row r="130" spans="2:19" s="2" customFormat="1">
      <c r="B130" s="420" t="s">
        <v>430</v>
      </c>
      <c r="C130" s="475"/>
      <c r="D130" s="475"/>
      <c r="E130" s="476"/>
      <c r="F130" s="476"/>
      <c r="G130" s="476"/>
      <c r="H130" s="476"/>
      <c r="I130" s="476"/>
      <c r="J130" s="476"/>
      <c r="K130" s="476"/>
      <c r="L130" s="476"/>
      <c r="M130" s="476"/>
      <c r="N130" s="476"/>
      <c r="O130" s="476"/>
      <c r="P130" s="476"/>
      <c r="Q130" s="476"/>
      <c r="R130" s="475"/>
      <c r="S130" s="476"/>
    </row>
    <row r="131" spans="2:19" s="2" customFormat="1">
      <c r="B131" s="155" t="s">
        <v>431</v>
      </c>
      <c r="C131" s="186"/>
      <c r="D131" s="186"/>
      <c r="E131" s="183">
        <f>E88</f>
        <v>80111000</v>
      </c>
      <c r="F131" s="183">
        <f t="shared" ref="F131:Q131" si="103">E133</f>
        <v>80111000</v>
      </c>
      <c r="G131" s="183">
        <f t="shared" si="103"/>
        <v>72783461</v>
      </c>
      <c r="H131" s="183">
        <f t="shared" si="103"/>
        <v>101365099</v>
      </c>
      <c r="I131" s="183">
        <f t="shared" si="103"/>
        <v>104189980</v>
      </c>
      <c r="J131" s="183">
        <f>I133</f>
        <v>112563470</v>
      </c>
      <c r="K131" s="183">
        <f>J133</f>
        <v>99589767</v>
      </c>
      <c r="L131" s="183">
        <f t="shared" si="103"/>
        <v>83503947</v>
      </c>
      <c r="M131" s="183">
        <f>L88</f>
        <v>104555195</v>
      </c>
      <c r="N131" s="183">
        <f t="shared" si="103"/>
        <v>104555195</v>
      </c>
      <c r="O131" s="183">
        <f t="shared" si="103"/>
        <v>104555195</v>
      </c>
      <c r="P131" s="183">
        <f t="shared" si="103"/>
        <v>104555195</v>
      </c>
      <c r="Q131" s="183">
        <f t="shared" si="103"/>
        <v>104555195</v>
      </c>
      <c r="R131" s="841"/>
      <c r="S131" s="183">
        <f>F131</f>
        <v>80111000</v>
      </c>
    </row>
    <row r="132" spans="2:19" s="2" customFormat="1">
      <c r="B132" s="155" t="s">
        <v>432</v>
      </c>
      <c r="C132" s="186"/>
      <c r="D132" s="186"/>
      <c r="E132" s="156">
        <v>0</v>
      </c>
      <c r="F132" s="183">
        <f>F133-F131</f>
        <v>-7327539</v>
      </c>
      <c r="G132" s="183">
        <f>G133-G131</f>
        <v>28581638</v>
      </c>
      <c r="H132" s="156">
        <v>0</v>
      </c>
      <c r="I132" s="183">
        <f>I133-I131</f>
        <v>8373490</v>
      </c>
      <c r="J132" s="183">
        <f>J133-J131</f>
        <v>-12973703</v>
      </c>
      <c r="K132" s="183">
        <f>K133-K131</f>
        <v>-16085820</v>
      </c>
      <c r="L132" s="156">
        <v>0</v>
      </c>
      <c r="M132" s="156">
        <v>0</v>
      </c>
      <c r="N132" s="156">
        <v>0</v>
      </c>
      <c r="O132" s="156">
        <v>0</v>
      </c>
      <c r="P132" s="156">
        <v>0</v>
      </c>
      <c r="Q132" s="156">
        <v>0</v>
      </c>
      <c r="R132" s="841"/>
      <c r="S132" s="183">
        <f>SUM(F132:Q132)</f>
        <v>568066</v>
      </c>
    </row>
    <row r="133" spans="2:19" s="2" customFormat="1">
      <c r="B133" s="188" t="s">
        <v>433</v>
      </c>
      <c r="C133" s="189"/>
      <c r="D133" s="189"/>
      <c r="E133" s="190">
        <f t="shared" ref="E133:J133" si="104">E88</f>
        <v>80111000</v>
      </c>
      <c r="F133" s="190">
        <f t="shared" si="104"/>
        <v>72783461</v>
      </c>
      <c r="G133" s="190">
        <f t="shared" si="104"/>
        <v>101365099</v>
      </c>
      <c r="H133" s="190">
        <f t="shared" si="104"/>
        <v>104189980</v>
      </c>
      <c r="I133" s="190">
        <f t="shared" si="104"/>
        <v>112563470</v>
      </c>
      <c r="J133" s="190">
        <f t="shared" si="104"/>
        <v>99589767</v>
      </c>
      <c r="K133" s="190">
        <f t="shared" ref="K133" si="105">K88</f>
        <v>83503947</v>
      </c>
      <c r="L133" s="190">
        <f t="shared" ref="L133:Q133" si="106">L131+L132</f>
        <v>83503947</v>
      </c>
      <c r="M133" s="190">
        <f t="shared" si="106"/>
        <v>104555195</v>
      </c>
      <c r="N133" s="190">
        <f t="shared" si="106"/>
        <v>104555195</v>
      </c>
      <c r="O133" s="190">
        <f t="shared" si="106"/>
        <v>104555195</v>
      </c>
      <c r="P133" s="190">
        <f t="shared" si="106"/>
        <v>104555195</v>
      </c>
      <c r="Q133" s="190">
        <f t="shared" si="106"/>
        <v>104555195</v>
      </c>
      <c r="R133" s="841"/>
      <c r="S133" s="190">
        <f>Q133</f>
        <v>104555195</v>
      </c>
    </row>
    <row r="134" spans="2:19" s="2" customFormat="1">
      <c r="B134" s="164"/>
      <c r="C134" s="865"/>
      <c r="D134" s="865"/>
      <c r="E134" s="863"/>
      <c r="F134" s="863"/>
      <c r="G134" s="863"/>
      <c r="H134" s="863"/>
      <c r="I134" s="863"/>
      <c r="J134" s="863"/>
      <c r="K134" s="863"/>
      <c r="L134" s="863"/>
      <c r="M134" s="863"/>
      <c r="N134" s="863"/>
      <c r="O134" s="863"/>
      <c r="P134" s="863"/>
      <c r="Q134" s="863"/>
      <c r="R134" s="841"/>
      <c r="S134" s="863"/>
    </row>
    <row r="135" spans="2:19" s="2" customFormat="1">
      <c r="B135" s="155" t="s">
        <v>434</v>
      </c>
      <c r="C135" s="186"/>
      <c r="D135" s="186"/>
      <c r="E135" s="68"/>
      <c r="F135" s="213">
        <f t="shared" ref="F135:Q135" si="107">TasaDeudaLp</f>
        <v>0.1</v>
      </c>
      <c r="G135" s="213">
        <f t="shared" si="107"/>
        <v>0.1</v>
      </c>
      <c r="H135" s="213">
        <f t="shared" si="107"/>
        <v>0.1</v>
      </c>
      <c r="I135" s="213">
        <f t="shared" si="107"/>
        <v>0.1</v>
      </c>
      <c r="J135" s="213">
        <f t="shared" si="107"/>
        <v>0.1</v>
      </c>
      <c r="K135" s="213">
        <f t="shared" si="107"/>
        <v>0.1</v>
      </c>
      <c r="L135" s="213">
        <f t="shared" si="107"/>
        <v>0.1</v>
      </c>
      <c r="M135" s="213">
        <f t="shared" si="107"/>
        <v>0.1</v>
      </c>
      <c r="N135" s="213">
        <f t="shared" si="107"/>
        <v>0.1</v>
      </c>
      <c r="O135" s="213">
        <f t="shared" si="107"/>
        <v>0.1</v>
      </c>
      <c r="P135" s="213">
        <f t="shared" si="107"/>
        <v>0.1</v>
      </c>
      <c r="Q135" s="213">
        <f t="shared" si="107"/>
        <v>0.1</v>
      </c>
      <c r="R135" s="841"/>
      <c r="S135" s="213">
        <f>F135</f>
        <v>0.1</v>
      </c>
    </row>
    <row r="136" spans="2:19" s="2" customFormat="1">
      <c r="B136" s="155" t="s">
        <v>435</v>
      </c>
      <c r="C136" s="186"/>
      <c r="D136" s="186"/>
      <c r="E136" s="68"/>
      <c r="F136" s="214">
        <f t="shared" ref="F136:I136" si="108">$T$30*AVERAGE(F141,F144)/12</f>
        <v>0</v>
      </c>
      <c r="G136" s="183">
        <f t="shared" si="108"/>
        <v>0</v>
      </c>
      <c r="H136" s="183">
        <f t="shared" si="108"/>
        <v>0</v>
      </c>
      <c r="I136" s="183">
        <f t="shared" si="108"/>
        <v>0</v>
      </c>
      <c r="J136" s="183">
        <f t="shared" ref="J136:Q136" si="109">0*$T$30</f>
        <v>0</v>
      </c>
      <c r="K136" s="183">
        <f t="shared" si="109"/>
        <v>0</v>
      </c>
      <c r="L136" s="183">
        <f t="shared" si="109"/>
        <v>0</v>
      </c>
      <c r="M136" s="183">
        <f t="shared" si="109"/>
        <v>0</v>
      </c>
      <c r="N136" s="183">
        <f t="shared" si="109"/>
        <v>0</v>
      </c>
      <c r="O136" s="183">
        <f t="shared" si="109"/>
        <v>0</v>
      </c>
      <c r="P136" s="183">
        <f t="shared" si="109"/>
        <v>0</v>
      </c>
      <c r="Q136" s="183">
        <f t="shared" si="109"/>
        <v>0</v>
      </c>
      <c r="R136" s="841"/>
      <c r="S136" s="68"/>
    </row>
    <row r="137" spans="2:19" s="2" customFormat="1">
      <c r="B137" s="155" t="s">
        <v>436</v>
      </c>
      <c r="C137" s="186"/>
      <c r="D137" s="186"/>
      <c r="E137" s="68"/>
      <c r="F137" s="183">
        <f t="shared" ref="F137:I137" si="110">TasaDeudaLp*AVERAGE(F133,F131)/12</f>
        <v>637060.25416666677</v>
      </c>
      <c r="G137" s="183">
        <f t="shared" si="110"/>
        <v>725619</v>
      </c>
      <c r="H137" s="183">
        <f t="shared" si="110"/>
        <v>856479.49583333347</v>
      </c>
      <c r="I137" s="183">
        <f t="shared" si="110"/>
        <v>903139.375</v>
      </c>
      <c r="J137" s="183">
        <f t="shared" ref="J137:Q137" si="111">TasaDeudaLp*J131/12</f>
        <v>938028.91666666663</v>
      </c>
      <c r="K137" s="183">
        <f t="shared" ref="K137" si="112">TasaDeudaLp*K131/12</f>
        <v>829914.72500000009</v>
      </c>
      <c r="L137" s="183">
        <f t="shared" si="111"/>
        <v>695866.22499999998</v>
      </c>
      <c r="M137" s="183">
        <f t="shared" si="111"/>
        <v>871293.29166666663</v>
      </c>
      <c r="N137" s="183">
        <f t="shared" si="111"/>
        <v>871293.29166666663</v>
      </c>
      <c r="O137" s="183">
        <f t="shared" si="111"/>
        <v>871293.29166666663</v>
      </c>
      <c r="P137" s="183">
        <f t="shared" si="111"/>
        <v>871293.29166666663</v>
      </c>
      <c r="Q137" s="183">
        <f t="shared" si="111"/>
        <v>871293.29166666663</v>
      </c>
      <c r="R137" s="841"/>
      <c r="S137" s="183">
        <f>SUM(F137:Q137)</f>
        <v>9942574.4500000011</v>
      </c>
    </row>
    <row r="138" spans="2:19" s="2" customFormat="1">
      <c r="B138" s="454" t="s">
        <v>437</v>
      </c>
      <c r="C138" s="464"/>
      <c r="D138" s="464"/>
      <c r="E138" s="478"/>
      <c r="F138" s="472">
        <f t="shared" ref="F138:I138" si="113">F136+F137</f>
        <v>637060.25416666677</v>
      </c>
      <c r="G138" s="472">
        <f t="shared" si="113"/>
        <v>725619</v>
      </c>
      <c r="H138" s="472">
        <f t="shared" si="113"/>
        <v>856479.49583333347</v>
      </c>
      <c r="I138" s="472">
        <f t="shared" si="113"/>
        <v>903139.375</v>
      </c>
      <c r="J138" s="472">
        <f t="shared" ref="J138:Q138" si="114">J136+J137</f>
        <v>938028.91666666663</v>
      </c>
      <c r="K138" s="472">
        <f t="shared" ref="K138" si="115">K136+K137</f>
        <v>829914.72500000009</v>
      </c>
      <c r="L138" s="472">
        <f t="shared" si="114"/>
        <v>695866.22499999998</v>
      </c>
      <c r="M138" s="472">
        <f t="shared" si="114"/>
        <v>871293.29166666663</v>
      </c>
      <c r="N138" s="472">
        <f t="shared" si="114"/>
        <v>871293.29166666663</v>
      </c>
      <c r="O138" s="472">
        <f t="shared" si="114"/>
        <v>871293.29166666663</v>
      </c>
      <c r="P138" s="472">
        <f t="shared" si="114"/>
        <v>871293.29166666663</v>
      </c>
      <c r="Q138" s="472">
        <f t="shared" si="114"/>
        <v>871293.29166666663</v>
      </c>
      <c r="R138" s="873"/>
      <c r="S138" s="472">
        <f>SUM(F138:Q138)</f>
        <v>9942574.4500000011</v>
      </c>
    </row>
    <row r="139" spans="2:19" s="2" customFormat="1">
      <c r="B139" s="166"/>
      <c r="C139" s="195"/>
      <c r="D139" s="195"/>
      <c r="E139" s="72"/>
      <c r="F139" s="166"/>
      <c r="G139" s="195"/>
      <c r="H139" s="195"/>
      <c r="I139" s="72"/>
      <c r="J139" s="72"/>
      <c r="K139" s="72"/>
      <c r="L139" s="72"/>
      <c r="M139" s="72"/>
      <c r="N139" s="72"/>
      <c r="O139" s="72"/>
      <c r="P139" s="72"/>
      <c r="Q139" s="72"/>
      <c r="R139" s="841"/>
      <c r="S139" s="72"/>
    </row>
    <row r="140" spans="2:19" s="2" customFormat="1">
      <c r="B140" s="420" t="s">
        <v>438</v>
      </c>
      <c r="C140" s="475"/>
      <c r="D140" s="475"/>
      <c r="E140" s="476"/>
      <c r="F140" s="476"/>
      <c r="G140" s="476"/>
      <c r="H140" s="476"/>
      <c r="I140" s="476"/>
      <c r="J140" s="476"/>
      <c r="K140" s="476"/>
      <c r="L140" s="476"/>
      <c r="M140" s="476"/>
      <c r="N140" s="476"/>
      <c r="O140" s="476"/>
      <c r="P140" s="476"/>
      <c r="Q140" s="476"/>
      <c r="R140" s="475"/>
      <c r="S140" s="476"/>
    </row>
    <row r="141" spans="2:19" s="2" customFormat="1">
      <c r="B141" s="155" t="s">
        <v>431</v>
      </c>
      <c r="C141" s="186"/>
      <c r="D141" s="186"/>
      <c r="E141" s="183">
        <f>0</f>
        <v>0</v>
      </c>
      <c r="F141" s="183">
        <f t="shared" ref="F141:Q141" si="116">E144</f>
        <v>0</v>
      </c>
      <c r="G141" s="183">
        <f t="shared" si="116"/>
        <v>0</v>
      </c>
      <c r="H141" s="183">
        <f t="shared" si="116"/>
        <v>0</v>
      </c>
      <c r="I141" s="183">
        <f t="shared" si="116"/>
        <v>0</v>
      </c>
      <c r="J141" s="183">
        <f>I144</f>
        <v>0</v>
      </c>
      <c r="K141" s="183">
        <f>J144</f>
        <v>2642649181</v>
      </c>
      <c r="L141" s="183">
        <f t="shared" si="116"/>
        <v>2641566481</v>
      </c>
      <c r="M141" s="183">
        <f>L94</f>
        <v>2641787281</v>
      </c>
      <c r="N141" s="183">
        <f t="shared" si="116"/>
        <v>3392224212.7135</v>
      </c>
      <c r="O141" s="183">
        <f t="shared" si="116"/>
        <v>3392224212.7135</v>
      </c>
      <c r="P141" s="183">
        <f t="shared" si="116"/>
        <v>3392224212.7135</v>
      </c>
      <c r="Q141" s="183">
        <f t="shared" si="116"/>
        <v>3340917843.0329885</v>
      </c>
      <c r="R141" s="841"/>
      <c r="S141" s="183">
        <f>F141</f>
        <v>0</v>
      </c>
    </row>
    <row r="142" spans="2:19" s="2" customFormat="1">
      <c r="B142" s="155" t="s">
        <v>439</v>
      </c>
      <c r="C142" s="186"/>
      <c r="D142" s="186"/>
      <c r="E142" s="183">
        <f>0</f>
        <v>0</v>
      </c>
      <c r="F142" s="183">
        <f>0</f>
        <v>0</v>
      </c>
      <c r="G142" s="183">
        <f>0</f>
        <v>0</v>
      </c>
      <c r="H142" s="183">
        <f>0</f>
        <v>0</v>
      </c>
      <c r="I142" s="183">
        <f>0</f>
        <v>0</v>
      </c>
      <c r="J142" s="183">
        <f>0</f>
        <v>0</v>
      </c>
      <c r="K142" s="183">
        <f>0</f>
        <v>0</v>
      </c>
      <c r="L142" s="183">
        <f t="shared" ref="L142" si="117">IF(COLUMN()&lt;MATCH($T$31,$J$160:$Q$160,0)+COLUMN($J$160)-1,0,MIN(L188,MAX(0,$T$29-L141)))</f>
        <v>0</v>
      </c>
      <c r="M142" s="183">
        <f>IF(COLUMN()&lt;MATCH($T$31,$J$160:$Q$160,0)+COLUMN($J$160)-1,0,MIN(M188,MAX(0,$T$29-(M141-$L$94))))</f>
        <v>750436931.71350002</v>
      </c>
      <c r="N142" s="183">
        <f>IF(COLUMN()&lt;MATCH($T$31,$J$160:$Q$160,0)+COLUMN($J$160)-1,0,MIN(N188,MAX(0,$T$29-(N141-$L$94))))</f>
        <v>0</v>
      </c>
      <c r="O142" s="183">
        <f>IF(COLUMN()&lt;MATCH($T$31,$J$160:$Q$160,0)+COLUMN($J$160)-1,0,MIN(O188,MAX(0,$T$29-(O141-$L$94))))</f>
        <v>0</v>
      </c>
      <c r="P142" s="183">
        <f>IF(COLUMN()&lt;MATCH($T$31,$J$160:$Q$160,0)+COLUMN($J$160)-1,0,MIN(P188,MAX(0,$T$29-(P141-$L$94))))</f>
        <v>0</v>
      </c>
      <c r="Q142" s="183">
        <f>IF(COLUMN()&lt;MATCH($T$31,$J$160:$Q$160,0)+COLUMN($J$160)-1,0,MIN(Q188,MAX(0,$T$29-(Q141-$L$94))))</f>
        <v>0</v>
      </c>
      <c r="R142" s="841"/>
      <c r="S142" s="183">
        <f>SUM(F142:Q142)</f>
        <v>750436931.71350002</v>
      </c>
    </row>
    <row r="143" spans="2:19" s="2" customFormat="1">
      <c r="B143" s="188" t="s">
        <v>440</v>
      </c>
      <c r="C143" s="189"/>
      <c r="D143" s="189"/>
      <c r="E143" s="190">
        <f>0</f>
        <v>0</v>
      </c>
      <c r="F143" s="190">
        <f>0</f>
        <v>0</v>
      </c>
      <c r="G143" s="190">
        <f>0</f>
        <v>0</v>
      </c>
      <c r="H143" s="190">
        <f>0</f>
        <v>0</v>
      </c>
      <c r="I143" s="190">
        <f>0</f>
        <v>0</v>
      </c>
      <c r="J143" s="190">
        <f>0</f>
        <v>0</v>
      </c>
      <c r="K143" s="190">
        <f>0</f>
        <v>0</v>
      </c>
      <c r="L143" s="190">
        <f t="shared" ref="L143:Q143" si="118">MIN(L187,L141+L142)</f>
        <v>0</v>
      </c>
      <c r="M143" s="190">
        <f t="shared" si="118"/>
        <v>0</v>
      </c>
      <c r="N143" s="190">
        <f t="shared" si="118"/>
        <v>0</v>
      </c>
      <c r="O143" s="190">
        <f t="shared" si="118"/>
        <v>0</v>
      </c>
      <c r="P143" s="190">
        <f t="shared" si="118"/>
        <v>51306369.680511415</v>
      </c>
      <c r="Q143" s="190">
        <f t="shared" si="118"/>
        <v>480776399.36158991</v>
      </c>
      <c r="R143" s="841"/>
      <c r="S143" s="190">
        <f>SUM(F143:Q143)</f>
        <v>532082769.04210132</v>
      </c>
    </row>
    <row r="144" spans="2:19" s="2" customFormat="1">
      <c r="B144" s="155" t="s">
        <v>441</v>
      </c>
      <c r="C144" s="186"/>
      <c r="D144" s="186"/>
      <c r="E144" s="183">
        <f t="shared" ref="E144:I144" si="119">E141+E142-E143</f>
        <v>0</v>
      </c>
      <c r="F144" s="183">
        <f t="shared" si="119"/>
        <v>0</v>
      </c>
      <c r="G144" s="183">
        <f t="shared" si="119"/>
        <v>0</v>
      </c>
      <c r="H144" s="183">
        <f t="shared" si="119"/>
        <v>0</v>
      </c>
      <c r="I144" s="183">
        <f t="shared" si="119"/>
        <v>0</v>
      </c>
      <c r="J144" s="183">
        <f>J94</f>
        <v>2642649181</v>
      </c>
      <c r="K144" s="183">
        <f>K94</f>
        <v>2641566481</v>
      </c>
      <c r="L144" s="183">
        <f t="shared" ref="L144:Q144" si="120">L141+L142-L143</f>
        <v>2641566481</v>
      </c>
      <c r="M144" s="183">
        <f t="shared" si="120"/>
        <v>3392224212.7135</v>
      </c>
      <c r="N144" s="183">
        <f t="shared" si="120"/>
        <v>3392224212.7135</v>
      </c>
      <c r="O144" s="183">
        <f t="shared" si="120"/>
        <v>3392224212.7135</v>
      </c>
      <c r="P144" s="183">
        <f t="shared" si="120"/>
        <v>3340917843.0329885</v>
      </c>
      <c r="Q144" s="183">
        <f t="shared" si="120"/>
        <v>2860141443.6713986</v>
      </c>
      <c r="R144" s="841"/>
      <c r="S144" s="183">
        <f>Q144</f>
        <v>2860141443.6713986</v>
      </c>
    </row>
    <row r="146" spans="2:19" s="2" customFormat="1">
      <c r="B146" s="420" t="s">
        <v>383</v>
      </c>
      <c r="C146" s="475"/>
      <c r="D146" s="475"/>
      <c r="E146" s="476"/>
      <c r="F146" s="476"/>
      <c r="G146" s="476"/>
      <c r="H146" s="476"/>
      <c r="I146" s="476"/>
      <c r="J146" s="476"/>
      <c r="K146" s="476"/>
      <c r="L146" s="476"/>
      <c r="M146" s="476"/>
      <c r="N146" s="476"/>
      <c r="O146" s="476"/>
      <c r="P146" s="476"/>
      <c r="Q146" s="476"/>
      <c r="R146" s="475"/>
      <c r="S146" s="476"/>
    </row>
    <row r="147" spans="2:19" s="2" customFormat="1">
      <c r="B147" s="155" t="s">
        <v>431</v>
      </c>
      <c r="C147" s="186"/>
      <c r="D147" s="186"/>
      <c r="E147" s="183">
        <f>E99</f>
        <v>1210339000</v>
      </c>
      <c r="F147" s="183">
        <f>E149</f>
        <v>1210339000</v>
      </c>
      <c r="G147" s="183">
        <f>F149</f>
        <v>1210339000</v>
      </c>
      <c r="H147" s="183">
        <f t="shared" ref="H147:Q147" si="121">G149</f>
        <v>1210339000</v>
      </c>
      <c r="I147" s="183">
        <f t="shared" si="121"/>
        <v>1210339000</v>
      </c>
      <c r="J147" s="183">
        <f>I149</f>
        <v>1210339000</v>
      </c>
      <c r="K147" s="183">
        <f>J149</f>
        <v>1210339000</v>
      </c>
      <c r="L147" s="183">
        <f t="shared" si="121"/>
        <v>1210339000</v>
      </c>
      <c r="M147" s="183">
        <f t="shared" si="121"/>
        <v>1210339000</v>
      </c>
      <c r="N147" s="183">
        <f t="shared" si="121"/>
        <v>1210339000</v>
      </c>
      <c r="O147" s="183">
        <f t="shared" si="121"/>
        <v>1210339000</v>
      </c>
      <c r="P147" s="183">
        <f t="shared" si="121"/>
        <v>1210339000</v>
      </c>
      <c r="Q147" s="183">
        <f t="shared" si="121"/>
        <v>1210339000</v>
      </c>
      <c r="R147" s="841"/>
      <c r="S147" s="183">
        <f>F147</f>
        <v>1210339000</v>
      </c>
    </row>
    <row r="148" spans="2:19" s="2" customFormat="1">
      <c r="B148" s="155" t="s">
        <v>442</v>
      </c>
      <c r="C148" s="186"/>
      <c r="D148" s="186"/>
      <c r="E148" s="156">
        <v>0</v>
      </c>
      <c r="F148" s="183">
        <f>F149-F147</f>
        <v>0</v>
      </c>
      <c r="G148" s="183">
        <f>G149-G147</f>
        <v>0</v>
      </c>
      <c r="H148" s="156">
        <v>0</v>
      </c>
      <c r="I148" s="183">
        <f>I149-I147</f>
        <v>0</v>
      </c>
      <c r="J148" s="183">
        <f>J149-J147</f>
        <v>0</v>
      </c>
      <c r="K148" s="183">
        <f>K149-K147</f>
        <v>0</v>
      </c>
      <c r="L148" s="156">
        <v>0</v>
      </c>
      <c r="M148" s="156">
        <v>0</v>
      </c>
      <c r="N148" s="156">
        <v>0</v>
      </c>
      <c r="O148" s="156">
        <v>0</v>
      </c>
      <c r="P148" s="156">
        <v>0</v>
      </c>
      <c r="Q148" s="156">
        <v>0</v>
      </c>
      <c r="R148" s="841"/>
      <c r="S148" s="183">
        <f>SUM(F148:Q148)</f>
        <v>0</v>
      </c>
    </row>
    <row r="149" spans="2:19" s="2" customFormat="1">
      <c r="B149" s="188" t="s">
        <v>443</v>
      </c>
      <c r="C149" s="189"/>
      <c r="D149" s="189"/>
      <c r="E149" s="190">
        <f>E99</f>
        <v>1210339000</v>
      </c>
      <c r="F149" s="190">
        <f>F99</f>
        <v>1210339000</v>
      </c>
      <c r="G149" s="190">
        <f>G99</f>
        <v>1210339000</v>
      </c>
      <c r="H149" s="190">
        <f t="shared" ref="H149:Q149" si="122">H147+H148</f>
        <v>1210339000</v>
      </c>
      <c r="I149" s="194">
        <f>I99</f>
        <v>1210339000</v>
      </c>
      <c r="J149" s="190">
        <f>J99</f>
        <v>1210339000</v>
      </c>
      <c r="K149" s="190">
        <f>K99</f>
        <v>1210339000</v>
      </c>
      <c r="L149" s="190">
        <f t="shared" si="122"/>
        <v>1210339000</v>
      </c>
      <c r="M149" s="190">
        <f t="shared" si="122"/>
        <v>1210339000</v>
      </c>
      <c r="N149" s="190">
        <f t="shared" si="122"/>
        <v>1210339000</v>
      </c>
      <c r="O149" s="190">
        <f t="shared" si="122"/>
        <v>1210339000</v>
      </c>
      <c r="P149" s="190">
        <f t="shared" si="122"/>
        <v>1210339000</v>
      </c>
      <c r="Q149" s="190">
        <f t="shared" si="122"/>
        <v>1210339000</v>
      </c>
      <c r="R149" s="841"/>
      <c r="S149" s="190">
        <f>Q149</f>
        <v>1210339000</v>
      </c>
    </row>
    <row r="150" spans="2:19" s="2" customFormat="1">
      <c r="B150" s="155"/>
      <c r="C150" s="186"/>
      <c r="D150" s="186"/>
      <c r="E150" s="68"/>
      <c r="F150" s="68"/>
      <c r="G150" s="68"/>
      <c r="H150" s="68"/>
      <c r="I150" s="68"/>
      <c r="J150" s="68"/>
      <c r="K150" s="68"/>
      <c r="L150" s="68"/>
      <c r="M150" s="68"/>
      <c r="N150" s="68"/>
      <c r="O150" s="68"/>
      <c r="P150" s="68"/>
      <c r="Q150" s="68"/>
      <c r="R150" s="841"/>
      <c r="S150" s="68"/>
    </row>
    <row r="151" spans="2:19" s="2" customFormat="1">
      <c r="B151" s="420" t="s">
        <v>444</v>
      </c>
      <c r="C151" s="475"/>
      <c r="D151" s="475"/>
      <c r="E151" s="476"/>
      <c r="F151" s="476"/>
      <c r="G151" s="476"/>
      <c r="H151" s="476"/>
      <c r="I151" s="476"/>
      <c r="J151" s="476"/>
      <c r="K151" s="476"/>
      <c r="L151" s="476"/>
      <c r="M151" s="476"/>
      <c r="N151" s="476"/>
      <c r="O151" s="476"/>
      <c r="P151" s="476"/>
      <c r="Q151" s="476"/>
      <c r="R151" s="475"/>
      <c r="S151" s="476"/>
    </row>
    <row r="152" spans="2:19" s="2" customFormat="1">
      <c r="B152" s="155" t="s">
        <v>431</v>
      </c>
      <c r="C152" s="186"/>
      <c r="D152" s="186"/>
      <c r="E152" s="183">
        <f>E100</f>
        <v>1214593000</v>
      </c>
      <c r="F152" s="183">
        <f>E155</f>
        <v>1214593000</v>
      </c>
      <c r="G152" s="183">
        <f>F155</f>
        <v>1278078168</v>
      </c>
      <c r="H152" s="183">
        <f t="shared" ref="H152:Q152" si="123">G155</f>
        <v>1332127083</v>
      </c>
      <c r="I152" s="183">
        <f t="shared" si="123"/>
        <v>1294189076</v>
      </c>
      <c r="J152" s="183">
        <f>I155</f>
        <v>1294895280</v>
      </c>
      <c r="K152" s="183">
        <f>J155</f>
        <v>1403270248</v>
      </c>
      <c r="L152" s="183">
        <f t="shared" si="123"/>
        <v>1436613897</v>
      </c>
      <c r="M152" s="183">
        <f t="shared" si="123"/>
        <v>1461320949</v>
      </c>
      <c r="N152" s="183">
        <f t="shared" si="123"/>
        <v>1942843882.116488</v>
      </c>
      <c r="O152" s="183">
        <f t="shared" si="123"/>
        <v>2483747864.1803055</v>
      </c>
      <c r="P152" s="183">
        <f t="shared" si="123"/>
        <v>3084033544.0780449</v>
      </c>
      <c r="Q152" s="183">
        <f t="shared" si="123"/>
        <v>3732774706.2815208</v>
      </c>
      <c r="R152" s="841"/>
      <c r="S152" s="183">
        <f>F152</f>
        <v>1214593000</v>
      </c>
    </row>
    <row r="153" spans="2:19" s="2" customFormat="1">
      <c r="B153" s="155" t="s">
        <v>400</v>
      </c>
      <c r="C153" s="186"/>
      <c r="D153" s="186"/>
      <c r="E153" s="156">
        <v>0</v>
      </c>
      <c r="F153" s="183">
        <f t="shared" ref="F153:Q153" si="124">F70</f>
        <v>63485497</v>
      </c>
      <c r="G153" s="183">
        <f t="shared" si="124"/>
        <v>54048915</v>
      </c>
      <c r="H153" s="183">
        <f t="shared" si="124"/>
        <v>-37938007</v>
      </c>
      <c r="I153" s="193">
        <f>I70</f>
        <v>706203</v>
      </c>
      <c r="J153" s="183">
        <f>J70</f>
        <v>108374968</v>
      </c>
      <c r="K153" s="183">
        <f>K70</f>
        <v>33343650</v>
      </c>
      <c r="L153" s="183">
        <f t="shared" si="124"/>
        <v>24707052</v>
      </c>
      <c r="M153" s="183">
        <f t="shared" si="124"/>
        <v>481522933.11648798</v>
      </c>
      <c r="N153" s="183">
        <f t="shared" si="124"/>
        <v>540903982.06381738</v>
      </c>
      <c r="O153" s="183">
        <f t="shared" si="124"/>
        <v>600285679.89773917</v>
      </c>
      <c r="P153" s="183">
        <f t="shared" si="124"/>
        <v>648741162.20347619</v>
      </c>
      <c r="Q153" s="183">
        <f t="shared" si="124"/>
        <v>708124125.54649854</v>
      </c>
      <c r="R153" s="841"/>
      <c r="S153" s="183">
        <f>SUM(F153:Q153)</f>
        <v>3226306160.8280191</v>
      </c>
    </row>
    <row r="154" spans="2:19" s="2" customFormat="1">
      <c r="B154" s="155" t="s">
        <v>445</v>
      </c>
      <c r="C154" s="186"/>
      <c r="D154" s="186"/>
      <c r="E154" s="156">
        <v>0</v>
      </c>
      <c r="F154" s="156">
        <v>0</v>
      </c>
      <c r="G154" s="156">
        <v>0</v>
      </c>
      <c r="H154" s="156">
        <v>0</v>
      </c>
      <c r="I154" s="156">
        <v>0</v>
      </c>
      <c r="J154" s="156">
        <v>0</v>
      </c>
      <c r="K154" s="156">
        <v>0</v>
      </c>
      <c r="L154" s="156">
        <v>0</v>
      </c>
      <c r="M154" s="156">
        <v>0</v>
      </c>
      <c r="N154" s="156">
        <v>0</v>
      </c>
      <c r="O154" s="156">
        <v>0</v>
      </c>
      <c r="P154" s="156">
        <v>0</v>
      </c>
      <c r="Q154" s="156">
        <v>0</v>
      </c>
      <c r="R154" s="841"/>
      <c r="S154" s="183">
        <f>SUM(F154:Q154)</f>
        <v>0</v>
      </c>
    </row>
    <row r="155" spans="2:19" s="2" customFormat="1">
      <c r="B155" s="188" t="s">
        <v>446</v>
      </c>
      <c r="C155" s="189"/>
      <c r="D155" s="189"/>
      <c r="E155" s="190">
        <f>E100</f>
        <v>1214593000</v>
      </c>
      <c r="F155" s="190">
        <f>F100</f>
        <v>1278078168</v>
      </c>
      <c r="G155" s="190">
        <f>G100</f>
        <v>1332127083</v>
      </c>
      <c r="H155" s="190">
        <f t="shared" ref="H155:Q155" si="125">H152+H153-H154</f>
        <v>1294189076</v>
      </c>
      <c r="I155" s="194">
        <f>I100</f>
        <v>1294895280</v>
      </c>
      <c r="J155" s="190">
        <f>J100</f>
        <v>1403270248</v>
      </c>
      <c r="K155" s="190">
        <f>K100</f>
        <v>1436613897</v>
      </c>
      <c r="L155" s="190">
        <f t="shared" si="125"/>
        <v>1461320949</v>
      </c>
      <c r="M155" s="190">
        <f t="shared" si="125"/>
        <v>1942843882.116488</v>
      </c>
      <c r="N155" s="190">
        <f t="shared" si="125"/>
        <v>2483747864.1803055</v>
      </c>
      <c r="O155" s="190">
        <f t="shared" si="125"/>
        <v>3084033544.0780449</v>
      </c>
      <c r="P155" s="190">
        <f t="shared" si="125"/>
        <v>3732774706.2815208</v>
      </c>
      <c r="Q155" s="190">
        <f t="shared" si="125"/>
        <v>4440898831.8280191</v>
      </c>
      <c r="R155" s="841"/>
      <c r="S155" s="190">
        <f>Q155</f>
        <v>4440898831.8280191</v>
      </c>
    </row>
    <row r="156" spans="2:19">
      <c r="B156" s="155"/>
      <c r="C156" s="186"/>
      <c r="D156" s="186"/>
      <c r="E156" s="68"/>
      <c r="F156" s="68"/>
      <c r="G156" s="68"/>
      <c r="H156" s="68"/>
      <c r="I156" s="68"/>
      <c r="J156" s="68"/>
      <c r="K156" s="68"/>
      <c r="L156" s="68"/>
      <c r="M156" s="68"/>
      <c r="N156" s="68"/>
      <c r="O156" s="68"/>
      <c r="P156" s="68"/>
      <c r="Q156" s="68"/>
      <c r="R156" s="841"/>
      <c r="S156" s="68"/>
    </row>
    <row r="157" spans="2:19" ht="15" thickBot="1">
      <c r="B157" s="155"/>
      <c r="C157" s="186"/>
      <c r="D157" s="186"/>
      <c r="E157" s="68"/>
      <c r="F157" s="68"/>
      <c r="G157" s="68"/>
      <c r="H157" s="68"/>
      <c r="I157" s="68"/>
      <c r="J157" s="68"/>
      <c r="K157" s="68"/>
      <c r="L157" s="68"/>
      <c r="M157" s="68"/>
      <c r="N157" s="68"/>
      <c r="O157" s="68"/>
      <c r="P157" s="68"/>
      <c r="Q157" s="68"/>
      <c r="R157" s="841"/>
      <c r="S157" s="68"/>
    </row>
    <row r="158" spans="2:19">
      <c r="B158" s="473" t="s">
        <v>447</v>
      </c>
      <c r="C158" s="473"/>
      <c r="D158" s="473"/>
      <c r="E158" s="477"/>
      <c r="F158" s="477"/>
      <c r="G158" s="477"/>
      <c r="H158" s="477"/>
      <c r="I158" s="477"/>
      <c r="J158" s="477"/>
      <c r="K158" s="477"/>
      <c r="L158" s="477"/>
      <c r="M158" s="477"/>
      <c r="N158" s="477"/>
      <c r="O158" s="477"/>
      <c r="P158" s="477"/>
      <c r="Q158" s="477"/>
      <c r="R158" s="475"/>
      <c r="S158" s="477"/>
    </row>
    <row r="159" spans="2:19">
      <c r="B159" s="155"/>
      <c r="C159" s="186"/>
      <c r="D159" s="186"/>
      <c r="E159" s="68"/>
      <c r="F159" s="68"/>
      <c r="G159" s="68"/>
      <c r="H159" s="68"/>
      <c r="I159" s="68"/>
      <c r="J159" s="68"/>
      <c r="K159" s="68"/>
      <c r="L159" s="68"/>
      <c r="M159" s="68"/>
      <c r="N159" s="68"/>
      <c r="O159" s="68"/>
      <c r="P159" s="68"/>
      <c r="Q159" s="68"/>
      <c r="R159" s="841"/>
      <c r="S159" s="68"/>
    </row>
    <row r="160" spans="2:19" ht="30" customHeight="1">
      <c r="B160" s="386"/>
      <c r="C160" s="386"/>
      <c r="D160" s="386"/>
      <c r="E160" s="462">
        <v>2025</v>
      </c>
      <c r="F160" s="461" t="s">
        <v>209</v>
      </c>
      <c r="G160" s="461" t="s">
        <v>324</v>
      </c>
      <c r="H160" s="461" t="s">
        <v>325</v>
      </c>
      <c r="I160" s="461" t="s">
        <v>326</v>
      </c>
      <c r="J160" s="461" t="s">
        <v>327</v>
      </c>
      <c r="K160" s="461" t="s">
        <v>328</v>
      </c>
      <c r="L160" s="461" t="s">
        <v>329</v>
      </c>
      <c r="M160" s="461" t="s">
        <v>330</v>
      </c>
      <c r="N160" s="461" t="s">
        <v>331</v>
      </c>
      <c r="O160" s="461" t="s">
        <v>332</v>
      </c>
      <c r="P160" s="461" t="s">
        <v>333</v>
      </c>
      <c r="Q160" s="461" t="s">
        <v>334</v>
      </c>
      <c r="R160" s="386"/>
      <c r="S160" s="461" t="s">
        <v>16</v>
      </c>
    </row>
    <row r="161" spans="2:19">
      <c r="B161" s="420" t="s">
        <v>448</v>
      </c>
      <c r="C161" s="475"/>
      <c r="D161" s="475"/>
      <c r="E161" s="476"/>
      <c r="F161" s="476"/>
      <c r="G161" s="476"/>
      <c r="H161" s="476"/>
      <c r="I161" s="476"/>
      <c r="J161" s="476"/>
      <c r="K161" s="476"/>
      <c r="L161" s="476"/>
      <c r="M161" s="476"/>
      <c r="N161" s="476"/>
      <c r="O161" s="476"/>
      <c r="P161" s="476"/>
      <c r="Q161" s="476"/>
      <c r="R161" s="475"/>
      <c r="S161" s="476"/>
    </row>
    <row r="162" spans="2:19">
      <c r="B162" s="155" t="s">
        <v>400</v>
      </c>
      <c r="C162" s="186"/>
      <c r="D162" s="186"/>
      <c r="E162" s="156">
        <v>0</v>
      </c>
      <c r="F162" s="183">
        <f t="shared" ref="F162:Q162" si="126">F70</f>
        <v>63485497</v>
      </c>
      <c r="G162" s="183">
        <f t="shared" si="126"/>
        <v>54048915</v>
      </c>
      <c r="H162" s="183">
        <f t="shared" si="126"/>
        <v>-37938007</v>
      </c>
      <c r="I162" s="183">
        <f t="shared" si="126"/>
        <v>706203</v>
      </c>
      <c r="J162" s="183">
        <f t="shared" si="126"/>
        <v>108374968</v>
      </c>
      <c r="K162" s="183">
        <f t="shared" ref="K162" si="127">K70</f>
        <v>33343650</v>
      </c>
      <c r="L162" s="183">
        <f t="shared" si="126"/>
        <v>24707052</v>
      </c>
      <c r="M162" s="183">
        <f t="shared" si="126"/>
        <v>481522933.11648798</v>
      </c>
      <c r="N162" s="183">
        <f t="shared" si="126"/>
        <v>540903982.06381738</v>
      </c>
      <c r="O162" s="183">
        <f t="shared" si="126"/>
        <v>600285679.89773917</v>
      </c>
      <c r="P162" s="183">
        <f t="shared" si="126"/>
        <v>648741162.20347619</v>
      </c>
      <c r="Q162" s="183">
        <f t="shared" si="126"/>
        <v>708124125.54649854</v>
      </c>
      <c r="R162" s="841"/>
      <c r="S162" s="183">
        <f>SUM(F162:Q162)</f>
        <v>3226306160.8280191</v>
      </c>
    </row>
    <row r="163" spans="2:19">
      <c r="B163" s="420" t="s">
        <v>449</v>
      </c>
      <c r="C163" s="475"/>
      <c r="D163" s="475"/>
      <c r="E163" s="476"/>
      <c r="F163" s="476"/>
      <c r="G163" s="476"/>
      <c r="H163" s="476"/>
      <c r="I163" s="476"/>
      <c r="J163" s="476"/>
      <c r="K163" s="476"/>
      <c r="L163" s="476"/>
      <c r="M163" s="476"/>
      <c r="N163" s="476"/>
      <c r="O163" s="476"/>
      <c r="P163" s="476"/>
      <c r="Q163" s="476"/>
      <c r="R163" s="475"/>
      <c r="S163" s="476"/>
    </row>
    <row r="164" spans="2:19">
      <c r="B164" s="215" t="s">
        <v>450</v>
      </c>
      <c r="C164" s="216"/>
      <c r="D164" s="216"/>
      <c r="E164" s="333">
        <v>0</v>
      </c>
      <c r="F164" s="334">
        <f>-(F79-E79)</f>
        <v>242755171</v>
      </c>
      <c r="G164" s="334">
        <f>-(G79-F79)</f>
        <v>-207016360</v>
      </c>
      <c r="H164" s="334">
        <f>-(H79-G79)</f>
        <v>106967375</v>
      </c>
      <c r="I164" s="334">
        <f>-(I79-H79)</f>
        <v>78000110</v>
      </c>
      <c r="J164" s="334">
        <f t="shared" ref="J164:K166" si="128">J221</f>
        <v>-62756988</v>
      </c>
      <c r="K164" s="334">
        <f t="shared" si="128"/>
        <v>-124084410</v>
      </c>
      <c r="L164" s="334">
        <f t="shared" ref="L164:Q166" si="129">L221</f>
        <v>110973187</v>
      </c>
      <c r="M164" s="334">
        <f t="shared" si="129"/>
        <v>-2717695085</v>
      </c>
      <c r="N164" s="334">
        <f t="shared" si="129"/>
        <v>-255963000</v>
      </c>
      <c r="O164" s="334">
        <f t="shared" si="129"/>
        <v>-255963000</v>
      </c>
      <c r="P164" s="334">
        <f t="shared" si="129"/>
        <v>-255963000</v>
      </c>
      <c r="Q164" s="334">
        <f t="shared" si="129"/>
        <v>-255963000</v>
      </c>
      <c r="R164" s="841"/>
      <c r="S164" s="334">
        <f>SUM(F164:Q164)</f>
        <v>-3596709000</v>
      </c>
    </row>
    <row r="165" spans="2:19">
      <c r="B165" s="217" t="s">
        <v>451</v>
      </c>
      <c r="C165" s="218"/>
      <c r="D165" s="218"/>
      <c r="E165" s="335">
        <v>0</v>
      </c>
      <c r="F165" s="336">
        <f>F89-E89</f>
        <v>-42574759</v>
      </c>
      <c r="G165" s="336">
        <f>G89-F89</f>
        <v>-8345944</v>
      </c>
      <c r="H165" s="336">
        <f>H89-G89</f>
        <v>77255268</v>
      </c>
      <c r="I165" s="336">
        <f>I89-H89</f>
        <v>-7195802</v>
      </c>
      <c r="J165" s="336">
        <f t="shared" si="128"/>
        <v>-61530713</v>
      </c>
      <c r="K165" s="336">
        <f t="shared" si="128"/>
        <v>-18920144</v>
      </c>
      <c r="L165" s="336">
        <f t="shared" si="129"/>
        <v>-79630602</v>
      </c>
      <c r="M165" s="336">
        <f t="shared" si="129"/>
        <v>207276200.72222209</v>
      </c>
      <c r="N165" s="336">
        <f t="shared" si="129"/>
        <v>0</v>
      </c>
      <c r="O165" s="336">
        <f t="shared" si="129"/>
        <v>0</v>
      </c>
      <c r="P165" s="336">
        <f t="shared" si="129"/>
        <v>17383875.600000024</v>
      </c>
      <c r="Q165" s="336">
        <f t="shared" si="129"/>
        <v>0</v>
      </c>
      <c r="R165" s="841"/>
      <c r="S165" s="336">
        <f>SUM(F165:Q165)</f>
        <v>83717380.322222114</v>
      </c>
    </row>
    <row r="166" spans="2:19">
      <c r="B166" s="217" t="s">
        <v>452</v>
      </c>
      <c r="C166" s="218"/>
      <c r="D166" s="218"/>
      <c r="E166" s="335">
        <v>0</v>
      </c>
      <c r="F166" s="336">
        <f>F90-E90</f>
        <v>-25726920</v>
      </c>
      <c r="G166" s="336">
        <f>G90-F90</f>
        <v>-12558380</v>
      </c>
      <c r="H166" s="336">
        <f>H90-G90</f>
        <v>23778884</v>
      </c>
      <c r="I166" s="336">
        <f t="shared" ref="I166" si="130">I90-H90</f>
        <v>-1073939</v>
      </c>
      <c r="J166" s="336">
        <f t="shared" si="128"/>
        <v>-1983229</v>
      </c>
      <c r="K166" s="336">
        <f t="shared" si="128"/>
        <v>812079</v>
      </c>
      <c r="L166" s="336">
        <f t="shared" si="129"/>
        <v>-4096021</v>
      </c>
      <c r="M166" s="336">
        <f t="shared" si="129"/>
        <v>240052105.37041661</v>
      </c>
      <c r="N166" s="336">
        <f t="shared" si="129"/>
        <v>31974410.971638829</v>
      </c>
      <c r="O166" s="336">
        <f t="shared" si="129"/>
        <v>31974760.372111738</v>
      </c>
      <c r="P166" s="336">
        <f t="shared" si="129"/>
        <v>26091413.549243033</v>
      </c>
      <c r="Q166" s="336">
        <f t="shared" si="129"/>
        <v>31975441.800089002</v>
      </c>
      <c r="R166" s="841"/>
      <c r="S166" s="336">
        <f>SUM(F166:Q166)</f>
        <v>341220606.06349921</v>
      </c>
    </row>
    <row r="167" spans="2:19">
      <c r="B167" s="217" t="s">
        <v>1185</v>
      </c>
      <c r="C167" s="917" t="s">
        <v>1186</v>
      </c>
      <c r="D167" s="918">
        <v>0</v>
      </c>
      <c r="E167" s="335"/>
      <c r="F167" s="336">
        <f>-(F81-E81)</f>
        <v>-29820751</v>
      </c>
      <c r="G167" s="336">
        <f t="shared" ref="G167:Q167" si="131">-(G81-F81)</f>
        <v>-27762030</v>
      </c>
      <c r="H167" s="336">
        <f t="shared" si="131"/>
        <v>-38387217</v>
      </c>
      <c r="I167" s="336">
        <f t="shared" si="131"/>
        <v>-35125957</v>
      </c>
      <c r="J167" s="336">
        <f t="shared" si="131"/>
        <v>-35896624</v>
      </c>
      <c r="K167" s="336">
        <f t="shared" si="131"/>
        <v>-28938757</v>
      </c>
      <c r="L167" s="336">
        <f t="shared" si="131"/>
        <v>-31840709</v>
      </c>
      <c r="M167" s="336">
        <f t="shared" si="131"/>
        <v>0</v>
      </c>
      <c r="N167" s="336">
        <f t="shared" si="131"/>
        <v>0</v>
      </c>
      <c r="O167" s="336">
        <f t="shared" si="131"/>
        <v>0</v>
      </c>
      <c r="P167" s="336">
        <f t="shared" si="131"/>
        <v>0</v>
      </c>
      <c r="Q167" s="336">
        <f t="shared" si="131"/>
        <v>0</v>
      </c>
      <c r="R167" s="841"/>
      <c r="S167" s="336"/>
    </row>
    <row r="168" spans="2:19">
      <c r="B168" s="217" t="s">
        <v>1187</v>
      </c>
      <c r="C168" s="917" t="s">
        <v>1188</v>
      </c>
      <c r="D168" s="918">
        <v>0</v>
      </c>
      <c r="E168" s="335"/>
      <c r="F168" s="336">
        <f>-(F80-E80)</f>
        <v>-520595</v>
      </c>
      <c r="G168" s="336">
        <f t="shared" ref="G168:Q168" si="132">-(G80-F80)</f>
        <v>-460228</v>
      </c>
      <c r="H168" s="336">
        <f t="shared" si="132"/>
        <v>-696470</v>
      </c>
      <c r="I168" s="336">
        <f t="shared" si="132"/>
        <v>-868864</v>
      </c>
      <c r="J168" s="336">
        <f t="shared" si="132"/>
        <v>-81333237</v>
      </c>
      <c r="K168" s="336">
        <f t="shared" si="132"/>
        <v>98338063</v>
      </c>
      <c r="L168" s="336">
        <f t="shared" si="132"/>
        <v>-700701</v>
      </c>
      <c r="M168" s="336">
        <f t="shared" si="132"/>
        <v>0</v>
      </c>
      <c r="N168" s="336">
        <f t="shared" si="132"/>
        <v>0</v>
      </c>
      <c r="O168" s="336">
        <f t="shared" si="132"/>
        <v>0</v>
      </c>
      <c r="P168" s="336">
        <f t="shared" si="132"/>
        <v>0</v>
      </c>
      <c r="Q168" s="336">
        <f t="shared" si="132"/>
        <v>0</v>
      </c>
      <c r="R168" s="841"/>
      <c r="S168" s="336"/>
    </row>
    <row r="169" spans="2:19">
      <c r="B169" s="217" t="s">
        <v>1189</v>
      </c>
      <c r="C169" s="917" t="s">
        <v>1190</v>
      </c>
      <c r="D169" s="918">
        <v>0</v>
      </c>
      <c r="E169" s="335"/>
      <c r="F169" s="336">
        <f>F91-E91</f>
        <v>11129623</v>
      </c>
      <c r="G169" s="336">
        <f t="shared" ref="G169:Q169" si="133">G91-F91</f>
        <v>-102624572</v>
      </c>
      <c r="H169" s="336">
        <f t="shared" si="133"/>
        <v>-5329320</v>
      </c>
      <c r="I169" s="336">
        <f t="shared" si="133"/>
        <v>35179138</v>
      </c>
      <c r="J169" s="336">
        <f t="shared" si="133"/>
        <v>48763993</v>
      </c>
      <c r="K169" s="336">
        <f t="shared" si="133"/>
        <v>-72762942</v>
      </c>
      <c r="L169" s="336">
        <f t="shared" si="133"/>
        <v>18141309</v>
      </c>
      <c r="M169" s="336">
        <f t="shared" si="133"/>
        <v>0</v>
      </c>
      <c r="N169" s="336">
        <f t="shared" si="133"/>
        <v>0</v>
      </c>
      <c r="O169" s="336">
        <f t="shared" si="133"/>
        <v>0</v>
      </c>
      <c r="P169" s="336">
        <f t="shared" si="133"/>
        <v>0</v>
      </c>
      <c r="Q169" s="336">
        <f t="shared" si="133"/>
        <v>0</v>
      </c>
      <c r="R169" s="841"/>
      <c r="S169" s="336"/>
    </row>
    <row r="170" spans="2:19">
      <c r="B170" s="211" t="s">
        <v>453</v>
      </c>
      <c r="C170" s="212"/>
      <c r="D170" s="212"/>
      <c r="E170" s="337">
        <v>0</v>
      </c>
      <c r="F170" s="332">
        <f>F60</f>
        <v>0</v>
      </c>
      <c r="G170" s="332">
        <f>G60</f>
        <v>0</v>
      </c>
      <c r="H170" s="332">
        <f>H60</f>
        <v>0</v>
      </c>
      <c r="I170" s="332">
        <f t="shared" ref="I170:Q170" si="134">-I125</f>
        <v>3718833.3666666667</v>
      </c>
      <c r="J170" s="332">
        <f t="shared" si="134"/>
        <v>57217015.916666664</v>
      </c>
      <c r="K170" s="332">
        <f t="shared" ref="K170" si="135">-K125</f>
        <v>3766258.5666666669</v>
      </c>
      <c r="L170" s="332">
        <f t="shared" si="134"/>
        <v>3766258.5666666669</v>
      </c>
      <c r="M170" s="332">
        <f t="shared" si="134"/>
        <v>3766258.5666666669</v>
      </c>
      <c r="N170" s="332">
        <f t="shared" si="134"/>
        <v>3826155.7905555558</v>
      </c>
      <c r="O170" s="332">
        <f t="shared" si="134"/>
        <v>3885054.7273796294</v>
      </c>
      <c r="P170" s="332">
        <f t="shared" si="134"/>
        <v>3942972.0152566358</v>
      </c>
      <c r="Q170" s="332">
        <f t="shared" si="134"/>
        <v>3999924.0150023582</v>
      </c>
      <c r="R170" s="841"/>
      <c r="S170" s="332">
        <f>SUM(F170:Q170)</f>
        <v>87888731.531527504</v>
      </c>
    </row>
    <row r="171" spans="2:19">
      <c r="B171" s="164" t="s">
        <v>454</v>
      </c>
      <c r="C171" s="865"/>
      <c r="D171" s="865"/>
      <c r="E171" s="757">
        <v>0</v>
      </c>
      <c r="F171" s="197">
        <f t="shared" ref="F171:Q171" si="136">SUM(F162,F164:F170)</f>
        <v>218727266</v>
      </c>
      <c r="G171" s="197">
        <f t="shared" si="136"/>
        <v>-304718599</v>
      </c>
      <c r="H171" s="197">
        <f t="shared" si="136"/>
        <v>125650513</v>
      </c>
      <c r="I171" s="197">
        <f t="shared" si="136"/>
        <v>73339722.36666666</v>
      </c>
      <c r="J171" s="197">
        <f t="shared" si="136"/>
        <v>-29144814.083333336</v>
      </c>
      <c r="K171" s="197">
        <f t="shared" si="136"/>
        <v>-108446202.43333334</v>
      </c>
      <c r="L171" s="197">
        <f t="shared" si="136"/>
        <v>41319773.56666667</v>
      </c>
      <c r="M171" s="197">
        <f t="shared" si="136"/>
        <v>-1785077587.2242067</v>
      </c>
      <c r="N171" s="197">
        <f t="shared" si="136"/>
        <v>320741548.82601172</v>
      </c>
      <c r="O171" s="197">
        <f t="shared" si="136"/>
        <v>380182494.99723053</v>
      </c>
      <c r="P171" s="197">
        <f t="shared" si="136"/>
        <v>440196423.36797589</v>
      </c>
      <c r="Q171" s="197">
        <f t="shared" si="136"/>
        <v>488136491.36158991</v>
      </c>
      <c r="R171" s="841"/>
      <c r="S171" s="197">
        <f>SUM(F171:Q171)</f>
        <v>-139092969.25473189</v>
      </c>
    </row>
    <row r="172" spans="2:19">
      <c r="B172" s="155"/>
      <c r="C172" s="186"/>
      <c r="D172" s="186"/>
      <c r="E172" s="68"/>
      <c r="F172" s="68"/>
      <c r="G172" s="68"/>
      <c r="H172" s="68"/>
      <c r="I172" s="68"/>
      <c r="J172" s="68"/>
      <c r="K172" s="68"/>
      <c r="L172" s="68"/>
      <c r="M172" s="68"/>
      <c r="N172" s="68"/>
      <c r="O172" s="68"/>
      <c r="P172" s="68"/>
      <c r="Q172" s="68"/>
      <c r="R172" s="841"/>
      <c r="S172" s="68"/>
    </row>
    <row r="173" spans="2:19">
      <c r="B173" s="420" t="s">
        <v>455</v>
      </c>
      <c r="C173" s="475"/>
      <c r="D173" s="475"/>
      <c r="E173" s="882"/>
      <c r="F173" s="882"/>
      <c r="G173" s="882"/>
      <c r="H173" s="882"/>
      <c r="I173" s="882"/>
      <c r="J173" s="882"/>
      <c r="K173" s="882"/>
      <c r="L173" s="882"/>
      <c r="M173" s="882"/>
      <c r="N173" s="882"/>
      <c r="O173" s="882"/>
      <c r="P173" s="882"/>
      <c r="Q173" s="882"/>
      <c r="R173" s="475"/>
      <c r="S173" s="882"/>
    </row>
    <row r="174" spans="2:19">
      <c r="B174" s="191" t="s">
        <v>456</v>
      </c>
      <c r="C174" s="192"/>
      <c r="D174" s="192"/>
      <c r="E174" s="338">
        <v>0</v>
      </c>
      <c r="F174" s="339">
        <f t="shared" ref="F174:L174" si="137">-((F83+F84)-(E83+E84))-F170</f>
        <v>-7359954</v>
      </c>
      <c r="G174" s="339">
        <f t="shared" si="137"/>
        <v>-6269000</v>
      </c>
      <c r="H174" s="339">
        <f t="shared" si="137"/>
        <v>-289048</v>
      </c>
      <c r="I174" s="339">
        <f t="shared" si="137"/>
        <v>1228635.6333333333</v>
      </c>
      <c r="J174" s="339">
        <f t="shared" si="137"/>
        <v>-65009996.916666664</v>
      </c>
      <c r="K174" s="339">
        <f t="shared" si="137"/>
        <v>-3766258.5666666669</v>
      </c>
      <c r="L174" s="339">
        <f t="shared" si="137"/>
        <v>-3766258.5666666669</v>
      </c>
      <c r="M174" s="339">
        <f t="shared" ref="M174:Q174" si="138">-M124</f>
        <v>-7360092</v>
      </c>
      <c r="N174" s="339">
        <f t="shared" si="138"/>
        <v>-7360092</v>
      </c>
      <c r="O174" s="339">
        <f t="shared" si="138"/>
        <v>-7360092</v>
      </c>
      <c r="P174" s="339">
        <f t="shared" si="138"/>
        <v>-7360092</v>
      </c>
      <c r="Q174" s="339">
        <f t="shared" si="138"/>
        <v>-7360092</v>
      </c>
      <c r="R174" s="841"/>
      <c r="S174" s="339">
        <f>SUM(F174:Q174)</f>
        <v>-122032340.41666666</v>
      </c>
    </row>
    <row r="175" spans="2:19">
      <c r="B175" s="155"/>
      <c r="C175" s="186"/>
      <c r="D175" s="186"/>
      <c r="E175" s="68"/>
      <c r="F175" s="68"/>
      <c r="G175" s="68"/>
      <c r="H175" s="68"/>
      <c r="I175" s="68"/>
      <c r="J175" s="68"/>
      <c r="K175" s="68"/>
      <c r="L175" s="68"/>
      <c r="M175" s="68"/>
      <c r="N175" s="68"/>
      <c r="O175" s="68"/>
      <c r="P175" s="68"/>
      <c r="Q175" s="68"/>
      <c r="R175" s="841"/>
      <c r="S175" s="68"/>
    </row>
    <row r="176" spans="2:19">
      <c r="B176" s="420" t="s">
        <v>457</v>
      </c>
      <c r="C176" s="475"/>
      <c r="D176" s="475"/>
      <c r="E176" s="476"/>
      <c r="F176" s="476"/>
      <c r="G176" s="476"/>
      <c r="H176" s="476"/>
      <c r="I176" s="476"/>
      <c r="J176" s="476"/>
      <c r="K176" s="476"/>
      <c r="L176" s="476"/>
      <c r="M176" s="476"/>
      <c r="N176" s="476"/>
      <c r="O176" s="476"/>
      <c r="P176" s="476"/>
      <c r="Q176" s="476"/>
      <c r="R176" s="475"/>
      <c r="S176" s="476"/>
    </row>
    <row r="177" spans="2:19">
      <c r="B177" s="207" t="s">
        <v>458</v>
      </c>
      <c r="C177" s="208"/>
      <c r="D177" s="208"/>
      <c r="E177" s="340">
        <v>0</v>
      </c>
      <c r="F177" s="330">
        <f t="shared" ref="F177:I177" si="139">(F88+F94)-(E88+E94)</f>
        <v>-17231358</v>
      </c>
      <c r="G177" s="330">
        <f t="shared" si="139"/>
        <v>5694513</v>
      </c>
      <c r="H177" s="330">
        <f t="shared" si="139"/>
        <v>23825706</v>
      </c>
      <c r="I177" s="330">
        <f t="shared" si="139"/>
        <v>13700090</v>
      </c>
      <c r="J177" s="330">
        <f>(J88+J94)-(I88+I94)</f>
        <v>-18780003</v>
      </c>
      <c r="K177" s="330">
        <f>(K88+K94)-(J88+J94)</f>
        <v>-17168520</v>
      </c>
      <c r="L177" s="330">
        <f t="shared" ref="L177:Q177" si="140">(L88+L94)-(K88+K94)</f>
        <v>21272048</v>
      </c>
      <c r="M177" s="330">
        <f t="shared" si="140"/>
        <v>750436931.71350002</v>
      </c>
      <c r="N177" s="330">
        <f t="shared" si="140"/>
        <v>0</v>
      </c>
      <c r="O177" s="330">
        <f t="shared" si="140"/>
        <v>0</v>
      </c>
      <c r="P177" s="330">
        <f t="shared" si="140"/>
        <v>-51306369.680511475</v>
      </c>
      <c r="Q177" s="330">
        <f t="shared" si="140"/>
        <v>-480776399.36158991</v>
      </c>
      <c r="R177" s="841"/>
      <c r="S177" s="330">
        <f>SUM(F177:Q177)</f>
        <v>229666638.67139864</v>
      </c>
    </row>
    <row r="178" spans="2:19">
      <c r="B178" s="217" t="s">
        <v>459</v>
      </c>
      <c r="C178" s="218"/>
      <c r="D178" s="218"/>
      <c r="E178" s="335">
        <v>0</v>
      </c>
      <c r="F178" s="336">
        <f t="shared" ref="F178:Q178" si="141">-F154</f>
        <v>0</v>
      </c>
      <c r="G178" s="336">
        <f t="shared" si="141"/>
        <v>0</v>
      </c>
      <c r="H178" s="336">
        <f t="shared" si="141"/>
        <v>0</v>
      </c>
      <c r="I178" s="336">
        <f t="shared" si="141"/>
        <v>0</v>
      </c>
      <c r="J178" s="336">
        <f t="shared" si="141"/>
        <v>0</v>
      </c>
      <c r="K178" s="336">
        <f t="shared" ref="K178" si="142">-K154</f>
        <v>0</v>
      </c>
      <c r="L178" s="336">
        <f t="shared" si="141"/>
        <v>0</v>
      </c>
      <c r="M178" s="336">
        <f t="shared" si="141"/>
        <v>0</v>
      </c>
      <c r="N178" s="336">
        <f t="shared" si="141"/>
        <v>0</v>
      </c>
      <c r="O178" s="336">
        <f t="shared" si="141"/>
        <v>0</v>
      </c>
      <c r="P178" s="336">
        <f t="shared" si="141"/>
        <v>0</v>
      </c>
      <c r="Q178" s="336">
        <f t="shared" si="141"/>
        <v>0</v>
      </c>
      <c r="R178" s="841"/>
      <c r="S178" s="336">
        <f>SUM(F178:Q178)</f>
        <v>0</v>
      </c>
    </row>
    <row r="179" spans="2:19">
      <c r="B179" s="219" t="s">
        <v>460</v>
      </c>
      <c r="C179" s="220"/>
      <c r="D179" s="220"/>
      <c r="E179" s="77"/>
      <c r="F179" s="341">
        <f t="shared" ref="F179:Q179" si="143">F148</f>
        <v>0</v>
      </c>
      <c r="G179" s="341">
        <f t="shared" si="143"/>
        <v>0</v>
      </c>
      <c r="H179" s="341">
        <f t="shared" si="143"/>
        <v>0</v>
      </c>
      <c r="I179" s="341">
        <f t="shared" si="143"/>
        <v>0</v>
      </c>
      <c r="J179" s="341">
        <f t="shared" si="143"/>
        <v>0</v>
      </c>
      <c r="K179" s="341">
        <f t="shared" ref="K179" si="144">K148</f>
        <v>0</v>
      </c>
      <c r="L179" s="341">
        <f t="shared" si="143"/>
        <v>0</v>
      </c>
      <c r="M179" s="341">
        <f t="shared" si="143"/>
        <v>0</v>
      </c>
      <c r="N179" s="341">
        <f t="shared" si="143"/>
        <v>0</v>
      </c>
      <c r="O179" s="341">
        <f t="shared" si="143"/>
        <v>0</v>
      </c>
      <c r="P179" s="341">
        <f t="shared" si="143"/>
        <v>0</v>
      </c>
      <c r="Q179" s="341">
        <f t="shared" si="143"/>
        <v>0</v>
      </c>
      <c r="R179" s="841"/>
      <c r="S179" s="341">
        <f>SUM(F179:Q179)</f>
        <v>0</v>
      </c>
    </row>
    <row r="180" spans="2:19">
      <c r="B180" s="155"/>
      <c r="C180" s="186"/>
      <c r="D180" s="186"/>
      <c r="E180" s="68"/>
      <c r="F180" s="68"/>
      <c r="G180" s="68"/>
      <c r="H180" s="68"/>
      <c r="I180" s="68"/>
      <c r="J180" s="68"/>
      <c r="K180" s="68"/>
      <c r="L180" s="68"/>
      <c r="M180" s="68"/>
      <c r="N180" s="68"/>
      <c r="O180" s="68"/>
      <c r="P180" s="68"/>
      <c r="Q180" s="68"/>
      <c r="R180" s="841"/>
      <c r="S180" s="68"/>
    </row>
    <row r="181" spans="2:19">
      <c r="B181" s="155" t="s">
        <v>461</v>
      </c>
      <c r="C181" s="186"/>
      <c r="D181" s="186"/>
      <c r="E181" s="156">
        <v>0</v>
      </c>
      <c r="F181" s="183">
        <f t="shared" ref="F181:I181" si="145">E78</f>
        <v>231459000</v>
      </c>
      <c r="G181" s="183">
        <f t="shared" si="145"/>
        <v>425594626</v>
      </c>
      <c r="H181" s="183">
        <f t="shared" si="145"/>
        <v>120301539</v>
      </c>
      <c r="I181" s="183">
        <f t="shared" si="145"/>
        <v>269488711</v>
      </c>
      <c r="J181" s="183">
        <f>I189</f>
        <v>357757161</v>
      </c>
      <c r="K181" s="183">
        <f>J189</f>
        <v>244822345</v>
      </c>
      <c r="L181" s="183">
        <f t="shared" ref="L181:Q181" si="146">K189</f>
        <v>115441362</v>
      </c>
      <c r="M181" s="183">
        <f t="shared" si="146"/>
        <v>174266926</v>
      </c>
      <c r="N181" s="183">
        <f t="shared" si="146"/>
        <v>-867733821.51070666</v>
      </c>
      <c r="O181" s="183">
        <f t="shared" si="146"/>
        <v>-554352364.68469501</v>
      </c>
      <c r="P181" s="183">
        <f t="shared" si="146"/>
        <v>-181529961.68746448</v>
      </c>
      <c r="Q181" s="183">
        <f t="shared" si="146"/>
        <v>200000000</v>
      </c>
      <c r="R181" s="841"/>
      <c r="S181" s="183">
        <f>F181</f>
        <v>231459000</v>
      </c>
    </row>
    <row r="182" spans="2:19">
      <c r="B182" s="155" t="s">
        <v>462</v>
      </c>
      <c r="C182" s="186"/>
      <c r="D182" s="186"/>
      <c r="E182" s="156">
        <v>0</v>
      </c>
      <c r="F182" s="183">
        <f>F171+F174+F177+F178+F179</f>
        <v>194135954</v>
      </c>
      <c r="G182" s="183">
        <f>G171+G174+G177+G178+G179</f>
        <v>-305293086</v>
      </c>
      <c r="H182" s="183">
        <f>H171+H174+H177+H178+H179</f>
        <v>149187171</v>
      </c>
      <c r="I182" s="183">
        <f>I171+I174+I177+I178+I179</f>
        <v>88268448</v>
      </c>
      <c r="J182" s="183">
        <f>J189-J181</f>
        <v>-112934816</v>
      </c>
      <c r="K182" s="183">
        <f>K189-K181</f>
        <v>-129380983</v>
      </c>
      <c r="L182" s="183">
        <f>L171+L174+L177+L178+L179</f>
        <v>58825563</v>
      </c>
      <c r="M182" s="183">
        <f>M171+M174+M132+M178+M179</f>
        <v>-1792437679.2242067</v>
      </c>
      <c r="N182" s="183">
        <f>N171+N174+N132+N178+N179</f>
        <v>313381456.82601172</v>
      </c>
      <c r="O182" s="183">
        <f>O171+O174+O132+O178+O179</f>
        <v>372822402.99723053</v>
      </c>
      <c r="P182" s="183">
        <f>P171+P174+P132+P178+P179</f>
        <v>432836331.36797589</v>
      </c>
      <c r="Q182" s="183">
        <f>Q171+Q174+Q132+Q178+Q179</f>
        <v>480776399.36158991</v>
      </c>
      <c r="R182" s="841"/>
      <c r="S182" s="183">
        <f>SUM(F182:Q182)</f>
        <v>-249812837.67139864</v>
      </c>
    </row>
    <row r="183" spans="2:19">
      <c r="B183" s="200" t="s">
        <v>463</v>
      </c>
      <c r="C183" s="201"/>
      <c r="D183" s="201"/>
      <c r="E183" s="202">
        <f>E78</f>
        <v>231459000</v>
      </c>
      <c r="F183" s="202">
        <f t="shared" ref="F183:I183" si="147">F181+F182</f>
        <v>425594954</v>
      </c>
      <c r="G183" s="202">
        <f t="shared" si="147"/>
        <v>120301540</v>
      </c>
      <c r="H183" s="202">
        <f t="shared" si="147"/>
        <v>269488710</v>
      </c>
      <c r="I183" s="202">
        <f t="shared" si="147"/>
        <v>357757159</v>
      </c>
      <c r="J183" s="202">
        <f>J181+J182</f>
        <v>244822345</v>
      </c>
      <c r="K183" s="202">
        <f>K181+K182</f>
        <v>115441362</v>
      </c>
      <c r="L183" s="202">
        <f t="shared" ref="L183:Q183" si="148">L181+L182</f>
        <v>174266925</v>
      </c>
      <c r="M183" s="202">
        <f t="shared" si="148"/>
        <v>-1618170753.2242067</v>
      </c>
      <c r="N183" s="202">
        <f t="shared" si="148"/>
        <v>-554352364.68469501</v>
      </c>
      <c r="O183" s="202">
        <f t="shared" si="148"/>
        <v>-181529961.68746448</v>
      </c>
      <c r="P183" s="202">
        <f t="shared" si="148"/>
        <v>251306369.68051142</v>
      </c>
      <c r="Q183" s="202">
        <f t="shared" si="148"/>
        <v>680776399.36158991</v>
      </c>
      <c r="R183" s="841"/>
      <c r="S183" s="202">
        <f>Q183</f>
        <v>680776399.36158991</v>
      </c>
    </row>
    <row r="184" spans="2:19" ht="15" thickBot="1">
      <c r="B184" s="589"/>
      <c r="C184" s="575"/>
      <c r="D184" s="575"/>
      <c r="E184" s="848"/>
      <c r="F184" s="848"/>
      <c r="G184" s="848"/>
      <c r="H184" s="848"/>
      <c r="I184" s="848"/>
      <c r="J184" s="848"/>
      <c r="K184" s="848"/>
      <c r="L184" s="848"/>
      <c r="M184" s="848"/>
      <c r="N184" s="848"/>
      <c r="O184" s="848"/>
      <c r="P184" s="848"/>
      <c r="Q184" s="848"/>
      <c r="R184" s="841"/>
      <c r="S184" s="848"/>
    </row>
    <row r="185" spans="2:19">
      <c r="B185" s="473" t="s">
        <v>464</v>
      </c>
      <c r="C185" s="860"/>
      <c r="D185" s="860"/>
      <c r="E185" s="477"/>
      <c r="F185" s="477"/>
      <c r="G185" s="477"/>
      <c r="H185" s="477"/>
      <c r="I185" s="477"/>
      <c r="J185" s="477"/>
      <c r="K185" s="477"/>
      <c r="L185" s="477"/>
      <c r="M185" s="197">
        <f>M142-M143</f>
        <v>750436931.71350002</v>
      </c>
      <c r="N185" s="197">
        <f>N142-N143</f>
        <v>0</v>
      </c>
      <c r="O185" s="197">
        <f>O142-O143</f>
        <v>0</v>
      </c>
      <c r="P185" s="197">
        <f>P142-P143</f>
        <v>-51306369.680511415</v>
      </c>
      <c r="Q185" s="197">
        <f>Q142-Q143</f>
        <v>-480776399.36158991</v>
      </c>
      <c r="R185" s="475"/>
      <c r="S185" s="477"/>
    </row>
    <row r="186" spans="2:19">
      <c r="B186" s="155" t="s">
        <v>465</v>
      </c>
      <c r="C186" s="575"/>
      <c r="D186" s="575"/>
      <c r="E186" s="183">
        <f t="shared" ref="E186:Q186" si="149">$E$32</f>
        <v>200000000</v>
      </c>
      <c r="F186" s="183">
        <f t="shared" si="149"/>
        <v>200000000</v>
      </c>
      <c r="G186" s="183">
        <f t="shared" si="149"/>
        <v>200000000</v>
      </c>
      <c r="H186" s="183">
        <f t="shared" si="149"/>
        <v>200000000</v>
      </c>
      <c r="I186" s="183">
        <f t="shared" si="149"/>
        <v>200000000</v>
      </c>
      <c r="J186" s="183">
        <f t="shared" si="149"/>
        <v>200000000</v>
      </c>
      <c r="K186" s="183">
        <f t="shared" si="149"/>
        <v>200000000</v>
      </c>
      <c r="L186" s="183">
        <f t="shared" si="149"/>
        <v>200000000</v>
      </c>
      <c r="M186" s="183">
        <f t="shared" si="149"/>
        <v>200000000</v>
      </c>
      <c r="N186" s="183">
        <f t="shared" si="149"/>
        <v>200000000</v>
      </c>
      <c r="O186" s="183">
        <f t="shared" si="149"/>
        <v>200000000</v>
      </c>
      <c r="P186" s="183">
        <f t="shared" si="149"/>
        <v>200000000</v>
      </c>
      <c r="Q186" s="183">
        <f t="shared" si="149"/>
        <v>200000000</v>
      </c>
      <c r="R186" s="841"/>
      <c r="S186" s="183">
        <f>$E$32</f>
        <v>200000000</v>
      </c>
    </row>
    <row r="187" spans="2:19">
      <c r="B187" s="155" t="s">
        <v>466</v>
      </c>
      <c r="C187" s="575"/>
      <c r="D187" s="575"/>
      <c r="E187" s="183">
        <f t="shared" ref="E187:Q187" si="150">MAX(0,E183-$E$32)</f>
        <v>31459000</v>
      </c>
      <c r="F187" s="183">
        <f t="shared" si="150"/>
        <v>225594954</v>
      </c>
      <c r="G187" s="183">
        <f t="shared" si="150"/>
        <v>0</v>
      </c>
      <c r="H187" s="183">
        <f t="shared" si="150"/>
        <v>69488710</v>
      </c>
      <c r="I187" s="183">
        <f t="shared" si="150"/>
        <v>157757159</v>
      </c>
      <c r="J187" s="183">
        <f>MAX(0,J183-$E$32)</f>
        <v>44822345</v>
      </c>
      <c r="K187" s="183">
        <f>MAX(0,K183-$E$32)</f>
        <v>0</v>
      </c>
      <c r="L187" s="183">
        <f t="shared" si="150"/>
        <v>0</v>
      </c>
      <c r="M187" s="183">
        <f t="shared" si="150"/>
        <v>0</v>
      </c>
      <c r="N187" s="183">
        <f t="shared" si="150"/>
        <v>0</v>
      </c>
      <c r="O187" s="183">
        <f t="shared" si="150"/>
        <v>0</v>
      </c>
      <c r="P187" s="183">
        <f t="shared" si="150"/>
        <v>51306369.680511415</v>
      </c>
      <c r="Q187" s="183">
        <f t="shared" si="150"/>
        <v>480776399.36158991</v>
      </c>
      <c r="R187" s="841"/>
      <c r="S187" s="183">
        <f>SUM(J187:Q187)</f>
        <v>576905114.04210138</v>
      </c>
    </row>
    <row r="188" spans="2:19">
      <c r="B188" s="200" t="s">
        <v>467</v>
      </c>
      <c r="C188" s="883"/>
      <c r="D188" s="883"/>
      <c r="E188" s="202">
        <f t="shared" ref="E188:Q188" si="151">MAX(0,$E$32-E183)</f>
        <v>0</v>
      </c>
      <c r="F188" s="202">
        <f t="shared" si="151"/>
        <v>0</v>
      </c>
      <c r="G188" s="202">
        <f t="shared" si="151"/>
        <v>79698460</v>
      </c>
      <c r="H188" s="202">
        <f t="shared" si="151"/>
        <v>0</v>
      </c>
      <c r="I188" s="202">
        <f t="shared" si="151"/>
        <v>0</v>
      </c>
      <c r="J188" s="202">
        <f>MAX(0,$E$32-J183)</f>
        <v>0</v>
      </c>
      <c r="K188" s="202">
        <f>MAX(0,$E$32-K183)</f>
        <v>84558638</v>
      </c>
      <c r="L188" s="202">
        <f t="shared" si="151"/>
        <v>25733075</v>
      </c>
      <c r="M188" s="202">
        <f t="shared" si="151"/>
        <v>1818170753.2242067</v>
      </c>
      <c r="N188" s="202">
        <f t="shared" si="151"/>
        <v>754352364.68469501</v>
      </c>
      <c r="O188" s="202">
        <f t="shared" si="151"/>
        <v>381529961.68746448</v>
      </c>
      <c r="P188" s="202">
        <f t="shared" si="151"/>
        <v>0</v>
      </c>
      <c r="Q188" s="202">
        <f t="shared" si="151"/>
        <v>0</v>
      </c>
      <c r="R188" s="841"/>
      <c r="S188" s="202">
        <f>SUM(J188:Q188)</f>
        <v>3064344792.5963659</v>
      </c>
    </row>
    <row r="189" spans="2:19">
      <c r="B189" s="221" t="s">
        <v>468</v>
      </c>
      <c r="C189" s="575"/>
      <c r="D189" s="575"/>
      <c r="E189" s="197">
        <f>E183-E143+E142</f>
        <v>231459000</v>
      </c>
      <c r="F189" s="197">
        <f>F183-F143+F142</f>
        <v>425594954</v>
      </c>
      <c r="G189" s="197">
        <f>G183-G143+G142</f>
        <v>120301540</v>
      </c>
      <c r="H189" s="197">
        <f>H183-H143+H142</f>
        <v>269488710</v>
      </c>
      <c r="I189" s="197">
        <f>I78</f>
        <v>357757161</v>
      </c>
      <c r="J189" s="197">
        <f>J78</f>
        <v>244822345</v>
      </c>
      <c r="K189" s="197">
        <f>K78</f>
        <v>115441362</v>
      </c>
      <c r="L189" s="197">
        <f>L78</f>
        <v>174266926</v>
      </c>
      <c r="M189" s="197">
        <f>M183-M143+M142</f>
        <v>-867733821.51070666</v>
      </c>
      <c r="N189" s="197">
        <f>N183-N143+N142</f>
        <v>-554352364.68469501</v>
      </c>
      <c r="O189" s="197">
        <f>O183-O143+O142</f>
        <v>-181529961.68746448</v>
      </c>
      <c r="P189" s="197">
        <f>P183-P143+P142</f>
        <v>200000000</v>
      </c>
      <c r="Q189" s="197">
        <f>Q183-Q143+Q142</f>
        <v>200000000</v>
      </c>
      <c r="R189" s="841"/>
      <c r="S189" s="197">
        <f>Q189</f>
        <v>200000000</v>
      </c>
    </row>
    <row r="190" spans="2:19">
      <c r="B190" s="221" t="s">
        <v>1191</v>
      </c>
      <c r="C190" s="575"/>
      <c r="D190" s="575"/>
      <c r="E190" s="197"/>
      <c r="F190" s="197"/>
      <c r="G190" s="197"/>
      <c r="H190" s="197"/>
      <c r="I190" s="197"/>
      <c r="J190" s="197"/>
      <c r="K190" s="197"/>
      <c r="L190" s="197"/>
      <c r="M190" s="197" t="str">
        <f>IF(M189&lt;0,"CAJA NEGATIVA: "&amp;TEXT(M189/1000000,"#,##0.0")&amp;"MM",IF(M189&lt;$E$32,"BAJO MÍNIMO","OK"))</f>
        <v>CAJA NEGATIVA: -867.7MM</v>
      </c>
      <c r="N190" s="197" t="str">
        <f>IF(N189&lt;0,"CAJA NEGATIVA: "&amp;TEXT(N189/1000000,"#,##0.0")&amp;"MM",IF(N189&lt;$E$32,"BAJO MÍNIMO","OK"))</f>
        <v>CAJA NEGATIVA: -554.4MM</v>
      </c>
      <c r="O190" s="197" t="str">
        <f>IF(O189&lt;0,"CAJA NEGATIVA: "&amp;TEXT(O189/1000000,"#,##0.0")&amp;"MM",IF(O189&lt;$E$32,"BAJO MÍNIMO","OK"))</f>
        <v>CAJA NEGATIVA: -181.5MM</v>
      </c>
      <c r="P190" s="197" t="str">
        <f>IF(P189&lt;0,"CAJA NEGATIVA: "&amp;TEXT(P189/1000000,"#,##0.0")&amp;"MM",IF(P189&lt;$E$32,"BAJO MÍNIMO","OK"))</f>
        <v>OK</v>
      </c>
      <c r="Q190" s="197" t="str">
        <f>IF(Q189&lt;0,"CAJA NEGATIVA: "&amp;TEXT(Q189/1000000,"#,##0.0")&amp;"MM",IF(Q189&lt;$E$32,"BAJO MÍNIMO","OK"))</f>
        <v>OK</v>
      </c>
      <c r="R190" s="841"/>
      <c r="S190" s="197"/>
    </row>
    <row r="191" spans="2:19" ht="15" thickBot="1">
      <c r="B191" s="221" t="s">
        <v>1192</v>
      </c>
      <c r="C191" s="583" t="str">
        <f>"Capacidad total de la línea: COP "&amp;TEXT($T$29/1000000,"#,##0.0")&amp;"MM (USD "&amp;TEXT($T$28,"#,##0")&amp;")"</f>
        <v>Capacidad total de la línea: COP 750.4MM (USD 302,332)</v>
      </c>
      <c r="D191" s="575"/>
      <c r="E191" s="197"/>
      <c r="F191" s="197"/>
      <c r="G191" s="197"/>
      <c r="H191" s="197"/>
      <c r="I191" s="197"/>
      <c r="J191" s="197"/>
      <c r="K191" s="197"/>
      <c r="L191" s="197"/>
      <c r="M191" s="197" t="str">
        <f>IF(M188-M142&gt;0,"INSUFICIENTE: falta "&amp;TEXT((M188-M142)/1000000,"#,##0.0")&amp;"MM",IF(M142&gt;0,"USA "&amp;TEXT(M142/1000000,"#,##0.0")&amp;"MM","sin uso"))</f>
        <v>INSUFICIENTE: falta 1,067.7MM</v>
      </c>
      <c r="N191" s="197" t="str">
        <f>IF(N188-N142&gt;0,"INSUFICIENTE: falta "&amp;TEXT((N188-N142)/1000000,"#,##0.0")&amp;"MM",IF(N142&gt;0,"USA "&amp;TEXT(N142/1000000,"#,##0.0")&amp;"MM","sin uso"))</f>
        <v>INSUFICIENTE: falta 754.4MM</v>
      </c>
      <c r="O191" s="197" t="str">
        <f>IF(O188-O142&gt;0,"INSUFICIENTE: falta "&amp;TEXT((O188-O142)/1000000,"#,##0.0")&amp;"MM",IF(O142&gt;0,"USA "&amp;TEXT(O142/1000000,"#,##0.0")&amp;"MM","sin uso"))</f>
        <v>INSUFICIENTE: falta 381.5MM</v>
      </c>
      <c r="P191" s="197" t="str">
        <f>IF(P188-P142&gt;0,"INSUFICIENTE: falta "&amp;TEXT((P188-P142)/1000000,"#,##0.0")&amp;"MM",IF(P142&gt;0,"USA "&amp;TEXT(P142/1000000,"#,##0.0")&amp;"MM","sin uso"))</f>
        <v>sin uso</v>
      </c>
      <c r="Q191" s="197" t="str">
        <f>IF(Q188-Q142&gt;0,"INSUFICIENTE: falta "&amp;TEXT((Q188-Q142)/1000000,"#,##0.0")&amp;"MM",IF(Q142&gt;0,"USA "&amp;TEXT(Q142/1000000,"#,##0.0")&amp;"MM","sin uso"))</f>
        <v>sin uso</v>
      </c>
      <c r="R191" s="841"/>
      <c r="S191" s="197"/>
    </row>
    <row r="192" spans="2:19">
      <c r="B192" s="473" t="s">
        <v>469</v>
      </c>
      <c r="C192" s="860"/>
      <c r="D192" s="860"/>
      <c r="E192" s="474"/>
      <c r="F192" s="474"/>
      <c r="G192" s="474"/>
      <c r="H192" s="474"/>
      <c r="I192" s="474"/>
      <c r="J192" s="474"/>
      <c r="K192" s="474"/>
      <c r="L192" s="474"/>
      <c r="M192" s="474"/>
      <c r="N192" s="474"/>
      <c r="O192" s="474"/>
      <c r="P192" s="474"/>
      <c r="Q192" s="474"/>
      <c r="R192" s="475"/>
      <c r="S192" s="474"/>
    </row>
    <row r="194" spans="2:19">
      <c r="B194" s="884" t="s">
        <v>470</v>
      </c>
      <c r="C194" s="575"/>
      <c r="D194" s="575"/>
      <c r="E194" s="841"/>
      <c r="F194" s="846" t="str">
        <f t="shared" ref="F194:Q194" si="152">F50</f>
        <v>Ene-26</v>
      </c>
      <c r="G194" s="846" t="str">
        <f t="shared" si="152"/>
        <v>Feb-26</v>
      </c>
      <c r="H194" s="846" t="str">
        <f t="shared" si="152"/>
        <v>Mar-26</v>
      </c>
      <c r="I194" s="846" t="str">
        <f t="shared" si="152"/>
        <v>Abr-26</v>
      </c>
      <c r="J194" s="846" t="str">
        <f t="shared" si="152"/>
        <v>May-26</v>
      </c>
      <c r="K194" s="846" t="str">
        <f t="shared" ref="K194" si="153">K50</f>
        <v>Jun-26</v>
      </c>
      <c r="L194" s="846" t="str">
        <f t="shared" si="152"/>
        <v>Jul-26</v>
      </c>
      <c r="M194" s="846" t="str">
        <f t="shared" si="152"/>
        <v>Ago-26</v>
      </c>
      <c r="N194" s="846" t="str">
        <f t="shared" si="152"/>
        <v>Sep-26</v>
      </c>
      <c r="O194" s="846" t="str">
        <f t="shared" si="152"/>
        <v>Oct-26</v>
      </c>
      <c r="P194" s="846" t="str">
        <f t="shared" si="152"/>
        <v>Nov-26</v>
      </c>
      <c r="Q194" s="846" t="str">
        <f t="shared" si="152"/>
        <v>Dic-26</v>
      </c>
      <c r="R194" s="841"/>
      <c r="S194" s="846" t="s">
        <v>23</v>
      </c>
    </row>
    <row r="195" spans="2:19">
      <c r="B195" s="589"/>
      <c r="C195" s="575"/>
      <c r="D195" s="575"/>
      <c r="E195" s="841"/>
      <c r="F195" s="841"/>
      <c r="G195" s="841"/>
      <c r="H195" s="841"/>
      <c r="I195" s="841"/>
      <c r="J195" s="841"/>
      <c r="K195" s="841"/>
      <c r="L195" s="841"/>
      <c r="M195" s="841"/>
      <c r="N195" s="841"/>
      <c r="O195" s="841"/>
      <c r="P195" s="841"/>
      <c r="Q195" s="841"/>
      <c r="R195" s="841"/>
      <c r="S195" s="841"/>
    </row>
    <row r="196" spans="2:19">
      <c r="B196" s="875" t="s">
        <v>471</v>
      </c>
      <c r="C196" s="583"/>
      <c r="D196" s="583"/>
      <c r="E196" s="475"/>
      <c r="F196" s="475"/>
      <c r="G196" s="475"/>
      <c r="H196" s="475"/>
      <c r="I196" s="475"/>
      <c r="J196" s="475"/>
      <c r="K196" s="475"/>
      <c r="L196" s="475"/>
      <c r="M196" s="475"/>
      <c r="N196" s="475"/>
      <c r="O196" s="475"/>
      <c r="P196" s="475"/>
      <c r="Q196" s="475"/>
      <c r="R196" s="475"/>
      <c r="S196" s="475"/>
    </row>
    <row r="197" spans="2:19">
      <c r="B197" s="589" t="s">
        <v>276</v>
      </c>
      <c r="C197" s="575"/>
      <c r="D197" s="575"/>
      <c r="E197" s="841"/>
      <c r="F197" s="183">
        <f t="shared" ref="F197:Q197" si="154">F51</f>
        <v>612247701</v>
      </c>
      <c r="G197" s="183">
        <f t="shared" si="154"/>
        <v>744218137</v>
      </c>
      <c r="H197" s="183">
        <f t="shared" si="154"/>
        <v>787041187</v>
      </c>
      <c r="I197" s="183">
        <f t="shared" si="154"/>
        <v>750867662</v>
      </c>
      <c r="J197" s="183">
        <f t="shared" si="154"/>
        <v>826514746</v>
      </c>
      <c r="K197" s="183">
        <f t="shared" ref="K197" si="155">K51</f>
        <v>751453314</v>
      </c>
      <c r="L197" s="183">
        <f t="shared" si="154"/>
        <v>679890552</v>
      </c>
      <c r="M197" s="183">
        <f t="shared" si="154"/>
        <v>1573626071.4285715</v>
      </c>
      <c r="N197" s="183">
        <f t="shared" si="154"/>
        <v>1665041428.5714285</v>
      </c>
      <c r="O197" s="183">
        <f t="shared" si="154"/>
        <v>1756456785.7142859</v>
      </c>
      <c r="P197" s="183">
        <f t="shared" si="154"/>
        <v>1847872142.8571429</v>
      </c>
      <c r="Q197" s="183">
        <f t="shared" si="154"/>
        <v>1939287500</v>
      </c>
      <c r="R197" s="841"/>
      <c r="S197" s="183">
        <f>SUM(F197:Q197)</f>
        <v>13934517227.57143</v>
      </c>
    </row>
    <row r="198" spans="2:19">
      <c r="B198" s="589" t="s">
        <v>278</v>
      </c>
      <c r="C198" s="575"/>
      <c r="D198" s="575"/>
      <c r="E198" s="841"/>
      <c r="F198" s="183">
        <f t="shared" ref="F198:Q198" si="156">F59</f>
        <v>69979361</v>
      </c>
      <c r="G198" s="183">
        <f t="shared" si="156"/>
        <v>46134032</v>
      </c>
      <c r="H198" s="183">
        <f t="shared" si="156"/>
        <v>-22242793</v>
      </c>
      <c r="I198" s="183">
        <f t="shared" si="156"/>
        <v>4838252</v>
      </c>
      <c r="J198" s="183">
        <f t="shared" si="156"/>
        <v>113009475</v>
      </c>
      <c r="K198" s="183">
        <f t="shared" ref="K198" si="157">K59</f>
        <v>34975495</v>
      </c>
      <c r="L198" s="183">
        <f t="shared" si="156"/>
        <v>29342362</v>
      </c>
      <c r="M198" s="183">
        <f t="shared" si="156"/>
        <v>741796758.42857134</v>
      </c>
      <c r="N198" s="183">
        <f t="shared" si="156"/>
        <v>833212115.57142842</v>
      </c>
      <c r="O198" s="183">
        <f t="shared" si="156"/>
        <v>924627472.71428597</v>
      </c>
      <c r="P198" s="183">
        <f t="shared" si="156"/>
        <v>999232285.85714304</v>
      </c>
      <c r="Q198" s="183">
        <f t="shared" si="156"/>
        <v>1090647643</v>
      </c>
      <c r="R198" s="841"/>
      <c r="S198" s="183">
        <f>SUM(F198:Q198)</f>
        <v>4865552459.5714283</v>
      </c>
    </row>
    <row r="199" spans="2:19">
      <c r="B199" s="191" t="s">
        <v>279</v>
      </c>
      <c r="C199" s="885"/>
      <c r="D199" s="885"/>
      <c r="E199" s="192"/>
      <c r="F199" s="325">
        <f>IF(F197=0,0,F198/F197)</f>
        <v>0.11429909967109864</v>
      </c>
      <c r="G199" s="325">
        <f t="shared" ref="G199:Q199" si="158">IF(G197=0,0,G198/G197)</f>
        <v>6.1989932395318657E-2</v>
      </c>
      <c r="H199" s="325">
        <f t="shared" si="158"/>
        <v>-2.8261282087134278E-2</v>
      </c>
      <c r="I199" s="325">
        <f t="shared" si="158"/>
        <v>6.4435482373989888E-3</v>
      </c>
      <c r="J199" s="325">
        <f t="shared" si="158"/>
        <v>0.13673013766169395</v>
      </c>
      <c r="K199" s="325">
        <f t="shared" ref="K199" si="159">IF(K197=0,0,K198/K197)</f>
        <v>4.6543802986009589E-2</v>
      </c>
      <c r="L199" s="325">
        <f t="shared" si="158"/>
        <v>4.3157478676067854E-2</v>
      </c>
      <c r="M199" s="325">
        <f t="shared" si="158"/>
        <v>0.47139328198544167</v>
      </c>
      <c r="N199" s="325">
        <f t="shared" si="158"/>
        <v>0.50041524569530227</v>
      </c>
      <c r="O199" s="325">
        <f t="shared" si="158"/>
        <v>0.5264162945735521</v>
      </c>
      <c r="P199" s="325">
        <f t="shared" si="158"/>
        <v>0.54074752396675563</v>
      </c>
      <c r="Q199" s="325">
        <f t="shared" si="158"/>
        <v>0.56239605679921101</v>
      </c>
      <c r="R199" s="841"/>
      <c r="S199" s="886"/>
    </row>
    <row r="200" spans="2:19">
      <c r="B200" s="589"/>
      <c r="C200" s="575"/>
      <c r="D200" s="575"/>
      <c r="E200" s="841"/>
      <c r="F200" s="841"/>
      <c r="G200" s="841"/>
      <c r="H200" s="841"/>
      <c r="I200" s="841"/>
      <c r="J200" s="841"/>
      <c r="K200" s="841"/>
      <c r="L200" s="841"/>
      <c r="M200" s="841"/>
      <c r="N200" s="841"/>
      <c r="O200" s="841"/>
      <c r="P200" s="841"/>
      <c r="Q200" s="841"/>
      <c r="R200" s="841"/>
      <c r="S200" s="841"/>
    </row>
    <row r="201" spans="2:19">
      <c r="B201" s="887" t="s">
        <v>400</v>
      </c>
      <c r="C201" s="622"/>
      <c r="D201" s="622"/>
      <c r="E201" s="888"/>
      <c r="F201" s="190">
        <f t="shared" ref="F201:Q201" si="160">F70</f>
        <v>63485497</v>
      </c>
      <c r="G201" s="190">
        <f t="shared" si="160"/>
        <v>54048915</v>
      </c>
      <c r="H201" s="190">
        <f t="shared" si="160"/>
        <v>-37938007</v>
      </c>
      <c r="I201" s="190">
        <f t="shared" si="160"/>
        <v>706203</v>
      </c>
      <c r="J201" s="190">
        <f t="shared" si="160"/>
        <v>108374968</v>
      </c>
      <c r="K201" s="190">
        <f t="shared" ref="K201" si="161">K70</f>
        <v>33343650</v>
      </c>
      <c r="L201" s="190">
        <f t="shared" si="160"/>
        <v>24707052</v>
      </c>
      <c r="M201" s="190">
        <f t="shared" si="160"/>
        <v>481522933.11648798</v>
      </c>
      <c r="N201" s="190">
        <f t="shared" si="160"/>
        <v>540903982.06381738</v>
      </c>
      <c r="O201" s="190">
        <f t="shared" si="160"/>
        <v>600285679.89773917</v>
      </c>
      <c r="P201" s="190">
        <f t="shared" si="160"/>
        <v>648741162.20347619</v>
      </c>
      <c r="Q201" s="190">
        <f t="shared" si="160"/>
        <v>708124125.54649854</v>
      </c>
      <c r="R201" s="841"/>
      <c r="S201" s="190">
        <f>SUM(F201:Q201)</f>
        <v>3226306160.8280191</v>
      </c>
    </row>
    <row r="202" spans="2:19">
      <c r="B202" s="869" t="s">
        <v>472</v>
      </c>
      <c r="C202" s="870"/>
      <c r="D202" s="870"/>
      <c r="E202" s="871"/>
      <c r="F202" s="872">
        <f>IF(F197=0,0,F201/F197)</f>
        <v>0.10369250369794365</v>
      </c>
      <c r="G202" s="872">
        <f t="shared" ref="G202:Q202" si="162">IF(G197=0,0,G201/G197)</f>
        <v>7.2625097821285692E-2</v>
      </c>
      <c r="H202" s="872">
        <f t="shared" si="162"/>
        <v>-4.820333119364438E-2</v>
      </c>
      <c r="I202" s="872">
        <f t="shared" si="162"/>
        <v>9.4051593341890386E-4</v>
      </c>
      <c r="J202" s="872">
        <f t="shared" si="162"/>
        <v>0.13112284871442573</v>
      </c>
      <c r="K202" s="872">
        <f t="shared" ref="K202" si="163">IF(K197=0,0,K201/K197)</f>
        <v>4.4372217646511038E-2</v>
      </c>
      <c r="L202" s="872">
        <f t="shared" si="162"/>
        <v>3.6339748989481474E-2</v>
      </c>
      <c r="M202" s="872">
        <f t="shared" si="162"/>
        <v>0.3059957774335495</v>
      </c>
      <c r="N202" s="872">
        <f t="shared" si="162"/>
        <v>0.32485917334075098</v>
      </c>
      <c r="O202" s="872">
        <f t="shared" si="162"/>
        <v>0.34175943568894879</v>
      </c>
      <c r="P202" s="872">
        <f t="shared" si="162"/>
        <v>0.35107470217090109</v>
      </c>
      <c r="Q202" s="872">
        <f t="shared" si="162"/>
        <v>0.36514654250414058</v>
      </c>
      <c r="R202" s="841"/>
      <c r="S202" s="889"/>
    </row>
    <row r="203" spans="2:19">
      <c r="B203" s="592"/>
      <c r="C203" s="579"/>
      <c r="D203" s="579"/>
      <c r="E203" s="874"/>
      <c r="F203" s="874"/>
      <c r="G203" s="874"/>
      <c r="H203" s="874"/>
      <c r="I203" s="874"/>
      <c r="J203" s="874"/>
      <c r="K203" s="874"/>
      <c r="L203" s="874"/>
      <c r="M203" s="874"/>
      <c r="N203" s="874"/>
      <c r="O203" s="874"/>
      <c r="P203" s="874"/>
      <c r="Q203" s="874"/>
      <c r="R203" s="841"/>
      <c r="S203" s="874"/>
    </row>
    <row r="204" spans="2:19">
      <c r="B204" s="875" t="s">
        <v>473</v>
      </c>
      <c r="C204" s="583"/>
      <c r="D204" s="583"/>
      <c r="E204" s="475"/>
      <c r="F204" s="475"/>
      <c r="G204" s="475"/>
      <c r="H204" s="475"/>
      <c r="I204" s="475"/>
      <c r="J204" s="475"/>
      <c r="K204" s="475"/>
      <c r="L204" s="475"/>
      <c r="M204" s="475"/>
      <c r="N204" s="475"/>
      <c r="O204" s="475"/>
      <c r="P204" s="475"/>
      <c r="Q204" s="475"/>
      <c r="R204" s="475"/>
      <c r="S204" s="475"/>
    </row>
    <row r="205" spans="2:19">
      <c r="B205" s="164" t="s">
        <v>474</v>
      </c>
      <c r="C205" s="855"/>
      <c r="D205" s="855"/>
      <c r="E205" s="865"/>
      <c r="F205" s="197">
        <f>F171</f>
        <v>218727266</v>
      </c>
      <c r="G205" s="197">
        <f t="shared" ref="G205:Q205" si="164">G171</f>
        <v>-304718599</v>
      </c>
      <c r="H205" s="197">
        <f t="shared" si="164"/>
        <v>125650513</v>
      </c>
      <c r="I205" s="197">
        <f t="shared" si="164"/>
        <v>73339722.36666666</v>
      </c>
      <c r="J205" s="197">
        <f t="shared" si="164"/>
        <v>-29144814.083333336</v>
      </c>
      <c r="K205" s="197">
        <f t="shared" ref="K205" si="165">K171</f>
        <v>-108446202.43333334</v>
      </c>
      <c r="L205" s="197">
        <f t="shared" si="164"/>
        <v>41319773.56666667</v>
      </c>
      <c r="M205" s="197">
        <f t="shared" si="164"/>
        <v>-1785077587.2242067</v>
      </c>
      <c r="N205" s="197">
        <f t="shared" si="164"/>
        <v>320741548.82601172</v>
      </c>
      <c r="O205" s="197">
        <f t="shared" si="164"/>
        <v>380182494.99723053</v>
      </c>
      <c r="P205" s="197">
        <f t="shared" si="164"/>
        <v>440196423.36797589</v>
      </c>
      <c r="Q205" s="197">
        <f t="shared" si="164"/>
        <v>488136491.36158991</v>
      </c>
      <c r="R205" s="841"/>
      <c r="S205" s="197">
        <f t="shared" ref="S205:S208" si="166">SUM(F205:Q205)</f>
        <v>-139092969.25473189</v>
      </c>
    </row>
    <row r="206" spans="2:19">
      <c r="B206" s="589" t="s">
        <v>475</v>
      </c>
      <c r="C206" s="575"/>
      <c r="D206" s="575"/>
      <c r="E206" s="841"/>
      <c r="F206" s="183">
        <f>F174</f>
        <v>-7359954</v>
      </c>
      <c r="G206" s="183">
        <f t="shared" ref="G206:Q206" si="167">G174</f>
        <v>-6269000</v>
      </c>
      <c r="H206" s="183">
        <f t="shared" si="167"/>
        <v>-289048</v>
      </c>
      <c r="I206" s="183">
        <f t="shared" si="167"/>
        <v>1228635.6333333333</v>
      </c>
      <c r="J206" s="183">
        <f t="shared" si="167"/>
        <v>-65009996.916666664</v>
      </c>
      <c r="K206" s="183">
        <f t="shared" ref="K206" si="168">K174</f>
        <v>-3766258.5666666669</v>
      </c>
      <c r="L206" s="183">
        <f t="shared" si="167"/>
        <v>-3766258.5666666669</v>
      </c>
      <c r="M206" s="183">
        <f t="shared" si="167"/>
        <v>-7360092</v>
      </c>
      <c r="N206" s="183">
        <f t="shared" si="167"/>
        <v>-7360092</v>
      </c>
      <c r="O206" s="183">
        <f t="shared" si="167"/>
        <v>-7360092</v>
      </c>
      <c r="P206" s="183">
        <f t="shared" si="167"/>
        <v>-7360092</v>
      </c>
      <c r="Q206" s="183">
        <f t="shared" si="167"/>
        <v>-7360092</v>
      </c>
      <c r="R206" s="841"/>
      <c r="S206" s="183">
        <f t="shared" si="166"/>
        <v>-122032340.41666666</v>
      </c>
    </row>
    <row r="207" spans="2:19">
      <c r="B207" s="589" t="s">
        <v>476</v>
      </c>
      <c r="C207" s="575"/>
      <c r="D207" s="575"/>
      <c r="E207" s="841"/>
      <c r="F207" s="183">
        <f>F177+F178+F179</f>
        <v>-17231358</v>
      </c>
      <c r="G207" s="183">
        <f t="shared" ref="G207:I207" si="169">G177+G178+G179</f>
        <v>5694513</v>
      </c>
      <c r="H207" s="183">
        <f t="shared" si="169"/>
        <v>23825706</v>
      </c>
      <c r="I207" s="183">
        <f t="shared" si="169"/>
        <v>13700090</v>
      </c>
      <c r="J207" s="183">
        <f t="shared" ref="J207:Q207" si="170">J177+J178+J179</f>
        <v>-18780003</v>
      </c>
      <c r="K207" s="183">
        <f t="shared" ref="K207" si="171">K177+K178+K179</f>
        <v>-17168520</v>
      </c>
      <c r="L207" s="183">
        <f t="shared" si="170"/>
        <v>21272048</v>
      </c>
      <c r="M207" s="183">
        <f t="shared" si="170"/>
        <v>750436931.71350002</v>
      </c>
      <c r="N207" s="183">
        <f t="shared" si="170"/>
        <v>0</v>
      </c>
      <c r="O207" s="183">
        <f t="shared" si="170"/>
        <v>0</v>
      </c>
      <c r="P207" s="183">
        <f t="shared" si="170"/>
        <v>-51306369.680511475</v>
      </c>
      <c r="Q207" s="183">
        <f t="shared" si="170"/>
        <v>-480776399.36158991</v>
      </c>
      <c r="R207" s="841"/>
      <c r="S207" s="183">
        <f t="shared" si="166"/>
        <v>229666638.67139864</v>
      </c>
    </row>
    <row r="208" spans="2:19">
      <c r="B208" s="890" t="s">
        <v>477</v>
      </c>
      <c r="C208" s="883"/>
      <c r="D208" s="883"/>
      <c r="E208" s="891"/>
      <c r="F208" s="202">
        <f>SUM(F205:F207)</f>
        <v>194135954</v>
      </c>
      <c r="G208" s="202">
        <f t="shared" ref="G208:I208" si="172">SUM(G205:G207)</f>
        <v>-305293086</v>
      </c>
      <c r="H208" s="202">
        <f t="shared" si="172"/>
        <v>149187171</v>
      </c>
      <c r="I208" s="202">
        <f t="shared" si="172"/>
        <v>88268448</v>
      </c>
      <c r="J208" s="202">
        <f t="shared" ref="J208:Q208" si="173">SUM(J205:J207)</f>
        <v>-112934814</v>
      </c>
      <c r="K208" s="202">
        <f t="shared" ref="K208" si="174">SUM(K205:K207)</f>
        <v>-129380981</v>
      </c>
      <c r="L208" s="202">
        <f t="shared" si="173"/>
        <v>58825563</v>
      </c>
      <c r="M208" s="202">
        <f t="shared" si="173"/>
        <v>-1042000747.5107067</v>
      </c>
      <c r="N208" s="202">
        <f t="shared" si="173"/>
        <v>313381456.82601172</v>
      </c>
      <c r="O208" s="202">
        <f t="shared" si="173"/>
        <v>372822402.99723053</v>
      </c>
      <c r="P208" s="202">
        <f t="shared" si="173"/>
        <v>381529961.68746442</v>
      </c>
      <c r="Q208" s="202">
        <f t="shared" si="173"/>
        <v>0</v>
      </c>
      <c r="R208" s="841"/>
      <c r="S208" s="202">
        <f t="shared" si="166"/>
        <v>-31458671.00000006</v>
      </c>
    </row>
    <row r="211" spans="2:17">
      <c r="B211" s="1102" t="s">
        <v>478</v>
      </c>
      <c r="C211" s="1102"/>
      <c r="D211" s="1102"/>
      <c r="E211" s="1102"/>
      <c r="F211" s="1102"/>
      <c r="G211" s="1102"/>
      <c r="H211" s="475"/>
      <c r="I211" s="475"/>
      <c r="J211" s="475"/>
      <c r="K211" s="475"/>
      <c r="L211" s="475"/>
      <c r="M211" s="475"/>
      <c r="N211" s="475"/>
      <c r="O211" s="475"/>
      <c r="P211" s="475"/>
      <c r="Q211" s="475"/>
    </row>
    <row r="212" spans="2:17">
      <c r="B212" s="420" t="s">
        <v>479</v>
      </c>
      <c r="C212" s="583"/>
      <c r="D212" s="583"/>
      <c r="E212" s="475"/>
      <c r="F212" s="475"/>
      <c r="G212" s="475"/>
      <c r="H212" s="475"/>
      <c r="I212" s="475"/>
      <c r="J212" s="475"/>
      <c r="K212" s="475"/>
      <c r="L212" s="475"/>
      <c r="M212" s="475"/>
      <c r="N212" s="475"/>
      <c r="O212" s="475"/>
      <c r="P212" s="475"/>
      <c r="Q212" s="475"/>
    </row>
    <row r="213" spans="2:17">
      <c r="B213" s="164"/>
      <c r="C213" s="855"/>
      <c r="D213" s="855"/>
      <c r="E213" s="865"/>
      <c r="F213" s="865"/>
      <c r="G213" s="865"/>
      <c r="H213" s="865"/>
      <c r="I213" s="865"/>
      <c r="J213" s="865"/>
      <c r="K213" s="865"/>
      <c r="L213" s="865"/>
      <c r="M213" s="865"/>
      <c r="N213" s="865"/>
      <c r="O213" s="865"/>
      <c r="P213" s="865"/>
      <c r="Q213" s="865"/>
    </row>
    <row r="214" spans="2:17">
      <c r="B214" s="222" t="s">
        <v>480</v>
      </c>
      <c r="C214" s="575"/>
      <c r="D214" s="575"/>
      <c r="E214" s="342">
        <f t="shared" ref="E214:Q214" si="175">E76</f>
        <v>2025</v>
      </c>
      <c r="F214" s="141" t="str">
        <f t="shared" si="175"/>
        <v>Ene-26</v>
      </c>
      <c r="G214" s="141" t="str">
        <f t="shared" si="175"/>
        <v>Feb-26</v>
      </c>
      <c r="H214" s="141" t="str">
        <f t="shared" si="175"/>
        <v>Mar-26</v>
      </c>
      <c r="I214" s="141" t="str">
        <f t="shared" si="175"/>
        <v>Abr-26</v>
      </c>
      <c r="J214" s="141" t="str">
        <f t="shared" si="175"/>
        <v>May-26</v>
      </c>
      <c r="K214" s="141" t="str">
        <f t="shared" si="175"/>
        <v>Jun-26</v>
      </c>
      <c r="L214" s="141" t="str">
        <f t="shared" si="175"/>
        <v>Jul-26</v>
      </c>
      <c r="M214" s="141" t="str">
        <f t="shared" si="175"/>
        <v>Ago-26</v>
      </c>
      <c r="N214" s="141" t="str">
        <f t="shared" si="175"/>
        <v>Sep-26</v>
      </c>
      <c r="O214" s="141" t="str">
        <f t="shared" si="175"/>
        <v>Oct-26</v>
      </c>
      <c r="P214" s="141" t="str">
        <f t="shared" si="175"/>
        <v>Nov-26</v>
      </c>
      <c r="Q214" s="141" t="str">
        <f t="shared" si="175"/>
        <v>Dic-26</v>
      </c>
    </row>
    <row r="215" spans="2:17">
      <c r="B215" s="589" t="s">
        <v>481</v>
      </c>
      <c r="C215" s="575"/>
      <c r="D215" s="575"/>
      <c r="E215" s="695">
        <f t="shared" ref="E215:Q215" si="176">E79</f>
        <v>1833296000</v>
      </c>
      <c r="F215" s="695">
        <f t="shared" si="176"/>
        <v>1590540829</v>
      </c>
      <c r="G215" s="695">
        <f t="shared" si="176"/>
        <v>1797557189</v>
      </c>
      <c r="H215" s="695">
        <f t="shared" si="176"/>
        <v>1690589814</v>
      </c>
      <c r="I215" s="695">
        <f t="shared" si="176"/>
        <v>1612589704</v>
      </c>
      <c r="J215" s="695">
        <f>J79</f>
        <v>1675346692</v>
      </c>
      <c r="K215" s="695">
        <f t="shared" si="176"/>
        <v>1799431102</v>
      </c>
      <c r="L215" s="695">
        <f t="shared" si="176"/>
        <v>1688457915</v>
      </c>
      <c r="M215" s="695">
        <f t="shared" si="176"/>
        <v>4406153000</v>
      </c>
      <c r="N215" s="695">
        <f t="shared" si="176"/>
        <v>4662116000</v>
      </c>
      <c r="O215" s="695">
        <f t="shared" si="176"/>
        <v>4918079000</v>
      </c>
      <c r="P215" s="695">
        <f t="shared" si="176"/>
        <v>5174042000</v>
      </c>
      <c r="Q215" s="695">
        <f t="shared" si="176"/>
        <v>5430005000</v>
      </c>
    </row>
    <row r="216" spans="2:17">
      <c r="B216" s="589" t="s">
        <v>482</v>
      </c>
      <c r="C216" s="575"/>
      <c r="D216" s="575"/>
      <c r="E216" s="695">
        <f t="shared" ref="E216:Q216" si="177">E89</f>
        <v>544703000</v>
      </c>
      <c r="F216" s="695">
        <f t="shared" si="177"/>
        <v>502128241</v>
      </c>
      <c r="G216" s="695">
        <f t="shared" si="177"/>
        <v>493782297</v>
      </c>
      <c r="H216" s="695">
        <f t="shared" si="177"/>
        <v>571037565</v>
      </c>
      <c r="I216" s="695">
        <f t="shared" si="177"/>
        <v>563841763</v>
      </c>
      <c r="J216" s="695">
        <f>J89</f>
        <v>502311050</v>
      </c>
      <c r="K216" s="695">
        <f t="shared" si="177"/>
        <v>483390906</v>
      </c>
      <c r="L216" s="695">
        <f t="shared" si="177"/>
        <v>403760304</v>
      </c>
      <c r="M216" s="695">
        <f t="shared" si="177"/>
        <v>611036504.72222209</v>
      </c>
      <c r="N216" s="695">
        <f t="shared" si="177"/>
        <v>611036504.72222209</v>
      </c>
      <c r="O216" s="695">
        <f t="shared" si="177"/>
        <v>611036504.72222209</v>
      </c>
      <c r="P216" s="695">
        <f t="shared" si="177"/>
        <v>628420380.32222211</v>
      </c>
      <c r="Q216" s="695">
        <f t="shared" si="177"/>
        <v>628420380.32222211</v>
      </c>
    </row>
    <row r="217" spans="2:17">
      <c r="B217" s="589" t="s">
        <v>380</v>
      </c>
      <c r="C217" s="575"/>
      <c r="D217" s="575"/>
      <c r="E217" s="695">
        <f t="shared" ref="E217:Q217" si="178">E90</f>
        <v>40077000</v>
      </c>
      <c r="F217" s="695">
        <f t="shared" si="178"/>
        <v>14350080</v>
      </c>
      <c r="G217" s="695">
        <f t="shared" si="178"/>
        <v>1791700</v>
      </c>
      <c r="H217" s="695">
        <f t="shared" si="178"/>
        <v>25570584</v>
      </c>
      <c r="I217" s="695">
        <f t="shared" si="178"/>
        <v>24496645</v>
      </c>
      <c r="J217" s="695">
        <f>J90</f>
        <v>22513416</v>
      </c>
      <c r="K217" s="695">
        <f t="shared" si="178"/>
        <v>23325495</v>
      </c>
      <c r="L217" s="695">
        <f t="shared" si="178"/>
        <v>19229474</v>
      </c>
      <c r="M217" s="695">
        <f t="shared" si="178"/>
        <v>259281579.37041661</v>
      </c>
      <c r="N217" s="695">
        <f t="shared" si="178"/>
        <v>291255990.34205544</v>
      </c>
      <c r="O217" s="695">
        <f t="shared" si="178"/>
        <v>323230750.71416718</v>
      </c>
      <c r="P217" s="695">
        <f t="shared" si="178"/>
        <v>349322164.26341021</v>
      </c>
      <c r="Q217" s="695">
        <f t="shared" si="178"/>
        <v>381297606.06349921</v>
      </c>
    </row>
    <row r="218" spans="2:17">
      <c r="B218" s="592" t="s">
        <v>483</v>
      </c>
      <c r="C218" s="575"/>
      <c r="D218" s="575"/>
      <c r="E218" s="695">
        <f t="shared" ref="E218:Q218" si="179">E215-E216-E217</f>
        <v>1248516000</v>
      </c>
      <c r="F218" s="695">
        <f t="shared" si="179"/>
        <v>1074062508</v>
      </c>
      <c r="G218" s="695">
        <f t="shared" si="179"/>
        <v>1301983192</v>
      </c>
      <c r="H218" s="695">
        <f t="shared" si="179"/>
        <v>1093981665</v>
      </c>
      <c r="I218" s="695">
        <f t="shared" si="179"/>
        <v>1024251296</v>
      </c>
      <c r="J218" s="695">
        <f>J215-J216-J217</f>
        <v>1150522226</v>
      </c>
      <c r="K218" s="695">
        <f t="shared" si="179"/>
        <v>1292714701</v>
      </c>
      <c r="L218" s="695">
        <f t="shared" si="179"/>
        <v>1265468137</v>
      </c>
      <c r="M218" s="695">
        <f t="shared" si="179"/>
        <v>3535834915.907361</v>
      </c>
      <c r="N218" s="695">
        <f t="shared" si="179"/>
        <v>3759823504.9357224</v>
      </c>
      <c r="O218" s="695">
        <f t="shared" si="179"/>
        <v>3983811744.5636106</v>
      </c>
      <c r="P218" s="695">
        <f t="shared" si="179"/>
        <v>4196299455.4143682</v>
      </c>
      <c r="Q218" s="695">
        <f t="shared" si="179"/>
        <v>4420287013.6142788</v>
      </c>
    </row>
    <row r="219" spans="2:17">
      <c r="B219" s="589"/>
      <c r="C219" s="575"/>
      <c r="D219" s="575"/>
      <c r="E219" s="698"/>
      <c r="F219" s="698"/>
      <c r="G219" s="698"/>
      <c r="H219" s="698"/>
      <c r="I219" s="698"/>
      <c r="J219" s="698"/>
      <c r="K219" s="698"/>
      <c r="L219" s="698"/>
      <c r="M219" s="698"/>
      <c r="N219" s="698"/>
      <c r="O219" s="698"/>
      <c r="P219" s="698"/>
      <c r="Q219" s="698"/>
    </row>
    <row r="220" spans="2:17">
      <c r="B220" s="875" t="s">
        <v>484</v>
      </c>
      <c r="C220" s="583"/>
      <c r="D220" s="583"/>
      <c r="E220" s="892"/>
      <c r="F220" s="892"/>
      <c r="G220" s="892"/>
      <c r="H220" s="892"/>
      <c r="I220" s="892"/>
      <c r="J220" s="892"/>
      <c r="K220" s="892"/>
      <c r="L220" s="892"/>
      <c r="M220" s="892"/>
      <c r="N220" s="892"/>
      <c r="O220" s="892"/>
      <c r="P220" s="892"/>
      <c r="Q220" s="892"/>
    </row>
    <row r="221" spans="2:17">
      <c r="B221" s="589" t="s">
        <v>485</v>
      </c>
      <c r="C221" s="575"/>
      <c r="D221" s="575"/>
      <c r="E221" s="893"/>
      <c r="F221" s="695">
        <f>-(F215-E215)</f>
        <v>242755171</v>
      </c>
      <c r="G221" s="695">
        <f t="shared" ref="G221:Q221" si="180">-(G215-F215)</f>
        <v>-207016360</v>
      </c>
      <c r="H221" s="695">
        <f t="shared" si="180"/>
        <v>106967375</v>
      </c>
      <c r="I221" s="695">
        <f t="shared" si="180"/>
        <v>78000110</v>
      </c>
      <c r="J221" s="695">
        <f>-(J215-I215)</f>
        <v>-62756988</v>
      </c>
      <c r="K221" s="695">
        <f t="shared" si="180"/>
        <v>-124084410</v>
      </c>
      <c r="L221" s="695">
        <f t="shared" si="180"/>
        <v>110973187</v>
      </c>
      <c r="M221" s="695">
        <f t="shared" si="180"/>
        <v>-2717695085</v>
      </c>
      <c r="N221" s="695">
        <f t="shared" si="180"/>
        <v>-255963000</v>
      </c>
      <c r="O221" s="695">
        <f t="shared" si="180"/>
        <v>-255963000</v>
      </c>
      <c r="P221" s="695">
        <f t="shared" si="180"/>
        <v>-255963000</v>
      </c>
      <c r="Q221" s="695">
        <f t="shared" si="180"/>
        <v>-255963000</v>
      </c>
    </row>
    <row r="222" spans="2:17">
      <c r="B222" s="589" t="s">
        <v>486</v>
      </c>
      <c r="C222" s="575"/>
      <c r="D222" s="575"/>
      <c r="E222" s="893"/>
      <c r="F222" s="695">
        <f t="shared" ref="F222:Q222" si="181">F216-E216</f>
        <v>-42574759</v>
      </c>
      <c r="G222" s="695">
        <f t="shared" si="181"/>
        <v>-8345944</v>
      </c>
      <c r="H222" s="695">
        <f t="shared" si="181"/>
        <v>77255268</v>
      </c>
      <c r="I222" s="695">
        <f t="shared" si="181"/>
        <v>-7195802</v>
      </c>
      <c r="J222" s="695">
        <f>J216-I216</f>
        <v>-61530713</v>
      </c>
      <c r="K222" s="695">
        <f t="shared" si="181"/>
        <v>-18920144</v>
      </c>
      <c r="L222" s="695">
        <f t="shared" si="181"/>
        <v>-79630602</v>
      </c>
      <c r="M222" s="695">
        <f t="shared" si="181"/>
        <v>207276200.72222209</v>
      </c>
      <c r="N222" s="695">
        <f t="shared" si="181"/>
        <v>0</v>
      </c>
      <c r="O222" s="695">
        <f t="shared" si="181"/>
        <v>0</v>
      </c>
      <c r="P222" s="695">
        <f t="shared" si="181"/>
        <v>17383875.600000024</v>
      </c>
      <c r="Q222" s="695">
        <f t="shared" si="181"/>
        <v>0</v>
      </c>
    </row>
    <row r="223" spans="2:17">
      <c r="B223" s="589" t="s">
        <v>487</v>
      </c>
      <c r="C223" s="575"/>
      <c r="D223" s="575"/>
      <c r="E223" s="893"/>
      <c r="F223" s="695">
        <f t="shared" ref="F223:Q223" si="182">F217-E217</f>
        <v>-25726920</v>
      </c>
      <c r="G223" s="695">
        <f t="shared" si="182"/>
        <v>-12558380</v>
      </c>
      <c r="H223" s="695">
        <f t="shared" si="182"/>
        <v>23778884</v>
      </c>
      <c r="I223" s="695">
        <f t="shared" si="182"/>
        <v>-1073939</v>
      </c>
      <c r="J223" s="695">
        <f>J217-I217</f>
        <v>-1983229</v>
      </c>
      <c r="K223" s="695">
        <f t="shared" si="182"/>
        <v>812079</v>
      </c>
      <c r="L223" s="695">
        <f t="shared" si="182"/>
        <v>-4096021</v>
      </c>
      <c r="M223" s="695">
        <f t="shared" si="182"/>
        <v>240052105.37041661</v>
      </c>
      <c r="N223" s="695">
        <f t="shared" si="182"/>
        <v>31974410.971638829</v>
      </c>
      <c r="O223" s="695">
        <f t="shared" si="182"/>
        <v>31974760.372111738</v>
      </c>
      <c r="P223" s="695">
        <f t="shared" si="182"/>
        <v>26091413.549243033</v>
      </c>
      <c r="Q223" s="695">
        <f t="shared" si="182"/>
        <v>31975441.800089002</v>
      </c>
    </row>
    <row r="224" spans="2:17">
      <c r="B224" s="223" t="s">
        <v>488</v>
      </c>
      <c r="C224" s="575"/>
      <c r="D224" s="575"/>
      <c r="E224" s="893"/>
      <c r="F224" s="695">
        <f t="shared" ref="F224:Q224" si="183">SUM(F221:F223)</f>
        <v>174453492</v>
      </c>
      <c r="G224" s="695">
        <f t="shared" si="183"/>
        <v>-227920684</v>
      </c>
      <c r="H224" s="695">
        <f t="shared" si="183"/>
        <v>208001527</v>
      </c>
      <c r="I224" s="695">
        <f t="shared" si="183"/>
        <v>69730369</v>
      </c>
      <c r="J224" s="695">
        <f>SUM(J221:J223)</f>
        <v>-126270930</v>
      </c>
      <c r="K224" s="695">
        <f t="shared" si="183"/>
        <v>-142192475</v>
      </c>
      <c r="L224" s="695">
        <f t="shared" si="183"/>
        <v>27246564</v>
      </c>
      <c r="M224" s="695">
        <f t="shared" si="183"/>
        <v>-2270366778.907361</v>
      </c>
      <c r="N224" s="695">
        <f t="shared" si="183"/>
        <v>-223988589.02836117</v>
      </c>
      <c r="O224" s="695">
        <f t="shared" si="183"/>
        <v>-223988239.62788826</v>
      </c>
      <c r="P224" s="695">
        <f t="shared" si="183"/>
        <v>-212487710.85075694</v>
      </c>
      <c r="Q224" s="695">
        <f t="shared" si="183"/>
        <v>-223987558.199911</v>
      </c>
    </row>
    <row r="227" spans="2:19">
      <c r="B227" s="875" t="s">
        <v>489</v>
      </c>
      <c r="C227" s="583"/>
      <c r="D227" s="583"/>
      <c r="E227" s="475"/>
      <c r="F227" s="475"/>
      <c r="G227" s="475"/>
      <c r="H227" s="475"/>
      <c r="I227" s="475"/>
      <c r="J227" s="475"/>
      <c r="K227" s="475"/>
      <c r="L227" s="475"/>
      <c r="M227" s="475"/>
      <c r="N227" s="475"/>
      <c r="O227" s="475"/>
      <c r="P227" s="475"/>
      <c r="Q227" s="475"/>
      <c r="R227" s="475"/>
      <c r="S227" s="475"/>
    </row>
    <row r="228" spans="2:19">
      <c r="B228" s="589" t="s">
        <v>490</v>
      </c>
      <c r="C228" s="575"/>
      <c r="D228" s="575"/>
      <c r="E228" s="841"/>
      <c r="F228" s="894">
        <f>F224-(-(F79-E79)+(F89-E89)+(F90-E90))</f>
        <v>0</v>
      </c>
      <c r="G228" s="894">
        <f>G224-(-(G79-F79)+(G89-F89)+(G90-F90))</f>
        <v>0</v>
      </c>
      <c r="H228" s="894">
        <f>H224-(-(H79-G79)+(H89-G89)+(H90-G90))</f>
        <v>0</v>
      </c>
      <c r="I228" s="894">
        <f>I224-(-(I79-H79)+(I89-H89)+(I90-H90))</f>
        <v>0</v>
      </c>
      <c r="J228" s="894">
        <f t="shared" ref="J228:Q228" si="184">ROUND((J119-I119)+SUM(J164:J166),0)</f>
        <v>117229861</v>
      </c>
      <c r="K228" s="894">
        <f t="shared" si="184"/>
        <v>-69399306</v>
      </c>
      <c r="L228" s="894">
        <f t="shared" si="184"/>
        <v>32541410</v>
      </c>
      <c r="M228" s="894">
        <f t="shared" si="184"/>
        <v>0</v>
      </c>
      <c r="N228" s="894">
        <f t="shared" si="184"/>
        <v>0</v>
      </c>
      <c r="O228" s="894">
        <f t="shared" si="184"/>
        <v>0</v>
      </c>
      <c r="P228" s="894">
        <f t="shared" si="184"/>
        <v>0</v>
      </c>
      <c r="Q228" s="894">
        <f t="shared" si="184"/>
        <v>0</v>
      </c>
      <c r="R228" s="841"/>
      <c r="S228" s="841"/>
    </row>
    <row r="229" spans="2:19">
      <c r="B229" s="589"/>
      <c r="C229" s="575"/>
      <c r="D229" s="575"/>
      <c r="E229" s="841"/>
      <c r="F229" s="895"/>
      <c r="G229" s="895"/>
      <c r="H229" s="895"/>
      <c r="I229" s="895"/>
      <c r="J229" s="895"/>
      <c r="K229" s="895"/>
      <c r="L229" s="895"/>
      <c r="M229" s="895"/>
      <c r="N229" s="895"/>
      <c r="O229" s="895"/>
      <c r="P229" s="895"/>
      <c r="Q229" s="895"/>
      <c r="R229" s="841"/>
      <c r="S229" s="841"/>
    </row>
    <row r="230" spans="2:19">
      <c r="B230" s="164" t="s">
        <v>491</v>
      </c>
      <c r="C230" s="575"/>
      <c r="D230" s="575"/>
      <c r="E230" s="841"/>
      <c r="F230" s="895"/>
      <c r="G230" s="895"/>
      <c r="H230" s="895"/>
      <c r="I230" s="895"/>
      <c r="J230" s="895"/>
      <c r="K230" s="895"/>
      <c r="L230" s="895"/>
      <c r="M230" s="895"/>
      <c r="N230" s="895"/>
      <c r="O230" s="895"/>
      <c r="P230" s="895"/>
      <c r="Q230" s="895"/>
      <c r="R230" s="575"/>
      <c r="S230" s="896" t="s">
        <v>492</v>
      </c>
    </row>
    <row r="231" spans="2:19">
      <c r="B231" s="897" t="s">
        <v>493</v>
      </c>
      <c r="C231" s="575"/>
      <c r="D231" s="575"/>
      <c r="E231" s="841"/>
      <c r="F231" s="895"/>
      <c r="G231" s="895"/>
      <c r="H231" s="895"/>
      <c r="I231" s="895"/>
      <c r="J231" s="895"/>
      <c r="K231" s="895"/>
      <c r="L231" s="895"/>
      <c r="M231" s="895"/>
      <c r="N231" s="895"/>
      <c r="O231" s="895"/>
      <c r="P231" s="895"/>
      <c r="Q231" s="895"/>
      <c r="R231" s="575"/>
      <c r="S231" s="898" t="s">
        <v>494</v>
      </c>
    </row>
    <row r="232" spans="2:19">
      <c r="B232" s="589"/>
      <c r="C232" s="575"/>
      <c r="D232" s="575"/>
      <c r="E232" s="841"/>
      <c r="F232" s="895"/>
      <c r="G232" s="895"/>
      <c r="H232" s="895"/>
      <c r="I232" s="895"/>
      <c r="J232" s="895"/>
      <c r="K232" s="895"/>
      <c r="L232" s="895"/>
      <c r="M232" s="895"/>
      <c r="N232" s="895"/>
      <c r="O232" s="895"/>
      <c r="P232" s="895"/>
      <c r="Q232" s="895"/>
      <c r="R232" s="575"/>
      <c r="S232" s="841"/>
    </row>
    <row r="233" spans="2:19">
      <c r="B233" s="155" t="s">
        <v>495</v>
      </c>
      <c r="C233" s="575"/>
      <c r="D233" s="575"/>
      <c r="E233" s="841"/>
      <c r="F233" s="899">
        <f>IF(F51=0,0,((F79+E79)/2)/F51*30)</f>
        <v>83.883618266130497</v>
      </c>
      <c r="G233" s="899">
        <f t="shared" ref="G233:Q233" si="185">IF(G51=0,0,((G79+F79)/2)/G51*30)</f>
        <v>68.288405970412413</v>
      </c>
      <c r="H233" s="899">
        <f t="shared" si="185"/>
        <v>66.479627634786041</v>
      </c>
      <c r="I233" s="899">
        <f t="shared" si="185"/>
        <v>65.987250853266872</v>
      </c>
      <c r="J233" s="899">
        <f t="shared" si="185"/>
        <v>59.671102274562443</v>
      </c>
      <c r="K233" s="899">
        <f t="shared" si="185"/>
        <v>69.36115117059687</v>
      </c>
      <c r="L233" s="899">
        <f t="shared" si="185"/>
        <v>76.951113824273293</v>
      </c>
      <c r="M233" s="899">
        <f t="shared" si="185"/>
        <v>58.094591456538161</v>
      </c>
      <c r="N233" s="899">
        <f t="shared" si="185"/>
        <v>81.6940844028763</v>
      </c>
      <c r="O233" s="899">
        <f t="shared" si="185"/>
        <v>81.814096520206363</v>
      </c>
      <c r="P233" s="899">
        <f t="shared" si="185"/>
        <v>81.922234492878104</v>
      </c>
      <c r="Q233" s="899">
        <f t="shared" si="185"/>
        <v>82.020177513648704</v>
      </c>
      <c r="R233" s="575"/>
      <c r="S233" s="900">
        <f>AVERAGE(F79:Q79)/SUM(F51:Q51)*365</f>
        <v>79.552998333665045</v>
      </c>
    </row>
    <row r="234" spans="2:19">
      <c r="B234" s="155" t="s">
        <v>496</v>
      </c>
      <c r="C234" s="575"/>
      <c r="D234" s="575"/>
      <c r="E234" s="841"/>
      <c r="F234" s="899">
        <f>IF(F52=0,0,((F88+E88)/2)/F52*30)</f>
        <v>9.614560886405167</v>
      </c>
      <c r="G234" s="899">
        <f t="shared" ref="G234:Q234" si="186">IF(G52=0,0,((G88+F88)/2)/G52*30)</f>
        <v>7.6089761418314508</v>
      </c>
      <c r="H234" s="899">
        <f t="shared" si="186"/>
        <v>6.7670344830580103</v>
      </c>
      <c r="I234" s="899">
        <f t="shared" si="186"/>
        <v>8.5724442762023649</v>
      </c>
      <c r="J234" s="899">
        <f t="shared" si="186"/>
        <v>8.9523556781668781</v>
      </c>
      <c r="K234" s="899">
        <f t="shared" si="186"/>
        <v>7.8811540905730393</v>
      </c>
      <c r="L234" s="899">
        <f t="shared" si="186"/>
        <v>8.7627549548838601</v>
      </c>
      <c r="M234" s="899">
        <f t="shared" si="186"/>
        <v>8.8977828623702386</v>
      </c>
      <c r="N234" s="899">
        <f t="shared" si="186"/>
        <v>8.8977828623702386</v>
      </c>
      <c r="O234" s="899">
        <f t="shared" si="186"/>
        <v>8.8977828623702386</v>
      </c>
      <c r="P234" s="899">
        <f t="shared" si="186"/>
        <v>8.6516451570400186</v>
      </c>
      <c r="Q234" s="899">
        <f t="shared" si="186"/>
        <v>8.6516451570400186</v>
      </c>
      <c r="R234" s="575"/>
      <c r="S234" s="900">
        <f>AVERAGE(F88:Q88)/SUM(F52:Q52)*365</f>
        <v>8.6480184605599444</v>
      </c>
    </row>
    <row r="235" spans="2:19">
      <c r="B235" s="166" t="s">
        <v>497</v>
      </c>
      <c r="C235" s="575"/>
      <c r="D235" s="575"/>
      <c r="E235" s="841"/>
      <c r="F235" s="901">
        <f>F233-F234</f>
        <v>74.269057379725325</v>
      </c>
      <c r="G235" s="901">
        <f t="shared" ref="G235:Q235" si="187">G233-G234</f>
        <v>60.679429828580965</v>
      </c>
      <c r="H235" s="901">
        <f t="shared" si="187"/>
        <v>59.712593151728029</v>
      </c>
      <c r="I235" s="901">
        <f t="shared" si="187"/>
        <v>57.41480657706451</v>
      </c>
      <c r="J235" s="901">
        <f t="shared" si="187"/>
        <v>50.718746596395562</v>
      </c>
      <c r="K235" s="901">
        <f t="shared" si="187"/>
        <v>61.479997080023828</v>
      </c>
      <c r="L235" s="901">
        <f t="shared" si="187"/>
        <v>68.188358869389432</v>
      </c>
      <c r="M235" s="901">
        <f t="shared" si="187"/>
        <v>49.196808594167919</v>
      </c>
      <c r="N235" s="901">
        <f t="shared" si="187"/>
        <v>72.796301540506064</v>
      </c>
      <c r="O235" s="901">
        <f t="shared" si="187"/>
        <v>72.916313657836128</v>
      </c>
      <c r="P235" s="901">
        <f t="shared" si="187"/>
        <v>73.270589335838082</v>
      </c>
      <c r="Q235" s="901">
        <f t="shared" si="187"/>
        <v>73.368532356608682</v>
      </c>
      <c r="R235" s="575"/>
      <c r="S235" s="900">
        <f>S233-S234</f>
        <v>70.904979873105106</v>
      </c>
    </row>
    <row r="242" spans="2:19" ht="15.6" thickTop="1" thickBot="1">
      <c r="B242" s="479" t="s">
        <v>498</v>
      </c>
      <c r="C242" s="480"/>
      <c r="D242" s="480"/>
      <c r="E242" s="481"/>
      <c r="F242" s="481"/>
      <c r="G242" s="481"/>
      <c r="H242" s="481"/>
      <c r="I242" s="481"/>
      <c r="J242" s="481"/>
      <c r="K242" s="481"/>
      <c r="L242" s="481"/>
      <c r="M242" s="481"/>
      <c r="N242" s="481"/>
      <c r="O242" s="481"/>
      <c r="P242" s="481"/>
      <c r="Q242" s="481"/>
      <c r="R242" s="463"/>
      <c r="S242" s="481"/>
    </row>
    <row r="243" spans="2:19">
      <c r="B243" s="420" t="s">
        <v>499</v>
      </c>
      <c r="C243" s="583"/>
      <c r="D243" s="583"/>
      <c r="E243" s="475"/>
      <c r="F243" s="475"/>
      <c r="G243" s="475"/>
      <c r="H243" s="475"/>
      <c r="I243" s="475"/>
      <c r="J243" s="475"/>
      <c r="K243" s="475"/>
      <c r="L243" s="475"/>
      <c r="M243" s="475"/>
      <c r="N243" s="475"/>
      <c r="O243" s="475"/>
      <c r="P243" s="475"/>
      <c r="Q243" s="475"/>
      <c r="R243" s="475"/>
      <c r="S243" s="475"/>
    </row>
    <row r="244" spans="2:19" ht="15" thickBot="1">
      <c r="B244" s="589"/>
      <c r="C244" s="575"/>
      <c r="D244" s="575"/>
      <c r="E244" s="841"/>
      <c r="F244" s="841"/>
      <c r="G244" s="841"/>
      <c r="H244" s="841"/>
      <c r="I244" s="841"/>
      <c r="J244" s="841"/>
      <c r="K244" s="841"/>
      <c r="L244" s="841"/>
      <c r="M244" s="841"/>
      <c r="N244" s="841"/>
      <c r="O244" s="841"/>
      <c r="P244" s="841"/>
      <c r="Q244" s="841"/>
      <c r="R244" s="841"/>
      <c r="S244" s="841"/>
    </row>
    <row r="245" spans="2:19">
      <c r="B245" s="482" t="s">
        <v>500</v>
      </c>
      <c r="C245" s="483"/>
      <c r="D245" s="483"/>
      <c r="E245" s="484"/>
      <c r="F245" s="484"/>
      <c r="G245" s="484"/>
      <c r="H245" s="484"/>
      <c r="I245" s="484"/>
      <c r="J245" s="484"/>
      <c r="K245" s="484"/>
      <c r="L245" s="484"/>
      <c r="M245" s="484"/>
      <c r="N245" s="484"/>
      <c r="O245" s="484"/>
      <c r="P245" s="484"/>
      <c r="Q245" s="484"/>
      <c r="R245" s="463"/>
      <c r="S245" s="484"/>
    </row>
    <row r="246" spans="2:19">
      <c r="B246" s="589"/>
      <c r="C246" s="575"/>
      <c r="D246" s="575"/>
      <c r="E246" s="841"/>
      <c r="F246" s="841"/>
      <c r="G246" s="841"/>
      <c r="H246" s="841"/>
      <c r="I246" s="841"/>
      <c r="J246" s="841"/>
      <c r="K246" s="841"/>
      <c r="L246" s="841"/>
      <c r="M246" s="841"/>
      <c r="N246" s="841"/>
      <c r="O246" s="841"/>
      <c r="P246" s="841"/>
      <c r="Q246" s="841"/>
      <c r="R246" s="841"/>
      <c r="S246" s="841"/>
    </row>
    <row r="247" spans="2:19">
      <c r="B247" s="589" t="s">
        <v>501</v>
      </c>
      <c r="C247" s="575"/>
      <c r="D247" s="575"/>
      <c r="E247" s="183">
        <f t="shared" ref="E247:Q247" si="188">E6</f>
        <v>3690</v>
      </c>
      <c r="F247" s="183">
        <f t="shared" si="188"/>
        <v>3690</v>
      </c>
      <c r="G247" s="183">
        <f t="shared" si="188"/>
        <v>3690</v>
      </c>
      <c r="H247" s="183">
        <f t="shared" si="188"/>
        <v>3690</v>
      </c>
      <c r="I247" s="183">
        <f t="shared" si="188"/>
        <v>3690</v>
      </c>
      <c r="J247" s="183">
        <f t="shared" si="188"/>
        <v>3690</v>
      </c>
      <c r="K247" s="183">
        <f t="shared" si="188"/>
        <v>3690</v>
      </c>
      <c r="L247" s="183">
        <f t="shared" si="188"/>
        <v>3690</v>
      </c>
      <c r="M247" s="183">
        <f t="shared" si="188"/>
        <v>3690</v>
      </c>
      <c r="N247" s="183">
        <f t="shared" si="188"/>
        <v>3690</v>
      </c>
      <c r="O247" s="183">
        <f t="shared" si="188"/>
        <v>3690</v>
      </c>
      <c r="P247" s="183">
        <f t="shared" si="188"/>
        <v>3690</v>
      </c>
      <c r="Q247" s="183">
        <f t="shared" si="188"/>
        <v>3690</v>
      </c>
      <c r="R247" s="841"/>
      <c r="S247" s="843"/>
    </row>
    <row r="248" spans="2:19">
      <c r="B248" s="589" t="s">
        <v>502</v>
      </c>
      <c r="C248" s="575"/>
      <c r="D248" s="575"/>
      <c r="E248" s="213">
        <f t="shared" ref="E248:Q248" si="189">E7</f>
        <v>0.35</v>
      </c>
      <c r="F248" s="213">
        <f t="shared" si="189"/>
        <v>0.35</v>
      </c>
      <c r="G248" s="213">
        <f t="shared" si="189"/>
        <v>0.35</v>
      </c>
      <c r="H248" s="213">
        <f t="shared" si="189"/>
        <v>0.35</v>
      </c>
      <c r="I248" s="213">
        <f t="shared" si="189"/>
        <v>0.35</v>
      </c>
      <c r="J248" s="213">
        <f t="shared" si="189"/>
        <v>0.35</v>
      </c>
      <c r="K248" s="213">
        <f t="shared" si="189"/>
        <v>0.35</v>
      </c>
      <c r="L248" s="213">
        <f t="shared" si="189"/>
        <v>0.35</v>
      </c>
      <c r="M248" s="213">
        <f t="shared" si="189"/>
        <v>0.35</v>
      </c>
      <c r="N248" s="213">
        <f t="shared" si="189"/>
        <v>0.35</v>
      </c>
      <c r="O248" s="213">
        <f t="shared" si="189"/>
        <v>0.35</v>
      </c>
      <c r="P248" s="213">
        <f t="shared" si="189"/>
        <v>0.35</v>
      </c>
      <c r="Q248" s="213">
        <f t="shared" si="189"/>
        <v>0.35</v>
      </c>
      <c r="R248" s="841"/>
      <c r="S248" s="902"/>
    </row>
    <row r="249" spans="2:19">
      <c r="B249" s="592"/>
      <c r="C249" s="575"/>
      <c r="D249" s="575"/>
      <c r="E249" s="841"/>
      <c r="F249" s="841"/>
      <c r="G249" s="841"/>
      <c r="H249" s="841"/>
      <c r="I249" s="841"/>
      <c r="J249" s="841"/>
      <c r="K249" s="841"/>
      <c r="L249" s="841"/>
      <c r="M249" s="841"/>
      <c r="N249" s="841"/>
      <c r="O249" s="841"/>
      <c r="P249" s="841"/>
      <c r="Q249" s="841"/>
      <c r="R249" s="841"/>
      <c r="S249" s="841"/>
    </row>
    <row r="250" spans="2:19">
      <c r="B250" s="845" t="s">
        <v>503</v>
      </c>
      <c r="C250" s="575"/>
      <c r="D250" s="575"/>
      <c r="E250" s="841"/>
      <c r="F250" s="841"/>
      <c r="G250" s="841"/>
      <c r="H250" s="841"/>
      <c r="I250" s="841"/>
      <c r="J250" s="841"/>
      <c r="K250" s="841"/>
      <c r="L250" s="841"/>
      <c r="M250" s="841"/>
      <c r="N250" s="841"/>
      <c r="O250" s="841"/>
      <c r="P250" s="841"/>
      <c r="Q250" s="841"/>
      <c r="R250" s="841"/>
      <c r="S250" s="842" t="s">
        <v>342</v>
      </c>
    </row>
    <row r="251" spans="2:19">
      <c r="B251" s="589" t="s">
        <v>504</v>
      </c>
      <c r="C251" s="575"/>
      <c r="D251" s="575"/>
      <c r="E251" s="841"/>
      <c r="F251" s="183">
        <f t="shared" ref="F251:Q251" si="190">F10/F6</f>
        <v>165920.7861788618</v>
      </c>
      <c r="G251" s="183">
        <f t="shared" si="190"/>
        <v>201685.13197831978</v>
      </c>
      <c r="H251" s="183">
        <f t="shared" si="190"/>
        <v>213290.2945799458</v>
      </c>
      <c r="I251" s="183">
        <f t="shared" si="190"/>
        <v>203487.17127371274</v>
      </c>
      <c r="J251" s="183">
        <f t="shared" si="190"/>
        <v>223987.73604336043</v>
      </c>
      <c r="K251" s="183">
        <f t="shared" si="190"/>
        <v>203645.88455284553</v>
      </c>
      <c r="L251" s="183">
        <f t="shared" si="190"/>
        <v>184252.18211382115</v>
      </c>
      <c r="M251" s="183">
        <f t="shared" si="190"/>
        <v>263499.7528994272</v>
      </c>
      <c r="N251" s="183">
        <f t="shared" si="190"/>
        <v>315037.47473193135</v>
      </c>
      <c r="O251" s="183">
        <f t="shared" si="190"/>
        <v>309453.36941719457</v>
      </c>
      <c r="P251" s="183">
        <f t="shared" si="190"/>
        <v>313484.60124900017</v>
      </c>
      <c r="Q251" s="183">
        <f t="shared" si="190"/>
        <v>337219.6485132213</v>
      </c>
      <c r="R251" s="841"/>
      <c r="S251" s="183">
        <f t="shared" ref="S251:S257" si="191">SUM(F251:Q251)</f>
        <v>2934964.0335316421</v>
      </c>
    </row>
    <row r="252" spans="2:19">
      <c r="B252" s="589" t="s">
        <v>505</v>
      </c>
      <c r="C252" s="575"/>
      <c r="D252" s="575"/>
      <c r="E252" s="841"/>
      <c r="F252" s="183">
        <f t="shared" ref="F252:Q252" si="192">F11/F6</f>
        <v>64643.846612466128</v>
      </c>
      <c r="G252" s="183">
        <f t="shared" si="192"/>
        <v>93037.612737127376</v>
      </c>
      <c r="H252" s="183">
        <f t="shared" si="192"/>
        <v>123479.45826558265</v>
      </c>
      <c r="I252" s="183">
        <f t="shared" si="192"/>
        <v>102784.17181571816</v>
      </c>
      <c r="J252" s="183">
        <f t="shared" si="192"/>
        <v>96333.475067750682</v>
      </c>
      <c r="K252" s="183">
        <f t="shared" si="192"/>
        <v>94438.375609756098</v>
      </c>
      <c r="L252" s="183">
        <f t="shared" si="192"/>
        <v>87240.606504065043</v>
      </c>
      <c r="M252" s="183">
        <f t="shared" si="192"/>
        <v>95534.162714543796</v>
      </c>
      <c r="N252" s="183">
        <f t="shared" si="192"/>
        <v>95534.162714543796</v>
      </c>
      <c r="O252" s="183">
        <f t="shared" si="192"/>
        <v>95534.162714543796</v>
      </c>
      <c r="P252" s="183">
        <f t="shared" si="192"/>
        <v>98252.091982836486</v>
      </c>
      <c r="Q252" s="183">
        <f t="shared" si="192"/>
        <v>98252.091982836486</v>
      </c>
      <c r="R252" s="841"/>
      <c r="S252" s="183">
        <f t="shared" si="191"/>
        <v>1145064.2187217704</v>
      </c>
    </row>
    <row r="253" spans="2:19">
      <c r="B253" s="589" t="s">
        <v>506</v>
      </c>
      <c r="C253" s="575"/>
      <c r="D253" s="575"/>
      <c r="E253" s="841"/>
      <c r="F253" s="183">
        <f t="shared" ref="F253:Q253" si="193">F12/F6</f>
        <v>26754.047425474255</v>
      </c>
      <c r="G253" s="183">
        <f t="shared" si="193"/>
        <v>28626.957181571815</v>
      </c>
      <c r="H253" s="183">
        <f t="shared" si="193"/>
        <v>38431.39972899729</v>
      </c>
      <c r="I253" s="183">
        <f t="shared" si="193"/>
        <v>30970.430081300812</v>
      </c>
      <c r="J253" s="183">
        <f t="shared" si="193"/>
        <v>31655.507859078592</v>
      </c>
      <c r="K253" s="183">
        <f t="shared" si="193"/>
        <v>30430.540108401085</v>
      </c>
      <c r="L253" s="183">
        <f t="shared" si="193"/>
        <v>29250.065582655825</v>
      </c>
      <c r="M253" s="183">
        <f t="shared" si="193"/>
        <v>36693.761427280937</v>
      </c>
      <c r="N253" s="183">
        <f t="shared" si="193"/>
        <v>36693.761427280937</v>
      </c>
      <c r="O253" s="183">
        <f t="shared" si="193"/>
        <v>36693.761427280937</v>
      </c>
      <c r="P253" s="183">
        <f t="shared" si="193"/>
        <v>36693.761427280937</v>
      </c>
      <c r="Q253" s="183">
        <f t="shared" si="193"/>
        <v>36693.761427280937</v>
      </c>
      <c r="R253" s="841"/>
      <c r="S253" s="183">
        <f t="shared" si="191"/>
        <v>399587.75510388444</v>
      </c>
    </row>
    <row r="254" spans="2:19">
      <c r="B254" s="589" t="s">
        <v>507</v>
      </c>
      <c r="C254" s="575"/>
      <c r="D254" s="575"/>
      <c r="E254" s="841"/>
      <c r="F254" s="183">
        <f t="shared" ref="F254:Q254" si="194">F13/F6</f>
        <v>35664.026829268296</v>
      </c>
      <c r="G254" s="183">
        <f t="shared" si="194"/>
        <v>47054.797831978321</v>
      </c>
      <c r="H254" s="183">
        <f t="shared" si="194"/>
        <v>37836.253658536589</v>
      </c>
      <c r="I254" s="183">
        <f t="shared" si="194"/>
        <v>35254.855013550135</v>
      </c>
      <c r="J254" s="183">
        <f t="shared" si="194"/>
        <v>32583.526558265581</v>
      </c>
      <c r="K254" s="183">
        <f t="shared" si="194"/>
        <v>39784.135501355013</v>
      </c>
      <c r="L254" s="183">
        <f t="shared" si="194"/>
        <v>31913.614092140921</v>
      </c>
      <c r="M254" s="183">
        <f t="shared" si="194"/>
        <v>62569.927439024388</v>
      </c>
      <c r="N254" s="183">
        <f t="shared" si="194"/>
        <v>62569.927439024388</v>
      </c>
      <c r="O254" s="183">
        <f t="shared" si="194"/>
        <v>62569.927439024388</v>
      </c>
      <c r="P254" s="183">
        <f t="shared" si="194"/>
        <v>64407.701151761517</v>
      </c>
      <c r="Q254" s="183">
        <f t="shared" si="194"/>
        <v>64407.701151761517</v>
      </c>
      <c r="R254" s="841"/>
      <c r="S254" s="183">
        <f t="shared" si="191"/>
        <v>576616.394105691</v>
      </c>
    </row>
    <row r="255" spans="2:19">
      <c r="B255" s="589" t="s">
        <v>508</v>
      </c>
      <c r="C255" s="575"/>
      <c r="D255" s="575"/>
      <c r="E255" s="903"/>
      <c r="F255" s="183">
        <f t="shared" ref="F255:Q255" si="195">F14/F6</f>
        <v>19894.268834688348</v>
      </c>
      <c r="G255" s="183">
        <f t="shared" si="195"/>
        <v>20463.31653116531</v>
      </c>
      <c r="H255" s="183">
        <f t="shared" si="195"/>
        <v>19571.040108401085</v>
      </c>
      <c r="I255" s="183">
        <f t="shared" si="195"/>
        <v>33166.534959349592</v>
      </c>
      <c r="J255" s="183">
        <f t="shared" si="195"/>
        <v>32789.352574525743</v>
      </c>
      <c r="K255" s="183">
        <f t="shared" si="195"/>
        <v>29514.379403794039</v>
      </c>
      <c r="L255" s="183">
        <f t="shared" si="195"/>
        <v>27896.036314363144</v>
      </c>
      <c r="M255" s="183">
        <f t="shared" si="195"/>
        <v>30630.146522131887</v>
      </c>
      <c r="N255" s="183">
        <f t="shared" si="195"/>
        <v>30630.146522131887</v>
      </c>
      <c r="O255" s="183">
        <f t="shared" si="195"/>
        <v>30630.146522131887</v>
      </c>
      <c r="P255" s="183">
        <f t="shared" si="195"/>
        <v>30630.146522131887</v>
      </c>
      <c r="Q255" s="183">
        <f t="shared" si="195"/>
        <v>30630.146522131887</v>
      </c>
      <c r="R255" s="841"/>
      <c r="S255" s="183">
        <f t="shared" si="191"/>
        <v>336445.66133694665</v>
      </c>
    </row>
    <row r="256" spans="2:19">
      <c r="B256" s="589" t="s">
        <v>509</v>
      </c>
      <c r="C256" s="575"/>
      <c r="D256" s="575"/>
      <c r="E256" s="903"/>
      <c r="F256" s="183">
        <f t="shared" ref="F256:Q256" si="196">F15/F6</f>
        <v>161.97479674796747</v>
      </c>
      <c r="G256" s="183">
        <f t="shared" si="196"/>
        <v>3655.549051490515</v>
      </c>
      <c r="H256" s="183">
        <f t="shared" si="196"/>
        <v>-2763.5934959349593</v>
      </c>
      <c r="I256" s="183">
        <f t="shared" si="196"/>
        <v>245.67615176151762</v>
      </c>
      <c r="J256" s="183">
        <f t="shared" si="196"/>
        <v>370.28157181571817</v>
      </c>
      <c r="K256" s="183">
        <f t="shared" si="196"/>
        <v>1062.3981029810298</v>
      </c>
      <c r="L256" s="183">
        <f t="shared" si="196"/>
        <v>194.66422764227642</v>
      </c>
      <c r="M256" s="183">
        <f t="shared" si="196"/>
        <v>3172.5579042457089</v>
      </c>
      <c r="N256" s="183">
        <f t="shared" si="196"/>
        <v>3172.5579042457089</v>
      </c>
      <c r="O256" s="183">
        <f t="shared" si="196"/>
        <v>3172.5579042457089</v>
      </c>
      <c r="P256" s="183">
        <f t="shared" si="196"/>
        <v>3172.5579042457089</v>
      </c>
      <c r="Q256" s="183">
        <f t="shared" si="196"/>
        <v>3172.5579042457089</v>
      </c>
      <c r="R256" s="841"/>
      <c r="S256" s="183">
        <f t="shared" si="191"/>
        <v>18789.739927732608</v>
      </c>
    </row>
    <row r="257" spans="2:19">
      <c r="B257" s="589" t="s">
        <v>510</v>
      </c>
      <c r="C257" s="575"/>
      <c r="D257" s="575"/>
      <c r="E257" s="903"/>
      <c r="F257" s="183">
        <f t="shared" ref="F257:Q257" si="197">F16/F6</f>
        <v>1921.829539295393</v>
      </c>
      <c r="G257" s="183">
        <f t="shared" si="197"/>
        <v>1510.5943089430893</v>
      </c>
      <c r="H257" s="183">
        <f t="shared" si="197"/>
        <v>1489.8520325203251</v>
      </c>
      <c r="I257" s="183">
        <f t="shared" si="197"/>
        <v>1365.4726287262872</v>
      </c>
      <c r="J257" s="183">
        <f t="shared" si="197"/>
        <v>1626.2455284552846</v>
      </c>
      <c r="K257" s="183">
        <f t="shared" si="197"/>
        <v>1504.6325203252034</v>
      </c>
      <c r="L257" s="183">
        <f t="shared" si="197"/>
        <v>1450.8457994579946</v>
      </c>
      <c r="M257" s="183">
        <f t="shared" si="197"/>
        <v>2184.6701219512197</v>
      </c>
      <c r="N257" s="183">
        <f t="shared" si="197"/>
        <v>2184.6701219512197</v>
      </c>
      <c r="O257" s="183">
        <f t="shared" si="197"/>
        <v>2184.6701219512197</v>
      </c>
      <c r="P257" s="183">
        <f t="shared" si="197"/>
        <v>2184.6701219512197</v>
      </c>
      <c r="Q257" s="183">
        <f t="shared" si="197"/>
        <v>2184.6701219512197</v>
      </c>
      <c r="R257" s="841"/>
      <c r="S257" s="183">
        <f t="shared" si="191"/>
        <v>21792.822967479675</v>
      </c>
    </row>
    <row r="258" spans="2:19" ht="15" thickBot="1">
      <c r="B258" s="589"/>
      <c r="C258" s="575"/>
      <c r="D258" s="575"/>
      <c r="E258" s="841"/>
      <c r="F258" s="841"/>
      <c r="G258" s="841"/>
      <c r="H258" s="841"/>
      <c r="I258" s="841"/>
      <c r="J258" s="841"/>
      <c r="K258" s="841"/>
      <c r="L258" s="841"/>
      <c r="M258" s="841"/>
      <c r="N258" s="841"/>
      <c r="O258" s="841"/>
      <c r="P258" s="841"/>
      <c r="Q258" s="841"/>
      <c r="R258" s="841"/>
      <c r="S258" s="841"/>
    </row>
    <row r="259" spans="2:19">
      <c r="B259" s="473" t="s">
        <v>511</v>
      </c>
      <c r="C259" s="860"/>
      <c r="D259" s="860"/>
      <c r="E259" s="904"/>
      <c r="F259" s="904"/>
      <c r="G259" s="904"/>
      <c r="H259" s="904"/>
      <c r="I259" s="904"/>
      <c r="J259" s="904"/>
      <c r="K259" s="904"/>
      <c r="L259" s="904"/>
      <c r="M259" s="904"/>
      <c r="N259" s="904"/>
      <c r="O259" s="904"/>
      <c r="P259" s="904"/>
      <c r="Q259" s="904"/>
      <c r="R259" s="475"/>
      <c r="S259" s="904"/>
    </row>
    <row r="260" spans="2:19">
      <c r="B260" s="589" t="s">
        <v>512</v>
      </c>
      <c r="C260" s="575"/>
      <c r="D260" s="575"/>
      <c r="E260" s="183">
        <f>E27</f>
        <v>84</v>
      </c>
      <c r="F260" s="902"/>
      <c r="G260" s="902"/>
      <c r="H260" s="902"/>
      <c r="I260" s="902"/>
      <c r="J260" s="902"/>
      <c r="K260" s="902"/>
      <c r="L260" s="902"/>
      <c r="M260" s="902"/>
      <c r="N260" s="902"/>
      <c r="O260" s="902"/>
      <c r="P260" s="902"/>
      <c r="Q260" s="902"/>
      <c r="R260" s="841"/>
      <c r="S260" s="902"/>
    </row>
    <row r="261" spans="2:19">
      <c r="B261" s="589" t="s">
        <v>513</v>
      </c>
      <c r="C261" s="575"/>
      <c r="D261" s="575"/>
      <c r="E261" s="183">
        <f>E28</f>
        <v>52</v>
      </c>
      <c r="F261" s="902"/>
      <c r="G261" s="902"/>
      <c r="H261" s="902"/>
      <c r="I261" s="902"/>
      <c r="J261" s="902"/>
      <c r="K261" s="902"/>
      <c r="L261" s="902"/>
      <c r="M261" s="902"/>
      <c r="N261" s="902"/>
      <c r="O261" s="902"/>
      <c r="P261" s="902"/>
      <c r="Q261" s="902"/>
      <c r="R261" s="841"/>
      <c r="S261" s="902"/>
    </row>
    <row r="262" spans="2:19">
      <c r="B262" s="589" t="s">
        <v>514</v>
      </c>
      <c r="C262" s="575"/>
      <c r="D262" s="575"/>
      <c r="E262" s="183">
        <f>E29</f>
        <v>60</v>
      </c>
      <c r="F262" s="902"/>
      <c r="G262" s="902"/>
      <c r="H262" s="902"/>
      <c r="I262" s="902"/>
      <c r="J262" s="902"/>
      <c r="K262" s="902"/>
      <c r="L262" s="902"/>
      <c r="M262" s="902"/>
      <c r="N262" s="902"/>
      <c r="O262" s="902"/>
      <c r="P262" s="902"/>
      <c r="Q262" s="902"/>
      <c r="R262" s="841"/>
      <c r="S262" s="902"/>
    </row>
    <row r="263" spans="2:19">
      <c r="B263" s="589" t="s">
        <v>515</v>
      </c>
      <c r="C263" s="575"/>
      <c r="D263" s="575"/>
      <c r="E263" s="183">
        <f>E30</f>
        <v>7360092</v>
      </c>
      <c r="F263" s="902"/>
      <c r="G263" s="902"/>
      <c r="H263" s="902"/>
      <c r="I263" s="902"/>
      <c r="J263" s="902"/>
      <c r="K263" s="902"/>
      <c r="L263" s="902"/>
      <c r="M263" s="902"/>
      <c r="N263" s="902"/>
      <c r="O263" s="902"/>
      <c r="P263" s="902"/>
      <c r="Q263" s="902"/>
      <c r="R263" s="841"/>
      <c r="S263" s="902"/>
    </row>
    <row r="264" spans="2:19">
      <c r="B264" s="589" t="s">
        <v>516</v>
      </c>
      <c r="C264" s="575"/>
      <c r="D264" s="575"/>
      <c r="E264" s="213">
        <f>E31</f>
        <v>1</v>
      </c>
      <c r="F264" s="902"/>
      <c r="G264" s="902"/>
      <c r="H264" s="902"/>
      <c r="I264" s="902"/>
      <c r="J264" s="902"/>
      <c r="K264" s="902"/>
      <c r="L264" s="902"/>
      <c r="M264" s="902"/>
      <c r="N264" s="902"/>
      <c r="O264" s="902"/>
      <c r="P264" s="902"/>
      <c r="Q264" s="902"/>
      <c r="R264" s="841"/>
      <c r="S264" s="902"/>
    </row>
    <row r="265" spans="2:19" ht="15" thickBot="1">
      <c r="B265" s="589"/>
      <c r="C265" s="575"/>
      <c r="D265" s="575"/>
      <c r="E265" s="841"/>
      <c r="F265" s="841"/>
      <c r="G265" s="841"/>
      <c r="H265" s="841"/>
      <c r="I265" s="841"/>
      <c r="J265" s="841"/>
      <c r="K265" s="841"/>
      <c r="L265" s="841"/>
      <c r="M265" s="841"/>
      <c r="N265" s="841"/>
      <c r="O265" s="841"/>
      <c r="P265" s="841"/>
      <c r="Q265" s="841"/>
      <c r="R265" s="841"/>
      <c r="S265" s="841"/>
    </row>
    <row r="266" spans="2:19">
      <c r="B266" s="473" t="s">
        <v>517</v>
      </c>
      <c r="C266" s="860"/>
      <c r="D266" s="860"/>
      <c r="E266" s="861"/>
      <c r="F266" s="861"/>
      <c r="G266" s="861"/>
      <c r="H266" s="861"/>
      <c r="I266" s="861"/>
      <c r="J266" s="861"/>
      <c r="K266" s="861"/>
      <c r="L266" s="861"/>
      <c r="M266" s="861"/>
      <c r="N266" s="861"/>
      <c r="O266" s="861"/>
      <c r="P266" s="861"/>
      <c r="Q266" s="861"/>
      <c r="R266" s="475"/>
      <c r="S266" s="861"/>
    </row>
    <row r="267" spans="2:19">
      <c r="B267" s="589" t="s">
        <v>518</v>
      </c>
      <c r="C267" s="575"/>
      <c r="D267" s="575"/>
      <c r="E267" s="183">
        <f>E34/F6</f>
        <v>62726.0162601626</v>
      </c>
      <c r="F267" s="903"/>
      <c r="G267" s="903"/>
      <c r="H267" s="903"/>
      <c r="I267" s="903"/>
      <c r="J267" s="903"/>
      <c r="K267" s="903"/>
      <c r="L267" s="903"/>
      <c r="M267" s="903"/>
      <c r="N267" s="903"/>
      <c r="O267" s="903"/>
      <c r="P267" s="903"/>
      <c r="Q267" s="903"/>
      <c r="R267" s="841"/>
      <c r="S267" s="903"/>
    </row>
    <row r="268" spans="2:19">
      <c r="B268" s="589" t="s">
        <v>519</v>
      </c>
      <c r="C268" s="575"/>
      <c r="D268" s="575"/>
      <c r="E268" s="183">
        <f>E35/F6</f>
        <v>496828.18428184284</v>
      </c>
      <c r="F268" s="903"/>
      <c r="G268" s="903"/>
      <c r="H268" s="903"/>
      <c r="I268" s="903"/>
      <c r="J268" s="903"/>
      <c r="K268" s="903"/>
      <c r="L268" s="903"/>
      <c r="M268" s="903"/>
      <c r="N268" s="903"/>
      <c r="O268" s="903"/>
      <c r="P268" s="903"/>
      <c r="Q268" s="903"/>
      <c r="R268" s="841"/>
      <c r="S268" s="903"/>
    </row>
    <row r="269" spans="2:19">
      <c r="B269" s="589" t="s">
        <v>520</v>
      </c>
      <c r="C269" s="575"/>
      <c r="D269" s="575"/>
      <c r="E269" s="183">
        <f>E36/F6</f>
        <v>24939.837398373984</v>
      </c>
      <c r="F269" s="903"/>
      <c r="G269" s="903"/>
      <c r="H269" s="903"/>
      <c r="I269" s="903"/>
      <c r="J269" s="903"/>
      <c r="K269" s="903"/>
      <c r="L269" s="903"/>
      <c r="M269" s="903"/>
      <c r="N269" s="903"/>
      <c r="O269" s="903"/>
      <c r="P269" s="903"/>
      <c r="Q269" s="903"/>
      <c r="R269" s="841"/>
      <c r="S269" s="903"/>
    </row>
    <row r="270" spans="2:19">
      <c r="B270" s="589" t="s">
        <v>521</v>
      </c>
      <c r="C270" s="575"/>
      <c r="D270" s="575"/>
      <c r="E270" s="183">
        <f>E37/F6</f>
        <v>894830.62330623309</v>
      </c>
      <c r="F270" s="903"/>
      <c r="G270" s="903"/>
      <c r="H270" s="903"/>
      <c r="I270" s="903"/>
      <c r="J270" s="903"/>
      <c r="K270" s="903"/>
      <c r="L270" s="903"/>
      <c r="M270" s="903"/>
      <c r="N270" s="903"/>
      <c r="O270" s="903"/>
      <c r="P270" s="903"/>
      <c r="Q270" s="903"/>
      <c r="R270" s="841"/>
      <c r="S270" s="903"/>
    </row>
    <row r="271" spans="2:19">
      <c r="B271" s="589" t="s">
        <v>522</v>
      </c>
      <c r="C271" s="575"/>
      <c r="D271" s="575"/>
      <c r="E271" s="183">
        <f>E38/F6</f>
        <v>56697.018970189703</v>
      </c>
      <c r="F271" s="903"/>
      <c r="G271" s="903"/>
      <c r="H271" s="903"/>
      <c r="I271" s="903"/>
      <c r="J271" s="903"/>
      <c r="K271" s="903"/>
      <c r="L271" s="903"/>
      <c r="M271" s="903"/>
      <c r="N271" s="903"/>
      <c r="O271" s="903"/>
      <c r="P271" s="903"/>
      <c r="Q271" s="903"/>
      <c r="R271" s="841"/>
      <c r="S271" s="903"/>
    </row>
    <row r="272" spans="2:19">
      <c r="B272" s="589" t="s">
        <v>377</v>
      </c>
      <c r="C272" s="575"/>
      <c r="D272" s="575"/>
      <c r="E272" s="183">
        <f>E39/F6</f>
        <v>111111.11111111111</v>
      </c>
      <c r="F272" s="903"/>
      <c r="G272" s="903"/>
      <c r="H272" s="903"/>
      <c r="I272" s="903"/>
      <c r="J272" s="903"/>
      <c r="K272" s="903"/>
      <c r="L272" s="903"/>
      <c r="M272" s="903"/>
      <c r="N272" s="903"/>
      <c r="O272" s="903"/>
      <c r="P272" s="903"/>
      <c r="Q272" s="903"/>
      <c r="R272" s="841"/>
      <c r="S272" s="903"/>
    </row>
    <row r="273" spans="1:21">
      <c r="A273" s="575"/>
      <c r="B273" s="589" t="s">
        <v>523</v>
      </c>
      <c r="C273" s="575"/>
      <c r="D273" s="575"/>
      <c r="E273" s="183">
        <f>E40/F6</f>
        <v>147615.98915989159</v>
      </c>
      <c r="F273" s="903"/>
      <c r="G273" s="903"/>
      <c r="H273" s="903"/>
      <c r="I273" s="903"/>
      <c r="J273" s="903"/>
      <c r="K273" s="903"/>
      <c r="L273" s="903"/>
      <c r="M273" s="903"/>
      <c r="N273" s="903"/>
      <c r="O273" s="903"/>
      <c r="P273" s="903"/>
      <c r="Q273" s="903"/>
      <c r="R273" s="841"/>
      <c r="S273" s="903"/>
      <c r="T273" s="575"/>
      <c r="U273" s="575"/>
    </row>
    <row r="274" spans="1:21">
      <c r="A274" s="575"/>
      <c r="B274" s="589" t="s">
        <v>524</v>
      </c>
      <c r="C274" s="575"/>
      <c r="D274" s="575"/>
      <c r="E274" s="183">
        <f>E41/F6</f>
        <v>719490.24390243902</v>
      </c>
      <c r="F274" s="903"/>
      <c r="G274" s="903"/>
      <c r="H274" s="903"/>
      <c r="I274" s="903"/>
      <c r="J274" s="903"/>
      <c r="K274" s="903"/>
      <c r="L274" s="903"/>
      <c r="M274" s="903"/>
      <c r="N274" s="903"/>
      <c r="O274" s="903"/>
      <c r="P274" s="903"/>
      <c r="Q274" s="903"/>
      <c r="R274" s="841"/>
      <c r="S274" s="903"/>
      <c r="T274" s="575"/>
      <c r="U274" s="575"/>
    </row>
    <row r="275" spans="1:21">
      <c r="A275" s="575"/>
      <c r="B275" s="589" t="s">
        <v>525</v>
      </c>
      <c r="C275" s="575"/>
      <c r="D275" s="575"/>
      <c r="E275" s="183">
        <f>E42/F6</f>
        <v>10860.975609756097</v>
      </c>
      <c r="F275" s="903"/>
      <c r="G275" s="903"/>
      <c r="H275" s="903"/>
      <c r="I275" s="903"/>
      <c r="J275" s="903"/>
      <c r="K275" s="903"/>
      <c r="L275" s="903"/>
      <c r="M275" s="903"/>
      <c r="N275" s="903"/>
      <c r="O275" s="903"/>
      <c r="P275" s="903"/>
      <c r="Q275" s="903"/>
      <c r="R275" s="841"/>
      <c r="S275" s="903"/>
      <c r="T275" s="575"/>
      <c r="U275" s="575"/>
    </row>
    <row r="276" spans="1:21">
      <c r="A276" s="575"/>
      <c r="B276" s="589" t="s">
        <v>526</v>
      </c>
      <c r="C276" s="575"/>
      <c r="D276" s="575"/>
      <c r="E276" s="183">
        <f>E43/F6</f>
        <v>90292.140921409213</v>
      </c>
      <c r="F276" s="903"/>
      <c r="G276" s="903"/>
      <c r="H276" s="903"/>
      <c r="I276" s="903"/>
      <c r="J276" s="903"/>
      <c r="K276" s="903"/>
      <c r="L276" s="903"/>
      <c r="M276" s="903"/>
      <c r="N276" s="903"/>
      <c r="O276" s="903"/>
      <c r="P276" s="903"/>
      <c r="Q276" s="903"/>
      <c r="R276" s="841"/>
      <c r="S276" s="903"/>
      <c r="T276" s="575"/>
      <c r="U276" s="575"/>
    </row>
    <row r="277" spans="1:21">
      <c r="A277" s="575"/>
      <c r="B277" s="589" t="s">
        <v>527</v>
      </c>
      <c r="C277" s="575"/>
      <c r="D277" s="575"/>
      <c r="E277" s="183">
        <f>E44/F6</f>
        <v>21710.298102981029</v>
      </c>
      <c r="F277" s="903"/>
      <c r="G277" s="903"/>
      <c r="H277" s="903"/>
      <c r="I277" s="903"/>
      <c r="J277" s="903"/>
      <c r="K277" s="903"/>
      <c r="L277" s="903"/>
      <c r="M277" s="903"/>
      <c r="N277" s="903"/>
      <c r="O277" s="903"/>
      <c r="P277" s="903"/>
      <c r="Q277" s="903"/>
      <c r="R277" s="841"/>
      <c r="S277" s="903"/>
      <c r="T277" s="575"/>
      <c r="U277" s="575"/>
    </row>
    <row r="278" spans="1:21">
      <c r="A278" s="575"/>
      <c r="B278" s="589" t="s">
        <v>528</v>
      </c>
      <c r="C278" s="575"/>
      <c r="D278" s="575"/>
      <c r="E278" s="183">
        <f>E45/F6</f>
        <v>328005.14905149053</v>
      </c>
      <c r="F278" s="903"/>
      <c r="G278" s="903"/>
      <c r="H278" s="903"/>
      <c r="I278" s="903"/>
      <c r="J278" s="903"/>
      <c r="K278" s="903"/>
      <c r="L278" s="903"/>
      <c r="M278" s="903"/>
      <c r="N278" s="903"/>
      <c r="O278" s="903"/>
      <c r="P278" s="903"/>
      <c r="Q278" s="903"/>
      <c r="R278" s="841"/>
      <c r="S278" s="903"/>
      <c r="T278" s="575"/>
      <c r="U278" s="575"/>
    </row>
    <row r="279" spans="1:21">
      <c r="A279" s="575"/>
      <c r="B279" s="589" t="s">
        <v>529</v>
      </c>
      <c r="C279" s="575"/>
      <c r="D279" s="575"/>
      <c r="E279" s="183">
        <f>E46/F6</f>
        <v>329157.99457994581</v>
      </c>
      <c r="F279" s="903"/>
      <c r="G279" s="903"/>
      <c r="H279" s="903"/>
      <c r="I279" s="903"/>
      <c r="J279" s="903"/>
      <c r="K279" s="903"/>
      <c r="L279" s="903"/>
      <c r="M279" s="903"/>
      <c r="N279" s="903"/>
      <c r="O279" s="903"/>
      <c r="P279" s="903"/>
      <c r="Q279" s="903"/>
      <c r="R279" s="841"/>
      <c r="S279" s="903"/>
      <c r="T279" s="575"/>
      <c r="U279" s="575"/>
    </row>
    <row r="280" spans="1:21">
      <c r="A280" s="575"/>
      <c r="B280" s="589"/>
      <c r="C280" s="575"/>
      <c r="D280" s="575"/>
      <c r="E280" s="841"/>
      <c r="F280" s="841"/>
      <c r="G280" s="841"/>
      <c r="H280" s="841"/>
      <c r="I280" s="841"/>
      <c r="J280" s="841"/>
      <c r="K280" s="841"/>
      <c r="L280" s="841"/>
      <c r="M280" s="841"/>
      <c r="N280" s="841"/>
      <c r="O280" s="841"/>
      <c r="P280" s="841"/>
      <c r="Q280" s="841"/>
      <c r="R280" s="841"/>
      <c r="S280" s="841"/>
      <c r="T280" s="575"/>
      <c r="U280" s="575"/>
    </row>
    <row r="281" spans="1:21" ht="15" thickBot="1">
      <c r="A281" s="575"/>
      <c r="B281" s="589"/>
      <c r="C281" s="575"/>
      <c r="D281" s="575"/>
      <c r="E281" s="841"/>
      <c r="F281" s="841"/>
      <c r="G281" s="841"/>
      <c r="H281" s="841"/>
      <c r="I281" s="841"/>
      <c r="J281" s="841"/>
      <c r="K281" s="841"/>
      <c r="L281" s="841"/>
      <c r="M281" s="841"/>
      <c r="N281" s="841"/>
      <c r="O281" s="841"/>
      <c r="P281" s="841"/>
      <c r="Q281" s="841"/>
      <c r="R281" s="841"/>
      <c r="S281" s="841"/>
      <c r="T281" s="575"/>
      <c r="U281" s="575"/>
    </row>
    <row r="282" spans="1:21">
      <c r="A282" s="583"/>
      <c r="B282" s="473" t="s">
        <v>530</v>
      </c>
      <c r="C282" s="860"/>
      <c r="D282" s="860"/>
      <c r="E282" s="474"/>
      <c r="F282" s="474"/>
      <c r="G282" s="474"/>
      <c r="H282" s="474"/>
      <c r="I282" s="474"/>
      <c r="J282" s="474"/>
      <c r="K282" s="474"/>
      <c r="L282" s="474"/>
      <c r="M282" s="474"/>
      <c r="N282" s="474"/>
      <c r="O282" s="474"/>
      <c r="P282" s="474"/>
      <c r="Q282" s="474"/>
      <c r="R282" s="475"/>
      <c r="S282" s="474"/>
      <c r="T282" s="583"/>
      <c r="U282" s="583"/>
    </row>
    <row r="283" spans="1:21" s="1" customFormat="1" ht="15">
      <c r="A283" s="575"/>
      <c r="B283" s="178"/>
      <c r="C283" s="178"/>
      <c r="D283" s="178"/>
      <c r="E283" s="181"/>
      <c r="F283" s="181"/>
      <c r="G283" s="181"/>
      <c r="H283" s="181"/>
      <c r="I283" s="181"/>
      <c r="J283" s="181"/>
      <c r="K283" s="181"/>
      <c r="L283" s="181"/>
      <c r="M283" s="181"/>
      <c r="N283" s="181"/>
      <c r="O283" s="181"/>
      <c r="P283" s="181"/>
      <c r="Q283" s="181"/>
      <c r="R283" s="841"/>
      <c r="S283" s="181"/>
      <c r="T283" s="575"/>
      <c r="U283" s="575"/>
    </row>
    <row r="284" spans="1:21" ht="30" customHeight="1">
      <c r="A284" s="392"/>
      <c r="B284" s="386"/>
      <c r="C284" s="386"/>
      <c r="D284" s="386"/>
      <c r="E284" s="462">
        <v>2025</v>
      </c>
      <c r="F284" s="461" t="s">
        <v>209</v>
      </c>
      <c r="G284" s="461" t="s">
        <v>324</v>
      </c>
      <c r="H284" s="461" t="s">
        <v>325</v>
      </c>
      <c r="I284" s="461" t="s">
        <v>326</v>
      </c>
      <c r="J284" s="461" t="s">
        <v>327</v>
      </c>
      <c r="K284" s="461" t="s">
        <v>328</v>
      </c>
      <c r="L284" s="461" t="s">
        <v>329</v>
      </c>
      <c r="M284" s="461" t="s">
        <v>330</v>
      </c>
      <c r="N284" s="461" t="s">
        <v>331</v>
      </c>
      <c r="O284" s="461" t="s">
        <v>332</v>
      </c>
      <c r="P284" s="461" t="s">
        <v>333</v>
      </c>
      <c r="Q284" s="461" t="s">
        <v>334</v>
      </c>
      <c r="R284" s="386"/>
      <c r="S284" s="461" t="s">
        <v>16</v>
      </c>
      <c r="T284" s="386"/>
      <c r="U284" s="386"/>
    </row>
    <row r="285" spans="1:21">
      <c r="A285" s="575"/>
      <c r="B285" s="155"/>
      <c r="C285" s="186"/>
      <c r="D285" s="186"/>
      <c r="E285" s="186"/>
      <c r="F285" s="186"/>
      <c r="G285" s="186"/>
      <c r="H285" s="186"/>
      <c r="I285" s="186"/>
      <c r="J285" s="186"/>
      <c r="K285" s="186"/>
      <c r="L285" s="186"/>
      <c r="M285" s="186"/>
      <c r="N285" s="186"/>
      <c r="O285" s="186"/>
      <c r="P285" s="186"/>
      <c r="Q285" s="186"/>
      <c r="R285" s="841"/>
      <c r="S285" s="186"/>
      <c r="T285" s="575"/>
      <c r="U285" s="575"/>
    </row>
    <row r="286" spans="1:21">
      <c r="A286" s="575" t="str">
        <f>B51</f>
        <v>Ingresos Operacionales</v>
      </c>
      <c r="B286" s="155" t="str">
        <f>IF($C$19="USD",U286,A286)</f>
        <v>Revenue</v>
      </c>
      <c r="C286" s="186"/>
      <c r="D286" s="186"/>
      <c r="E286" s="78"/>
      <c r="F286" s="183">
        <f>F51/IF($C$19="USD",F$6,1)</f>
        <v>165920.7861788618</v>
      </c>
      <c r="G286" s="183">
        <f t="shared" ref="G286:Q286" si="198">G51/IF($C$19="USD",G$6,1)</f>
        <v>201685.13197831978</v>
      </c>
      <c r="H286" s="183">
        <f t="shared" si="198"/>
        <v>213290.2945799458</v>
      </c>
      <c r="I286" s="183">
        <f t="shared" si="198"/>
        <v>203487.17127371274</v>
      </c>
      <c r="J286" s="183">
        <f t="shared" si="198"/>
        <v>223987.73604336043</v>
      </c>
      <c r="K286" s="183">
        <f t="shared" si="198"/>
        <v>203645.88455284553</v>
      </c>
      <c r="L286" s="183">
        <f t="shared" si="198"/>
        <v>184252.18211382115</v>
      </c>
      <c r="M286" s="183">
        <f t="shared" si="198"/>
        <v>426456.92992644216</v>
      </c>
      <c r="N286" s="183">
        <f t="shared" si="198"/>
        <v>451230.73945025163</v>
      </c>
      <c r="O286" s="183">
        <f t="shared" si="198"/>
        <v>476004.54897406121</v>
      </c>
      <c r="P286" s="183">
        <f t="shared" si="198"/>
        <v>500778.35849787074</v>
      </c>
      <c r="Q286" s="183">
        <f t="shared" si="198"/>
        <v>525552.16802168021</v>
      </c>
      <c r="R286" s="841"/>
      <c r="S286" s="183">
        <f>SUM(F286:Q286)</f>
        <v>3776291.9315911736</v>
      </c>
      <c r="T286" s="760">
        <f>S286/$S$286</f>
        <v>1</v>
      </c>
      <c r="U286" s="575" t="s">
        <v>531</v>
      </c>
    </row>
    <row r="287" spans="1:21">
      <c r="A287" s="575" t="str">
        <f>B52</f>
        <v>Costo de Ventas</v>
      </c>
      <c r="B287" s="155" t="str">
        <f>IF($C$19="USD",U287,A287)</f>
        <v>Cost of Goods Sold</v>
      </c>
      <c r="C287" s="186"/>
      <c r="D287" s="186"/>
      <c r="E287" s="78"/>
      <c r="F287" s="183">
        <f>F52/IF($C$19="USD",F$6,1)</f>
        <v>64643.846612466128</v>
      </c>
      <c r="G287" s="183">
        <f t="shared" ref="G287:Q287" si="199">G52/IF($C$19="USD",G$6,1)</f>
        <v>93037.612737127376</v>
      </c>
      <c r="H287" s="183">
        <f t="shared" si="199"/>
        <v>123479.45826558265</v>
      </c>
      <c r="I287" s="183">
        <f t="shared" si="199"/>
        <v>102784.17181571816</v>
      </c>
      <c r="J287" s="183">
        <f t="shared" si="199"/>
        <v>96333.475067750682</v>
      </c>
      <c r="K287" s="183">
        <f t="shared" si="199"/>
        <v>94438.375609756098</v>
      </c>
      <c r="L287" s="183">
        <f t="shared" si="199"/>
        <v>87240.606504065043</v>
      </c>
      <c r="M287" s="183">
        <f t="shared" si="199"/>
        <v>95534.162714543796</v>
      </c>
      <c r="N287" s="183">
        <f t="shared" si="199"/>
        <v>95534.162714543796</v>
      </c>
      <c r="O287" s="183">
        <f t="shared" si="199"/>
        <v>95534.162714543796</v>
      </c>
      <c r="P287" s="183">
        <f t="shared" si="199"/>
        <v>98252.091982836486</v>
      </c>
      <c r="Q287" s="183">
        <f t="shared" si="199"/>
        <v>98252.091982836486</v>
      </c>
      <c r="R287" s="841"/>
      <c r="S287" s="183">
        <f>SUM(F287:Q287)</f>
        <v>1145064.2187217704</v>
      </c>
      <c r="T287" s="760">
        <f t="shared" ref="T287:T305" si="200">S287/$S$286</f>
        <v>0.30322449626909209</v>
      </c>
      <c r="U287" s="575" t="s">
        <v>532</v>
      </c>
    </row>
    <row r="288" spans="1:21">
      <c r="A288" s="575" t="str">
        <f>B53</f>
        <v>Utilidad Bruta</v>
      </c>
      <c r="B288" s="188" t="str">
        <f>IF($C$19="USD",U288,A288)</f>
        <v>Gross Profit</v>
      </c>
      <c r="C288" s="189"/>
      <c r="D288" s="189"/>
      <c r="E288" s="79"/>
      <c r="F288" s="190">
        <f>F53/IF($C$19="USD",F$6,1)</f>
        <v>101276.93956639567</v>
      </c>
      <c r="G288" s="190">
        <f t="shared" ref="G288:Q288" si="201">G53/IF($C$19="USD",G$6,1)</f>
        <v>108647.51924119241</v>
      </c>
      <c r="H288" s="190">
        <f t="shared" si="201"/>
        <v>89810.836314363143</v>
      </c>
      <c r="I288" s="190">
        <f t="shared" si="201"/>
        <v>100702.99945799458</v>
      </c>
      <c r="J288" s="190">
        <f t="shared" si="201"/>
        <v>127654.26097560975</v>
      </c>
      <c r="K288" s="190">
        <f t="shared" si="201"/>
        <v>109207.50894308943</v>
      </c>
      <c r="L288" s="190">
        <f t="shared" si="201"/>
        <v>97011.575609756095</v>
      </c>
      <c r="M288" s="190">
        <f t="shared" si="201"/>
        <v>330922.76721189829</v>
      </c>
      <c r="N288" s="190">
        <f t="shared" si="201"/>
        <v>355696.57673570781</v>
      </c>
      <c r="O288" s="190">
        <f t="shared" si="201"/>
        <v>380470.38625951746</v>
      </c>
      <c r="P288" s="190">
        <f t="shared" si="201"/>
        <v>402526.26651503425</v>
      </c>
      <c r="Q288" s="190">
        <f t="shared" si="201"/>
        <v>427300.07603884378</v>
      </c>
      <c r="R288" s="841"/>
      <c r="S288" s="190">
        <f>SUM(F288:Q288)</f>
        <v>2631227.712869403</v>
      </c>
      <c r="T288" s="760">
        <f t="shared" si="200"/>
        <v>0.6967755037309078</v>
      </c>
      <c r="U288" s="575" t="s">
        <v>533</v>
      </c>
    </row>
    <row r="289" spans="1:21">
      <c r="A289" s="575" t="str">
        <f>B54</f>
        <v xml:space="preserve">  Margen Bruto %</v>
      </c>
      <c r="B289" s="191" t="str">
        <f>IF($C$19="USD",U289,A289)</f>
        <v xml:space="preserve">  Gross Margin %</v>
      </c>
      <c r="C289" s="192"/>
      <c r="D289" s="192"/>
      <c r="E289" s="71"/>
      <c r="F289" s="325">
        <f t="shared" ref="F289:Q289" si="202">F54</f>
        <v>0.6103933202029288</v>
      </c>
      <c r="G289" s="325">
        <f t="shared" si="202"/>
        <v>0.53869870414082643</v>
      </c>
      <c r="H289" s="325">
        <f t="shared" si="202"/>
        <v>0.42107324429007298</v>
      </c>
      <c r="I289" s="325">
        <f t="shared" si="202"/>
        <v>0.49488623202952642</v>
      </c>
      <c r="J289" s="325">
        <f t="shared" si="202"/>
        <v>0.56991629644802488</v>
      </c>
      <c r="K289" s="325">
        <f t="shared" si="202"/>
        <v>0.53626180162138459</v>
      </c>
      <c r="L289" s="325">
        <f t="shared" si="202"/>
        <v>0.52651520593567536</v>
      </c>
      <c r="M289" s="325">
        <f t="shared" si="202"/>
        <v>0.7759816853462268</v>
      </c>
      <c r="N289" s="325">
        <f t="shared" si="202"/>
        <v>0.78828090738911971</v>
      </c>
      <c r="O289" s="325">
        <f t="shared" si="202"/>
        <v>0.79929989551475966</v>
      </c>
      <c r="P289" s="325">
        <f t="shared" si="202"/>
        <v>0.80380124197548719</v>
      </c>
      <c r="Q289" s="325">
        <f t="shared" si="202"/>
        <v>0.81304978275956175</v>
      </c>
      <c r="R289" s="841"/>
      <c r="S289" s="325">
        <f>IF(S286=0,0,S288/S286)</f>
        <v>0.6967755037309078</v>
      </c>
      <c r="T289" s="760">
        <f t="shared" si="200"/>
        <v>1.8451314579307838E-7</v>
      </c>
      <c r="U289" s="575" t="s">
        <v>534</v>
      </c>
    </row>
    <row r="290" spans="1:21">
      <c r="A290" s="575"/>
      <c r="B290" s="155"/>
      <c r="C290" s="186"/>
      <c r="D290" s="186"/>
      <c r="E290" s="186"/>
      <c r="F290" s="186"/>
      <c r="G290" s="186"/>
      <c r="H290" s="186"/>
      <c r="I290" s="186"/>
      <c r="J290" s="186"/>
      <c r="K290" s="186"/>
      <c r="L290" s="186"/>
      <c r="M290" s="186"/>
      <c r="N290" s="186"/>
      <c r="O290" s="186"/>
      <c r="P290" s="186"/>
      <c r="Q290" s="186"/>
      <c r="R290" s="841"/>
      <c r="S290" s="186"/>
      <c r="T290" s="760">
        <f t="shared" si="200"/>
        <v>0</v>
      </c>
      <c r="U290" s="575"/>
    </row>
    <row r="291" spans="1:21">
      <c r="A291" s="575" t="str">
        <f t="shared" ref="A291:A297" si="203">B56</f>
        <v>Gastos Administrativos</v>
      </c>
      <c r="B291" s="155" t="str">
        <f t="shared" ref="B291:B297" si="204">IF($C$19="USD",U291,A291)</f>
        <v>Operating Admin Expenses</v>
      </c>
      <c r="C291" s="186"/>
      <c r="D291" s="186"/>
      <c r="E291" s="78"/>
      <c r="F291" s="183">
        <f t="shared" ref="F291:F296" si="205">F56/IF($C$19="USD",F$6,1)</f>
        <v>26754.047425474255</v>
      </c>
      <c r="G291" s="183">
        <f t="shared" ref="G291:Q291" si="206">G56/IF($C$19="USD",G$6,1)</f>
        <v>28626.957181571815</v>
      </c>
      <c r="H291" s="183">
        <f t="shared" si="206"/>
        <v>38431.39972899729</v>
      </c>
      <c r="I291" s="183">
        <f t="shared" si="206"/>
        <v>30970.430081300812</v>
      </c>
      <c r="J291" s="183">
        <f t="shared" si="206"/>
        <v>31655.507859078592</v>
      </c>
      <c r="K291" s="183">
        <f t="shared" si="206"/>
        <v>30430.540108401085</v>
      </c>
      <c r="L291" s="183">
        <f t="shared" si="206"/>
        <v>29250.065582655825</v>
      </c>
      <c r="M291" s="183">
        <f t="shared" si="206"/>
        <v>36693.761427280937</v>
      </c>
      <c r="N291" s="183">
        <f t="shared" si="206"/>
        <v>36693.761427280937</v>
      </c>
      <c r="O291" s="183">
        <f t="shared" si="206"/>
        <v>36693.761427280937</v>
      </c>
      <c r="P291" s="183">
        <f t="shared" si="206"/>
        <v>36693.761427280937</v>
      </c>
      <c r="Q291" s="183">
        <f t="shared" si="206"/>
        <v>36693.761427280937</v>
      </c>
      <c r="R291" s="841"/>
      <c r="S291" s="183">
        <f t="shared" ref="S291:S296" si="207">SUM(F291:Q291)</f>
        <v>399587.75510388444</v>
      </c>
      <c r="T291" s="760">
        <f t="shared" si="200"/>
        <v>0.10581484756543032</v>
      </c>
      <c r="U291" s="575" t="s">
        <v>535</v>
      </c>
    </row>
    <row r="292" spans="1:21">
      <c r="A292" s="575" t="str">
        <f t="shared" si="203"/>
        <v>Gastos de Ventas</v>
      </c>
      <c r="B292" s="188" t="str">
        <f t="shared" si="204"/>
        <v>Operating Sales Expenses</v>
      </c>
      <c r="C292" s="189"/>
      <c r="D292" s="189"/>
      <c r="E292" s="79"/>
      <c r="F292" s="190">
        <f t="shared" si="205"/>
        <v>35664.026829268296</v>
      </c>
      <c r="G292" s="190">
        <f t="shared" ref="G292:Q292" si="208">G57/IF($C$19="USD",G$6,1)</f>
        <v>47054.797831978321</v>
      </c>
      <c r="H292" s="190">
        <f t="shared" si="208"/>
        <v>37836.253658536589</v>
      </c>
      <c r="I292" s="190">
        <f t="shared" si="208"/>
        <v>35254.855013550135</v>
      </c>
      <c r="J292" s="190">
        <f t="shared" si="208"/>
        <v>32583.526558265581</v>
      </c>
      <c r="K292" s="190">
        <f t="shared" si="208"/>
        <v>39784.135501355013</v>
      </c>
      <c r="L292" s="190">
        <f t="shared" si="208"/>
        <v>31913.614092140921</v>
      </c>
      <c r="M292" s="190">
        <f t="shared" si="208"/>
        <v>62569.927439024388</v>
      </c>
      <c r="N292" s="190">
        <f t="shared" si="208"/>
        <v>62569.927439024388</v>
      </c>
      <c r="O292" s="190">
        <f t="shared" si="208"/>
        <v>62569.927439024388</v>
      </c>
      <c r="P292" s="190">
        <f t="shared" si="208"/>
        <v>64407.701151761517</v>
      </c>
      <c r="Q292" s="190">
        <f t="shared" si="208"/>
        <v>64407.701151761517</v>
      </c>
      <c r="R292" s="841"/>
      <c r="S292" s="190">
        <f t="shared" si="207"/>
        <v>576616.394105691</v>
      </c>
      <c r="T292" s="760">
        <f t="shared" si="200"/>
        <v>0.15269380772230939</v>
      </c>
      <c r="U292" s="575" t="s">
        <v>536</v>
      </c>
    </row>
    <row r="293" spans="1:21">
      <c r="A293" s="575" t="str">
        <f t="shared" si="203"/>
        <v>Gastos Operativos/Proyectos</v>
      </c>
      <c r="B293" s="155" t="str">
        <f t="shared" si="204"/>
        <v>Operating Project Expenses</v>
      </c>
      <c r="C293" s="186"/>
      <c r="D293" s="186"/>
      <c r="E293" s="78"/>
      <c r="F293" s="183">
        <f t="shared" si="205"/>
        <v>19894.268834688348</v>
      </c>
      <c r="G293" s="183">
        <f t="shared" ref="G293:Q293" si="209">G58/IF($C$19="USD",G$6,1)</f>
        <v>20463.31653116531</v>
      </c>
      <c r="H293" s="183">
        <f t="shared" si="209"/>
        <v>19571.040108401085</v>
      </c>
      <c r="I293" s="183">
        <f t="shared" si="209"/>
        <v>33166.534959349592</v>
      </c>
      <c r="J293" s="183">
        <f t="shared" si="209"/>
        <v>32789.352574525743</v>
      </c>
      <c r="K293" s="183">
        <f t="shared" si="209"/>
        <v>29514.379403794039</v>
      </c>
      <c r="L293" s="183">
        <f t="shared" si="209"/>
        <v>27896.036314363144</v>
      </c>
      <c r="M293" s="183">
        <f t="shared" si="209"/>
        <v>30630.146522131887</v>
      </c>
      <c r="N293" s="183">
        <f t="shared" si="209"/>
        <v>30630.146522131887</v>
      </c>
      <c r="O293" s="183">
        <f t="shared" si="209"/>
        <v>30630.146522131887</v>
      </c>
      <c r="P293" s="183">
        <f t="shared" si="209"/>
        <v>30630.146522131887</v>
      </c>
      <c r="Q293" s="183">
        <f t="shared" si="209"/>
        <v>30630.146522131887</v>
      </c>
      <c r="R293" s="841"/>
      <c r="S293" s="183">
        <f t="shared" si="207"/>
        <v>336445.66133694665</v>
      </c>
      <c r="T293" s="760">
        <f t="shared" si="200"/>
        <v>8.9094187481205234E-2</v>
      </c>
      <c r="U293" s="575" t="s">
        <v>537</v>
      </c>
    </row>
    <row r="294" spans="1:21" s="1" customFormat="1" ht="15">
      <c r="A294" s="575" t="str">
        <f t="shared" si="203"/>
        <v>EBITDA</v>
      </c>
      <c r="B294" s="155" t="str">
        <f t="shared" si="204"/>
        <v>EBITDA</v>
      </c>
      <c r="C294" s="186"/>
      <c r="D294" s="186"/>
      <c r="E294" s="183">
        <f t="shared" ref="E294" si="210">E59/E6</f>
        <v>0</v>
      </c>
      <c r="F294" s="183">
        <f t="shared" si="205"/>
        <v>18964.596476964769</v>
      </c>
      <c r="G294" s="183">
        <f t="shared" ref="G294:Q294" si="211">G59/IF($C$19="USD",G$6,1)</f>
        <v>12502.447696476966</v>
      </c>
      <c r="H294" s="183">
        <f t="shared" si="211"/>
        <v>-6027.857181571816</v>
      </c>
      <c r="I294" s="183">
        <f t="shared" si="211"/>
        <v>1311.1794037940379</v>
      </c>
      <c r="J294" s="183">
        <f t="shared" si="211"/>
        <v>30625.873983739839</v>
      </c>
      <c r="K294" s="183">
        <f t="shared" si="211"/>
        <v>9478.4539295392951</v>
      </c>
      <c r="L294" s="183">
        <f t="shared" si="211"/>
        <v>7951.8596205962058</v>
      </c>
      <c r="M294" s="183">
        <f t="shared" si="211"/>
        <v>201028.93182346105</v>
      </c>
      <c r="N294" s="183">
        <f t="shared" si="211"/>
        <v>225802.74134727058</v>
      </c>
      <c r="O294" s="183">
        <f t="shared" si="211"/>
        <v>250576.5508710802</v>
      </c>
      <c r="P294" s="183">
        <f t="shared" si="211"/>
        <v>270794.65741385991</v>
      </c>
      <c r="Q294" s="183">
        <f t="shared" si="211"/>
        <v>295568.46693766938</v>
      </c>
      <c r="R294" s="841"/>
      <c r="S294" s="183">
        <f t="shared" si="207"/>
        <v>1318577.9023228802</v>
      </c>
      <c r="T294" s="760">
        <f t="shared" si="200"/>
        <v>0.34917266096196276</v>
      </c>
      <c r="U294" s="575" t="s">
        <v>278</v>
      </c>
    </row>
    <row r="295" spans="1:21" s="1" customFormat="1" ht="15">
      <c r="A295" s="575" t="str">
        <f t="shared" si="203"/>
        <v>(-) Depreciación y Amortización</v>
      </c>
      <c r="B295" s="155" t="str">
        <f t="shared" si="204"/>
        <v>(-) Depreciation &amp; Amortization</v>
      </c>
      <c r="C295" s="186"/>
      <c r="D295" s="186"/>
      <c r="E295" s="183">
        <f t="shared" ref="E295" si="212">E60/E6</f>
        <v>0</v>
      </c>
      <c r="F295" s="183">
        <f t="shared" si="205"/>
        <v>0</v>
      </c>
      <c r="G295" s="183">
        <f t="shared" ref="G295:Q295" si="213">G60/IF($C$19="USD",G$6,1)</f>
        <v>0</v>
      </c>
      <c r="H295" s="183">
        <f t="shared" si="213"/>
        <v>0</v>
      </c>
      <c r="I295" s="183">
        <f t="shared" si="213"/>
        <v>0</v>
      </c>
      <c r="J295" s="183">
        <f t="shared" si="213"/>
        <v>0</v>
      </c>
      <c r="K295" s="183">
        <f t="shared" si="213"/>
        <v>0</v>
      </c>
      <c r="L295" s="183">
        <f t="shared" si="213"/>
        <v>0</v>
      </c>
      <c r="M295" s="183">
        <f t="shared" si="213"/>
        <v>1020.6662782294491</v>
      </c>
      <c r="N295" s="183">
        <f t="shared" si="213"/>
        <v>1036.8985882264378</v>
      </c>
      <c r="O295" s="183">
        <f t="shared" si="213"/>
        <v>1052.8603597234769</v>
      </c>
      <c r="P295" s="183">
        <f t="shared" si="213"/>
        <v>1068.5561016955653</v>
      </c>
      <c r="Q295" s="183">
        <f t="shared" si="213"/>
        <v>1083.9902479681189</v>
      </c>
      <c r="R295" s="841"/>
      <c r="S295" s="183">
        <f t="shared" si="207"/>
        <v>5262.9715758430475</v>
      </c>
      <c r="T295" s="760">
        <f t="shared" si="200"/>
        <v>1.3936876891891799E-3</v>
      </c>
      <c r="U295" s="575" t="s">
        <v>538</v>
      </c>
    </row>
    <row r="296" spans="1:21" s="1" customFormat="1" ht="15">
      <c r="A296" s="575" t="str">
        <f t="shared" si="203"/>
        <v>EBIT (Utilidad Operativa)</v>
      </c>
      <c r="B296" s="188" t="str">
        <f t="shared" si="204"/>
        <v>EBIT (Operating Income)</v>
      </c>
      <c r="C296" s="189"/>
      <c r="D296" s="189"/>
      <c r="E296" s="79"/>
      <c r="F296" s="190">
        <f t="shared" si="205"/>
        <v>18964.596476964769</v>
      </c>
      <c r="G296" s="190">
        <f t="shared" ref="G296:Q296" si="214">G61/IF($C$19="USD",G$6,1)</f>
        <v>12502.447696476966</v>
      </c>
      <c r="H296" s="190">
        <f t="shared" si="214"/>
        <v>-6027.857181571816</v>
      </c>
      <c r="I296" s="190">
        <f t="shared" si="214"/>
        <v>1311.1794037940379</v>
      </c>
      <c r="J296" s="190">
        <f t="shared" si="214"/>
        <v>30625.873983739839</v>
      </c>
      <c r="K296" s="190">
        <f t="shared" si="214"/>
        <v>9478.4539295392951</v>
      </c>
      <c r="L296" s="190">
        <f t="shared" si="214"/>
        <v>7951.8596205962058</v>
      </c>
      <c r="M296" s="190">
        <f t="shared" si="214"/>
        <v>200008.26554523161</v>
      </c>
      <c r="N296" s="190">
        <f t="shared" si="214"/>
        <v>224765.84275904411</v>
      </c>
      <c r="O296" s="190">
        <f t="shared" si="214"/>
        <v>249523.69051135672</v>
      </c>
      <c r="P296" s="190">
        <f t="shared" si="214"/>
        <v>269726.10131216433</v>
      </c>
      <c r="Q296" s="190">
        <f t="shared" si="214"/>
        <v>294484.47668970126</v>
      </c>
      <c r="R296" s="841"/>
      <c r="S296" s="190">
        <f t="shared" si="207"/>
        <v>1313314.9307470373</v>
      </c>
      <c r="T296" s="760">
        <f t="shared" si="200"/>
        <v>0.34777897327277357</v>
      </c>
      <c r="U296" s="575" t="s">
        <v>539</v>
      </c>
    </row>
    <row r="297" spans="1:21">
      <c r="A297" s="575" t="str">
        <f t="shared" si="203"/>
        <v xml:space="preserve">  Margen EBIT %</v>
      </c>
      <c r="B297" s="191" t="str">
        <f t="shared" si="204"/>
        <v xml:space="preserve">  EBIT Margin %</v>
      </c>
      <c r="C297" s="192"/>
      <c r="D297" s="192"/>
      <c r="E297" s="71"/>
      <c r="F297" s="325">
        <f t="shared" ref="F297:Q297" si="215">F62</f>
        <v>0.11429909967109864</v>
      </c>
      <c r="G297" s="325">
        <f t="shared" si="215"/>
        <v>6.1989932395318657E-2</v>
      </c>
      <c r="H297" s="325">
        <f t="shared" si="215"/>
        <v>-2.8261282087134278E-2</v>
      </c>
      <c r="I297" s="325">
        <f t="shared" si="215"/>
        <v>6.4435482373989888E-3</v>
      </c>
      <c r="J297" s="325">
        <f t="shared" si="215"/>
        <v>0.13673013766169395</v>
      </c>
      <c r="K297" s="325">
        <f t="shared" si="215"/>
        <v>4.6543802986009589E-2</v>
      </c>
      <c r="L297" s="325">
        <f t="shared" si="215"/>
        <v>4.3157478676067854E-2</v>
      </c>
      <c r="M297" s="325">
        <f t="shared" si="215"/>
        <v>0.46899991888918358</v>
      </c>
      <c r="N297" s="325">
        <f t="shared" si="215"/>
        <v>0.49811731140676119</v>
      </c>
      <c r="O297" s="325">
        <f t="shared" si="215"/>
        <v>0.5242044241996392</v>
      </c>
      <c r="P297" s="325">
        <f t="shared" si="215"/>
        <v>0.53861373347129415</v>
      </c>
      <c r="Q297" s="325">
        <f t="shared" si="215"/>
        <v>0.56033348277911232</v>
      </c>
      <c r="R297" s="841"/>
      <c r="S297" s="325">
        <f>IF(S286=0,0,S296/S286)</f>
        <v>0.34777897327277357</v>
      </c>
      <c r="T297" s="760">
        <f t="shared" si="200"/>
        <v>9.2095362215874521E-8</v>
      </c>
      <c r="U297" s="575" t="s">
        <v>540</v>
      </c>
    </row>
    <row r="298" spans="1:21">
      <c r="A298" s="575"/>
      <c r="B298" s="155"/>
      <c r="C298" s="186"/>
      <c r="D298" s="186"/>
      <c r="E298" s="186"/>
      <c r="F298" s="186"/>
      <c r="G298" s="186"/>
      <c r="H298" s="186"/>
      <c r="I298" s="186"/>
      <c r="J298" s="186"/>
      <c r="K298" s="186"/>
      <c r="L298" s="186"/>
      <c r="M298" s="186"/>
      <c r="N298" s="186"/>
      <c r="O298" s="186"/>
      <c r="P298" s="186"/>
      <c r="Q298" s="186"/>
      <c r="R298" s="841"/>
      <c r="S298" s="186"/>
      <c r="T298" s="760">
        <f t="shared" si="200"/>
        <v>0</v>
      </c>
      <c r="U298" s="575"/>
    </row>
    <row r="299" spans="1:21">
      <c r="A299" s="575" t="str">
        <f>B64</f>
        <v>Ingresos No Operacionales</v>
      </c>
      <c r="B299" s="155" t="str">
        <f>IF($C$19="USD",U299,A299)</f>
        <v>Non-Operating Income</v>
      </c>
      <c r="C299" s="186"/>
      <c r="D299" s="186"/>
      <c r="E299" s="78"/>
      <c r="F299" s="183">
        <f>F64/IF($C$19="USD",F$6,1)</f>
        <v>161.97479674796747</v>
      </c>
      <c r="G299" s="183">
        <f t="shared" ref="G299:Q299" si="216">G64/IF($C$19="USD",G$6,1)</f>
        <v>3655.549051490515</v>
      </c>
      <c r="H299" s="183">
        <f t="shared" si="216"/>
        <v>-2763.5934959349593</v>
      </c>
      <c r="I299" s="183">
        <f t="shared" si="216"/>
        <v>245.67615176151762</v>
      </c>
      <c r="J299" s="183">
        <f t="shared" si="216"/>
        <v>370.28157181571817</v>
      </c>
      <c r="K299" s="183">
        <f t="shared" si="216"/>
        <v>1062.3981029810298</v>
      </c>
      <c r="L299" s="183">
        <f t="shared" si="216"/>
        <v>194.66422764227642</v>
      </c>
      <c r="M299" s="183">
        <f t="shared" si="216"/>
        <v>3172.5579042457089</v>
      </c>
      <c r="N299" s="183">
        <f t="shared" si="216"/>
        <v>3172.5579042457089</v>
      </c>
      <c r="O299" s="183">
        <f t="shared" si="216"/>
        <v>3172.5579042457089</v>
      </c>
      <c r="P299" s="183">
        <f t="shared" si="216"/>
        <v>3172.5579042457089</v>
      </c>
      <c r="Q299" s="183">
        <f t="shared" si="216"/>
        <v>3172.5579042457089</v>
      </c>
      <c r="R299" s="841"/>
      <c r="S299" s="183">
        <f>SUM(F299:Q299)</f>
        <v>18789.739927732608</v>
      </c>
      <c r="T299" s="760">
        <f t="shared" si="200"/>
        <v>4.9757116949947743E-3</v>
      </c>
      <c r="U299" s="575" t="s">
        <v>541</v>
      </c>
    </row>
    <row r="300" spans="1:21">
      <c r="A300" s="575" t="str">
        <f>B65</f>
        <v>Gastos No Operacionales</v>
      </c>
      <c r="B300" s="155" t="str">
        <f>IF($C$19="USD",U300,A300)</f>
        <v>Non-Operating Expenses</v>
      </c>
      <c r="C300" s="186"/>
      <c r="D300" s="186"/>
      <c r="E300" s="78"/>
      <c r="F300" s="183">
        <f>F65/IF($C$19="USD",F$6,1)</f>
        <v>1921.829539295393</v>
      </c>
      <c r="G300" s="183">
        <f t="shared" ref="G300:Q300" si="217">G65/IF($C$19="USD",G$6,1)</f>
        <v>1510.5943089430893</v>
      </c>
      <c r="H300" s="183">
        <f t="shared" si="217"/>
        <v>1489.8520325203251</v>
      </c>
      <c r="I300" s="183">
        <f t="shared" si="217"/>
        <v>1365.4726287262872</v>
      </c>
      <c r="J300" s="183">
        <f t="shared" si="217"/>
        <v>1626.2455284552846</v>
      </c>
      <c r="K300" s="183">
        <f t="shared" si="217"/>
        <v>1504.6325203252034</v>
      </c>
      <c r="L300" s="183">
        <f t="shared" si="217"/>
        <v>1450.8457994579946</v>
      </c>
      <c r="M300" s="183">
        <f t="shared" si="217"/>
        <v>2420.7929652213188</v>
      </c>
      <c r="N300" s="183">
        <f t="shared" si="217"/>
        <v>2420.7929652213188</v>
      </c>
      <c r="O300" s="183">
        <f t="shared" si="217"/>
        <v>2420.7929652213188</v>
      </c>
      <c r="P300" s="183">
        <f t="shared" si="217"/>
        <v>2420.7929652213188</v>
      </c>
      <c r="Q300" s="183">
        <f t="shared" si="217"/>
        <v>2420.7929652213188</v>
      </c>
      <c r="R300" s="841"/>
      <c r="S300" s="183">
        <f>SUM(F300:Q300)</f>
        <v>22973.437183830174</v>
      </c>
      <c r="T300" s="760">
        <f t="shared" si="200"/>
        <v>6.0835967133902481E-3</v>
      </c>
      <c r="U300" s="575" t="s">
        <v>542</v>
      </c>
    </row>
    <row r="301" spans="1:21">
      <c r="A301" s="575"/>
      <c r="B301" s="155"/>
      <c r="C301" s="186"/>
      <c r="D301" s="186"/>
      <c r="E301" s="78"/>
      <c r="F301" s="78"/>
      <c r="G301" s="78"/>
      <c r="H301" s="78"/>
      <c r="I301" s="78"/>
      <c r="J301" s="78"/>
      <c r="K301" s="78"/>
      <c r="L301" s="78"/>
      <c r="M301" s="78"/>
      <c r="N301" s="78"/>
      <c r="O301" s="78"/>
      <c r="P301" s="78"/>
      <c r="Q301" s="78"/>
      <c r="R301" s="841"/>
      <c r="S301" s="78"/>
      <c r="T301" s="760">
        <f t="shared" si="200"/>
        <v>0</v>
      </c>
      <c r="U301" s="575"/>
    </row>
    <row r="302" spans="1:21">
      <c r="A302" s="575" t="str">
        <f>B67</f>
        <v>Utilidad Antes de Impuestos (UAI)</v>
      </c>
      <c r="B302" s="188" t="str">
        <f>IF($C$19="USD",U302,A302)</f>
        <v>Earnings Before Taxes (EBT)</v>
      </c>
      <c r="C302" s="189"/>
      <c r="D302" s="189"/>
      <c r="E302" s="79"/>
      <c r="F302" s="190">
        <f>F67/IF($C$19="USD",F$6,1)</f>
        <v>17204.741734417345</v>
      </c>
      <c r="G302" s="190">
        <f t="shared" ref="G302:Q302" si="218">G67/IF($C$19="USD",G$6,1)</f>
        <v>14647.40243902439</v>
      </c>
      <c r="H302" s="190">
        <f t="shared" si="218"/>
        <v>-10281.302710027101</v>
      </c>
      <c r="I302" s="190">
        <f t="shared" si="218"/>
        <v>191.38292682926829</v>
      </c>
      <c r="J302" s="190">
        <f t="shared" si="218"/>
        <v>29369.910027100272</v>
      </c>
      <c r="K302" s="190">
        <f t="shared" si="218"/>
        <v>9036.2195121951227</v>
      </c>
      <c r="L302" s="190">
        <f t="shared" si="218"/>
        <v>6695.6780487804881</v>
      </c>
      <c r="M302" s="190">
        <f t="shared" si="218"/>
        <v>200760.03048425599</v>
      </c>
      <c r="N302" s="190">
        <f t="shared" si="218"/>
        <v>225517.60769806852</v>
      </c>
      <c r="O302" s="190">
        <f t="shared" si="218"/>
        <v>250275.45545038109</v>
      </c>
      <c r="P302" s="190">
        <f t="shared" si="218"/>
        <v>270477.86625118874</v>
      </c>
      <c r="Q302" s="190">
        <f t="shared" si="218"/>
        <v>295236.24162872566</v>
      </c>
      <c r="R302" s="841"/>
      <c r="S302" s="190">
        <f>SUM(F302:Q302)</f>
        <v>1309131.2334909397</v>
      </c>
      <c r="T302" s="760">
        <f t="shared" si="200"/>
        <v>0.34667108825437809</v>
      </c>
      <c r="U302" s="575" t="s">
        <v>543</v>
      </c>
    </row>
    <row r="303" spans="1:21">
      <c r="A303" s="575"/>
      <c r="B303" s="155"/>
      <c r="C303" s="186"/>
      <c r="D303" s="186"/>
      <c r="E303" s="78"/>
      <c r="F303" s="78"/>
      <c r="G303" s="78"/>
      <c r="H303" s="78"/>
      <c r="I303" s="78"/>
      <c r="J303" s="78"/>
      <c r="K303" s="78"/>
      <c r="L303" s="78"/>
      <c r="M303" s="78"/>
      <c r="N303" s="78"/>
      <c r="O303" s="78"/>
      <c r="P303" s="78"/>
      <c r="Q303" s="78"/>
      <c r="R303" s="841"/>
      <c r="S303" s="78"/>
      <c r="T303" s="760">
        <f t="shared" si="200"/>
        <v>0</v>
      </c>
      <c r="U303" s="575"/>
    </row>
    <row r="304" spans="1:21">
      <c r="A304" s="575" t="str">
        <f>B69</f>
        <v>Impuesto de Renta</v>
      </c>
      <c r="B304" s="200" t="str">
        <f>IF($C$19="USD",U304,A304)</f>
        <v>Income Tax</v>
      </c>
      <c r="C304" s="201"/>
      <c r="D304" s="201"/>
      <c r="E304" s="80"/>
      <c r="F304" s="202">
        <f>F69/IF($C$19="USD",F$6,1)</f>
        <v>0</v>
      </c>
      <c r="G304" s="202">
        <f t="shared" ref="G304:Q304" si="219">G69/IF($C$19="USD",G$6,1)</f>
        <v>0</v>
      </c>
      <c r="H304" s="202">
        <f t="shared" si="219"/>
        <v>0</v>
      </c>
      <c r="I304" s="202">
        <f t="shared" si="219"/>
        <v>0</v>
      </c>
      <c r="J304" s="202">
        <f t="shared" si="219"/>
        <v>0</v>
      </c>
      <c r="K304" s="202">
        <f t="shared" si="219"/>
        <v>0</v>
      </c>
      <c r="L304" s="202">
        <f t="shared" si="219"/>
        <v>0</v>
      </c>
      <c r="M304" s="202">
        <f t="shared" si="219"/>
        <v>70266.010669489595</v>
      </c>
      <c r="N304" s="202">
        <f t="shared" si="219"/>
        <v>78931.162694323968</v>
      </c>
      <c r="O304" s="202">
        <f t="shared" si="219"/>
        <v>87596.409407633386</v>
      </c>
      <c r="P304" s="202">
        <f t="shared" si="219"/>
        <v>94667.253187916052</v>
      </c>
      <c r="Q304" s="202">
        <f t="shared" si="219"/>
        <v>103332.68457005399</v>
      </c>
      <c r="R304" s="841"/>
      <c r="S304" s="202">
        <f>SUM(F304:Q304)</f>
        <v>434793.52052941697</v>
      </c>
      <c r="T304" s="760">
        <f t="shared" si="200"/>
        <v>0.11513768755325357</v>
      </c>
      <c r="U304" s="575" t="s">
        <v>544</v>
      </c>
    </row>
    <row r="305" spans="1:21">
      <c r="A305" s="575" t="str">
        <f>B70</f>
        <v>Utilidad Neta</v>
      </c>
      <c r="B305" s="166" t="str">
        <f>IF($C$19="USD",U305,A305)</f>
        <v>Net Income</v>
      </c>
      <c r="C305" s="195"/>
      <c r="D305" s="195"/>
      <c r="E305" s="81"/>
      <c r="F305" s="197">
        <f>F70/IF($C$19="USD",F$6,1)</f>
        <v>17204.741734417345</v>
      </c>
      <c r="G305" s="197">
        <f t="shared" ref="G305:Q305" si="220">G70/IF($C$19="USD",G$6,1)</f>
        <v>14647.40243902439</v>
      </c>
      <c r="H305" s="197">
        <f t="shared" si="220"/>
        <v>-10281.302710027101</v>
      </c>
      <c r="I305" s="197">
        <f t="shared" si="220"/>
        <v>191.38292682926829</v>
      </c>
      <c r="J305" s="197">
        <f t="shared" si="220"/>
        <v>29369.910027100272</v>
      </c>
      <c r="K305" s="197">
        <f t="shared" si="220"/>
        <v>9036.2195121951227</v>
      </c>
      <c r="L305" s="197">
        <f t="shared" si="220"/>
        <v>6695.6780487804881</v>
      </c>
      <c r="M305" s="197">
        <f t="shared" si="220"/>
        <v>130494.01981476639</v>
      </c>
      <c r="N305" s="197">
        <f t="shared" si="220"/>
        <v>146586.44500374453</v>
      </c>
      <c r="O305" s="197">
        <f t="shared" si="220"/>
        <v>162679.04604274774</v>
      </c>
      <c r="P305" s="197">
        <f t="shared" si="220"/>
        <v>175810.61306327267</v>
      </c>
      <c r="Q305" s="197">
        <f t="shared" si="220"/>
        <v>191903.55705867169</v>
      </c>
      <c r="R305" s="841"/>
      <c r="S305" s="197">
        <f>SUM(F305:Q305)</f>
        <v>874337.71296152286</v>
      </c>
      <c r="T305" s="760">
        <f t="shared" si="200"/>
        <v>0.23153340070112455</v>
      </c>
      <c r="U305" s="575" t="s">
        <v>545</v>
      </c>
    </row>
    <row r="306" spans="1:21">
      <c r="A306" s="575" t="str">
        <f>B71</f>
        <v xml:space="preserve">  Margen Neto %</v>
      </c>
      <c r="B306" s="191" t="str">
        <f>IF($C$19="USD",U306,A306)</f>
        <v xml:space="preserve">  Net Margin %</v>
      </c>
      <c r="C306" s="885"/>
      <c r="D306" s="885"/>
      <c r="E306" s="71"/>
      <c r="F306" s="325">
        <f t="shared" ref="F306:Q306" si="221">F71</f>
        <v>0.10369250369794365</v>
      </c>
      <c r="G306" s="325">
        <f t="shared" si="221"/>
        <v>7.2625097821285692E-2</v>
      </c>
      <c r="H306" s="325">
        <f t="shared" si="221"/>
        <v>-4.820333119364438E-2</v>
      </c>
      <c r="I306" s="325">
        <f t="shared" si="221"/>
        <v>9.4051593341890386E-4</v>
      </c>
      <c r="J306" s="325">
        <f t="shared" si="221"/>
        <v>0.13112284871442573</v>
      </c>
      <c r="K306" s="325">
        <f t="shared" si="221"/>
        <v>4.4372217646511038E-2</v>
      </c>
      <c r="L306" s="325">
        <f t="shared" si="221"/>
        <v>3.6339748989481474E-2</v>
      </c>
      <c r="M306" s="325">
        <f t="shared" si="221"/>
        <v>0.3059957774335495</v>
      </c>
      <c r="N306" s="325">
        <f t="shared" si="221"/>
        <v>0.32485917334075098</v>
      </c>
      <c r="O306" s="325">
        <f t="shared" si="221"/>
        <v>0.34175943568894879</v>
      </c>
      <c r="P306" s="325">
        <f t="shared" si="221"/>
        <v>0.35107470217090109</v>
      </c>
      <c r="Q306" s="325">
        <f t="shared" si="221"/>
        <v>0.36514654250414058</v>
      </c>
      <c r="R306" s="841"/>
      <c r="S306" s="325">
        <f>IF(S286=0,0,S305/S286)</f>
        <v>0.23153340070112455</v>
      </c>
      <c r="T306" s="575"/>
      <c r="U306" s="575" t="s">
        <v>546</v>
      </c>
    </row>
    <row r="307" spans="1:21">
      <c r="A307" s="575"/>
      <c r="B307" s="589"/>
      <c r="C307" s="575"/>
      <c r="D307" s="575"/>
      <c r="E307" s="841"/>
      <c r="F307" s="841"/>
      <c r="G307" s="841"/>
      <c r="H307" s="841"/>
      <c r="I307" s="841"/>
      <c r="J307" s="841"/>
      <c r="K307" s="841"/>
      <c r="L307" s="841"/>
      <c r="M307" s="841"/>
      <c r="N307" s="841"/>
      <c r="O307" s="841"/>
      <c r="P307" s="841"/>
      <c r="Q307" s="841"/>
      <c r="R307" s="841"/>
      <c r="S307" s="841"/>
      <c r="T307" s="575"/>
      <c r="U307" s="575"/>
    </row>
    <row r="308" spans="1:21" ht="15" thickBot="1">
      <c r="A308" s="575"/>
      <c r="B308" s="589"/>
      <c r="C308" s="575"/>
      <c r="D308" s="575"/>
      <c r="E308" s="841"/>
      <c r="F308" s="841"/>
      <c r="G308" s="841"/>
      <c r="H308" s="841"/>
      <c r="I308" s="841"/>
      <c r="J308" s="841"/>
      <c r="K308" s="841"/>
      <c r="L308" s="841"/>
      <c r="M308" s="841"/>
      <c r="N308" s="841"/>
      <c r="O308" s="841"/>
      <c r="P308" s="841"/>
      <c r="Q308" s="841"/>
      <c r="R308" s="841"/>
      <c r="S308" s="841"/>
      <c r="T308" s="575"/>
      <c r="U308" s="575"/>
    </row>
    <row r="309" spans="1:21">
      <c r="A309" s="583"/>
      <c r="B309" s="473" t="s">
        <v>547</v>
      </c>
      <c r="C309" s="473"/>
      <c r="D309" s="473"/>
      <c r="E309" s="474"/>
      <c r="F309" s="474"/>
      <c r="G309" s="474"/>
      <c r="H309" s="474"/>
      <c r="I309" s="474"/>
      <c r="J309" s="474"/>
      <c r="K309" s="474"/>
      <c r="L309" s="474"/>
      <c r="M309" s="474"/>
      <c r="N309" s="474"/>
      <c r="O309" s="474"/>
      <c r="P309" s="474"/>
      <c r="Q309" s="474"/>
      <c r="R309" s="475"/>
      <c r="S309" s="474"/>
      <c r="T309" s="583"/>
      <c r="U309" s="583"/>
    </row>
    <row r="310" spans="1:21">
      <c r="A310" s="575"/>
      <c r="B310" s="155"/>
      <c r="C310" s="186"/>
      <c r="D310" s="186"/>
      <c r="E310" s="186"/>
      <c r="F310" s="186"/>
      <c r="G310" s="186"/>
      <c r="H310" s="186"/>
      <c r="I310" s="186"/>
      <c r="J310" s="186"/>
      <c r="K310" s="186"/>
      <c r="L310" s="186"/>
      <c r="M310" s="186"/>
      <c r="N310" s="186"/>
      <c r="O310" s="186"/>
      <c r="P310" s="186"/>
      <c r="Q310" s="186"/>
      <c r="R310" s="841"/>
      <c r="S310" s="186"/>
      <c r="T310" s="575"/>
      <c r="U310" s="575"/>
    </row>
    <row r="311" spans="1:21" ht="30" customHeight="1">
      <c r="A311" s="392"/>
      <c r="B311" s="386"/>
      <c r="C311" s="386"/>
      <c r="D311" s="386"/>
      <c r="E311" s="462">
        <v>2025</v>
      </c>
      <c r="F311" s="461" t="s">
        <v>209</v>
      </c>
      <c r="G311" s="461" t="s">
        <v>324</v>
      </c>
      <c r="H311" s="461" t="s">
        <v>325</v>
      </c>
      <c r="I311" s="461" t="s">
        <v>326</v>
      </c>
      <c r="J311" s="461" t="s">
        <v>327</v>
      </c>
      <c r="K311" s="461" t="s">
        <v>328</v>
      </c>
      <c r="L311" s="461" t="s">
        <v>329</v>
      </c>
      <c r="M311" s="461" t="s">
        <v>330</v>
      </c>
      <c r="N311" s="461" t="s">
        <v>331</v>
      </c>
      <c r="O311" s="461" t="s">
        <v>332</v>
      </c>
      <c r="P311" s="461" t="s">
        <v>333</v>
      </c>
      <c r="Q311" s="461" t="s">
        <v>334</v>
      </c>
      <c r="R311" s="386"/>
      <c r="S311" s="461" t="s">
        <v>16</v>
      </c>
      <c r="T311" s="386"/>
      <c r="U311" s="386"/>
    </row>
    <row r="312" spans="1:21">
      <c r="A312" s="537"/>
      <c r="B312" s="546" t="s">
        <v>548</v>
      </c>
      <c r="C312" s="554"/>
      <c r="D312" s="554"/>
      <c r="E312" s="554"/>
      <c r="F312" s="554"/>
      <c r="G312" s="554"/>
      <c r="H312" s="554"/>
      <c r="I312" s="554"/>
      <c r="J312" s="554"/>
      <c r="K312" s="554"/>
      <c r="L312" s="554"/>
      <c r="M312" s="554"/>
      <c r="N312" s="554"/>
      <c r="O312" s="554"/>
      <c r="P312" s="554"/>
      <c r="Q312" s="554"/>
      <c r="R312" s="554"/>
      <c r="S312" s="554"/>
      <c r="T312" s="537"/>
      <c r="U312" s="537"/>
    </row>
    <row r="313" spans="1:21">
      <c r="A313" s="575"/>
      <c r="B313" s="155" t="s">
        <v>518</v>
      </c>
      <c r="C313" s="186"/>
      <c r="D313" s="186"/>
      <c r="E313" s="183">
        <f t="shared" ref="E313:Q313" si="222">E78/E6</f>
        <v>62726.0162601626</v>
      </c>
      <c r="F313" s="183">
        <f t="shared" si="222"/>
        <v>115337.29701897019</v>
      </c>
      <c r="G313" s="183">
        <f t="shared" si="222"/>
        <v>32602.043089430896</v>
      </c>
      <c r="H313" s="183">
        <f t="shared" si="222"/>
        <v>73032.171002710034</v>
      </c>
      <c r="I313" s="183">
        <f t="shared" si="222"/>
        <v>96953.16016260162</v>
      </c>
      <c r="J313" s="183">
        <f t="shared" si="222"/>
        <v>66347.518970189703</v>
      </c>
      <c r="K313" s="183">
        <f t="shared" si="222"/>
        <v>31284.921951219512</v>
      </c>
      <c r="L313" s="183">
        <f t="shared" si="222"/>
        <v>47226.809214092144</v>
      </c>
      <c r="M313" s="183">
        <f t="shared" si="222"/>
        <v>-235158.21721157362</v>
      </c>
      <c r="N313" s="183">
        <f t="shared" si="222"/>
        <v>-150230.99313948373</v>
      </c>
      <c r="O313" s="183">
        <f t="shared" si="222"/>
        <v>-49195.111568418557</v>
      </c>
      <c r="P313" s="183">
        <f t="shared" si="222"/>
        <v>54200.542005420051</v>
      </c>
      <c r="Q313" s="183">
        <f t="shared" si="222"/>
        <v>54200.542005420051</v>
      </c>
      <c r="R313" s="841"/>
      <c r="S313" s="183">
        <f t="shared" ref="S313:S320" si="223">Q313</f>
        <v>54200.542005420051</v>
      </c>
      <c r="T313" s="575"/>
      <c r="U313" s="575"/>
    </row>
    <row r="314" spans="1:21">
      <c r="A314" s="575"/>
      <c r="B314" s="155" t="s">
        <v>549</v>
      </c>
      <c r="C314" s="186"/>
      <c r="D314" s="186"/>
      <c r="E314" s="183">
        <f t="shared" ref="E314:Q314" si="224">E79/E6</f>
        <v>496828.18428184284</v>
      </c>
      <c r="F314" s="183">
        <f t="shared" si="224"/>
        <v>431040.87506775069</v>
      </c>
      <c r="G314" s="183">
        <f t="shared" si="224"/>
        <v>487142.8696476965</v>
      </c>
      <c r="H314" s="183">
        <f t="shared" si="224"/>
        <v>458154.42113821139</v>
      </c>
      <c r="I314" s="183">
        <f t="shared" si="224"/>
        <v>437016.17994579946</v>
      </c>
      <c r="J314" s="183">
        <f t="shared" si="224"/>
        <v>454023.4937669377</v>
      </c>
      <c r="K314" s="183">
        <f t="shared" si="224"/>
        <v>487650.7051490515</v>
      </c>
      <c r="L314" s="183">
        <f t="shared" si="224"/>
        <v>457576.6707317073</v>
      </c>
      <c r="M314" s="183">
        <f t="shared" si="224"/>
        <v>1194079.4037940379</v>
      </c>
      <c r="N314" s="183">
        <f t="shared" si="224"/>
        <v>1263446.0704607046</v>
      </c>
      <c r="O314" s="183">
        <f t="shared" si="224"/>
        <v>1332812.7371273714</v>
      </c>
      <c r="P314" s="183">
        <f t="shared" si="224"/>
        <v>1402179.4037940379</v>
      </c>
      <c r="Q314" s="183">
        <f t="shared" si="224"/>
        <v>1471546.0704607046</v>
      </c>
      <c r="R314" s="841"/>
      <c r="S314" s="183">
        <f t="shared" si="223"/>
        <v>1471546.0704607046</v>
      </c>
      <c r="T314" s="575"/>
      <c r="U314" s="575"/>
    </row>
    <row r="315" spans="1:21">
      <c r="A315" s="575"/>
      <c r="B315" s="155" t="s">
        <v>520</v>
      </c>
      <c r="C315" s="186"/>
      <c r="D315" s="186"/>
      <c r="E315" s="183">
        <f t="shared" ref="E315:Q315" si="225">E80/E6</f>
        <v>24939.837398373984</v>
      </c>
      <c r="F315" s="183">
        <f t="shared" si="225"/>
        <v>25080.920054200542</v>
      </c>
      <c r="G315" s="183">
        <f t="shared" si="225"/>
        <v>25205.643089430894</v>
      </c>
      <c r="H315" s="183">
        <f t="shared" si="225"/>
        <v>25394.388346883468</v>
      </c>
      <c r="I315" s="183">
        <f t="shared" si="225"/>
        <v>25629.852845528454</v>
      </c>
      <c r="J315" s="183">
        <f t="shared" si="225"/>
        <v>47671.380487804876</v>
      </c>
      <c r="K315" s="183">
        <f t="shared" si="225"/>
        <v>21021.498915989159</v>
      </c>
      <c r="L315" s="183">
        <f t="shared" si="225"/>
        <v>21211.390785907861</v>
      </c>
      <c r="M315" s="183">
        <f t="shared" si="225"/>
        <v>21211.390785907861</v>
      </c>
      <c r="N315" s="183">
        <f t="shared" si="225"/>
        <v>21211.390785907861</v>
      </c>
      <c r="O315" s="183">
        <f t="shared" si="225"/>
        <v>21211.390785907861</v>
      </c>
      <c r="P315" s="183">
        <f t="shared" si="225"/>
        <v>21211.390785907861</v>
      </c>
      <c r="Q315" s="183">
        <f t="shared" si="225"/>
        <v>21211.390785907861</v>
      </c>
      <c r="R315" s="841"/>
      <c r="S315" s="183">
        <f t="shared" si="223"/>
        <v>21211.390785907861</v>
      </c>
      <c r="T315" s="575"/>
      <c r="U315" s="575"/>
    </row>
    <row r="316" spans="1:21">
      <c r="A316" s="575"/>
      <c r="B316" s="155" t="s">
        <v>521</v>
      </c>
      <c r="C316" s="186"/>
      <c r="D316" s="186"/>
      <c r="E316" s="183">
        <f t="shared" ref="E316:Q316" si="226">E81/E6</f>
        <v>894830.62330623309</v>
      </c>
      <c r="F316" s="183">
        <f t="shared" si="226"/>
        <v>902912.12764227646</v>
      </c>
      <c r="G316" s="183">
        <f t="shared" si="226"/>
        <v>910435.71300813009</v>
      </c>
      <c r="H316" s="183">
        <f t="shared" si="226"/>
        <v>920838.75284552842</v>
      </c>
      <c r="I316" s="183">
        <f t="shared" si="226"/>
        <v>930357.98238482384</v>
      </c>
      <c r="J316" s="183">
        <f t="shared" si="226"/>
        <v>940086.06476964767</v>
      </c>
      <c r="K316" s="183">
        <f t="shared" si="226"/>
        <v>947928.54634146346</v>
      </c>
      <c r="L316" s="183">
        <f t="shared" si="226"/>
        <v>956557.46476964769</v>
      </c>
      <c r="M316" s="183">
        <f t="shared" si="226"/>
        <v>956557.46476964769</v>
      </c>
      <c r="N316" s="183">
        <f t="shared" si="226"/>
        <v>956557.46476964769</v>
      </c>
      <c r="O316" s="183">
        <f t="shared" si="226"/>
        <v>956557.46476964769</v>
      </c>
      <c r="P316" s="183">
        <f t="shared" si="226"/>
        <v>956557.46476964769</v>
      </c>
      <c r="Q316" s="183">
        <f t="shared" si="226"/>
        <v>956557.46476964769</v>
      </c>
      <c r="R316" s="841"/>
      <c r="S316" s="183">
        <f t="shared" si="223"/>
        <v>956557.46476964769</v>
      </c>
      <c r="T316" s="575"/>
      <c r="U316" s="575"/>
    </row>
    <row r="317" spans="1:21">
      <c r="A317" s="580"/>
      <c r="B317" s="454" t="s">
        <v>550</v>
      </c>
      <c r="C317" s="464"/>
      <c r="D317" s="464"/>
      <c r="E317" s="472">
        <f t="shared" ref="E317:Q317" si="227">E82/E6</f>
        <v>1479324.6612466124</v>
      </c>
      <c r="F317" s="472">
        <f t="shared" si="227"/>
        <v>1474371.2197831979</v>
      </c>
      <c r="G317" s="472">
        <f t="shared" si="227"/>
        <v>1455386.2688346882</v>
      </c>
      <c r="H317" s="472">
        <f t="shared" si="227"/>
        <v>1477419.7333333334</v>
      </c>
      <c r="I317" s="472">
        <f t="shared" si="227"/>
        <v>1489957.1753387535</v>
      </c>
      <c r="J317" s="472">
        <f t="shared" si="227"/>
        <v>1508128.45799458</v>
      </c>
      <c r="K317" s="472">
        <f t="shared" si="227"/>
        <v>1487885.6723577236</v>
      </c>
      <c r="L317" s="472">
        <f t="shared" si="227"/>
        <v>1482572.3355013551</v>
      </c>
      <c r="M317" s="472">
        <f t="shared" si="227"/>
        <v>1936690.0421380198</v>
      </c>
      <c r="N317" s="472">
        <f t="shared" si="227"/>
        <v>2090983.9328767764</v>
      </c>
      <c r="O317" s="472">
        <f t="shared" si="227"/>
        <v>2261386.4811145081</v>
      </c>
      <c r="P317" s="472">
        <f t="shared" si="227"/>
        <v>2434148.8013550136</v>
      </c>
      <c r="Q317" s="472">
        <f t="shared" si="227"/>
        <v>2503515.4680216801</v>
      </c>
      <c r="R317" s="873"/>
      <c r="S317" s="472">
        <f t="shared" si="223"/>
        <v>2503515.4680216801</v>
      </c>
      <c r="T317" s="580"/>
      <c r="U317" s="580"/>
    </row>
    <row r="318" spans="1:21">
      <c r="A318" s="575"/>
      <c r="B318" s="155" t="s">
        <v>522</v>
      </c>
      <c r="C318" s="186"/>
      <c r="D318" s="186"/>
      <c r="E318" s="183">
        <f t="shared" ref="E318:Q318" si="228">E83/E6</f>
        <v>56697.018970189703</v>
      </c>
      <c r="F318" s="183">
        <f t="shared" si="228"/>
        <v>58691.586449864495</v>
      </c>
      <c r="G318" s="183">
        <f t="shared" si="228"/>
        <v>60390.502439024393</v>
      </c>
      <c r="H318" s="183">
        <f t="shared" si="228"/>
        <v>60468.835230352306</v>
      </c>
      <c r="I318" s="183">
        <f t="shared" si="228"/>
        <v>59128.057723577236</v>
      </c>
      <c r="J318" s="183">
        <f t="shared" si="228"/>
        <v>61239.976693766941</v>
      </c>
      <c r="K318" s="183">
        <f t="shared" si="228"/>
        <v>61239.976693766941</v>
      </c>
      <c r="L318" s="183">
        <f t="shared" si="228"/>
        <v>61239.976693766941</v>
      </c>
      <c r="M318" s="183">
        <f t="shared" si="228"/>
        <v>62213.915293586273</v>
      </c>
      <c r="N318" s="183">
        <f t="shared" si="228"/>
        <v>63171.621583408611</v>
      </c>
      <c r="O318" s="183">
        <f t="shared" si="228"/>
        <v>64113.366101733918</v>
      </c>
      <c r="P318" s="183">
        <f t="shared" si="228"/>
        <v>65039.414878087133</v>
      </c>
      <c r="Q318" s="183">
        <f t="shared" si="228"/>
        <v>65950.02950816779</v>
      </c>
      <c r="R318" s="841"/>
      <c r="S318" s="183">
        <f t="shared" si="223"/>
        <v>65950.02950816779</v>
      </c>
      <c r="T318" s="575"/>
      <c r="U318" s="575"/>
    </row>
    <row r="319" spans="1:21">
      <c r="A319" s="575"/>
      <c r="B319" s="155" t="s">
        <v>377</v>
      </c>
      <c r="C319" s="186"/>
      <c r="D319" s="186"/>
      <c r="E319" s="183">
        <f t="shared" ref="E319:Q319" si="229">E84/E6</f>
        <v>111111.11111111111</v>
      </c>
      <c r="F319" s="183">
        <f t="shared" si="229"/>
        <v>111111.11111111111</v>
      </c>
      <c r="G319" s="183">
        <f t="shared" si="229"/>
        <v>111111.11111111111</v>
      </c>
      <c r="H319" s="183">
        <f t="shared" si="229"/>
        <v>111111.11111111111</v>
      </c>
      <c r="I319" s="183">
        <f t="shared" si="229"/>
        <v>111111.11111111111</v>
      </c>
      <c r="J319" s="183">
        <f t="shared" si="229"/>
        <v>111111.11111111111</v>
      </c>
      <c r="K319" s="183">
        <f t="shared" si="229"/>
        <v>111111.11111111111</v>
      </c>
      <c r="L319" s="183">
        <f t="shared" si="229"/>
        <v>111111.11111111111</v>
      </c>
      <c r="M319" s="183">
        <f t="shared" si="229"/>
        <v>111111.11111111111</v>
      </c>
      <c r="N319" s="183">
        <f t="shared" si="229"/>
        <v>111111.11111111111</v>
      </c>
      <c r="O319" s="183">
        <f t="shared" si="229"/>
        <v>111111.11111111111</v>
      </c>
      <c r="P319" s="183">
        <f t="shared" si="229"/>
        <v>111111.11111111111</v>
      </c>
      <c r="Q319" s="183">
        <f t="shared" si="229"/>
        <v>111111.11111111111</v>
      </c>
      <c r="R319" s="841"/>
      <c r="S319" s="183">
        <f t="shared" si="223"/>
        <v>111111.11111111111</v>
      </c>
      <c r="T319" s="575"/>
      <c r="U319" s="575"/>
    </row>
    <row r="320" spans="1:21">
      <c r="A320" s="580"/>
      <c r="B320" s="467" t="s">
        <v>551</v>
      </c>
      <c r="C320" s="468"/>
      <c r="D320" s="468"/>
      <c r="E320" s="471">
        <f t="shared" ref="E320:Q320" si="230">E85/E6</f>
        <v>1647132.7913279133</v>
      </c>
      <c r="F320" s="471">
        <f t="shared" si="230"/>
        <v>1644173.9173441734</v>
      </c>
      <c r="G320" s="471">
        <f t="shared" si="230"/>
        <v>1626887.8823848239</v>
      </c>
      <c r="H320" s="471">
        <f t="shared" si="230"/>
        <v>1648999.6796747968</v>
      </c>
      <c r="I320" s="471">
        <f t="shared" si="230"/>
        <v>1660196.3441734416</v>
      </c>
      <c r="J320" s="471">
        <f t="shared" si="230"/>
        <v>1680479.5457994579</v>
      </c>
      <c r="K320" s="471">
        <f t="shared" si="230"/>
        <v>1660236.7601626017</v>
      </c>
      <c r="L320" s="471">
        <f t="shared" si="230"/>
        <v>1654923.423306233</v>
      </c>
      <c r="M320" s="471">
        <f t="shared" si="230"/>
        <v>2110015.068542717</v>
      </c>
      <c r="N320" s="471">
        <f t="shared" si="230"/>
        <v>2265266.6655712961</v>
      </c>
      <c r="O320" s="471">
        <f t="shared" si="230"/>
        <v>2436610.9583273535</v>
      </c>
      <c r="P320" s="471">
        <f t="shared" si="230"/>
        <v>2610299.3273442117</v>
      </c>
      <c r="Q320" s="471">
        <f t="shared" si="230"/>
        <v>2680576.608640959</v>
      </c>
      <c r="R320" s="873"/>
      <c r="S320" s="471">
        <f t="shared" si="223"/>
        <v>2680576.608640959</v>
      </c>
      <c r="T320" s="580"/>
      <c r="U320" s="580"/>
    </row>
    <row r="322" spans="2:19">
      <c r="B322" s="546" t="s">
        <v>552</v>
      </c>
      <c r="C322" s="554"/>
      <c r="D322" s="554"/>
      <c r="E322" s="556"/>
      <c r="F322" s="556"/>
      <c r="G322" s="556"/>
      <c r="H322" s="556"/>
      <c r="I322" s="556"/>
      <c r="J322" s="556"/>
      <c r="K322" s="556"/>
      <c r="L322" s="556"/>
      <c r="M322" s="556"/>
      <c r="N322" s="556"/>
      <c r="O322" s="556"/>
      <c r="P322" s="556"/>
      <c r="Q322" s="556"/>
      <c r="R322" s="554"/>
      <c r="S322" s="556"/>
    </row>
    <row r="323" spans="2:19">
      <c r="B323" s="155" t="s">
        <v>553</v>
      </c>
      <c r="C323" s="186"/>
      <c r="D323" s="186"/>
      <c r="E323" s="183">
        <f t="shared" ref="E323:Q323" si="231">E88/E$6</f>
        <v>21710.298102981029</v>
      </c>
      <c r="F323" s="183">
        <f t="shared" si="231"/>
        <v>19724.515176151763</v>
      </c>
      <c r="G323" s="183">
        <f t="shared" si="231"/>
        <v>27470.216531165312</v>
      </c>
      <c r="H323" s="183">
        <f t="shared" si="231"/>
        <v>28235.766937669378</v>
      </c>
      <c r="I323" s="183">
        <f t="shared" si="231"/>
        <v>30505.0054200542</v>
      </c>
      <c r="J323" s="183">
        <f t="shared" si="231"/>
        <v>26989.09674796748</v>
      </c>
      <c r="K323" s="183">
        <f t="shared" si="231"/>
        <v>22629.795934959351</v>
      </c>
      <c r="L323" s="183">
        <f t="shared" si="231"/>
        <v>28334.741192411922</v>
      </c>
      <c r="M323" s="183">
        <f t="shared" si="231"/>
        <v>28334.741192411922</v>
      </c>
      <c r="N323" s="183">
        <f t="shared" si="231"/>
        <v>28334.741192411922</v>
      </c>
      <c r="O323" s="183">
        <f t="shared" si="231"/>
        <v>28334.741192411922</v>
      </c>
      <c r="P323" s="183">
        <f t="shared" si="231"/>
        <v>28334.741192411922</v>
      </c>
      <c r="Q323" s="183">
        <f t="shared" si="231"/>
        <v>28334.741192411922</v>
      </c>
      <c r="R323" s="841"/>
      <c r="S323" s="183">
        <f>Q88/Q$6</f>
        <v>28334.741192411922</v>
      </c>
    </row>
    <row r="324" spans="2:19">
      <c r="B324" s="155" t="s">
        <v>554</v>
      </c>
      <c r="C324" s="186"/>
      <c r="D324" s="186"/>
      <c r="E324" s="183">
        <f t="shared" ref="E324:Q324" si="232">E89/E$6</f>
        <v>147615.98915989159</v>
      </c>
      <c r="F324" s="183">
        <f t="shared" si="232"/>
        <v>136078.11409214092</v>
      </c>
      <c r="G324" s="183">
        <f t="shared" si="232"/>
        <v>133816.34065040649</v>
      </c>
      <c r="H324" s="183">
        <f t="shared" si="232"/>
        <v>154752.72764227641</v>
      </c>
      <c r="I324" s="183">
        <f t="shared" si="232"/>
        <v>152802.645799458</v>
      </c>
      <c r="J324" s="183">
        <f t="shared" si="232"/>
        <v>136127.65582655827</v>
      </c>
      <c r="K324" s="183">
        <f t="shared" si="232"/>
        <v>131000.24552845529</v>
      </c>
      <c r="L324" s="183">
        <f t="shared" si="232"/>
        <v>109420.13658536585</v>
      </c>
      <c r="M324" s="183">
        <f t="shared" si="232"/>
        <v>165592.54870520925</v>
      </c>
      <c r="N324" s="183">
        <f t="shared" si="232"/>
        <v>165592.54870520925</v>
      </c>
      <c r="O324" s="183">
        <f t="shared" si="232"/>
        <v>165592.54870520925</v>
      </c>
      <c r="P324" s="183">
        <f t="shared" si="232"/>
        <v>170303.62610358323</v>
      </c>
      <c r="Q324" s="183">
        <f t="shared" si="232"/>
        <v>170303.62610358323</v>
      </c>
      <c r="R324" s="841"/>
      <c r="S324" s="183">
        <f>Q89/Q$6</f>
        <v>170303.62610358323</v>
      </c>
    </row>
    <row r="325" spans="2:19">
      <c r="B325" s="155" t="s">
        <v>525</v>
      </c>
      <c r="C325" s="186"/>
      <c r="D325" s="186"/>
      <c r="E325" s="197">
        <f t="shared" ref="E325:Q325" si="233">E90/E$6</f>
        <v>10860.975609756097</v>
      </c>
      <c r="F325" s="197">
        <f t="shared" si="233"/>
        <v>3888.9105691056911</v>
      </c>
      <c r="G325" s="197">
        <f t="shared" si="233"/>
        <v>485.55555555555554</v>
      </c>
      <c r="H325" s="197">
        <f t="shared" si="233"/>
        <v>6929.69756097561</v>
      </c>
      <c r="I325" s="197">
        <f t="shared" si="233"/>
        <v>6638.6571815718153</v>
      </c>
      <c r="J325" s="197">
        <f t="shared" si="233"/>
        <v>6101.1967479674795</v>
      </c>
      <c r="K325" s="197">
        <f t="shared" si="233"/>
        <v>6321.2723577235774</v>
      </c>
      <c r="L325" s="197">
        <f t="shared" si="233"/>
        <v>5211.239566395664</v>
      </c>
      <c r="M325" s="197">
        <f t="shared" si="233"/>
        <v>70266.010669489595</v>
      </c>
      <c r="N325" s="197">
        <f t="shared" si="233"/>
        <v>78931.162694323968</v>
      </c>
      <c r="O325" s="197">
        <f t="shared" si="233"/>
        <v>87596.409407633386</v>
      </c>
      <c r="P325" s="197">
        <f t="shared" si="233"/>
        <v>94667.253187916052</v>
      </c>
      <c r="Q325" s="197">
        <f t="shared" si="233"/>
        <v>103332.68457005399</v>
      </c>
      <c r="R325" s="841"/>
      <c r="S325" s="197">
        <f>Q90/Q$6</f>
        <v>103332.68457005399</v>
      </c>
    </row>
    <row r="326" spans="2:19">
      <c r="B326" s="155" t="s">
        <v>526</v>
      </c>
      <c r="C326" s="186"/>
      <c r="D326" s="186"/>
      <c r="E326" s="183">
        <f t="shared" ref="E326:Q326" si="234">E91/E$6</f>
        <v>90292.140921409213</v>
      </c>
      <c r="F326" s="183">
        <f t="shared" si="234"/>
        <v>93308.298915989159</v>
      </c>
      <c r="G326" s="183">
        <f t="shared" si="234"/>
        <v>65496.761788617885</v>
      </c>
      <c r="H326" s="183">
        <f t="shared" si="234"/>
        <v>64052.501626016259</v>
      </c>
      <c r="I326" s="183">
        <f t="shared" si="234"/>
        <v>73586.143360433605</v>
      </c>
      <c r="J326" s="183">
        <f t="shared" si="234"/>
        <v>86801.317615176158</v>
      </c>
      <c r="K326" s="183">
        <f t="shared" si="234"/>
        <v>67082.363143631432</v>
      </c>
      <c r="L326" s="183">
        <f t="shared" si="234"/>
        <v>71998.707046070456</v>
      </c>
      <c r="M326" s="183">
        <f t="shared" si="234"/>
        <v>71998.707046070456</v>
      </c>
      <c r="N326" s="183">
        <f t="shared" si="234"/>
        <v>71998.707046070456</v>
      </c>
      <c r="O326" s="183">
        <f t="shared" si="234"/>
        <v>71998.707046070456</v>
      </c>
      <c r="P326" s="183">
        <f t="shared" si="234"/>
        <v>71998.707046070456</v>
      </c>
      <c r="Q326" s="183">
        <f t="shared" si="234"/>
        <v>71998.707046070456</v>
      </c>
      <c r="R326" s="841"/>
      <c r="S326" s="183">
        <f>Q91/Q$6</f>
        <v>71998.707046070456</v>
      </c>
    </row>
    <row r="327" spans="2:19">
      <c r="B327" s="454" t="s">
        <v>555</v>
      </c>
      <c r="C327" s="464"/>
      <c r="D327" s="464"/>
      <c r="E327" s="472">
        <f t="shared" ref="E327:Q327" si="235">E92/E$6</f>
        <v>270479.40379403793</v>
      </c>
      <c r="F327" s="472">
        <f t="shared" si="235"/>
        <v>252999.83875338754</v>
      </c>
      <c r="G327" s="472">
        <f t="shared" si="235"/>
        <v>227268.87452574525</v>
      </c>
      <c r="H327" s="472">
        <f t="shared" si="235"/>
        <v>253970.69376693768</v>
      </c>
      <c r="I327" s="472">
        <f t="shared" si="235"/>
        <v>263532.45176151762</v>
      </c>
      <c r="J327" s="472">
        <f t="shared" si="235"/>
        <v>256019.26693766937</v>
      </c>
      <c r="K327" s="472">
        <f t="shared" si="235"/>
        <v>227033.67696476963</v>
      </c>
      <c r="L327" s="472">
        <f t="shared" si="235"/>
        <v>214964.82439024391</v>
      </c>
      <c r="M327" s="472">
        <f t="shared" si="235"/>
        <v>336192.00761318125</v>
      </c>
      <c r="N327" s="472">
        <f t="shared" si="235"/>
        <v>344857.15963801561</v>
      </c>
      <c r="O327" s="472">
        <f t="shared" si="235"/>
        <v>353522.40635132499</v>
      </c>
      <c r="P327" s="472">
        <f t="shared" si="235"/>
        <v>365304.32752998167</v>
      </c>
      <c r="Q327" s="472">
        <f t="shared" si="235"/>
        <v>373969.75891211955</v>
      </c>
      <c r="R327" s="873"/>
      <c r="S327" s="472">
        <f>Q92/Q$6</f>
        <v>373969.75891211955</v>
      </c>
    </row>
    <row r="328" spans="2:19">
      <c r="B328" s="155" t="s">
        <v>556</v>
      </c>
      <c r="C328" s="186"/>
      <c r="D328" s="186"/>
      <c r="E328" s="183">
        <f t="shared" ref="E328:Q328" si="236">E94/E$6</f>
        <v>719490.24390243902</v>
      </c>
      <c r="F328" s="183">
        <f t="shared" si="236"/>
        <v>716806.28211382113</v>
      </c>
      <c r="G328" s="183">
        <f t="shared" si="236"/>
        <v>710603.80921409209</v>
      </c>
      <c r="H328" s="183">
        <f t="shared" si="236"/>
        <v>716295.089701897</v>
      </c>
      <c r="I328" s="183">
        <f t="shared" si="236"/>
        <v>717738.61273712735</v>
      </c>
      <c r="J328" s="183">
        <f t="shared" si="236"/>
        <v>716165.089701897</v>
      </c>
      <c r="K328" s="183">
        <f t="shared" si="236"/>
        <v>715871.67506775062</v>
      </c>
      <c r="L328" s="183">
        <f t="shared" si="236"/>
        <v>715931.51246612461</v>
      </c>
      <c r="M328" s="183">
        <f t="shared" si="236"/>
        <v>919301.95466490521</v>
      </c>
      <c r="N328" s="183">
        <f t="shared" si="236"/>
        <v>919301.95466490521</v>
      </c>
      <c r="O328" s="183">
        <f t="shared" si="236"/>
        <v>919301.95466490521</v>
      </c>
      <c r="P328" s="183">
        <f t="shared" si="236"/>
        <v>905397.78943983431</v>
      </c>
      <c r="Q328" s="183">
        <f t="shared" si="236"/>
        <v>775106.08229577204</v>
      </c>
      <c r="R328" s="841"/>
      <c r="S328" s="183">
        <f>Q94/Q$6</f>
        <v>775106.08229577204</v>
      </c>
    </row>
    <row r="329" spans="2:19">
      <c r="B329" s="467" t="s">
        <v>557</v>
      </c>
      <c r="C329" s="468"/>
      <c r="D329" s="468"/>
      <c r="E329" s="471">
        <f t="shared" ref="E329:Q329" si="237">E96/E$6</f>
        <v>989969.64769647701</v>
      </c>
      <c r="F329" s="471">
        <f t="shared" si="237"/>
        <v>969806.12086720869</v>
      </c>
      <c r="G329" s="471">
        <f t="shared" si="237"/>
        <v>937872.68373983738</v>
      </c>
      <c r="H329" s="471">
        <f t="shared" si="237"/>
        <v>970265.78346883471</v>
      </c>
      <c r="I329" s="471">
        <f t="shared" si="237"/>
        <v>981271.06449864502</v>
      </c>
      <c r="J329" s="471">
        <f t="shared" si="237"/>
        <v>972184.35663956637</v>
      </c>
      <c r="K329" s="471">
        <f t="shared" si="237"/>
        <v>942905.35203252034</v>
      </c>
      <c r="L329" s="471">
        <f t="shared" si="237"/>
        <v>930896.33685636858</v>
      </c>
      <c r="M329" s="471">
        <f t="shared" si="237"/>
        <v>1255493.9622780865</v>
      </c>
      <c r="N329" s="471">
        <f t="shared" si="237"/>
        <v>1264159.1143029209</v>
      </c>
      <c r="O329" s="471">
        <f t="shared" si="237"/>
        <v>1272824.3610162302</v>
      </c>
      <c r="P329" s="471">
        <f t="shared" si="237"/>
        <v>1270702.1169698159</v>
      </c>
      <c r="Q329" s="471">
        <f t="shared" si="237"/>
        <v>1149075.8412078915</v>
      </c>
      <c r="R329" s="873"/>
      <c r="S329" s="471">
        <f>Q96/Q$6</f>
        <v>1149075.8412078915</v>
      </c>
    </row>
    <row r="330" spans="2:19">
      <c r="B330" s="155"/>
      <c r="C330" s="186"/>
      <c r="D330" s="186"/>
      <c r="E330" s="78"/>
      <c r="F330" s="78"/>
      <c r="G330" s="78"/>
      <c r="H330" s="78"/>
      <c r="I330" s="78"/>
      <c r="J330" s="78"/>
      <c r="K330" s="78"/>
      <c r="L330" s="78"/>
      <c r="M330" s="78"/>
      <c r="N330" s="78"/>
      <c r="O330" s="78"/>
      <c r="P330" s="78"/>
      <c r="Q330" s="78"/>
      <c r="R330" s="841"/>
      <c r="S330" s="78"/>
    </row>
    <row r="331" spans="2:19">
      <c r="B331" s="546" t="s">
        <v>558</v>
      </c>
      <c r="C331" s="554"/>
      <c r="D331" s="554"/>
      <c r="E331" s="556"/>
      <c r="F331" s="556"/>
      <c r="G331" s="556"/>
      <c r="H331" s="556"/>
      <c r="I331" s="556"/>
      <c r="J331" s="556"/>
      <c r="K331" s="556"/>
      <c r="L331" s="556"/>
      <c r="M331" s="556"/>
      <c r="N331" s="556"/>
      <c r="O331" s="556"/>
      <c r="P331" s="556"/>
      <c r="Q331" s="556"/>
      <c r="R331" s="554"/>
      <c r="S331" s="556"/>
    </row>
    <row r="332" spans="2:19">
      <c r="B332" s="155" t="s">
        <v>528</v>
      </c>
      <c r="C332" s="186"/>
      <c r="D332" s="186"/>
      <c r="E332" s="183">
        <f t="shared" ref="E332:Q332" si="238">E99/E6</f>
        <v>328005.14905149053</v>
      </c>
      <c r="F332" s="183">
        <f t="shared" si="238"/>
        <v>328005.14905149053</v>
      </c>
      <c r="G332" s="183">
        <f t="shared" si="238"/>
        <v>328005.14905149053</v>
      </c>
      <c r="H332" s="183">
        <f t="shared" si="238"/>
        <v>328005.14905149053</v>
      </c>
      <c r="I332" s="183">
        <f t="shared" si="238"/>
        <v>328005.14905149053</v>
      </c>
      <c r="J332" s="183">
        <f t="shared" si="238"/>
        <v>328005.14905149053</v>
      </c>
      <c r="K332" s="183">
        <f t="shared" si="238"/>
        <v>328005.14905149053</v>
      </c>
      <c r="L332" s="183">
        <f t="shared" si="238"/>
        <v>328005.14905149053</v>
      </c>
      <c r="M332" s="183">
        <f t="shared" si="238"/>
        <v>328005.14905149053</v>
      </c>
      <c r="N332" s="183">
        <f t="shared" si="238"/>
        <v>328005.14905149053</v>
      </c>
      <c r="O332" s="183">
        <f t="shared" si="238"/>
        <v>328005.14905149053</v>
      </c>
      <c r="P332" s="183">
        <f t="shared" si="238"/>
        <v>328005.14905149053</v>
      </c>
      <c r="Q332" s="183">
        <f t="shared" si="238"/>
        <v>328005.14905149053</v>
      </c>
      <c r="R332" s="841"/>
      <c r="S332" s="183">
        <f>Q332</f>
        <v>328005.14905149053</v>
      </c>
    </row>
    <row r="333" spans="2:19">
      <c r="B333" s="155" t="s">
        <v>529</v>
      </c>
      <c r="C333" s="186"/>
      <c r="D333" s="186"/>
      <c r="E333" s="183">
        <f t="shared" ref="E333:Q333" si="239">E100/E6</f>
        <v>329157.99457994581</v>
      </c>
      <c r="F333" s="183">
        <f t="shared" si="239"/>
        <v>346362.64715447155</v>
      </c>
      <c r="G333" s="183">
        <f t="shared" si="239"/>
        <v>361010.04959349596</v>
      </c>
      <c r="H333" s="183">
        <f t="shared" si="239"/>
        <v>350728.74715447152</v>
      </c>
      <c r="I333" s="183">
        <f t="shared" si="239"/>
        <v>350920.1300813008</v>
      </c>
      <c r="J333" s="183">
        <f t="shared" si="239"/>
        <v>380290.0401084011</v>
      </c>
      <c r="K333" s="183">
        <f t="shared" si="239"/>
        <v>389326.25934959349</v>
      </c>
      <c r="L333" s="183">
        <f t="shared" si="239"/>
        <v>396021.93739837396</v>
      </c>
      <c r="M333" s="183">
        <f t="shared" si="239"/>
        <v>526515.95721314033</v>
      </c>
      <c r="N333" s="183">
        <f t="shared" si="239"/>
        <v>673102.40221688501</v>
      </c>
      <c r="O333" s="183">
        <f t="shared" si="239"/>
        <v>835781.4482596328</v>
      </c>
      <c r="P333" s="183">
        <f t="shared" si="239"/>
        <v>1011592.0613229054</v>
      </c>
      <c r="Q333" s="183">
        <f t="shared" si="239"/>
        <v>1203495.6183815771</v>
      </c>
      <c r="R333" s="841"/>
      <c r="S333" s="183">
        <f>Q333</f>
        <v>1203495.6183815771</v>
      </c>
    </row>
    <row r="334" spans="2:19">
      <c r="B334" s="467" t="s">
        <v>559</v>
      </c>
      <c r="C334" s="468"/>
      <c r="D334" s="468"/>
      <c r="E334" s="471">
        <f t="shared" ref="E334:Q334" si="240">E101/E6</f>
        <v>657163.14363143628</v>
      </c>
      <c r="F334" s="471">
        <f t="shared" si="240"/>
        <v>674367.79620596208</v>
      </c>
      <c r="G334" s="471">
        <f t="shared" si="240"/>
        <v>689015.19864498649</v>
      </c>
      <c r="H334" s="471">
        <f t="shared" si="240"/>
        <v>678733.89620596205</v>
      </c>
      <c r="I334" s="471">
        <f t="shared" si="240"/>
        <v>678925.27913279133</v>
      </c>
      <c r="J334" s="471">
        <f t="shared" si="240"/>
        <v>708295.18915989157</v>
      </c>
      <c r="K334" s="471">
        <f t="shared" si="240"/>
        <v>717331.40840108402</v>
      </c>
      <c r="L334" s="471">
        <f t="shared" si="240"/>
        <v>724027.08644986455</v>
      </c>
      <c r="M334" s="471">
        <f t="shared" si="240"/>
        <v>854521.10626463091</v>
      </c>
      <c r="N334" s="471">
        <f t="shared" si="240"/>
        <v>1001107.5512683755</v>
      </c>
      <c r="O334" s="471">
        <f t="shared" si="240"/>
        <v>1163786.5973111233</v>
      </c>
      <c r="P334" s="471">
        <f t="shared" si="240"/>
        <v>1339597.2103743958</v>
      </c>
      <c r="Q334" s="471">
        <f t="shared" si="240"/>
        <v>1531500.7674330676</v>
      </c>
      <c r="R334" s="873"/>
      <c r="S334" s="471">
        <f>Q334</f>
        <v>1531500.7674330676</v>
      </c>
    </row>
    <row r="335" spans="2:19">
      <c r="B335" s="155"/>
      <c r="C335" s="186"/>
      <c r="D335" s="186"/>
      <c r="E335" s="78"/>
      <c r="F335" s="78"/>
      <c r="G335" s="78"/>
      <c r="H335" s="78"/>
      <c r="I335" s="78"/>
      <c r="J335" s="78"/>
      <c r="K335" s="78"/>
      <c r="L335" s="78"/>
      <c r="M335" s="78"/>
      <c r="N335" s="78"/>
      <c r="O335" s="78"/>
      <c r="P335" s="78"/>
      <c r="Q335" s="78"/>
      <c r="R335" s="841"/>
      <c r="S335" s="78"/>
    </row>
    <row r="336" spans="2:19">
      <c r="B336" s="467" t="s">
        <v>560</v>
      </c>
      <c r="C336" s="468"/>
      <c r="D336" s="468"/>
      <c r="E336" s="471">
        <f t="shared" ref="E336:Q336" si="241">E103/E6</f>
        <v>1647132.7913279133</v>
      </c>
      <c r="F336" s="471">
        <f t="shared" si="241"/>
        <v>1644173.9170731707</v>
      </c>
      <c r="G336" s="471">
        <f t="shared" si="241"/>
        <v>1626887.8823848239</v>
      </c>
      <c r="H336" s="471">
        <f t="shared" si="241"/>
        <v>1648999.6796747968</v>
      </c>
      <c r="I336" s="471">
        <f t="shared" si="241"/>
        <v>1660196.3436314363</v>
      </c>
      <c r="J336" s="471">
        <f t="shared" si="241"/>
        <v>1680479.5457994579</v>
      </c>
      <c r="K336" s="471">
        <f t="shared" si="241"/>
        <v>1660236.7604336042</v>
      </c>
      <c r="L336" s="471">
        <f t="shared" si="241"/>
        <v>1654923.423306233</v>
      </c>
      <c r="M336" s="471">
        <f t="shared" si="241"/>
        <v>2110015.068542717</v>
      </c>
      <c r="N336" s="471">
        <f t="shared" si="241"/>
        <v>2265266.6655712961</v>
      </c>
      <c r="O336" s="471">
        <f t="shared" si="241"/>
        <v>2436610.9583273535</v>
      </c>
      <c r="P336" s="471">
        <f t="shared" si="241"/>
        <v>2610299.3273442122</v>
      </c>
      <c r="Q336" s="471">
        <f t="shared" si="241"/>
        <v>2680576.608640959</v>
      </c>
      <c r="R336" s="873"/>
      <c r="S336" s="471">
        <f>Q336</f>
        <v>2680576.608640959</v>
      </c>
    </row>
    <row r="338" spans="2:19">
      <c r="B338" s="203" t="s">
        <v>561</v>
      </c>
      <c r="C338" s="204"/>
      <c r="D338" s="204"/>
      <c r="E338" s="328">
        <f t="shared" ref="E338:Q338" si="242">E105/E6</f>
        <v>0</v>
      </c>
      <c r="F338" s="328">
        <f t="shared" si="242"/>
        <v>0</v>
      </c>
      <c r="G338" s="328">
        <f t="shared" si="242"/>
        <v>0</v>
      </c>
      <c r="H338" s="328">
        <f t="shared" si="242"/>
        <v>0</v>
      </c>
      <c r="I338" s="328">
        <f t="shared" si="242"/>
        <v>0</v>
      </c>
      <c r="J338" s="328">
        <f t="shared" si="242"/>
        <v>0</v>
      </c>
      <c r="K338" s="328">
        <f t="shared" si="242"/>
        <v>0</v>
      </c>
      <c r="L338" s="328">
        <f t="shared" si="242"/>
        <v>0</v>
      </c>
      <c r="M338" s="328">
        <f t="shared" si="242"/>
        <v>0</v>
      </c>
      <c r="N338" s="328">
        <f t="shared" si="242"/>
        <v>0</v>
      </c>
      <c r="O338" s="328">
        <f t="shared" si="242"/>
        <v>0</v>
      </c>
      <c r="P338" s="328">
        <f t="shared" si="242"/>
        <v>0</v>
      </c>
      <c r="Q338" s="328">
        <f t="shared" si="242"/>
        <v>0</v>
      </c>
      <c r="R338" s="841"/>
      <c r="S338" s="328">
        <f>S320-S336</f>
        <v>0</v>
      </c>
    </row>
    <row r="339" spans="2:19" s="2" customFormat="1" ht="15" thickBot="1">
      <c r="B339" s="155"/>
      <c r="C339" s="187"/>
      <c r="D339" s="187"/>
      <c r="E339" s="186"/>
      <c r="F339" s="186"/>
      <c r="G339" s="186"/>
      <c r="H339" s="186"/>
      <c r="I339" s="186"/>
      <c r="J339" s="186"/>
      <c r="K339" s="186"/>
      <c r="L339" s="186"/>
      <c r="M339" s="186"/>
      <c r="N339" s="186"/>
      <c r="O339" s="186"/>
      <c r="P339" s="186"/>
      <c r="Q339" s="186"/>
      <c r="R339" s="841"/>
      <c r="S339" s="186"/>
    </row>
    <row r="340" spans="2:19" s="2" customFormat="1">
      <c r="B340" s="473" t="s">
        <v>562</v>
      </c>
      <c r="C340" s="474"/>
      <c r="D340" s="474"/>
      <c r="E340" s="474"/>
      <c r="F340" s="474"/>
      <c r="G340" s="474"/>
      <c r="H340" s="474"/>
      <c r="I340" s="474"/>
      <c r="J340" s="474"/>
      <c r="K340" s="474"/>
      <c r="L340" s="474"/>
      <c r="M340" s="474"/>
      <c r="N340" s="474"/>
      <c r="O340" s="474"/>
      <c r="P340" s="474"/>
      <c r="Q340" s="474"/>
      <c r="R340" s="475"/>
      <c r="S340" s="474"/>
    </row>
    <row r="341" spans="2:19" s="2" customFormat="1">
      <c r="B341" s="155"/>
      <c r="C341" s="186"/>
      <c r="D341" s="186"/>
      <c r="E341" s="186"/>
      <c r="F341" s="186"/>
      <c r="G341" s="186"/>
      <c r="H341" s="186"/>
      <c r="I341" s="186"/>
      <c r="J341" s="186"/>
      <c r="K341" s="186"/>
      <c r="L341" s="186"/>
      <c r="M341" s="186"/>
      <c r="N341" s="186"/>
      <c r="O341" s="186"/>
      <c r="P341" s="186"/>
      <c r="Q341" s="186"/>
      <c r="R341" s="841"/>
      <c r="S341" s="186"/>
    </row>
    <row r="342" spans="2:19" s="2" customFormat="1">
      <c r="B342" s="420" t="s">
        <v>563</v>
      </c>
      <c r="C342" s="475"/>
      <c r="D342" s="475"/>
      <c r="E342" s="475"/>
      <c r="F342" s="475"/>
      <c r="G342" s="475"/>
      <c r="H342" s="475"/>
      <c r="I342" s="475"/>
      <c r="J342" s="475"/>
      <c r="K342" s="475"/>
      <c r="L342" s="475"/>
      <c r="M342" s="475"/>
      <c r="N342" s="475"/>
      <c r="O342" s="475"/>
      <c r="P342" s="475"/>
      <c r="Q342" s="475"/>
      <c r="R342" s="475"/>
      <c r="S342" s="475"/>
    </row>
    <row r="343" spans="2:19" s="2" customFormat="1">
      <c r="B343" s="207" t="s">
        <v>564</v>
      </c>
      <c r="C343" s="208"/>
      <c r="D343" s="208"/>
      <c r="E343" s="330">
        <f t="shared" ref="E343:G345" si="243">E314</f>
        <v>496828.18428184284</v>
      </c>
      <c r="F343" s="330">
        <f t="shared" si="243"/>
        <v>431040.87506775069</v>
      </c>
      <c r="G343" s="330">
        <f t="shared" si="243"/>
        <v>487142.8696476965</v>
      </c>
      <c r="H343" s="330">
        <f t="shared" ref="H343:Q343" si="244">H314</f>
        <v>458154.42113821139</v>
      </c>
      <c r="I343" s="330">
        <f t="shared" si="244"/>
        <v>437016.17994579946</v>
      </c>
      <c r="J343" s="330">
        <f t="shared" si="244"/>
        <v>454023.4937669377</v>
      </c>
      <c r="K343" s="330">
        <f t="shared" si="244"/>
        <v>487650.7051490515</v>
      </c>
      <c r="L343" s="330">
        <f t="shared" si="244"/>
        <v>457576.6707317073</v>
      </c>
      <c r="M343" s="330">
        <f t="shared" si="244"/>
        <v>1194079.4037940379</v>
      </c>
      <c r="N343" s="330">
        <f t="shared" si="244"/>
        <v>1263446.0704607046</v>
      </c>
      <c r="O343" s="330">
        <f t="shared" si="244"/>
        <v>1332812.7371273714</v>
      </c>
      <c r="P343" s="330">
        <f t="shared" si="244"/>
        <v>1402179.4037940379</v>
      </c>
      <c r="Q343" s="330">
        <f t="shared" si="244"/>
        <v>1471546.0704607046</v>
      </c>
      <c r="R343" s="841"/>
      <c r="S343" s="330">
        <f>Q343</f>
        <v>1471546.0704607046</v>
      </c>
    </row>
    <row r="344" spans="2:19" s="2" customFormat="1">
      <c r="B344" s="217" t="s">
        <v>565</v>
      </c>
      <c r="C344" s="218"/>
      <c r="D344" s="218"/>
      <c r="E344" s="336">
        <f t="shared" si="243"/>
        <v>24939.837398373984</v>
      </c>
      <c r="F344" s="336">
        <f t="shared" si="243"/>
        <v>25080.920054200542</v>
      </c>
      <c r="G344" s="336">
        <f t="shared" si="243"/>
        <v>25205.643089430894</v>
      </c>
      <c r="H344" s="336">
        <f t="shared" ref="H344:Q344" si="245">H315</f>
        <v>25394.388346883468</v>
      </c>
      <c r="I344" s="336">
        <f t="shared" si="245"/>
        <v>25629.852845528454</v>
      </c>
      <c r="J344" s="336">
        <f t="shared" si="245"/>
        <v>47671.380487804876</v>
      </c>
      <c r="K344" s="336">
        <f t="shared" si="245"/>
        <v>21021.498915989159</v>
      </c>
      <c r="L344" s="336">
        <f t="shared" si="245"/>
        <v>21211.390785907861</v>
      </c>
      <c r="M344" s="336">
        <f t="shared" si="245"/>
        <v>21211.390785907861</v>
      </c>
      <c r="N344" s="336">
        <f t="shared" si="245"/>
        <v>21211.390785907861</v>
      </c>
      <c r="O344" s="336">
        <f t="shared" si="245"/>
        <v>21211.390785907861</v>
      </c>
      <c r="P344" s="336">
        <f t="shared" si="245"/>
        <v>21211.390785907861</v>
      </c>
      <c r="Q344" s="336">
        <f t="shared" si="245"/>
        <v>21211.390785907861</v>
      </c>
      <c r="R344" s="841"/>
      <c r="S344" s="336">
        <f>Q344</f>
        <v>21211.390785907861</v>
      </c>
    </row>
    <row r="345" spans="2:19" s="2" customFormat="1">
      <c r="B345" s="211" t="s">
        <v>566</v>
      </c>
      <c r="C345" s="212"/>
      <c r="D345" s="212"/>
      <c r="E345" s="332">
        <f t="shared" si="243"/>
        <v>894830.62330623309</v>
      </c>
      <c r="F345" s="332">
        <f t="shared" si="243"/>
        <v>902912.12764227646</v>
      </c>
      <c r="G345" s="332">
        <f t="shared" si="243"/>
        <v>910435.71300813009</v>
      </c>
      <c r="H345" s="332">
        <f t="shared" ref="H345:Q345" si="246">H316</f>
        <v>920838.75284552842</v>
      </c>
      <c r="I345" s="332">
        <f t="shared" si="246"/>
        <v>930357.98238482384</v>
      </c>
      <c r="J345" s="332">
        <f t="shared" si="246"/>
        <v>940086.06476964767</v>
      </c>
      <c r="K345" s="332">
        <f t="shared" si="246"/>
        <v>947928.54634146346</v>
      </c>
      <c r="L345" s="332">
        <f t="shared" si="246"/>
        <v>956557.46476964769</v>
      </c>
      <c r="M345" s="332">
        <f t="shared" si="246"/>
        <v>956557.46476964769</v>
      </c>
      <c r="N345" s="332">
        <f t="shared" si="246"/>
        <v>956557.46476964769</v>
      </c>
      <c r="O345" s="332">
        <f t="shared" si="246"/>
        <v>956557.46476964769</v>
      </c>
      <c r="P345" s="332">
        <f t="shared" si="246"/>
        <v>956557.46476964769</v>
      </c>
      <c r="Q345" s="332">
        <f t="shared" si="246"/>
        <v>956557.46476964769</v>
      </c>
      <c r="R345" s="841"/>
      <c r="S345" s="332">
        <f>Q345</f>
        <v>956557.46476964769</v>
      </c>
    </row>
    <row r="346" spans="2:19" s="2" customFormat="1">
      <c r="B346" s="454" t="s">
        <v>567</v>
      </c>
      <c r="C346" s="464"/>
      <c r="D346" s="464"/>
      <c r="E346" s="472">
        <f>SUM(E343:E345)</f>
        <v>1416598.64498645</v>
      </c>
      <c r="F346" s="472">
        <f>SUM(F343:F345)</f>
        <v>1359033.9227642277</v>
      </c>
      <c r="G346" s="472">
        <f>SUM(G343:G345)</f>
        <v>1422784.2257452575</v>
      </c>
      <c r="H346" s="472">
        <f t="shared" ref="H346:Q346" si="247">SUM(H343:H345)</f>
        <v>1404387.5623306232</v>
      </c>
      <c r="I346" s="472">
        <f t="shared" si="247"/>
        <v>1393004.0151761519</v>
      </c>
      <c r="J346" s="472">
        <f t="shared" si="247"/>
        <v>1441780.9390243902</v>
      </c>
      <c r="K346" s="472">
        <f t="shared" si="247"/>
        <v>1456600.7504065041</v>
      </c>
      <c r="L346" s="472">
        <f t="shared" si="247"/>
        <v>1435345.5262872628</v>
      </c>
      <c r="M346" s="472">
        <f t="shared" si="247"/>
        <v>2171848.2593495934</v>
      </c>
      <c r="N346" s="472">
        <f t="shared" si="247"/>
        <v>2241214.9260162599</v>
      </c>
      <c r="O346" s="472">
        <f t="shared" si="247"/>
        <v>2310581.5926829269</v>
      </c>
      <c r="P346" s="472">
        <f t="shared" si="247"/>
        <v>2379948.2593495934</v>
      </c>
      <c r="Q346" s="472">
        <f t="shared" si="247"/>
        <v>2449314.9260162599</v>
      </c>
      <c r="R346" s="873"/>
      <c r="S346" s="472">
        <f>Q346</f>
        <v>2449314.9260162599</v>
      </c>
    </row>
    <row r="347" spans="2:19" s="2" customFormat="1">
      <c r="B347" s="155"/>
      <c r="C347" s="186"/>
      <c r="D347" s="186"/>
      <c r="E347" s="78"/>
      <c r="F347" s="78"/>
      <c r="G347" s="78"/>
      <c r="H347" s="78"/>
      <c r="I347" s="78"/>
      <c r="J347" s="78"/>
      <c r="K347" s="78"/>
      <c r="L347" s="78"/>
      <c r="M347" s="78"/>
      <c r="N347" s="78"/>
      <c r="O347" s="78"/>
      <c r="P347" s="78"/>
      <c r="Q347" s="78"/>
      <c r="R347" s="841"/>
      <c r="S347" s="78"/>
    </row>
    <row r="348" spans="2:19" s="2" customFormat="1">
      <c r="B348" s="420" t="s">
        <v>568</v>
      </c>
      <c r="C348" s="475"/>
      <c r="D348" s="475"/>
      <c r="E348" s="485"/>
      <c r="F348" s="485"/>
      <c r="G348" s="485"/>
      <c r="H348" s="485"/>
      <c r="I348" s="485"/>
      <c r="J348" s="485"/>
      <c r="K348" s="485"/>
      <c r="L348" s="485"/>
      <c r="M348" s="485"/>
      <c r="N348" s="485"/>
      <c r="O348" s="485"/>
      <c r="P348" s="485"/>
      <c r="Q348" s="485"/>
      <c r="R348" s="475"/>
      <c r="S348" s="485"/>
    </row>
    <row r="349" spans="2:19" s="2" customFormat="1">
      <c r="B349" s="207" t="s">
        <v>569</v>
      </c>
      <c r="C349" s="208"/>
      <c r="D349" s="208"/>
      <c r="E349" s="330">
        <f>E323</f>
        <v>21710.298102981029</v>
      </c>
      <c r="F349" s="330">
        <f>F323</f>
        <v>19724.515176151763</v>
      </c>
      <c r="G349" s="330">
        <f>G323</f>
        <v>27470.216531165312</v>
      </c>
      <c r="H349" s="330">
        <f t="shared" ref="H349:Q349" si="248">H323</f>
        <v>28235.766937669378</v>
      </c>
      <c r="I349" s="330">
        <f t="shared" si="248"/>
        <v>30505.0054200542</v>
      </c>
      <c r="J349" s="330">
        <f t="shared" si="248"/>
        <v>26989.09674796748</v>
      </c>
      <c r="K349" s="330">
        <f t="shared" si="248"/>
        <v>22629.795934959351</v>
      </c>
      <c r="L349" s="330">
        <f t="shared" si="248"/>
        <v>28334.741192411922</v>
      </c>
      <c r="M349" s="330">
        <f t="shared" si="248"/>
        <v>28334.741192411922</v>
      </c>
      <c r="N349" s="330">
        <f t="shared" si="248"/>
        <v>28334.741192411922</v>
      </c>
      <c r="O349" s="330">
        <f t="shared" si="248"/>
        <v>28334.741192411922</v>
      </c>
      <c r="P349" s="330">
        <f t="shared" si="248"/>
        <v>28334.741192411922</v>
      </c>
      <c r="Q349" s="330">
        <f t="shared" si="248"/>
        <v>28334.741192411922</v>
      </c>
      <c r="R349" s="841"/>
      <c r="S349" s="330">
        <f>Q349</f>
        <v>28334.741192411922</v>
      </c>
    </row>
    <row r="350" spans="2:19" s="2" customFormat="1">
      <c r="B350" s="211" t="s">
        <v>570</v>
      </c>
      <c r="C350" s="212"/>
      <c r="D350" s="212"/>
      <c r="E350" s="332">
        <f>E325</f>
        <v>10860.975609756097</v>
      </c>
      <c r="F350" s="332">
        <f>F325</f>
        <v>3888.9105691056911</v>
      </c>
      <c r="G350" s="332">
        <f>G325</f>
        <v>485.55555555555554</v>
      </c>
      <c r="H350" s="332">
        <f t="shared" ref="H350:Q350" si="249">H325</f>
        <v>6929.69756097561</v>
      </c>
      <c r="I350" s="332">
        <f t="shared" si="249"/>
        <v>6638.6571815718153</v>
      </c>
      <c r="J350" s="332">
        <f t="shared" si="249"/>
        <v>6101.1967479674795</v>
      </c>
      <c r="K350" s="332">
        <f t="shared" si="249"/>
        <v>6321.2723577235774</v>
      </c>
      <c r="L350" s="332">
        <f t="shared" si="249"/>
        <v>5211.239566395664</v>
      </c>
      <c r="M350" s="332">
        <f t="shared" si="249"/>
        <v>70266.010669489595</v>
      </c>
      <c r="N350" s="332">
        <f t="shared" si="249"/>
        <v>78931.162694323968</v>
      </c>
      <c r="O350" s="332">
        <f t="shared" si="249"/>
        <v>87596.409407633386</v>
      </c>
      <c r="P350" s="332">
        <f t="shared" si="249"/>
        <v>94667.253187916052</v>
      </c>
      <c r="Q350" s="332">
        <f t="shared" si="249"/>
        <v>103332.68457005399</v>
      </c>
      <c r="R350" s="841"/>
      <c r="S350" s="332">
        <f>Q350</f>
        <v>103332.68457005399</v>
      </c>
    </row>
    <row r="351" spans="2:19" s="2" customFormat="1">
      <c r="B351" s="454" t="s">
        <v>571</v>
      </c>
      <c r="C351" s="464"/>
      <c r="D351" s="464"/>
      <c r="E351" s="472">
        <f>SUM(E349:E350)</f>
        <v>32571.273712737126</v>
      </c>
      <c r="F351" s="472">
        <f>SUM(F349:F350)</f>
        <v>23613.425745257453</v>
      </c>
      <c r="G351" s="472">
        <f>SUM(G349:G350)</f>
        <v>27955.772086720866</v>
      </c>
      <c r="H351" s="472">
        <f t="shared" ref="H351:Q351" si="250">SUM(H349:H350)</f>
        <v>35165.464498644986</v>
      </c>
      <c r="I351" s="472">
        <f t="shared" si="250"/>
        <v>37143.662601626012</v>
      </c>
      <c r="J351" s="472">
        <f t="shared" si="250"/>
        <v>33090.293495934959</v>
      </c>
      <c r="K351" s="472">
        <f t="shared" si="250"/>
        <v>28951.068292682929</v>
      </c>
      <c r="L351" s="472">
        <f t="shared" si="250"/>
        <v>33545.980758807586</v>
      </c>
      <c r="M351" s="472">
        <f t="shared" si="250"/>
        <v>98600.751861901517</v>
      </c>
      <c r="N351" s="472">
        <f t="shared" si="250"/>
        <v>107265.90388673589</v>
      </c>
      <c r="O351" s="472">
        <f t="shared" si="250"/>
        <v>115931.15060004531</v>
      </c>
      <c r="P351" s="472">
        <f t="shared" si="250"/>
        <v>123001.99438032797</v>
      </c>
      <c r="Q351" s="472">
        <f t="shared" si="250"/>
        <v>131667.42576246592</v>
      </c>
      <c r="R351" s="873"/>
      <c r="S351" s="472">
        <f>Q351</f>
        <v>131667.42576246592</v>
      </c>
    </row>
    <row r="352" spans="2:19" s="2" customFormat="1">
      <c r="B352" s="188" t="s">
        <v>572</v>
      </c>
      <c r="C352" s="189"/>
      <c r="D352" s="189"/>
      <c r="E352" s="190">
        <f>E346-E351</f>
        <v>1384027.371273713</v>
      </c>
      <c r="F352" s="190">
        <f>F346-F351</f>
        <v>1335420.4970189703</v>
      </c>
      <c r="G352" s="190">
        <f>G346-G351</f>
        <v>1394828.4536585365</v>
      </c>
      <c r="H352" s="190">
        <f t="shared" ref="H352:Q352" si="251">H346-H351</f>
        <v>1369222.0978319782</v>
      </c>
      <c r="I352" s="190">
        <f t="shared" si="251"/>
        <v>1355860.3525745259</v>
      </c>
      <c r="J352" s="190">
        <f t="shared" si="251"/>
        <v>1408690.6455284553</v>
      </c>
      <c r="K352" s="190">
        <f t="shared" si="251"/>
        <v>1427649.6821138212</v>
      </c>
      <c r="L352" s="190">
        <f t="shared" si="251"/>
        <v>1401799.5455284552</v>
      </c>
      <c r="M352" s="190">
        <f t="shared" si="251"/>
        <v>2073247.5074876919</v>
      </c>
      <c r="N352" s="190">
        <f t="shared" si="251"/>
        <v>2133949.022129524</v>
      </c>
      <c r="O352" s="190">
        <f t="shared" si="251"/>
        <v>2194650.4420828815</v>
      </c>
      <c r="P352" s="190">
        <f t="shared" si="251"/>
        <v>2256946.2649692656</v>
      </c>
      <c r="Q352" s="190">
        <f t="shared" si="251"/>
        <v>2317647.5002537938</v>
      </c>
      <c r="R352" s="841"/>
      <c r="S352" s="190">
        <f>Q352</f>
        <v>2317647.5002537938</v>
      </c>
    </row>
    <row r="354" spans="2:19" s="2" customFormat="1">
      <c r="B354" s="473" t="s">
        <v>573</v>
      </c>
      <c r="C354" s="474"/>
      <c r="D354" s="474"/>
      <c r="E354" s="486"/>
      <c r="F354" s="486"/>
      <c r="G354" s="486"/>
      <c r="H354" s="486"/>
      <c r="I354" s="486"/>
      <c r="J354" s="486"/>
      <c r="K354" s="486"/>
      <c r="L354" s="486"/>
      <c r="M354" s="486"/>
      <c r="N354" s="486"/>
      <c r="O354" s="486"/>
      <c r="P354" s="486"/>
      <c r="Q354" s="486"/>
      <c r="R354" s="475"/>
      <c r="S354" s="486"/>
    </row>
    <row r="355" spans="2:19" s="2" customFormat="1">
      <c r="B355" s="155"/>
      <c r="C355" s="186"/>
      <c r="D355" s="186"/>
      <c r="E355" s="78"/>
      <c r="F355" s="78"/>
      <c r="G355" s="78"/>
      <c r="H355" s="78"/>
      <c r="I355" s="78"/>
      <c r="J355" s="78"/>
      <c r="K355" s="78"/>
      <c r="L355" s="78"/>
      <c r="M355" s="78"/>
      <c r="N355" s="78"/>
      <c r="O355" s="78"/>
      <c r="P355" s="78"/>
      <c r="Q355" s="78"/>
      <c r="R355" s="841"/>
      <c r="S355" s="78"/>
    </row>
    <row r="356" spans="2:19" s="2" customFormat="1">
      <c r="B356" s="155" t="s">
        <v>574</v>
      </c>
      <c r="C356" s="186"/>
      <c r="D356" s="186"/>
      <c r="E356" s="183">
        <f t="shared" ref="E356:Q356" si="252">E123/E6</f>
        <v>56697.018970189703</v>
      </c>
      <c r="F356" s="183">
        <f t="shared" si="252"/>
        <v>56697.018970189703</v>
      </c>
      <c r="G356" s="183">
        <f t="shared" si="252"/>
        <v>58691.586449864495</v>
      </c>
      <c r="H356" s="183">
        <f t="shared" si="252"/>
        <v>60390.502439024393</v>
      </c>
      <c r="I356" s="183">
        <f t="shared" si="252"/>
        <v>60468.835230352306</v>
      </c>
      <c r="J356" s="183">
        <f t="shared" si="252"/>
        <v>930357.98238482384</v>
      </c>
      <c r="K356" s="183">
        <f t="shared" si="252"/>
        <v>61239.976693766941</v>
      </c>
      <c r="L356" s="183">
        <f t="shared" si="252"/>
        <v>61239.976693766941</v>
      </c>
      <c r="M356" s="183">
        <f t="shared" si="252"/>
        <v>61239.976693766941</v>
      </c>
      <c r="N356" s="183">
        <f t="shared" si="252"/>
        <v>62213.915293586273</v>
      </c>
      <c r="O356" s="183">
        <f t="shared" si="252"/>
        <v>63171.621583408611</v>
      </c>
      <c r="P356" s="183">
        <f t="shared" si="252"/>
        <v>64113.366101733918</v>
      </c>
      <c r="Q356" s="183">
        <f t="shared" si="252"/>
        <v>65039.414878087133</v>
      </c>
      <c r="R356" s="841"/>
      <c r="S356" s="183">
        <f>F356</f>
        <v>56697.018970189703</v>
      </c>
    </row>
    <row r="357" spans="2:19" s="2" customFormat="1">
      <c r="B357" s="155" t="s">
        <v>575</v>
      </c>
      <c r="C357" s="186"/>
      <c r="D357" s="186"/>
      <c r="E357" s="183">
        <f t="shared" ref="E357:Q357" si="253">E124/E6</f>
        <v>0</v>
      </c>
      <c r="F357" s="183">
        <f t="shared" si="253"/>
        <v>2939.5177958446247</v>
      </c>
      <c r="G357" s="183">
        <f t="shared" si="253"/>
        <v>2677.109096657633</v>
      </c>
      <c r="H357" s="183">
        <f t="shared" si="253"/>
        <v>0</v>
      </c>
      <c r="I357" s="183">
        <f t="shared" si="253"/>
        <v>870896.96107497741</v>
      </c>
      <c r="J357" s="183">
        <f t="shared" si="253"/>
        <v>-853612.03931797657</v>
      </c>
      <c r="K357" s="183">
        <f t="shared" si="253"/>
        <v>1020.6662782294491</v>
      </c>
      <c r="L357" s="183">
        <f t="shared" si="253"/>
        <v>1994.6048780487804</v>
      </c>
      <c r="M357" s="183">
        <f t="shared" si="253"/>
        <v>1994.6048780487804</v>
      </c>
      <c r="N357" s="183">
        <f t="shared" si="253"/>
        <v>1994.6048780487804</v>
      </c>
      <c r="O357" s="183">
        <f t="shared" si="253"/>
        <v>1994.6048780487804</v>
      </c>
      <c r="P357" s="183">
        <f t="shared" si="253"/>
        <v>1994.6048780487804</v>
      </c>
      <c r="Q357" s="183">
        <f t="shared" si="253"/>
        <v>1994.6048780487804</v>
      </c>
      <c r="R357" s="841"/>
      <c r="S357" s="183">
        <f>SUM(F357:Q357)</f>
        <v>35889.844196025282</v>
      </c>
    </row>
    <row r="358" spans="2:19" s="2" customFormat="1">
      <c r="B358" s="155" t="s">
        <v>576</v>
      </c>
      <c r="C358" s="186"/>
      <c r="D358" s="186"/>
      <c r="E358" s="183">
        <f t="shared" ref="E358:Q358" si="254">E125/E6</f>
        <v>0</v>
      </c>
      <c r="F358" s="183">
        <f t="shared" si="254"/>
        <v>-944.95031616982828</v>
      </c>
      <c r="G358" s="183">
        <f t="shared" si="254"/>
        <v>-978.19310749774172</v>
      </c>
      <c r="H358" s="183">
        <f t="shared" si="254"/>
        <v>-1006.5083739837398</v>
      </c>
      <c r="I358" s="183">
        <f t="shared" si="254"/>
        <v>-1007.8139205058717</v>
      </c>
      <c r="J358" s="183">
        <f t="shared" si="254"/>
        <v>-15505.966373080397</v>
      </c>
      <c r="K358" s="183">
        <f t="shared" si="254"/>
        <v>-1020.6662782294491</v>
      </c>
      <c r="L358" s="183">
        <f t="shared" si="254"/>
        <v>-1020.6662782294491</v>
      </c>
      <c r="M358" s="183">
        <f t="shared" si="254"/>
        <v>-1020.6662782294491</v>
      </c>
      <c r="N358" s="183">
        <f t="shared" si="254"/>
        <v>-1036.8985882264378</v>
      </c>
      <c r="O358" s="183">
        <f t="shared" si="254"/>
        <v>-1052.8603597234769</v>
      </c>
      <c r="P358" s="183">
        <f t="shared" si="254"/>
        <v>-1068.5561016955653</v>
      </c>
      <c r="Q358" s="183">
        <f t="shared" si="254"/>
        <v>-1083.9902479681189</v>
      </c>
      <c r="R358" s="841"/>
      <c r="S358" s="183">
        <f>SUM(F358:Q358)</f>
        <v>-26747.736223539519</v>
      </c>
    </row>
    <row r="359" spans="2:19" s="2" customFormat="1">
      <c r="B359" s="188" t="s">
        <v>577</v>
      </c>
      <c r="C359" s="189"/>
      <c r="D359" s="189"/>
      <c r="E359" s="190">
        <f t="shared" ref="E359:Q359" si="255">E126/E6</f>
        <v>56697.018970189703</v>
      </c>
      <c r="F359" s="190">
        <f t="shared" si="255"/>
        <v>58691.586449864495</v>
      </c>
      <c r="G359" s="190">
        <f t="shared" si="255"/>
        <v>60390.502439024393</v>
      </c>
      <c r="H359" s="190">
        <f t="shared" si="255"/>
        <v>60468.835230352306</v>
      </c>
      <c r="I359" s="190">
        <f t="shared" si="255"/>
        <v>930357.98238482384</v>
      </c>
      <c r="J359" s="190">
        <f t="shared" si="255"/>
        <v>61239.976693766941</v>
      </c>
      <c r="K359" s="190">
        <f t="shared" si="255"/>
        <v>61239.976693766941</v>
      </c>
      <c r="L359" s="190">
        <f t="shared" si="255"/>
        <v>62213.915293586273</v>
      </c>
      <c r="M359" s="190">
        <f t="shared" si="255"/>
        <v>62213.915293586273</v>
      </c>
      <c r="N359" s="190">
        <f t="shared" si="255"/>
        <v>63171.621583408611</v>
      </c>
      <c r="O359" s="190">
        <f t="shared" si="255"/>
        <v>64113.366101733918</v>
      </c>
      <c r="P359" s="190">
        <f t="shared" si="255"/>
        <v>65039.414878087133</v>
      </c>
      <c r="Q359" s="190">
        <f t="shared" si="255"/>
        <v>65950.02950816779</v>
      </c>
      <c r="R359" s="841"/>
      <c r="S359" s="190">
        <f>Q359</f>
        <v>65950.02950816779</v>
      </c>
    </row>
    <row r="360" spans="2:19" s="2" customFormat="1" ht="15" thickBot="1">
      <c r="B360" s="155"/>
      <c r="C360" s="186"/>
      <c r="D360" s="186"/>
      <c r="E360" s="78"/>
      <c r="F360" s="78"/>
      <c r="G360" s="78"/>
      <c r="H360" s="78"/>
      <c r="I360" s="78"/>
      <c r="J360" s="78"/>
      <c r="K360" s="78"/>
      <c r="L360" s="78"/>
      <c r="M360" s="78"/>
      <c r="N360" s="78"/>
      <c r="O360" s="78"/>
      <c r="P360" s="78"/>
      <c r="Q360" s="78"/>
      <c r="R360" s="841"/>
      <c r="S360" s="78"/>
    </row>
    <row r="361" spans="2:19" s="2" customFormat="1">
      <c r="B361" s="473" t="s">
        <v>578</v>
      </c>
      <c r="C361" s="474"/>
      <c r="D361" s="474"/>
      <c r="E361" s="486"/>
      <c r="F361" s="486"/>
      <c r="G361" s="486"/>
      <c r="H361" s="486"/>
      <c r="I361" s="486"/>
      <c r="J361" s="486"/>
      <c r="K361" s="486"/>
      <c r="L361" s="486"/>
      <c r="M361" s="486"/>
      <c r="N361" s="486"/>
      <c r="O361" s="486"/>
      <c r="P361" s="486"/>
      <c r="Q361" s="486"/>
      <c r="R361" s="475"/>
      <c r="S361" s="486"/>
    </row>
    <row r="362" spans="2:19" s="2" customFormat="1">
      <c r="B362" s="155"/>
      <c r="C362" s="186"/>
      <c r="D362" s="186"/>
      <c r="E362" s="78"/>
      <c r="F362" s="78"/>
      <c r="G362" s="78"/>
      <c r="H362" s="78"/>
      <c r="I362" s="78"/>
      <c r="J362" s="78"/>
      <c r="K362" s="78"/>
      <c r="L362" s="78"/>
      <c r="M362" s="78"/>
      <c r="N362" s="78"/>
      <c r="O362" s="78"/>
      <c r="P362" s="78"/>
      <c r="Q362" s="78"/>
      <c r="R362" s="841"/>
      <c r="S362" s="78"/>
    </row>
    <row r="363" spans="2:19" s="2" customFormat="1">
      <c r="B363" s="420" t="s">
        <v>527</v>
      </c>
      <c r="C363" s="475"/>
      <c r="D363" s="475"/>
      <c r="E363" s="485"/>
      <c r="F363" s="485"/>
      <c r="G363" s="485"/>
      <c r="H363" s="485"/>
      <c r="I363" s="485"/>
      <c r="J363" s="485"/>
      <c r="K363" s="485"/>
      <c r="L363" s="485"/>
      <c r="M363" s="485"/>
      <c r="N363" s="485"/>
      <c r="O363" s="485"/>
      <c r="P363" s="485"/>
      <c r="Q363" s="485"/>
      <c r="R363" s="475"/>
      <c r="S363" s="485"/>
    </row>
    <row r="364" spans="2:19" s="2" customFormat="1">
      <c r="B364" s="155" t="s">
        <v>579</v>
      </c>
      <c r="C364" s="186"/>
      <c r="D364" s="186"/>
      <c r="E364" s="183">
        <f t="shared" ref="E364:Q364" si="256">E131/E6</f>
        <v>21710.298102981029</v>
      </c>
      <c r="F364" s="183">
        <f t="shared" si="256"/>
        <v>21710.298102981029</v>
      </c>
      <c r="G364" s="183">
        <f t="shared" si="256"/>
        <v>19724.515176151763</v>
      </c>
      <c r="H364" s="183">
        <f t="shared" si="256"/>
        <v>27470.216531165312</v>
      </c>
      <c r="I364" s="183">
        <f t="shared" si="256"/>
        <v>28235.766937669378</v>
      </c>
      <c r="J364" s="183">
        <f t="shared" si="256"/>
        <v>30505.0054200542</v>
      </c>
      <c r="K364" s="183">
        <f t="shared" si="256"/>
        <v>26989.09674796748</v>
      </c>
      <c r="L364" s="183">
        <f t="shared" si="256"/>
        <v>22629.795934959351</v>
      </c>
      <c r="M364" s="183">
        <f t="shared" si="256"/>
        <v>28334.741192411922</v>
      </c>
      <c r="N364" s="183">
        <f t="shared" si="256"/>
        <v>28334.741192411922</v>
      </c>
      <c r="O364" s="183">
        <f t="shared" si="256"/>
        <v>28334.741192411922</v>
      </c>
      <c r="P364" s="183">
        <f t="shared" si="256"/>
        <v>28334.741192411922</v>
      </c>
      <c r="Q364" s="183">
        <f t="shared" si="256"/>
        <v>28334.741192411922</v>
      </c>
      <c r="R364" s="841"/>
      <c r="S364" s="183">
        <f>F364</f>
        <v>21710.298102981029</v>
      </c>
    </row>
    <row r="365" spans="2:19" s="2" customFormat="1">
      <c r="B365" s="155" t="s">
        <v>580</v>
      </c>
      <c r="C365" s="186"/>
      <c r="D365" s="186"/>
      <c r="E365" s="183">
        <f t="shared" ref="E365:Q365" si="257">E132/E6</f>
        <v>0</v>
      </c>
      <c r="F365" s="183">
        <f t="shared" si="257"/>
        <v>-1985.7829268292683</v>
      </c>
      <c r="G365" s="183">
        <f t="shared" si="257"/>
        <v>7745.7013550135498</v>
      </c>
      <c r="H365" s="183">
        <f t="shared" si="257"/>
        <v>0</v>
      </c>
      <c r="I365" s="183">
        <f t="shared" si="257"/>
        <v>2269.2384823848238</v>
      </c>
      <c r="J365" s="183">
        <f t="shared" si="257"/>
        <v>-3515.9086720867208</v>
      </c>
      <c r="K365" s="183">
        <f t="shared" si="257"/>
        <v>-4359.3008130081298</v>
      </c>
      <c r="L365" s="183">
        <f t="shared" si="257"/>
        <v>0</v>
      </c>
      <c r="M365" s="183">
        <f t="shared" si="257"/>
        <v>0</v>
      </c>
      <c r="N365" s="183">
        <f t="shared" si="257"/>
        <v>0</v>
      </c>
      <c r="O365" s="183">
        <f t="shared" si="257"/>
        <v>0</v>
      </c>
      <c r="P365" s="183">
        <f t="shared" si="257"/>
        <v>0</v>
      </c>
      <c r="Q365" s="183">
        <f t="shared" si="257"/>
        <v>0</v>
      </c>
      <c r="R365" s="841"/>
      <c r="S365" s="183">
        <f>SUM(F365:Q365)</f>
        <v>153.94742547425449</v>
      </c>
    </row>
    <row r="366" spans="2:19" s="2" customFormat="1">
      <c r="B366" s="188" t="s">
        <v>581</v>
      </c>
      <c r="C366" s="189"/>
      <c r="D366" s="189"/>
      <c r="E366" s="190">
        <f t="shared" ref="E366:Q366" si="258">E133/E6</f>
        <v>21710.298102981029</v>
      </c>
      <c r="F366" s="190">
        <f t="shared" si="258"/>
        <v>19724.515176151763</v>
      </c>
      <c r="G366" s="190">
        <f t="shared" si="258"/>
        <v>27470.216531165312</v>
      </c>
      <c r="H366" s="190">
        <f t="shared" si="258"/>
        <v>28235.766937669378</v>
      </c>
      <c r="I366" s="190">
        <f t="shared" si="258"/>
        <v>30505.0054200542</v>
      </c>
      <c r="J366" s="190">
        <f t="shared" si="258"/>
        <v>26989.09674796748</v>
      </c>
      <c r="K366" s="190">
        <f t="shared" si="258"/>
        <v>22629.795934959351</v>
      </c>
      <c r="L366" s="190">
        <f t="shared" si="258"/>
        <v>22629.795934959351</v>
      </c>
      <c r="M366" s="190">
        <f t="shared" si="258"/>
        <v>28334.741192411922</v>
      </c>
      <c r="N366" s="190">
        <f t="shared" si="258"/>
        <v>28334.741192411922</v>
      </c>
      <c r="O366" s="190">
        <f t="shared" si="258"/>
        <v>28334.741192411922</v>
      </c>
      <c r="P366" s="190">
        <f t="shared" si="258"/>
        <v>28334.741192411922</v>
      </c>
      <c r="Q366" s="190">
        <f t="shared" si="258"/>
        <v>28334.741192411922</v>
      </c>
      <c r="R366" s="841"/>
      <c r="S366" s="190">
        <f>Q366</f>
        <v>28334.741192411922</v>
      </c>
    </row>
    <row r="367" spans="2:19" s="2" customFormat="1">
      <c r="B367" s="155" t="s">
        <v>582</v>
      </c>
      <c r="C367" s="186"/>
      <c r="D367" s="186"/>
      <c r="E367" s="78"/>
      <c r="F367" s="183">
        <f t="shared" ref="F367:Q367" si="259">F135</f>
        <v>0.1</v>
      </c>
      <c r="G367" s="183">
        <f t="shared" si="259"/>
        <v>0.1</v>
      </c>
      <c r="H367" s="183">
        <f t="shared" si="259"/>
        <v>0.1</v>
      </c>
      <c r="I367" s="183">
        <f t="shared" si="259"/>
        <v>0.1</v>
      </c>
      <c r="J367" s="183">
        <f t="shared" si="259"/>
        <v>0.1</v>
      </c>
      <c r="K367" s="183">
        <f t="shared" si="259"/>
        <v>0.1</v>
      </c>
      <c r="L367" s="183">
        <f t="shared" si="259"/>
        <v>0.1</v>
      </c>
      <c r="M367" s="183">
        <f t="shared" si="259"/>
        <v>0.1</v>
      </c>
      <c r="N367" s="183">
        <f t="shared" si="259"/>
        <v>0.1</v>
      </c>
      <c r="O367" s="183">
        <f t="shared" si="259"/>
        <v>0.1</v>
      </c>
      <c r="P367" s="183">
        <f t="shared" si="259"/>
        <v>0.1</v>
      </c>
      <c r="Q367" s="183">
        <f t="shared" si="259"/>
        <v>0.1</v>
      </c>
      <c r="R367" s="841"/>
      <c r="S367" s="183">
        <f>F367</f>
        <v>0.1</v>
      </c>
    </row>
    <row r="369" spans="2:19" s="2" customFormat="1">
      <c r="B369" s="155" t="s">
        <v>583</v>
      </c>
      <c r="C369" s="186"/>
      <c r="D369" s="186"/>
      <c r="E369" s="78"/>
      <c r="F369" s="183">
        <f t="shared" ref="F369:Q369" si="260">F137/F6</f>
        <v>172.64505532971998</v>
      </c>
      <c r="G369" s="183">
        <f t="shared" si="260"/>
        <v>196.64471544715448</v>
      </c>
      <c r="H369" s="183">
        <f t="shared" si="260"/>
        <v>232.10826445347791</v>
      </c>
      <c r="I369" s="183">
        <f t="shared" si="260"/>
        <v>244.75321815718158</v>
      </c>
      <c r="J369" s="183">
        <f t="shared" si="260"/>
        <v>254.20837850045166</v>
      </c>
      <c r="K369" s="183">
        <f t="shared" si="260"/>
        <v>224.90913956639568</v>
      </c>
      <c r="L369" s="183">
        <f t="shared" si="260"/>
        <v>188.58163279132791</v>
      </c>
      <c r="M369" s="183">
        <f t="shared" si="260"/>
        <v>236.12284327009937</v>
      </c>
      <c r="N369" s="183">
        <f t="shared" si="260"/>
        <v>236.12284327009937</v>
      </c>
      <c r="O369" s="183">
        <f t="shared" si="260"/>
        <v>236.12284327009937</v>
      </c>
      <c r="P369" s="183">
        <f t="shared" si="260"/>
        <v>236.12284327009937</v>
      </c>
      <c r="Q369" s="183">
        <f t="shared" si="260"/>
        <v>236.12284327009937</v>
      </c>
      <c r="R369" s="841"/>
      <c r="S369" s="183">
        <f>SUM(F369:Q369)</f>
        <v>2694.4646205962063</v>
      </c>
    </row>
    <row r="370" spans="2:19" s="2" customFormat="1">
      <c r="B370" s="454" t="s">
        <v>584</v>
      </c>
      <c r="C370" s="464"/>
      <c r="D370" s="464"/>
      <c r="E370" s="487"/>
      <c r="F370" s="472">
        <f t="shared" ref="F370:Q370" si="261">SUM(F369)</f>
        <v>172.64505532971998</v>
      </c>
      <c r="G370" s="472">
        <f t="shared" si="261"/>
        <v>196.64471544715448</v>
      </c>
      <c r="H370" s="472">
        <f t="shared" si="261"/>
        <v>232.10826445347791</v>
      </c>
      <c r="I370" s="472">
        <f t="shared" si="261"/>
        <v>244.75321815718158</v>
      </c>
      <c r="J370" s="472">
        <f t="shared" si="261"/>
        <v>254.20837850045166</v>
      </c>
      <c r="K370" s="472">
        <f t="shared" si="261"/>
        <v>224.90913956639568</v>
      </c>
      <c r="L370" s="472">
        <f t="shared" si="261"/>
        <v>188.58163279132791</v>
      </c>
      <c r="M370" s="472">
        <f t="shared" si="261"/>
        <v>236.12284327009937</v>
      </c>
      <c r="N370" s="472">
        <f t="shared" si="261"/>
        <v>236.12284327009937</v>
      </c>
      <c r="O370" s="472">
        <f t="shared" si="261"/>
        <v>236.12284327009937</v>
      </c>
      <c r="P370" s="472">
        <f t="shared" si="261"/>
        <v>236.12284327009937</v>
      </c>
      <c r="Q370" s="472">
        <f t="shared" si="261"/>
        <v>236.12284327009937</v>
      </c>
      <c r="R370" s="873"/>
      <c r="S370" s="472">
        <f>SUM(F370:Q370)</f>
        <v>2694.4646205962063</v>
      </c>
    </row>
    <row r="371" spans="2:19" s="2" customFormat="1">
      <c r="B371" s="420" t="s">
        <v>585</v>
      </c>
      <c r="C371" s="475"/>
      <c r="D371" s="475"/>
      <c r="E371" s="485"/>
      <c r="F371" s="485"/>
      <c r="G371" s="485"/>
      <c r="H371" s="485"/>
      <c r="I371" s="485"/>
      <c r="J371" s="485"/>
      <c r="K371" s="485"/>
      <c r="L371" s="485"/>
      <c r="M371" s="485"/>
      <c r="N371" s="485"/>
      <c r="O371" s="485"/>
      <c r="P371" s="485"/>
      <c r="Q371" s="485"/>
      <c r="R371" s="475"/>
      <c r="S371" s="485"/>
    </row>
    <row r="372" spans="2:19" s="2" customFormat="1">
      <c r="B372" s="155" t="s">
        <v>579</v>
      </c>
      <c r="C372" s="186"/>
      <c r="D372" s="186"/>
      <c r="E372" s="183">
        <f t="shared" ref="E372:Q372" si="262">E141/E6</f>
        <v>0</v>
      </c>
      <c r="F372" s="183">
        <f t="shared" si="262"/>
        <v>0</v>
      </c>
      <c r="G372" s="183">
        <f t="shared" si="262"/>
        <v>0</v>
      </c>
      <c r="H372" s="183">
        <f t="shared" si="262"/>
        <v>0</v>
      </c>
      <c r="I372" s="183">
        <f t="shared" si="262"/>
        <v>0</v>
      </c>
      <c r="J372" s="183">
        <f t="shared" si="262"/>
        <v>0</v>
      </c>
      <c r="K372" s="183">
        <f t="shared" si="262"/>
        <v>716165.089701897</v>
      </c>
      <c r="L372" s="183">
        <f t="shared" si="262"/>
        <v>715871.67506775062</v>
      </c>
      <c r="M372" s="183">
        <f t="shared" si="262"/>
        <v>715931.51246612461</v>
      </c>
      <c r="N372" s="183">
        <f t="shared" si="262"/>
        <v>919301.95466490521</v>
      </c>
      <c r="O372" s="183">
        <f t="shared" si="262"/>
        <v>919301.95466490521</v>
      </c>
      <c r="P372" s="183">
        <f t="shared" si="262"/>
        <v>919301.95466490521</v>
      </c>
      <c r="Q372" s="183">
        <f t="shared" si="262"/>
        <v>905397.78943983431</v>
      </c>
      <c r="R372" s="841"/>
      <c r="S372" s="183">
        <f>F372</f>
        <v>0</v>
      </c>
    </row>
    <row r="373" spans="2:19" s="2" customFormat="1">
      <c r="B373" s="155" t="s">
        <v>580</v>
      </c>
      <c r="C373" s="186"/>
      <c r="D373" s="186"/>
      <c r="E373" s="183">
        <f t="shared" ref="E373:Q373" si="263">E142/E6</f>
        <v>0</v>
      </c>
      <c r="F373" s="183">
        <f t="shared" si="263"/>
        <v>0</v>
      </c>
      <c r="G373" s="183">
        <f t="shared" si="263"/>
        <v>0</v>
      </c>
      <c r="H373" s="183">
        <f t="shared" si="263"/>
        <v>0</v>
      </c>
      <c r="I373" s="183">
        <f t="shared" si="263"/>
        <v>0</v>
      </c>
      <c r="J373" s="183">
        <f t="shared" si="263"/>
        <v>0</v>
      </c>
      <c r="K373" s="183">
        <f t="shared" si="263"/>
        <v>0</v>
      </c>
      <c r="L373" s="183">
        <f t="shared" si="263"/>
        <v>0</v>
      </c>
      <c r="M373" s="183">
        <f t="shared" si="263"/>
        <v>203370.44219878048</v>
      </c>
      <c r="N373" s="183">
        <f t="shared" si="263"/>
        <v>0</v>
      </c>
      <c r="O373" s="183">
        <f t="shared" si="263"/>
        <v>0</v>
      </c>
      <c r="P373" s="183">
        <f t="shared" si="263"/>
        <v>0</v>
      </c>
      <c r="Q373" s="183">
        <f t="shared" si="263"/>
        <v>0</v>
      </c>
      <c r="R373" s="841"/>
      <c r="S373" s="183">
        <f>SUM(F373:Q373)</f>
        <v>203370.44219878048</v>
      </c>
    </row>
    <row r="374" spans="2:19" s="2" customFormat="1">
      <c r="B374" s="188" t="s">
        <v>586</v>
      </c>
      <c r="C374" s="189"/>
      <c r="D374" s="189"/>
      <c r="E374" s="190">
        <f t="shared" ref="E374:Q374" si="264">E144/E$6</f>
        <v>0</v>
      </c>
      <c r="F374" s="190">
        <f t="shared" si="264"/>
        <v>0</v>
      </c>
      <c r="G374" s="190">
        <f t="shared" si="264"/>
        <v>0</v>
      </c>
      <c r="H374" s="190">
        <f t="shared" si="264"/>
        <v>0</v>
      </c>
      <c r="I374" s="190">
        <f t="shared" si="264"/>
        <v>0</v>
      </c>
      <c r="J374" s="190">
        <f t="shared" si="264"/>
        <v>716165.089701897</v>
      </c>
      <c r="K374" s="190">
        <f t="shared" si="264"/>
        <v>715871.67506775062</v>
      </c>
      <c r="L374" s="190">
        <f t="shared" si="264"/>
        <v>715871.67506775062</v>
      </c>
      <c r="M374" s="190">
        <f t="shared" si="264"/>
        <v>919301.95466490521</v>
      </c>
      <c r="N374" s="190">
        <f t="shared" si="264"/>
        <v>919301.95466490521</v>
      </c>
      <c r="O374" s="190">
        <f t="shared" si="264"/>
        <v>919301.95466490521</v>
      </c>
      <c r="P374" s="190">
        <f t="shared" si="264"/>
        <v>905397.78943983431</v>
      </c>
      <c r="Q374" s="190">
        <f t="shared" si="264"/>
        <v>775106.08229577204</v>
      </c>
      <c r="R374" s="841"/>
      <c r="S374" s="190">
        <f>Q374</f>
        <v>775106.08229577204</v>
      </c>
    </row>
    <row r="375" spans="2:19" s="2" customFormat="1">
      <c r="B375" s="155"/>
      <c r="C375" s="186"/>
      <c r="D375" s="186"/>
      <c r="E375" s="78"/>
      <c r="F375" s="78"/>
      <c r="G375" s="78"/>
      <c r="H375" s="78"/>
      <c r="I375" s="78"/>
      <c r="J375" s="78"/>
      <c r="K375" s="78"/>
      <c r="L375" s="78"/>
      <c r="M375" s="78"/>
      <c r="N375" s="78"/>
      <c r="O375" s="78"/>
      <c r="P375" s="78"/>
      <c r="Q375" s="78"/>
      <c r="R375" s="841"/>
      <c r="S375" s="78"/>
    </row>
    <row r="376" spans="2:19" s="2" customFormat="1">
      <c r="B376" s="420" t="s">
        <v>587</v>
      </c>
      <c r="C376" s="475"/>
      <c r="D376" s="475"/>
      <c r="E376" s="485"/>
      <c r="F376" s="485"/>
      <c r="G376" s="485"/>
      <c r="H376" s="485"/>
      <c r="I376" s="485"/>
      <c r="J376" s="485"/>
      <c r="K376" s="485"/>
      <c r="L376" s="485"/>
      <c r="M376" s="485"/>
      <c r="N376" s="485"/>
      <c r="O376" s="485"/>
      <c r="P376" s="485"/>
      <c r="Q376" s="485"/>
      <c r="R376" s="475"/>
      <c r="S376" s="485"/>
    </row>
    <row r="377" spans="2:19" s="2" customFormat="1">
      <c r="B377" s="155" t="s">
        <v>579</v>
      </c>
      <c r="C377" s="186"/>
      <c r="D377" s="186"/>
      <c r="E377" s="183">
        <f t="shared" ref="E377:Q377" si="265">E147/E6</f>
        <v>328005.14905149053</v>
      </c>
      <c r="F377" s="183">
        <f t="shared" si="265"/>
        <v>328005.14905149053</v>
      </c>
      <c r="G377" s="183">
        <f t="shared" si="265"/>
        <v>328005.14905149053</v>
      </c>
      <c r="H377" s="183">
        <f t="shared" si="265"/>
        <v>328005.14905149053</v>
      </c>
      <c r="I377" s="183">
        <f t="shared" si="265"/>
        <v>328005.14905149053</v>
      </c>
      <c r="J377" s="183">
        <f t="shared" si="265"/>
        <v>328005.14905149053</v>
      </c>
      <c r="K377" s="183">
        <f t="shared" si="265"/>
        <v>328005.14905149053</v>
      </c>
      <c r="L377" s="183">
        <f t="shared" si="265"/>
        <v>328005.14905149053</v>
      </c>
      <c r="M377" s="183">
        <f t="shared" si="265"/>
        <v>328005.14905149053</v>
      </c>
      <c r="N377" s="183">
        <f t="shared" si="265"/>
        <v>328005.14905149053</v>
      </c>
      <c r="O377" s="183">
        <f t="shared" si="265"/>
        <v>328005.14905149053</v>
      </c>
      <c r="P377" s="183">
        <f t="shared" si="265"/>
        <v>328005.14905149053</v>
      </c>
      <c r="Q377" s="183">
        <f t="shared" si="265"/>
        <v>328005.14905149053</v>
      </c>
      <c r="R377" s="841"/>
      <c r="S377" s="183">
        <f>F377</f>
        <v>328005.14905149053</v>
      </c>
    </row>
    <row r="378" spans="2:19" s="2" customFormat="1">
      <c r="B378" s="155" t="s">
        <v>588</v>
      </c>
      <c r="C378" s="186"/>
      <c r="D378" s="186"/>
      <c r="E378" s="183">
        <f t="shared" ref="E378:Q378" si="266">E148/E6</f>
        <v>0</v>
      </c>
      <c r="F378" s="183">
        <f t="shared" si="266"/>
        <v>0</v>
      </c>
      <c r="G378" s="183">
        <f t="shared" si="266"/>
        <v>0</v>
      </c>
      <c r="H378" s="183">
        <f t="shared" si="266"/>
        <v>0</v>
      </c>
      <c r="I378" s="183">
        <f t="shared" si="266"/>
        <v>0</v>
      </c>
      <c r="J378" s="183">
        <f t="shared" si="266"/>
        <v>0</v>
      </c>
      <c r="K378" s="183">
        <f t="shared" si="266"/>
        <v>0</v>
      </c>
      <c r="L378" s="183">
        <f t="shared" si="266"/>
        <v>0</v>
      </c>
      <c r="M378" s="183">
        <f t="shared" si="266"/>
        <v>0</v>
      </c>
      <c r="N378" s="183">
        <f t="shared" si="266"/>
        <v>0</v>
      </c>
      <c r="O378" s="183">
        <f t="shared" si="266"/>
        <v>0</v>
      </c>
      <c r="P378" s="183">
        <f t="shared" si="266"/>
        <v>0</v>
      </c>
      <c r="Q378" s="183">
        <f t="shared" si="266"/>
        <v>0</v>
      </c>
      <c r="R378" s="841"/>
      <c r="S378" s="183">
        <f>SUM(F378:Q378)</f>
        <v>0</v>
      </c>
    </row>
    <row r="379" spans="2:19" s="2" customFormat="1">
      <c r="B379" s="188" t="s">
        <v>589</v>
      </c>
      <c r="C379" s="189"/>
      <c r="D379" s="189"/>
      <c r="E379" s="190">
        <f t="shared" ref="E379:Q379" si="267">E149/E6</f>
        <v>328005.14905149053</v>
      </c>
      <c r="F379" s="190">
        <f t="shared" si="267"/>
        <v>328005.14905149053</v>
      </c>
      <c r="G379" s="190">
        <f t="shared" si="267"/>
        <v>328005.14905149053</v>
      </c>
      <c r="H379" s="190">
        <f t="shared" si="267"/>
        <v>328005.14905149053</v>
      </c>
      <c r="I379" s="190">
        <f t="shared" si="267"/>
        <v>328005.14905149053</v>
      </c>
      <c r="J379" s="190">
        <f t="shared" si="267"/>
        <v>328005.14905149053</v>
      </c>
      <c r="K379" s="190">
        <f t="shared" si="267"/>
        <v>328005.14905149053</v>
      </c>
      <c r="L379" s="190">
        <f t="shared" si="267"/>
        <v>328005.14905149053</v>
      </c>
      <c r="M379" s="190">
        <f t="shared" si="267"/>
        <v>328005.14905149053</v>
      </c>
      <c r="N379" s="190">
        <f t="shared" si="267"/>
        <v>328005.14905149053</v>
      </c>
      <c r="O379" s="190">
        <f t="shared" si="267"/>
        <v>328005.14905149053</v>
      </c>
      <c r="P379" s="190">
        <f t="shared" si="267"/>
        <v>328005.14905149053</v>
      </c>
      <c r="Q379" s="190">
        <f t="shared" si="267"/>
        <v>328005.14905149053</v>
      </c>
      <c r="R379" s="841"/>
      <c r="S379" s="190">
        <f>Q379</f>
        <v>328005.14905149053</v>
      </c>
    </row>
    <row r="380" spans="2:19" s="2" customFormat="1">
      <c r="B380" s="155"/>
      <c r="C380" s="186"/>
      <c r="D380" s="186"/>
      <c r="E380" s="78"/>
      <c r="F380" s="78"/>
      <c r="G380" s="78"/>
      <c r="H380" s="78"/>
      <c r="I380" s="78"/>
      <c r="J380" s="78"/>
      <c r="K380" s="78"/>
      <c r="L380" s="78"/>
      <c r="M380" s="78"/>
      <c r="N380" s="78"/>
      <c r="O380" s="78"/>
      <c r="P380" s="78"/>
      <c r="Q380" s="78"/>
      <c r="R380" s="841"/>
      <c r="S380" s="78"/>
    </row>
    <row r="381" spans="2:19" s="2" customFormat="1">
      <c r="B381" s="420" t="s">
        <v>590</v>
      </c>
      <c r="C381" s="475"/>
      <c r="D381" s="475"/>
      <c r="E381" s="485"/>
      <c r="F381" s="485"/>
      <c r="G381" s="485"/>
      <c r="H381" s="485"/>
      <c r="I381" s="485"/>
      <c r="J381" s="485"/>
      <c r="K381" s="485"/>
      <c r="L381" s="485"/>
      <c r="M381" s="485"/>
      <c r="N381" s="485"/>
      <c r="O381" s="485"/>
      <c r="P381" s="485"/>
      <c r="Q381" s="485"/>
      <c r="R381" s="475"/>
      <c r="S381" s="485"/>
    </row>
    <row r="382" spans="2:19" s="2" customFormat="1">
      <c r="B382" s="155" t="s">
        <v>579</v>
      </c>
      <c r="C382" s="186"/>
      <c r="D382" s="186"/>
      <c r="E382" s="183">
        <f t="shared" ref="E382:Q382" si="268">E152/E6</f>
        <v>329157.99457994581</v>
      </c>
      <c r="F382" s="183">
        <f t="shared" si="268"/>
        <v>329157.99457994581</v>
      </c>
      <c r="G382" s="183">
        <f t="shared" si="268"/>
        <v>346362.64715447155</v>
      </c>
      <c r="H382" s="183">
        <f t="shared" si="268"/>
        <v>361010.04959349596</v>
      </c>
      <c r="I382" s="183">
        <f t="shared" si="268"/>
        <v>350728.74688346882</v>
      </c>
      <c r="J382" s="183">
        <f t="shared" si="268"/>
        <v>350920.1300813008</v>
      </c>
      <c r="K382" s="183">
        <f t="shared" si="268"/>
        <v>380290.0401084011</v>
      </c>
      <c r="L382" s="183">
        <f t="shared" si="268"/>
        <v>389326.25934959349</v>
      </c>
      <c r="M382" s="183">
        <f t="shared" si="268"/>
        <v>396021.93739837396</v>
      </c>
      <c r="N382" s="183">
        <f t="shared" si="268"/>
        <v>526515.95721314033</v>
      </c>
      <c r="O382" s="183">
        <f t="shared" si="268"/>
        <v>673102.40221688501</v>
      </c>
      <c r="P382" s="183">
        <f t="shared" si="268"/>
        <v>835781.4482596328</v>
      </c>
      <c r="Q382" s="183">
        <f t="shared" si="268"/>
        <v>1011592.0613229054</v>
      </c>
      <c r="R382" s="841"/>
      <c r="S382" s="183">
        <f>F382</f>
        <v>329157.99457994581</v>
      </c>
    </row>
    <row r="383" spans="2:19" s="2" customFormat="1">
      <c r="B383" s="155" t="s">
        <v>545</v>
      </c>
      <c r="C383" s="186"/>
      <c r="D383" s="186"/>
      <c r="E383" s="183">
        <f t="shared" ref="E383:Q383" si="269">E153/E6</f>
        <v>0</v>
      </c>
      <c r="F383" s="183">
        <f t="shared" si="269"/>
        <v>17204.741734417345</v>
      </c>
      <c r="G383" s="183">
        <f t="shared" si="269"/>
        <v>14647.40243902439</v>
      </c>
      <c r="H383" s="183">
        <f t="shared" si="269"/>
        <v>-10281.302710027101</v>
      </c>
      <c r="I383" s="183">
        <f t="shared" si="269"/>
        <v>191.38292682926829</v>
      </c>
      <c r="J383" s="183">
        <f t="shared" si="269"/>
        <v>29369.910027100272</v>
      </c>
      <c r="K383" s="183">
        <f t="shared" si="269"/>
        <v>9036.2195121951227</v>
      </c>
      <c r="L383" s="183">
        <f t="shared" si="269"/>
        <v>6695.6780487804881</v>
      </c>
      <c r="M383" s="183">
        <f t="shared" si="269"/>
        <v>130494.01981476639</v>
      </c>
      <c r="N383" s="183">
        <f t="shared" si="269"/>
        <v>146586.44500374453</v>
      </c>
      <c r="O383" s="183">
        <f t="shared" si="269"/>
        <v>162679.04604274774</v>
      </c>
      <c r="P383" s="183">
        <f t="shared" si="269"/>
        <v>175810.61306327267</v>
      </c>
      <c r="Q383" s="183">
        <f t="shared" si="269"/>
        <v>191903.55705867169</v>
      </c>
      <c r="R383" s="841"/>
      <c r="S383" s="183">
        <f>SUM(F383:Q383)</f>
        <v>874337.71296152286</v>
      </c>
    </row>
    <row r="384" spans="2:19" s="2" customFormat="1">
      <c r="B384" s="155" t="s">
        <v>591</v>
      </c>
      <c r="C384" s="186"/>
      <c r="D384" s="186"/>
      <c r="E384" s="183">
        <f t="shared" ref="E384:Q384" si="270">E154/E6</f>
        <v>0</v>
      </c>
      <c r="F384" s="183">
        <f t="shared" si="270"/>
        <v>0</v>
      </c>
      <c r="G384" s="183">
        <f t="shared" si="270"/>
        <v>0</v>
      </c>
      <c r="H384" s="183">
        <f t="shared" si="270"/>
        <v>0</v>
      </c>
      <c r="I384" s="183">
        <f t="shared" si="270"/>
        <v>0</v>
      </c>
      <c r="J384" s="183">
        <f t="shared" si="270"/>
        <v>0</v>
      </c>
      <c r="K384" s="183">
        <f t="shared" si="270"/>
        <v>0</v>
      </c>
      <c r="L384" s="183">
        <f t="shared" si="270"/>
        <v>0</v>
      </c>
      <c r="M384" s="183">
        <f t="shared" si="270"/>
        <v>0</v>
      </c>
      <c r="N384" s="183">
        <f t="shared" si="270"/>
        <v>0</v>
      </c>
      <c r="O384" s="183">
        <f t="shared" si="270"/>
        <v>0</v>
      </c>
      <c r="P384" s="183">
        <f t="shared" si="270"/>
        <v>0</v>
      </c>
      <c r="Q384" s="183">
        <f t="shared" si="270"/>
        <v>0</v>
      </c>
      <c r="R384" s="841"/>
      <c r="S384" s="183">
        <f>SUM(F384:Q384)</f>
        <v>0</v>
      </c>
    </row>
    <row r="385" spans="2:19" s="2" customFormat="1">
      <c r="B385" s="188" t="s">
        <v>592</v>
      </c>
      <c r="C385" s="189"/>
      <c r="D385" s="189"/>
      <c r="E385" s="190">
        <f>E155/E6</f>
        <v>329157.99457994581</v>
      </c>
      <c r="F385" s="190">
        <f>F152/F6+F153/F6-F154/F6</f>
        <v>346362.73631436314</v>
      </c>
      <c r="G385" s="190">
        <f t="shared" ref="G385:Q385" si="271">G155/G6</f>
        <v>361010.04959349596</v>
      </c>
      <c r="H385" s="190">
        <f t="shared" si="271"/>
        <v>350728.74688346882</v>
      </c>
      <c r="I385" s="190">
        <f t="shared" si="271"/>
        <v>350920.1300813008</v>
      </c>
      <c r="J385" s="190">
        <f t="shared" si="271"/>
        <v>380290.0401084011</v>
      </c>
      <c r="K385" s="190">
        <f t="shared" si="271"/>
        <v>389326.25934959349</v>
      </c>
      <c r="L385" s="190">
        <f t="shared" si="271"/>
        <v>396021.93739837396</v>
      </c>
      <c r="M385" s="190">
        <f t="shared" si="271"/>
        <v>526515.95721314033</v>
      </c>
      <c r="N385" s="190">
        <f t="shared" si="271"/>
        <v>673102.40221688501</v>
      </c>
      <c r="O385" s="190">
        <f t="shared" si="271"/>
        <v>835781.4482596328</v>
      </c>
      <c r="P385" s="190">
        <f t="shared" si="271"/>
        <v>1011592.0613229054</v>
      </c>
      <c r="Q385" s="190">
        <f t="shared" si="271"/>
        <v>1203495.6183815771</v>
      </c>
      <c r="R385" s="841"/>
      <c r="S385" s="190">
        <f>Q385</f>
        <v>1203495.6183815771</v>
      </c>
    </row>
    <row r="386" spans="2:19" s="2" customFormat="1">
      <c r="B386" s="155"/>
      <c r="C386" s="186"/>
      <c r="D386" s="186"/>
      <c r="E386" s="78"/>
      <c r="F386" s="78"/>
      <c r="G386" s="78"/>
      <c r="H386" s="78"/>
      <c r="I386" s="78"/>
      <c r="J386" s="78"/>
      <c r="K386" s="78"/>
      <c r="L386" s="78"/>
      <c r="M386" s="78"/>
      <c r="N386" s="78"/>
      <c r="O386" s="78"/>
      <c r="P386" s="78"/>
      <c r="Q386" s="78"/>
      <c r="R386" s="841"/>
      <c r="S386" s="78"/>
    </row>
    <row r="387" spans="2:19" s="2" customFormat="1" ht="15" thickBot="1">
      <c r="B387" s="155"/>
      <c r="C387" s="186"/>
      <c r="D387" s="186"/>
      <c r="E387" s="78"/>
      <c r="F387" s="78"/>
      <c r="G387" s="78"/>
      <c r="H387" s="78"/>
      <c r="I387" s="78"/>
      <c r="J387" s="78"/>
      <c r="K387" s="78"/>
      <c r="L387" s="78"/>
      <c r="M387" s="78"/>
      <c r="N387" s="78"/>
      <c r="O387" s="78"/>
      <c r="P387" s="78"/>
      <c r="Q387" s="78"/>
      <c r="R387" s="841"/>
      <c r="S387" s="78"/>
    </row>
    <row r="388" spans="2:19" s="2" customFormat="1">
      <c r="B388" s="205" t="s">
        <v>593</v>
      </c>
      <c r="C388" s="206"/>
      <c r="D388" s="206"/>
      <c r="E388" s="82"/>
      <c r="F388" s="82"/>
      <c r="G388" s="82"/>
      <c r="H388" s="82"/>
      <c r="I388" s="82"/>
      <c r="J388" s="82"/>
      <c r="K388" s="82"/>
      <c r="L388" s="82"/>
      <c r="M388" s="82"/>
      <c r="N388" s="82"/>
      <c r="O388" s="82"/>
      <c r="P388" s="82"/>
      <c r="Q388" s="82"/>
      <c r="R388" s="841"/>
      <c r="S388" s="82" t="s">
        <v>16</v>
      </c>
    </row>
    <row r="389" spans="2:19" s="2" customFormat="1">
      <c r="B389" s="420"/>
      <c r="C389" s="475"/>
      <c r="D389" s="475"/>
      <c r="E389" s="485"/>
      <c r="F389" s="485"/>
      <c r="G389" s="485"/>
      <c r="H389" s="485"/>
      <c r="I389" s="485"/>
      <c r="J389" s="485"/>
      <c r="K389" s="485"/>
      <c r="L389" s="485"/>
      <c r="M389" s="485"/>
      <c r="N389" s="485"/>
      <c r="O389" s="485"/>
      <c r="P389" s="485"/>
      <c r="Q389" s="485"/>
      <c r="R389" s="475"/>
      <c r="S389" s="485" t="s">
        <v>16</v>
      </c>
    </row>
    <row r="390" spans="2:19" s="2" customFormat="1" ht="30" customHeight="1">
      <c r="B390" s="386"/>
      <c r="C390" s="386"/>
      <c r="D390" s="386"/>
      <c r="E390" s="461" t="s">
        <v>323</v>
      </c>
      <c r="F390" s="461" t="s">
        <v>209</v>
      </c>
      <c r="G390" s="461" t="s">
        <v>324</v>
      </c>
      <c r="H390" s="461" t="s">
        <v>325</v>
      </c>
      <c r="I390" s="461" t="s">
        <v>326</v>
      </c>
      <c r="J390" s="461" t="s">
        <v>327</v>
      </c>
      <c r="K390" s="461" t="s">
        <v>328</v>
      </c>
      <c r="L390" s="461" t="s">
        <v>329</v>
      </c>
      <c r="M390" s="461" t="s">
        <v>330</v>
      </c>
      <c r="N390" s="461" t="s">
        <v>331</v>
      </c>
      <c r="O390" s="461" t="s">
        <v>332</v>
      </c>
      <c r="P390" s="461" t="s">
        <v>333</v>
      </c>
      <c r="Q390" s="461" t="s">
        <v>334</v>
      </c>
      <c r="R390" s="386"/>
      <c r="S390" s="461" t="s">
        <v>594</v>
      </c>
    </row>
    <row r="391" spans="2:19" s="2" customFormat="1">
      <c r="B391" s="420" t="s">
        <v>595</v>
      </c>
      <c r="C391" s="475"/>
      <c r="D391" s="475"/>
      <c r="E391" s="485"/>
      <c r="F391" s="485"/>
      <c r="G391" s="485"/>
      <c r="H391" s="485"/>
      <c r="I391" s="485"/>
      <c r="J391" s="485"/>
      <c r="K391" s="485"/>
      <c r="L391" s="485"/>
      <c r="M391" s="485"/>
      <c r="N391" s="485"/>
      <c r="O391" s="485"/>
      <c r="P391" s="485"/>
      <c r="Q391" s="485"/>
      <c r="R391" s="475"/>
      <c r="S391" s="485"/>
    </row>
    <row r="392" spans="2:19" s="2" customFormat="1">
      <c r="B392" s="155" t="s">
        <v>545</v>
      </c>
      <c r="C392" s="186"/>
      <c r="D392" s="186"/>
      <c r="E392" s="183">
        <f t="shared" ref="E392:Q392" si="272">E162/E6</f>
        <v>0</v>
      </c>
      <c r="F392" s="183">
        <f t="shared" si="272"/>
        <v>17204.741734417345</v>
      </c>
      <c r="G392" s="183">
        <f t="shared" si="272"/>
        <v>14647.40243902439</v>
      </c>
      <c r="H392" s="183">
        <f t="shared" si="272"/>
        <v>-10281.302710027101</v>
      </c>
      <c r="I392" s="183">
        <f t="shared" si="272"/>
        <v>191.38292682926829</v>
      </c>
      <c r="J392" s="183">
        <f t="shared" si="272"/>
        <v>29369.910027100272</v>
      </c>
      <c r="K392" s="183">
        <f t="shared" si="272"/>
        <v>9036.2195121951227</v>
      </c>
      <c r="L392" s="183">
        <f t="shared" si="272"/>
        <v>6695.6780487804881</v>
      </c>
      <c r="M392" s="183">
        <f t="shared" si="272"/>
        <v>130494.01981476639</v>
      </c>
      <c r="N392" s="183">
        <f t="shared" si="272"/>
        <v>146586.44500374453</v>
      </c>
      <c r="O392" s="183">
        <f t="shared" si="272"/>
        <v>162679.04604274774</v>
      </c>
      <c r="P392" s="183">
        <f t="shared" si="272"/>
        <v>175810.61306327267</v>
      </c>
      <c r="Q392" s="183">
        <f t="shared" si="272"/>
        <v>191903.55705867169</v>
      </c>
      <c r="R392" s="841"/>
      <c r="S392" s="183">
        <f>SUM(F392:Q392)</f>
        <v>874337.71296152286</v>
      </c>
    </row>
    <row r="393" spans="2:19" s="2" customFormat="1">
      <c r="B393" s="420" t="s">
        <v>596</v>
      </c>
      <c r="C393" s="475"/>
      <c r="D393" s="475"/>
      <c r="E393" s="485"/>
      <c r="F393" s="485"/>
      <c r="G393" s="485"/>
      <c r="H393" s="485"/>
      <c r="I393" s="485"/>
      <c r="J393" s="485"/>
      <c r="K393" s="485"/>
      <c r="L393" s="485"/>
      <c r="M393" s="485"/>
      <c r="N393" s="485"/>
      <c r="O393" s="485"/>
      <c r="P393" s="485"/>
      <c r="Q393" s="485"/>
      <c r="R393" s="475"/>
      <c r="S393" s="485"/>
    </row>
    <row r="394" spans="2:19" s="2" customFormat="1">
      <c r="B394" s="207" t="s">
        <v>597</v>
      </c>
      <c r="C394" s="208"/>
      <c r="D394" s="208"/>
      <c r="E394" s="330">
        <f t="shared" ref="E394:Q394" si="273">E164/E6</f>
        <v>0</v>
      </c>
      <c r="F394" s="330">
        <f t="shared" si="273"/>
        <v>65787.309214092136</v>
      </c>
      <c r="G394" s="330">
        <f t="shared" si="273"/>
        <v>-56101.9945799458</v>
      </c>
      <c r="H394" s="330">
        <f t="shared" si="273"/>
        <v>28988.448509485093</v>
      </c>
      <c r="I394" s="330">
        <f t="shared" si="273"/>
        <v>21138.241192411922</v>
      </c>
      <c r="J394" s="330">
        <f t="shared" si="273"/>
        <v>-17007.31382113821</v>
      </c>
      <c r="K394" s="330">
        <f t="shared" si="273"/>
        <v>-33627.211382113819</v>
      </c>
      <c r="L394" s="330">
        <f t="shared" si="273"/>
        <v>30074.034417344174</v>
      </c>
      <c r="M394" s="330">
        <f t="shared" si="273"/>
        <v>-736502.73306233063</v>
      </c>
      <c r="N394" s="330">
        <f t="shared" si="273"/>
        <v>-69366.666666666672</v>
      </c>
      <c r="O394" s="330">
        <f t="shared" si="273"/>
        <v>-69366.666666666672</v>
      </c>
      <c r="P394" s="330">
        <f t="shared" si="273"/>
        <v>-69366.666666666672</v>
      </c>
      <c r="Q394" s="330">
        <f t="shared" si="273"/>
        <v>-69366.666666666672</v>
      </c>
      <c r="R394" s="841"/>
      <c r="S394" s="330">
        <f>SUM(F394:Q394)</f>
        <v>-974717.88617886161</v>
      </c>
    </row>
    <row r="395" spans="2:19" s="2" customFormat="1">
      <c r="B395" s="217" t="s">
        <v>598</v>
      </c>
      <c r="C395" s="218"/>
      <c r="D395" s="218"/>
      <c r="E395" s="336">
        <f t="shared" ref="E395:Q395" si="274">E165/E6</f>
        <v>0</v>
      </c>
      <c r="F395" s="336">
        <f t="shared" si="274"/>
        <v>-11537.875067750678</v>
      </c>
      <c r="G395" s="336">
        <f t="shared" si="274"/>
        <v>-2261.7734417344172</v>
      </c>
      <c r="H395" s="336">
        <f t="shared" si="274"/>
        <v>20936.38699186992</v>
      </c>
      <c r="I395" s="336">
        <f t="shared" si="274"/>
        <v>-1950.0818428184282</v>
      </c>
      <c r="J395" s="336">
        <f t="shared" si="274"/>
        <v>-16674.98997289973</v>
      </c>
      <c r="K395" s="336">
        <f t="shared" si="274"/>
        <v>-5127.410298102981</v>
      </c>
      <c r="L395" s="336">
        <f t="shared" si="274"/>
        <v>-21580.108943089432</v>
      </c>
      <c r="M395" s="336">
        <f t="shared" si="274"/>
        <v>56172.412119843386</v>
      </c>
      <c r="N395" s="336">
        <f t="shared" si="274"/>
        <v>0</v>
      </c>
      <c r="O395" s="336">
        <f t="shared" si="274"/>
        <v>0</v>
      </c>
      <c r="P395" s="336">
        <f t="shared" si="274"/>
        <v>4711.07739837399</v>
      </c>
      <c r="Q395" s="336">
        <f t="shared" si="274"/>
        <v>0</v>
      </c>
      <c r="R395" s="841"/>
      <c r="S395" s="336">
        <f>SUM(F395:Q395)</f>
        <v>22687.636943691625</v>
      </c>
    </row>
    <row r="396" spans="2:19" s="2" customFormat="1">
      <c r="B396" s="217" t="s">
        <v>599</v>
      </c>
      <c r="C396" s="218"/>
      <c r="D396" s="218"/>
      <c r="E396" s="336">
        <f t="shared" ref="E396:Q396" si="275">E166/E6</f>
        <v>0</v>
      </c>
      <c r="F396" s="336">
        <f t="shared" si="275"/>
        <v>-6972.0650406504064</v>
      </c>
      <c r="G396" s="336">
        <f t="shared" si="275"/>
        <v>-3403.3550135501355</v>
      </c>
      <c r="H396" s="336">
        <f t="shared" si="275"/>
        <v>6444.1420054200544</v>
      </c>
      <c r="I396" s="336">
        <f t="shared" si="275"/>
        <v>-291.04037940379402</v>
      </c>
      <c r="J396" s="336">
        <f t="shared" si="275"/>
        <v>-537.460433604336</v>
      </c>
      <c r="K396" s="336">
        <f t="shared" si="275"/>
        <v>220.07560975609755</v>
      </c>
      <c r="L396" s="336">
        <f t="shared" si="275"/>
        <v>-1110.0327913279132</v>
      </c>
      <c r="M396" s="336">
        <f t="shared" si="275"/>
        <v>65054.771103093932</v>
      </c>
      <c r="N396" s="336">
        <f t="shared" si="275"/>
        <v>8665.1520248343713</v>
      </c>
      <c r="O396" s="336">
        <f t="shared" si="275"/>
        <v>8665.2467133094142</v>
      </c>
      <c r="P396" s="336">
        <f t="shared" si="275"/>
        <v>7070.8437802826647</v>
      </c>
      <c r="Q396" s="336">
        <f t="shared" si="275"/>
        <v>8665.4313821379401</v>
      </c>
      <c r="R396" s="841"/>
      <c r="S396" s="336">
        <f>SUM(F396:Q396)</f>
        <v>92471.708960297896</v>
      </c>
    </row>
    <row r="397" spans="2:19" s="2" customFormat="1">
      <c r="B397" s="211" t="s">
        <v>600</v>
      </c>
      <c r="C397" s="212"/>
      <c r="D397" s="212"/>
      <c r="E397" s="332">
        <f t="shared" ref="E397:Q397" si="276">E170/E6</f>
        <v>0</v>
      </c>
      <c r="F397" s="332">
        <f t="shared" si="276"/>
        <v>0</v>
      </c>
      <c r="G397" s="332">
        <f t="shared" si="276"/>
        <v>0</v>
      </c>
      <c r="H397" s="332">
        <f t="shared" si="276"/>
        <v>0</v>
      </c>
      <c r="I397" s="332">
        <f t="shared" si="276"/>
        <v>1007.8139205058717</v>
      </c>
      <c r="J397" s="332">
        <f t="shared" si="276"/>
        <v>15505.966373080397</v>
      </c>
      <c r="K397" s="332">
        <f t="shared" si="276"/>
        <v>1020.6662782294491</v>
      </c>
      <c r="L397" s="332">
        <f t="shared" si="276"/>
        <v>1020.6662782294491</v>
      </c>
      <c r="M397" s="332">
        <f t="shared" si="276"/>
        <v>1020.6662782294491</v>
      </c>
      <c r="N397" s="332">
        <f t="shared" si="276"/>
        <v>1036.8985882264378</v>
      </c>
      <c r="O397" s="332">
        <f t="shared" si="276"/>
        <v>1052.8603597234769</v>
      </c>
      <c r="P397" s="332">
        <f t="shared" si="276"/>
        <v>1068.5561016955653</v>
      </c>
      <c r="Q397" s="332">
        <f t="shared" si="276"/>
        <v>1083.9902479681189</v>
      </c>
      <c r="R397" s="841"/>
      <c r="S397" s="332">
        <f>SUM(F397:Q397)</f>
        <v>23818.08442588821</v>
      </c>
    </row>
    <row r="398" spans="2:19" s="2" customFormat="1">
      <c r="B398" s="166" t="s">
        <v>601</v>
      </c>
      <c r="C398" s="195"/>
      <c r="D398" s="195"/>
      <c r="E398" s="197">
        <f t="shared" ref="E398:Q398" si="277">E171/E6</f>
        <v>0</v>
      </c>
      <c r="F398" s="197">
        <f t="shared" si="277"/>
        <v>59275.681842818427</v>
      </c>
      <c r="G398" s="197">
        <f t="shared" si="277"/>
        <v>-82579.566124661244</v>
      </c>
      <c r="H398" s="197">
        <f t="shared" si="277"/>
        <v>34051.629539295391</v>
      </c>
      <c r="I398" s="197">
        <f t="shared" si="277"/>
        <v>19875.263514001806</v>
      </c>
      <c r="J398" s="197">
        <f t="shared" si="277"/>
        <v>-7898.3235998193322</v>
      </c>
      <c r="K398" s="197">
        <f t="shared" si="277"/>
        <v>-29389.21475158085</v>
      </c>
      <c r="L398" s="197">
        <f t="shared" si="277"/>
        <v>11197.770614272811</v>
      </c>
      <c r="M398" s="197">
        <f t="shared" si="277"/>
        <v>-483760.86374639749</v>
      </c>
      <c r="N398" s="197">
        <f t="shared" si="277"/>
        <v>86921.828950138675</v>
      </c>
      <c r="O398" s="197">
        <f t="shared" si="277"/>
        <v>103030.48644911396</v>
      </c>
      <c r="P398" s="197">
        <f t="shared" si="277"/>
        <v>119294.42367695823</v>
      </c>
      <c r="Q398" s="197">
        <f t="shared" si="277"/>
        <v>132286.31202211109</v>
      </c>
      <c r="R398" s="841"/>
      <c r="S398" s="197">
        <f>SUM(F398:Q398)</f>
        <v>-37694.571613748558</v>
      </c>
    </row>
    <row r="399" spans="2:19" s="2" customFormat="1">
      <c r="B399" s="155"/>
      <c r="C399" s="186"/>
      <c r="D399" s="186"/>
      <c r="E399" s="78"/>
      <c r="F399" s="78"/>
      <c r="G399" s="78"/>
      <c r="H399" s="78"/>
      <c r="I399" s="78"/>
      <c r="J399" s="78"/>
      <c r="K399" s="78"/>
      <c r="L399" s="78"/>
      <c r="M399" s="78"/>
      <c r="N399" s="78"/>
      <c r="O399" s="78"/>
      <c r="P399" s="78"/>
      <c r="Q399" s="78"/>
      <c r="R399" s="841"/>
      <c r="S399" s="78"/>
    </row>
    <row r="400" spans="2:19">
      <c r="B400" s="420" t="s">
        <v>602</v>
      </c>
      <c r="C400" s="475"/>
      <c r="D400" s="475"/>
      <c r="E400" s="485"/>
      <c r="F400" s="485"/>
      <c r="G400" s="485"/>
      <c r="H400" s="485"/>
      <c r="I400" s="485"/>
      <c r="J400" s="485"/>
      <c r="K400" s="485"/>
      <c r="L400" s="485"/>
      <c r="M400" s="485"/>
      <c r="N400" s="485"/>
      <c r="O400" s="485"/>
      <c r="P400" s="485"/>
      <c r="Q400" s="485"/>
      <c r="R400" s="475"/>
      <c r="S400" s="485"/>
    </row>
    <row r="401" spans="2:19">
      <c r="B401" s="191" t="s">
        <v>603</v>
      </c>
      <c r="C401" s="192"/>
      <c r="D401" s="192"/>
      <c r="E401" s="339">
        <f t="shared" ref="E401:Q401" si="278">E174/E6</f>
        <v>0</v>
      </c>
      <c r="F401" s="339">
        <f t="shared" si="278"/>
        <v>-1994.5674796747967</v>
      </c>
      <c r="G401" s="339">
        <f t="shared" si="278"/>
        <v>-1698.9159891598915</v>
      </c>
      <c r="H401" s="339">
        <f t="shared" si="278"/>
        <v>-78.332791327913284</v>
      </c>
      <c r="I401" s="339">
        <f t="shared" si="278"/>
        <v>332.96358626919601</v>
      </c>
      <c r="J401" s="339">
        <f t="shared" si="278"/>
        <v>-17617.8853432701</v>
      </c>
      <c r="K401" s="339">
        <f t="shared" si="278"/>
        <v>-1020.6662782294491</v>
      </c>
      <c r="L401" s="339">
        <f t="shared" si="278"/>
        <v>-1020.6662782294491</v>
      </c>
      <c r="M401" s="339">
        <f t="shared" si="278"/>
        <v>-1994.6048780487804</v>
      </c>
      <c r="N401" s="339">
        <f t="shared" si="278"/>
        <v>-1994.6048780487804</v>
      </c>
      <c r="O401" s="339">
        <f t="shared" si="278"/>
        <v>-1994.6048780487804</v>
      </c>
      <c r="P401" s="339">
        <f t="shared" si="278"/>
        <v>-1994.6048780487804</v>
      </c>
      <c r="Q401" s="339">
        <f t="shared" si="278"/>
        <v>-1994.6048780487804</v>
      </c>
      <c r="R401" s="841"/>
      <c r="S401" s="339">
        <f>SUM(F401:Q401)</f>
        <v>-33071.094963866301</v>
      </c>
    </row>
    <row r="402" spans="2:19">
      <c r="B402" s="155"/>
      <c r="C402" s="186"/>
      <c r="D402" s="186"/>
      <c r="E402" s="78"/>
      <c r="F402" s="78"/>
      <c r="G402" s="78"/>
      <c r="H402" s="78"/>
      <c r="I402" s="78"/>
      <c r="J402" s="78"/>
      <c r="K402" s="78"/>
      <c r="L402" s="78"/>
      <c r="M402" s="78"/>
      <c r="N402" s="78"/>
      <c r="O402" s="78"/>
      <c r="P402" s="78"/>
      <c r="Q402" s="78"/>
      <c r="R402" s="841"/>
      <c r="S402" s="78"/>
    </row>
    <row r="403" spans="2:19">
      <c r="B403" s="420" t="s">
        <v>604</v>
      </c>
      <c r="C403" s="475"/>
      <c r="D403" s="475"/>
      <c r="E403" s="485"/>
      <c r="F403" s="485"/>
      <c r="G403" s="485"/>
      <c r="H403" s="485"/>
      <c r="I403" s="485"/>
      <c r="J403" s="485"/>
      <c r="K403" s="485"/>
      <c r="L403" s="485"/>
      <c r="M403" s="485"/>
      <c r="N403" s="485"/>
      <c r="O403" s="485"/>
      <c r="P403" s="485"/>
      <c r="Q403" s="485"/>
      <c r="R403" s="475"/>
      <c r="S403" s="485"/>
    </row>
    <row r="404" spans="2:19">
      <c r="B404" s="207" t="s">
        <v>605</v>
      </c>
      <c r="C404" s="208"/>
      <c r="D404" s="208"/>
      <c r="E404" s="330">
        <f t="shared" ref="E404:Q404" si="279">E177/E6</f>
        <v>0</v>
      </c>
      <c r="F404" s="330">
        <f t="shared" si="279"/>
        <v>-4669.7447154471547</v>
      </c>
      <c r="G404" s="330">
        <f t="shared" si="279"/>
        <v>1543.2284552845529</v>
      </c>
      <c r="H404" s="330">
        <f t="shared" si="279"/>
        <v>6456.8308943089432</v>
      </c>
      <c r="I404" s="330">
        <f t="shared" si="279"/>
        <v>3712.7615176151762</v>
      </c>
      <c r="J404" s="330">
        <f t="shared" si="279"/>
        <v>-5089.4317073170732</v>
      </c>
      <c r="K404" s="330">
        <f t="shared" si="279"/>
        <v>-4652.7154471544718</v>
      </c>
      <c r="L404" s="330">
        <f t="shared" si="279"/>
        <v>5764.7826558265579</v>
      </c>
      <c r="M404" s="330">
        <f t="shared" si="279"/>
        <v>203370.44219878048</v>
      </c>
      <c r="N404" s="330">
        <f t="shared" si="279"/>
        <v>0</v>
      </c>
      <c r="O404" s="330">
        <f t="shared" si="279"/>
        <v>0</v>
      </c>
      <c r="P404" s="330">
        <f t="shared" si="279"/>
        <v>-13904.165225070861</v>
      </c>
      <c r="Q404" s="330">
        <f t="shared" si="279"/>
        <v>-130291.70714406231</v>
      </c>
      <c r="R404" s="841"/>
      <c r="S404" s="330">
        <f>SUM(F404:Q404)</f>
        <v>62240.281482763836</v>
      </c>
    </row>
    <row r="405" spans="2:19">
      <c r="B405" s="217" t="s">
        <v>606</v>
      </c>
      <c r="C405" s="218"/>
      <c r="D405" s="218"/>
      <c r="E405" s="336">
        <f t="shared" ref="E405:Q405" si="280">E178/E6</f>
        <v>0</v>
      </c>
      <c r="F405" s="336">
        <f t="shared" si="280"/>
        <v>0</v>
      </c>
      <c r="G405" s="336">
        <f t="shared" si="280"/>
        <v>0</v>
      </c>
      <c r="H405" s="336">
        <f t="shared" si="280"/>
        <v>0</v>
      </c>
      <c r="I405" s="336">
        <f t="shared" si="280"/>
        <v>0</v>
      </c>
      <c r="J405" s="336">
        <f t="shared" si="280"/>
        <v>0</v>
      </c>
      <c r="K405" s="336">
        <f t="shared" si="280"/>
        <v>0</v>
      </c>
      <c r="L405" s="336">
        <f t="shared" si="280"/>
        <v>0</v>
      </c>
      <c r="M405" s="336">
        <f t="shared" si="280"/>
        <v>0</v>
      </c>
      <c r="N405" s="336">
        <f t="shared" si="280"/>
        <v>0</v>
      </c>
      <c r="O405" s="336">
        <f t="shared" si="280"/>
        <v>0</v>
      </c>
      <c r="P405" s="336">
        <f t="shared" si="280"/>
        <v>0</v>
      </c>
      <c r="Q405" s="336">
        <f t="shared" si="280"/>
        <v>0</v>
      </c>
      <c r="R405" s="841"/>
      <c r="S405" s="336">
        <f>SUM(F405:Q405)</f>
        <v>0</v>
      </c>
    </row>
    <row r="406" spans="2:19">
      <c r="B406" s="219" t="s">
        <v>607</v>
      </c>
      <c r="C406" s="220"/>
      <c r="D406" s="220"/>
      <c r="E406" s="84"/>
      <c r="F406" s="341">
        <f t="shared" ref="F406:L406" si="281">F179/F6</f>
        <v>0</v>
      </c>
      <c r="G406" s="341">
        <f t="shared" si="281"/>
        <v>0</v>
      </c>
      <c r="H406" s="341">
        <f t="shared" si="281"/>
        <v>0</v>
      </c>
      <c r="I406" s="341">
        <f t="shared" si="281"/>
        <v>0</v>
      </c>
      <c r="J406" s="341">
        <f t="shared" si="281"/>
        <v>0</v>
      </c>
      <c r="K406" s="341">
        <f t="shared" si="281"/>
        <v>0</v>
      </c>
      <c r="L406" s="341">
        <f t="shared" si="281"/>
        <v>0</v>
      </c>
      <c r="M406" s="84"/>
      <c r="N406" s="84"/>
      <c r="O406" s="84"/>
      <c r="P406" s="84"/>
      <c r="Q406" s="84"/>
      <c r="R406" s="841"/>
      <c r="S406" s="341">
        <f>SUM(F406:Q406)</f>
        <v>0</v>
      </c>
    </row>
    <row r="407" spans="2:19">
      <c r="B407" s="155"/>
      <c r="C407" s="186"/>
      <c r="D407" s="186"/>
      <c r="E407" s="78"/>
      <c r="F407" s="78"/>
      <c r="G407" s="78"/>
      <c r="H407" s="78"/>
      <c r="I407" s="78"/>
      <c r="J407" s="78"/>
      <c r="K407" s="78"/>
      <c r="L407" s="78"/>
      <c r="M407" s="78"/>
      <c r="N407" s="78"/>
      <c r="O407" s="78"/>
      <c r="P407" s="78"/>
      <c r="Q407" s="78"/>
      <c r="R407" s="841"/>
      <c r="S407" s="78"/>
    </row>
    <row r="408" spans="2:19">
      <c r="B408" s="155" t="s">
        <v>608</v>
      </c>
      <c r="C408" s="186"/>
      <c r="D408" s="186"/>
      <c r="E408" s="183">
        <f t="shared" ref="E408:Q408" si="282">E181/E6</f>
        <v>0</v>
      </c>
      <c r="F408" s="183">
        <f t="shared" si="282"/>
        <v>62726.0162601626</v>
      </c>
      <c r="G408" s="183">
        <f t="shared" si="282"/>
        <v>115337.29701897019</v>
      </c>
      <c r="H408" s="183">
        <f t="shared" si="282"/>
        <v>32602.043089430896</v>
      </c>
      <c r="I408" s="183">
        <f t="shared" si="282"/>
        <v>73032.171002710034</v>
      </c>
      <c r="J408" s="183">
        <f t="shared" si="282"/>
        <v>96953.16016260162</v>
      </c>
      <c r="K408" s="183">
        <f t="shared" si="282"/>
        <v>66347.518970189703</v>
      </c>
      <c r="L408" s="183">
        <f t="shared" si="282"/>
        <v>31284.921951219512</v>
      </c>
      <c r="M408" s="183">
        <f t="shared" si="282"/>
        <v>47226.809214092144</v>
      </c>
      <c r="N408" s="183">
        <f t="shared" si="282"/>
        <v>-235158.21721157362</v>
      </c>
      <c r="O408" s="183">
        <f t="shared" si="282"/>
        <v>-150230.99313948373</v>
      </c>
      <c r="P408" s="183">
        <f t="shared" si="282"/>
        <v>-49195.111568418557</v>
      </c>
      <c r="Q408" s="183">
        <f t="shared" si="282"/>
        <v>54200.542005420051</v>
      </c>
      <c r="R408" s="841"/>
      <c r="S408" s="183">
        <f>F408</f>
        <v>62726.0162601626</v>
      </c>
    </row>
    <row r="409" spans="2:19">
      <c r="B409" s="155" t="s">
        <v>609</v>
      </c>
      <c r="C409" s="186"/>
      <c r="D409" s="186"/>
      <c r="E409" s="183">
        <f t="shared" ref="E409:Q409" si="283">E182/E6</f>
        <v>0</v>
      </c>
      <c r="F409" s="183">
        <f t="shared" si="283"/>
        <v>52611.369647696476</v>
      </c>
      <c r="G409" s="183">
        <f t="shared" si="283"/>
        <v>-82735.253658536589</v>
      </c>
      <c r="H409" s="183">
        <f t="shared" si="283"/>
        <v>40430.12764227642</v>
      </c>
      <c r="I409" s="183">
        <f t="shared" si="283"/>
        <v>23920.988617886178</v>
      </c>
      <c r="J409" s="183">
        <f t="shared" si="283"/>
        <v>-30605.641192411924</v>
      </c>
      <c r="K409" s="183">
        <f t="shared" si="283"/>
        <v>-35062.597018970191</v>
      </c>
      <c r="L409" s="183">
        <f t="shared" si="283"/>
        <v>15941.886991869918</v>
      </c>
      <c r="M409" s="183">
        <f t="shared" si="283"/>
        <v>-485755.46862444625</v>
      </c>
      <c r="N409" s="183">
        <f t="shared" si="283"/>
        <v>84927.224072089899</v>
      </c>
      <c r="O409" s="183">
        <f t="shared" si="283"/>
        <v>101035.88157106518</v>
      </c>
      <c r="P409" s="183">
        <f t="shared" si="283"/>
        <v>117299.81879890946</v>
      </c>
      <c r="Q409" s="183">
        <f t="shared" si="283"/>
        <v>130291.70714406231</v>
      </c>
      <c r="R409" s="841"/>
      <c r="S409" s="183">
        <f>SUM(F409:Q409)</f>
        <v>-67699.956008509136</v>
      </c>
    </row>
    <row r="410" spans="2:19">
      <c r="B410" s="200" t="s">
        <v>610</v>
      </c>
      <c r="C410" s="201"/>
      <c r="D410" s="201"/>
      <c r="E410" s="202">
        <f t="shared" ref="E410:Q410" si="284">E183/E6</f>
        <v>62726.0162601626</v>
      </c>
      <c r="F410" s="202">
        <f t="shared" si="284"/>
        <v>115337.38590785908</v>
      </c>
      <c r="G410" s="202">
        <f t="shared" si="284"/>
        <v>32602.043360433603</v>
      </c>
      <c r="H410" s="202">
        <f t="shared" si="284"/>
        <v>73032.170731707316</v>
      </c>
      <c r="I410" s="202">
        <f t="shared" si="284"/>
        <v>96953.159620596212</v>
      </c>
      <c r="J410" s="202">
        <f t="shared" si="284"/>
        <v>66347.518970189703</v>
      </c>
      <c r="K410" s="202">
        <f t="shared" si="284"/>
        <v>31284.921951219512</v>
      </c>
      <c r="L410" s="202">
        <f t="shared" si="284"/>
        <v>47226.808943089432</v>
      </c>
      <c r="M410" s="202">
        <f t="shared" si="284"/>
        <v>-438528.6594103541</v>
      </c>
      <c r="N410" s="202">
        <f t="shared" si="284"/>
        <v>-150230.99313948373</v>
      </c>
      <c r="O410" s="202">
        <f t="shared" si="284"/>
        <v>-49195.111568418557</v>
      </c>
      <c r="P410" s="202">
        <f t="shared" si="284"/>
        <v>68104.707230490894</v>
      </c>
      <c r="Q410" s="202">
        <f t="shared" si="284"/>
        <v>184492.24914948235</v>
      </c>
      <c r="R410" s="841"/>
      <c r="S410" s="202">
        <f>Q410</f>
        <v>184492.24914948235</v>
      </c>
    </row>
    <row r="411" spans="2:19" ht="15" thickBot="1">
      <c r="B411" s="155"/>
      <c r="C411" s="186"/>
      <c r="D411" s="186"/>
      <c r="E411" s="78"/>
      <c r="F411" s="78"/>
      <c r="G411" s="78"/>
      <c r="H411" s="78"/>
      <c r="I411" s="78"/>
      <c r="J411" s="78"/>
      <c r="K411" s="78"/>
      <c r="L411" s="78"/>
      <c r="M411" s="78"/>
      <c r="N411" s="78"/>
      <c r="O411" s="78"/>
      <c r="P411" s="78"/>
      <c r="Q411" s="78"/>
      <c r="R411" s="841"/>
      <c r="S411" s="78"/>
    </row>
    <row r="412" spans="2:19">
      <c r="B412" s="473" t="s">
        <v>611</v>
      </c>
      <c r="C412" s="474"/>
      <c r="D412" s="474"/>
      <c r="E412" s="486"/>
      <c r="F412" s="486"/>
      <c r="G412" s="486"/>
      <c r="H412" s="486"/>
      <c r="I412" s="486"/>
      <c r="J412" s="486"/>
      <c r="K412" s="486"/>
      <c r="L412" s="486"/>
      <c r="M412" s="486"/>
      <c r="N412" s="486"/>
      <c r="O412" s="486"/>
      <c r="P412" s="486"/>
      <c r="Q412" s="486"/>
      <c r="R412" s="475"/>
      <c r="S412" s="486"/>
    </row>
    <row r="413" spans="2:19">
      <c r="B413" s="155" t="s">
        <v>612</v>
      </c>
      <c r="C413" s="186"/>
      <c r="D413" s="186"/>
      <c r="E413" s="183">
        <f t="shared" ref="E413:Q413" si="285">E186/E6</f>
        <v>54200.542005420051</v>
      </c>
      <c r="F413" s="183">
        <f t="shared" si="285"/>
        <v>54200.542005420051</v>
      </c>
      <c r="G413" s="183">
        <f t="shared" si="285"/>
        <v>54200.542005420051</v>
      </c>
      <c r="H413" s="183">
        <f t="shared" si="285"/>
        <v>54200.542005420051</v>
      </c>
      <c r="I413" s="183">
        <f t="shared" si="285"/>
        <v>54200.542005420051</v>
      </c>
      <c r="J413" s="183">
        <f t="shared" si="285"/>
        <v>54200.542005420051</v>
      </c>
      <c r="K413" s="183">
        <f t="shared" si="285"/>
        <v>54200.542005420051</v>
      </c>
      <c r="L413" s="183">
        <f t="shared" si="285"/>
        <v>54200.542005420051</v>
      </c>
      <c r="M413" s="183">
        <f t="shared" si="285"/>
        <v>54200.542005420051</v>
      </c>
      <c r="N413" s="183">
        <f t="shared" si="285"/>
        <v>54200.542005420051</v>
      </c>
      <c r="O413" s="183">
        <f t="shared" si="285"/>
        <v>54200.542005420051</v>
      </c>
      <c r="P413" s="183">
        <f t="shared" si="285"/>
        <v>54200.542005420051</v>
      </c>
      <c r="Q413" s="183">
        <f t="shared" si="285"/>
        <v>54200.542005420051</v>
      </c>
      <c r="R413" s="841"/>
      <c r="S413" s="183">
        <f>Q413</f>
        <v>54200.542005420051</v>
      </c>
    </row>
    <row r="414" spans="2:19">
      <c r="B414" s="155" t="s">
        <v>613</v>
      </c>
      <c r="C414" s="186"/>
      <c r="D414" s="186"/>
      <c r="E414" s="156">
        <v>300000</v>
      </c>
      <c r="F414" s="156">
        <v>300000</v>
      </c>
      <c r="G414" s="156">
        <v>300000</v>
      </c>
      <c r="H414" s="156">
        <v>300000</v>
      </c>
      <c r="I414" s="156">
        <v>300000</v>
      </c>
      <c r="J414" s="156">
        <v>300000</v>
      </c>
      <c r="K414" s="156">
        <v>300000</v>
      </c>
      <c r="L414" s="156">
        <v>300000</v>
      </c>
      <c r="M414" s="156">
        <v>300000</v>
      </c>
      <c r="N414" s="156">
        <v>300000</v>
      </c>
      <c r="O414" s="156">
        <v>300000</v>
      </c>
      <c r="P414" s="156">
        <v>300000</v>
      </c>
      <c r="Q414" s="156">
        <v>300000</v>
      </c>
      <c r="R414" s="841"/>
      <c r="S414" s="183">
        <f>Q414</f>
        <v>300000</v>
      </c>
    </row>
    <row r="415" spans="2:19">
      <c r="B415" s="467" t="s">
        <v>614</v>
      </c>
      <c r="C415" s="468"/>
      <c r="D415" s="468"/>
      <c r="E415" s="471">
        <f t="shared" ref="E415:Q415" si="286">E413+E414</f>
        <v>354200.54200542008</v>
      </c>
      <c r="F415" s="471">
        <f t="shared" si="286"/>
        <v>354200.54200542008</v>
      </c>
      <c r="G415" s="471">
        <f t="shared" si="286"/>
        <v>354200.54200542008</v>
      </c>
      <c r="H415" s="471">
        <f t="shared" si="286"/>
        <v>354200.54200542008</v>
      </c>
      <c r="I415" s="471">
        <f t="shared" si="286"/>
        <v>354200.54200542008</v>
      </c>
      <c r="J415" s="471">
        <f t="shared" si="286"/>
        <v>354200.54200542008</v>
      </c>
      <c r="K415" s="471">
        <f t="shared" si="286"/>
        <v>354200.54200542008</v>
      </c>
      <c r="L415" s="471">
        <f t="shared" si="286"/>
        <v>354200.54200542008</v>
      </c>
      <c r="M415" s="471">
        <f t="shared" si="286"/>
        <v>354200.54200542008</v>
      </c>
      <c r="N415" s="471">
        <f t="shared" si="286"/>
        <v>354200.54200542008</v>
      </c>
      <c r="O415" s="471">
        <f t="shared" si="286"/>
        <v>354200.54200542008</v>
      </c>
      <c r="P415" s="471">
        <f t="shared" si="286"/>
        <v>354200.54200542008</v>
      </c>
      <c r="Q415" s="471">
        <f t="shared" si="286"/>
        <v>354200.54200542008</v>
      </c>
      <c r="R415" s="873"/>
      <c r="S415" s="471">
        <f>S413+S414</f>
        <v>354200.54200542008</v>
      </c>
    </row>
    <row r="417" spans="2:17">
      <c r="B417" s="473" t="s">
        <v>615</v>
      </c>
      <c r="C417" s="474"/>
      <c r="D417" s="474"/>
      <c r="E417" s="486"/>
      <c r="F417" s="486"/>
      <c r="G417" s="486"/>
      <c r="H417" s="486"/>
      <c r="I417" s="486"/>
      <c r="J417" s="486"/>
      <c r="K417" s="486"/>
      <c r="L417" s="486"/>
      <c r="M417" s="486"/>
      <c r="N417" s="486"/>
      <c r="O417" s="486"/>
      <c r="P417" s="486"/>
      <c r="Q417" s="486"/>
    </row>
    <row r="418" spans="2:17">
      <c r="B418" s="155"/>
      <c r="C418" s="186"/>
      <c r="D418" s="186"/>
      <c r="E418" s="78"/>
      <c r="F418" s="78"/>
      <c r="G418" s="78"/>
      <c r="H418" s="78"/>
      <c r="I418" s="78"/>
      <c r="J418" s="78"/>
      <c r="K418" s="78"/>
      <c r="L418" s="78"/>
      <c r="M418" s="78"/>
      <c r="N418" s="78"/>
      <c r="O418" s="78"/>
      <c r="P418" s="78"/>
      <c r="Q418" s="78"/>
    </row>
    <row r="419" spans="2:17">
      <c r="B419" s="155" t="s">
        <v>616</v>
      </c>
      <c r="C419" s="186"/>
      <c r="D419" s="186"/>
      <c r="E419" s="85"/>
      <c r="F419" s="85" t="str">
        <f t="shared" ref="F419:Q419" si="287">F284</f>
        <v>Ene-26</v>
      </c>
      <c r="G419" s="85" t="str">
        <f t="shared" si="287"/>
        <v>Feb-26</v>
      </c>
      <c r="H419" s="85" t="str">
        <f t="shared" si="287"/>
        <v>Mar-26</v>
      </c>
      <c r="I419" s="85" t="str">
        <f t="shared" si="287"/>
        <v>Abr-26</v>
      </c>
      <c r="J419" s="85" t="str">
        <f t="shared" si="287"/>
        <v>May-26</v>
      </c>
      <c r="K419" s="85" t="str">
        <f t="shared" si="287"/>
        <v>Jun-26</v>
      </c>
      <c r="L419" s="85" t="str">
        <f t="shared" si="287"/>
        <v>Jul-26</v>
      </c>
      <c r="M419" s="85" t="str">
        <f t="shared" si="287"/>
        <v>Ago-26</v>
      </c>
      <c r="N419" s="85" t="str">
        <f t="shared" si="287"/>
        <v>Sep-26</v>
      </c>
      <c r="O419" s="85" t="str">
        <f t="shared" si="287"/>
        <v>Oct-26</v>
      </c>
      <c r="P419" s="85" t="str">
        <f t="shared" si="287"/>
        <v>Nov-26</v>
      </c>
      <c r="Q419" s="85" t="str">
        <f t="shared" si="287"/>
        <v>Dic-26</v>
      </c>
    </row>
    <row r="420" spans="2:17">
      <c r="B420" s="155"/>
      <c r="C420" s="186"/>
      <c r="D420" s="186"/>
      <c r="E420" s="78"/>
      <c r="F420" s="78"/>
      <c r="G420" s="78"/>
      <c r="H420" s="78"/>
      <c r="I420" s="78"/>
      <c r="J420" s="78"/>
      <c r="K420" s="78"/>
      <c r="L420" s="78"/>
      <c r="M420" s="78"/>
      <c r="N420" s="78"/>
      <c r="O420" s="78"/>
      <c r="P420" s="78"/>
      <c r="Q420" s="78"/>
    </row>
    <row r="421" spans="2:17">
      <c r="B421" s="420" t="s">
        <v>617</v>
      </c>
      <c r="C421" s="475"/>
      <c r="D421" s="475"/>
      <c r="E421" s="485"/>
      <c r="F421" s="485"/>
      <c r="G421" s="485"/>
      <c r="H421" s="485"/>
      <c r="I421" s="485"/>
      <c r="J421" s="485"/>
      <c r="K421" s="485"/>
      <c r="L421" s="485"/>
      <c r="M421" s="485"/>
      <c r="N421" s="485"/>
      <c r="O421" s="485"/>
      <c r="P421" s="485"/>
      <c r="Q421" s="485"/>
    </row>
    <row r="422" spans="2:17">
      <c r="B422" s="155" t="s">
        <v>531</v>
      </c>
      <c r="C422" s="186"/>
      <c r="D422" s="186"/>
      <c r="E422" s="78"/>
      <c r="F422" s="183">
        <f t="shared" ref="F422:Q422" si="288">F286</f>
        <v>165920.7861788618</v>
      </c>
      <c r="G422" s="183">
        <f t="shared" si="288"/>
        <v>201685.13197831978</v>
      </c>
      <c r="H422" s="183">
        <f t="shared" si="288"/>
        <v>213290.2945799458</v>
      </c>
      <c r="I422" s="183">
        <f t="shared" si="288"/>
        <v>203487.17127371274</v>
      </c>
      <c r="J422" s="183">
        <f t="shared" si="288"/>
        <v>223987.73604336043</v>
      </c>
      <c r="K422" s="183">
        <f t="shared" si="288"/>
        <v>203645.88455284553</v>
      </c>
      <c r="L422" s="183">
        <f t="shared" si="288"/>
        <v>184252.18211382115</v>
      </c>
      <c r="M422" s="183">
        <f t="shared" si="288"/>
        <v>426456.92992644216</v>
      </c>
      <c r="N422" s="183">
        <f t="shared" si="288"/>
        <v>451230.73945025163</v>
      </c>
      <c r="O422" s="183">
        <f t="shared" si="288"/>
        <v>476004.54897406121</v>
      </c>
      <c r="P422" s="183">
        <f t="shared" si="288"/>
        <v>500778.35849787074</v>
      </c>
      <c r="Q422" s="183">
        <f t="shared" si="288"/>
        <v>525552.16802168021</v>
      </c>
    </row>
    <row r="423" spans="2:17">
      <c r="B423" s="155" t="s">
        <v>278</v>
      </c>
      <c r="C423" s="186"/>
      <c r="D423" s="186"/>
      <c r="E423" s="78"/>
      <c r="F423" s="183">
        <f t="shared" ref="F423:Q423" si="289">F294</f>
        <v>18964.596476964769</v>
      </c>
      <c r="G423" s="183">
        <f t="shared" si="289"/>
        <v>12502.447696476966</v>
      </c>
      <c r="H423" s="183">
        <f t="shared" si="289"/>
        <v>-6027.857181571816</v>
      </c>
      <c r="I423" s="183">
        <f t="shared" si="289"/>
        <v>1311.1794037940379</v>
      </c>
      <c r="J423" s="183">
        <f t="shared" si="289"/>
        <v>30625.873983739839</v>
      </c>
      <c r="K423" s="183">
        <f t="shared" si="289"/>
        <v>9478.4539295392951</v>
      </c>
      <c r="L423" s="183">
        <f t="shared" si="289"/>
        <v>7951.8596205962058</v>
      </c>
      <c r="M423" s="183">
        <f t="shared" si="289"/>
        <v>201028.93182346105</v>
      </c>
      <c r="N423" s="183">
        <f t="shared" si="289"/>
        <v>225802.74134727058</v>
      </c>
      <c r="O423" s="183">
        <f t="shared" si="289"/>
        <v>250576.5508710802</v>
      </c>
      <c r="P423" s="183">
        <f t="shared" si="289"/>
        <v>270794.65741385991</v>
      </c>
      <c r="Q423" s="183">
        <f t="shared" si="289"/>
        <v>295568.46693766938</v>
      </c>
    </row>
    <row r="424" spans="2:17">
      <c r="B424" s="191" t="s">
        <v>618</v>
      </c>
      <c r="C424" s="192"/>
      <c r="D424" s="192"/>
      <c r="E424" s="83"/>
      <c r="F424" s="339">
        <f>IF(F422=0,0,F423/F422)</f>
        <v>0.11429909967109862</v>
      </c>
      <c r="G424" s="339">
        <f t="shared" ref="G424:Q424" si="290">IF(G422=0,0,G423/G422)</f>
        <v>6.1989932395318664E-2</v>
      </c>
      <c r="H424" s="339">
        <f t="shared" si="290"/>
        <v>-2.8261282087134281E-2</v>
      </c>
      <c r="I424" s="339">
        <f t="shared" si="290"/>
        <v>6.4435482373989888E-3</v>
      </c>
      <c r="J424" s="339">
        <f t="shared" si="290"/>
        <v>0.13673013766169395</v>
      </c>
      <c r="K424" s="339">
        <f t="shared" si="290"/>
        <v>4.6543802986009589E-2</v>
      </c>
      <c r="L424" s="339">
        <f t="shared" si="290"/>
        <v>4.3157478676067847E-2</v>
      </c>
      <c r="M424" s="339">
        <f t="shared" si="290"/>
        <v>0.47139328198544161</v>
      </c>
      <c r="N424" s="339">
        <f t="shared" si="290"/>
        <v>0.50041524569530227</v>
      </c>
      <c r="O424" s="339">
        <f t="shared" si="290"/>
        <v>0.5264162945735521</v>
      </c>
      <c r="P424" s="339">
        <f t="shared" si="290"/>
        <v>0.54074752396675563</v>
      </c>
      <c r="Q424" s="339">
        <f t="shared" si="290"/>
        <v>0.56239605679921112</v>
      </c>
    </row>
    <row r="425" spans="2:17">
      <c r="B425" s="155"/>
      <c r="C425" s="186"/>
      <c r="D425" s="186"/>
      <c r="E425" s="78"/>
      <c r="F425" s="78"/>
      <c r="G425" s="78"/>
      <c r="H425" s="78"/>
      <c r="I425" s="78"/>
      <c r="J425" s="78"/>
      <c r="K425" s="78"/>
      <c r="L425" s="78"/>
      <c r="M425" s="78"/>
      <c r="N425" s="78"/>
      <c r="O425" s="78"/>
      <c r="P425" s="78"/>
      <c r="Q425" s="78"/>
    </row>
    <row r="426" spans="2:17">
      <c r="B426" s="155" t="s">
        <v>545</v>
      </c>
      <c r="C426" s="186"/>
      <c r="D426" s="186"/>
      <c r="E426" s="78"/>
      <c r="F426" s="183">
        <f t="shared" ref="F426:Q426" si="291">F305</f>
        <v>17204.741734417345</v>
      </c>
      <c r="G426" s="183">
        <f t="shared" si="291"/>
        <v>14647.40243902439</v>
      </c>
      <c r="H426" s="183">
        <f t="shared" si="291"/>
        <v>-10281.302710027101</v>
      </c>
      <c r="I426" s="183">
        <f t="shared" si="291"/>
        <v>191.38292682926829</v>
      </c>
      <c r="J426" s="183">
        <f t="shared" si="291"/>
        <v>29369.910027100272</v>
      </c>
      <c r="K426" s="183">
        <f t="shared" si="291"/>
        <v>9036.2195121951227</v>
      </c>
      <c r="L426" s="183">
        <f t="shared" si="291"/>
        <v>6695.6780487804881</v>
      </c>
      <c r="M426" s="183">
        <f t="shared" si="291"/>
        <v>130494.01981476639</v>
      </c>
      <c r="N426" s="183">
        <f t="shared" si="291"/>
        <v>146586.44500374453</v>
      </c>
      <c r="O426" s="183">
        <f t="shared" si="291"/>
        <v>162679.04604274774</v>
      </c>
      <c r="P426" s="183">
        <f t="shared" si="291"/>
        <v>175810.61306327267</v>
      </c>
      <c r="Q426" s="183">
        <f t="shared" si="291"/>
        <v>191903.55705867169</v>
      </c>
    </row>
    <row r="427" spans="2:17">
      <c r="B427" s="191" t="s">
        <v>619</v>
      </c>
      <c r="C427" s="192"/>
      <c r="D427" s="192"/>
      <c r="E427" s="83"/>
      <c r="F427" s="339">
        <f>IF(F422=0,0,F426/F422)</f>
        <v>0.10369250369794365</v>
      </c>
      <c r="G427" s="339">
        <f t="shared" ref="G427:Q427" si="292">IF(G422=0,0,G426/G422)</f>
        <v>7.2625097821285692E-2</v>
      </c>
      <c r="H427" s="339">
        <f t="shared" si="292"/>
        <v>-4.8203331193644387E-2</v>
      </c>
      <c r="I427" s="339">
        <f t="shared" si="292"/>
        <v>9.4051593341890386E-4</v>
      </c>
      <c r="J427" s="339">
        <f t="shared" si="292"/>
        <v>0.13112284871442573</v>
      </c>
      <c r="K427" s="339">
        <f t="shared" si="292"/>
        <v>4.4372217646511045E-2</v>
      </c>
      <c r="L427" s="339">
        <f t="shared" si="292"/>
        <v>3.6339748989481467E-2</v>
      </c>
      <c r="M427" s="339">
        <f t="shared" si="292"/>
        <v>0.30599577743354944</v>
      </c>
      <c r="N427" s="339">
        <f t="shared" si="292"/>
        <v>0.32485917334075098</v>
      </c>
      <c r="O427" s="339">
        <f t="shared" si="292"/>
        <v>0.34175943568894879</v>
      </c>
      <c r="P427" s="339">
        <f t="shared" si="292"/>
        <v>0.35107470217090103</v>
      </c>
      <c r="Q427" s="339">
        <f t="shared" si="292"/>
        <v>0.36514654250414058</v>
      </c>
    </row>
    <row r="428" spans="2:17">
      <c r="B428" s="155"/>
      <c r="C428" s="186"/>
      <c r="D428" s="186"/>
      <c r="E428" s="78"/>
      <c r="F428" s="78"/>
      <c r="G428" s="78"/>
      <c r="H428" s="78"/>
      <c r="I428" s="78"/>
      <c r="J428" s="78"/>
      <c r="K428" s="78"/>
      <c r="L428" s="78"/>
      <c r="M428" s="78"/>
      <c r="N428" s="78"/>
      <c r="O428" s="78"/>
      <c r="P428" s="78"/>
      <c r="Q428" s="78"/>
    </row>
    <row r="429" spans="2:17">
      <c r="B429" s="420" t="s">
        <v>620</v>
      </c>
      <c r="C429" s="475"/>
      <c r="D429" s="475"/>
      <c r="E429" s="485"/>
      <c r="F429" s="485"/>
      <c r="G429" s="485"/>
      <c r="H429" s="485"/>
      <c r="I429" s="485"/>
      <c r="J429" s="485"/>
      <c r="K429" s="485"/>
      <c r="L429" s="485"/>
      <c r="M429" s="485"/>
      <c r="N429" s="485"/>
      <c r="O429" s="485"/>
      <c r="P429" s="485"/>
      <c r="Q429" s="485"/>
    </row>
    <row r="430" spans="2:17">
      <c r="B430" s="155" t="s">
        <v>621</v>
      </c>
      <c r="C430" s="186"/>
      <c r="D430" s="186"/>
      <c r="E430" s="78"/>
      <c r="F430" s="183">
        <f>F398</f>
        <v>59275.681842818427</v>
      </c>
      <c r="G430" s="183">
        <f t="shared" ref="G430:Q430" si="293">G398</f>
        <v>-82579.566124661244</v>
      </c>
      <c r="H430" s="183">
        <f t="shared" si="293"/>
        <v>34051.629539295391</v>
      </c>
      <c r="I430" s="183">
        <f t="shared" si="293"/>
        <v>19875.263514001806</v>
      </c>
      <c r="J430" s="183">
        <f t="shared" si="293"/>
        <v>-7898.3235998193322</v>
      </c>
      <c r="K430" s="183">
        <f t="shared" si="293"/>
        <v>-29389.21475158085</v>
      </c>
      <c r="L430" s="183">
        <f t="shared" si="293"/>
        <v>11197.770614272811</v>
      </c>
      <c r="M430" s="183">
        <f t="shared" si="293"/>
        <v>-483760.86374639749</v>
      </c>
      <c r="N430" s="183">
        <f t="shared" si="293"/>
        <v>86921.828950138675</v>
      </c>
      <c r="O430" s="183">
        <f t="shared" si="293"/>
        <v>103030.48644911396</v>
      </c>
      <c r="P430" s="183">
        <f t="shared" si="293"/>
        <v>119294.42367695823</v>
      </c>
      <c r="Q430" s="183">
        <f t="shared" si="293"/>
        <v>132286.31202211109</v>
      </c>
    </row>
    <row r="431" spans="2:17">
      <c r="B431" s="155" t="s">
        <v>622</v>
      </c>
      <c r="C431" s="186"/>
      <c r="D431" s="186"/>
      <c r="E431" s="78"/>
      <c r="F431" s="183">
        <f>F401</f>
        <v>-1994.5674796747967</v>
      </c>
      <c r="G431" s="183">
        <f t="shared" ref="G431:Q431" si="294">G401</f>
        <v>-1698.9159891598915</v>
      </c>
      <c r="H431" s="183">
        <f t="shared" si="294"/>
        <v>-78.332791327913284</v>
      </c>
      <c r="I431" s="183">
        <f t="shared" si="294"/>
        <v>332.96358626919601</v>
      </c>
      <c r="J431" s="183">
        <f t="shared" si="294"/>
        <v>-17617.8853432701</v>
      </c>
      <c r="K431" s="183">
        <f t="shared" si="294"/>
        <v>-1020.6662782294491</v>
      </c>
      <c r="L431" s="183">
        <f t="shared" si="294"/>
        <v>-1020.6662782294491</v>
      </c>
      <c r="M431" s="183">
        <f t="shared" si="294"/>
        <v>-1994.6048780487804</v>
      </c>
      <c r="N431" s="183">
        <f t="shared" si="294"/>
        <v>-1994.6048780487804</v>
      </c>
      <c r="O431" s="183">
        <f t="shared" si="294"/>
        <v>-1994.6048780487804</v>
      </c>
      <c r="P431" s="183">
        <f t="shared" si="294"/>
        <v>-1994.6048780487804</v>
      </c>
      <c r="Q431" s="183">
        <f t="shared" si="294"/>
        <v>-1994.6048780487804</v>
      </c>
    </row>
    <row r="432" spans="2:17">
      <c r="B432" s="155" t="s">
        <v>623</v>
      </c>
      <c r="C432" s="186"/>
      <c r="D432" s="186"/>
      <c r="E432" s="78"/>
      <c r="F432" s="183">
        <f>F404+F405+F406</f>
        <v>-4669.7447154471547</v>
      </c>
      <c r="G432" s="183">
        <f t="shared" ref="G432:Q432" si="295">G404+G405+G406</f>
        <v>1543.2284552845529</v>
      </c>
      <c r="H432" s="183">
        <f t="shared" si="295"/>
        <v>6456.8308943089432</v>
      </c>
      <c r="I432" s="183">
        <f t="shared" si="295"/>
        <v>3712.7615176151762</v>
      </c>
      <c r="J432" s="183">
        <f t="shared" si="295"/>
        <v>-5089.4317073170732</v>
      </c>
      <c r="K432" s="183">
        <f t="shared" si="295"/>
        <v>-4652.7154471544718</v>
      </c>
      <c r="L432" s="183">
        <f t="shared" si="295"/>
        <v>5764.7826558265579</v>
      </c>
      <c r="M432" s="183">
        <f t="shared" si="295"/>
        <v>203370.44219878048</v>
      </c>
      <c r="N432" s="183">
        <f t="shared" si="295"/>
        <v>0</v>
      </c>
      <c r="O432" s="183">
        <f t="shared" si="295"/>
        <v>0</v>
      </c>
      <c r="P432" s="183">
        <f t="shared" si="295"/>
        <v>-13904.165225070861</v>
      </c>
      <c r="Q432" s="183">
        <f t="shared" si="295"/>
        <v>-130291.70714406231</v>
      </c>
    </row>
    <row r="433" spans="2:17">
      <c r="B433" s="155" t="s">
        <v>609</v>
      </c>
      <c r="C433" s="186"/>
      <c r="D433" s="186"/>
      <c r="E433" s="78"/>
      <c r="F433" s="183">
        <f>SUM(F430:F432)</f>
        <v>52611.369647696476</v>
      </c>
      <c r="G433" s="183">
        <f t="shared" ref="G433:Q433" si="296">SUM(G430:G432)</f>
        <v>-82735.253658536589</v>
      </c>
      <c r="H433" s="183">
        <f t="shared" si="296"/>
        <v>40430.12764227642</v>
      </c>
      <c r="I433" s="183">
        <f t="shared" si="296"/>
        <v>23920.988617886182</v>
      </c>
      <c r="J433" s="183">
        <f t="shared" si="296"/>
        <v>-30605.640650406509</v>
      </c>
      <c r="K433" s="183">
        <f t="shared" si="296"/>
        <v>-35062.596476964769</v>
      </c>
      <c r="L433" s="183">
        <f t="shared" si="296"/>
        <v>15941.88699186992</v>
      </c>
      <c r="M433" s="183">
        <f t="shared" si="296"/>
        <v>-282385.02642566577</v>
      </c>
      <c r="N433" s="183">
        <f t="shared" si="296"/>
        <v>84927.224072089899</v>
      </c>
      <c r="O433" s="183">
        <f t="shared" si="296"/>
        <v>101035.88157106518</v>
      </c>
      <c r="P433" s="183">
        <f t="shared" si="296"/>
        <v>103395.6535738386</v>
      </c>
      <c r="Q433" s="183">
        <f t="shared" si="296"/>
        <v>0</v>
      </c>
    </row>
    <row r="434" spans="2:17">
      <c r="B434" s="575"/>
      <c r="C434" s="575"/>
      <c r="D434" s="575"/>
      <c r="E434" s="575"/>
      <c r="F434" s="575"/>
      <c r="G434" s="575"/>
      <c r="H434" s="575"/>
      <c r="I434" s="575"/>
      <c r="J434" s="575"/>
      <c r="K434" s="575"/>
      <c r="L434" s="575"/>
      <c r="M434" s="575"/>
      <c r="N434" s="575"/>
      <c r="O434" s="575"/>
      <c r="P434" s="575"/>
      <c r="Q434" s="575"/>
    </row>
    <row r="435" spans="2:17">
      <c r="B435" s="575"/>
      <c r="C435" s="575"/>
      <c r="D435" s="575"/>
      <c r="E435" s="575"/>
      <c r="F435" s="575"/>
      <c r="G435" s="575"/>
      <c r="H435" s="575"/>
      <c r="I435" s="575"/>
      <c r="J435" s="575"/>
      <c r="K435" s="575"/>
      <c r="L435" s="575"/>
      <c r="M435" s="575"/>
      <c r="N435" s="575"/>
      <c r="O435" s="575"/>
      <c r="P435" s="575"/>
      <c r="Q435" s="575"/>
    </row>
    <row r="436" spans="2:17">
      <c r="B436" s="575"/>
      <c r="C436" s="575"/>
      <c r="D436" s="575"/>
      <c r="E436" s="575"/>
      <c r="F436" s="575"/>
      <c r="G436" s="575"/>
      <c r="H436" s="575"/>
      <c r="I436" s="575"/>
      <c r="J436" s="575"/>
      <c r="K436" s="575"/>
      <c r="L436" s="575"/>
      <c r="M436" s="575"/>
      <c r="N436" s="575"/>
      <c r="O436" s="575"/>
      <c r="P436" s="575"/>
      <c r="Q436" s="575"/>
    </row>
    <row r="437" spans="2:17">
      <c r="B437" s="575"/>
      <c r="C437" s="575"/>
      <c r="D437" s="575"/>
      <c r="E437" s="575"/>
      <c r="F437" s="575"/>
      <c r="G437" s="575"/>
      <c r="H437" s="575"/>
      <c r="I437" s="575"/>
      <c r="J437" s="575"/>
      <c r="K437" s="575"/>
      <c r="L437" s="575"/>
      <c r="M437" s="575"/>
      <c r="N437" s="575"/>
      <c r="O437" s="575"/>
      <c r="P437" s="575"/>
      <c r="Q437" s="575"/>
    </row>
    <row r="438" spans="2:17">
      <c r="B438" s="875" t="s">
        <v>624</v>
      </c>
      <c r="C438" s="583"/>
      <c r="D438" s="583"/>
      <c r="E438" s="583"/>
      <c r="F438" s="583"/>
      <c r="G438" s="583"/>
      <c r="H438" s="583"/>
      <c r="I438" s="583"/>
      <c r="J438" s="583"/>
      <c r="K438" s="583"/>
      <c r="L438" s="583"/>
      <c r="M438" s="583"/>
      <c r="N438" s="583"/>
      <c r="O438" s="583"/>
      <c r="P438" s="583"/>
      <c r="Q438" s="583"/>
    </row>
    <row r="439" spans="2:17" ht="30" customHeight="1">
      <c r="B439" s="386" t="s">
        <v>370</v>
      </c>
      <c r="C439" s="386"/>
      <c r="D439" s="386"/>
      <c r="E439" s="386" t="s">
        <v>474</v>
      </c>
      <c r="F439" s="386" t="s">
        <v>475</v>
      </c>
      <c r="G439" s="386" t="s">
        <v>476</v>
      </c>
      <c r="H439" s="386" t="s">
        <v>625</v>
      </c>
      <c r="I439" s="386" t="s">
        <v>626</v>
      </c>
      <c r="J439" s="386" t="s">
        <v>627</v>
      </c>
      <c r="K439" s="386" t="s">
        <v>628</v>
      </c>
      <c r="L439" s="386"/>
      <c r="M439" s="386"/>
      <c r="N439" s="386"/>
      <c r="O439" s="386"/>
      <c r="P439" s="386"/>
      <c r="Q439" s="386"/>
    </row>
    <row r="440" spans="2:17">
      <c r="B440" s="607" t="s">
        <v>209</v>
      </c>
      <c r="C440" s="905"/>
      <c r="D440" s="905"/>
      <c r="E440" s="906">
        <f>F171/1000000</f>
        <v>218.72726599999999</v>
      </c>
      <c r="F440" s="906">
        <f>F174/1000000</f>
        <v>-7.3599540000000001</v>
      </c>
      <c r="G440" s="906">
        <f>(F177+F178+F179)/1000000</f>
        <v>-17.231358</v>
      </c>
      <c r="H440" s="906">
        <f>F182/1000000</f>
        <v>194.135954</v>
      </c>
      <c r="I440" s="115">
        <f>F183/1000000</f>
        <v>425.59495399999997</v>
      </c>
      <c r="J440" s="115">
        <f>F187/1000000</f>
        <v>225.594954</v>
      </c>
      <c r="K440" s="115">
        <f>F188/1000000</f>
        <v>0</v>
      </c>
      <c r="L440" s="575"/>
      <c r="M440" s="575"/>
      <c r="N440" s="575"/>
      <c r="O440" s="575"/>
      <c r="P440" s="575"/>
      <c r="Q440" s="575"/>
    </row>
    <row r="441" spans="2:17">
      <c r="B441" s="607" t="s">
        <v>324</v>
      </c>
      <c r="C441" s="905"/>
      <c r="D441" s="905"/>
      <c r="E441" s="906">
        <f>G171/1000000</f>
        <v>-304.71859899999998</v>
      </c>
      <c r="F441" s="906">
        <f>G174/1000000</f>
        <v>-6.2690000000000001</v>
      </c>
      <c r="G441" s="906">
        <f>(G177+G178+G179)/1000000</f>
        <v>5.6945129999999997</v>
      </c>
      <c r="H441" s="906">
        <f>G182/1000000</f>
        <v>-305.29308600000002</v>
      </c>
      <c r="I441" s="115">
        <f>G183/1000000</f>
        <v>120.30154</v>
      </c>
      <c r="J441" s="115">
        <f>G187/1000000</f>
        <v>0</v>
      </c>
      <c r="K441" s="115">
        <f>G188/1000000</f>
        <v>79.698459999999997</v>
      </c>
      <c r="L441" s="575"/>
      <c r="M441" s="575"/>
      <c r="N441" s="575"/>
      <c r="O441" s="575"/>
      <c r="P441" s="575"/>
      <c r="Q441" s="575"/>
    </row>
    <row r="442" spans="2:17">
      <c r="B442" s="607" t="s">
        <v>325</v>
      </c>
      <c r="C442" s="905"/>
      <c r="D442" s="905"/>
      <c r="E442" s="906">
        <f>H171/1000000</f>
        <v>125.650513</v>
      </c>
      <c r="F442" s="906">
        <f>H174/1000000</f>
        <v>-0.28904800000000003</v>
      </c>
      <c r="G442" s="906">
        <f>(H177+H178+H179)/1000000</f>
        <v>23.825706</v>
      </c>
      <c r="H442" s="906">
        <f>H182/1000000</f>
        <v>149.18717100000001</v>
      </c>
      <c r="I442" s="115">
        <f>H183/1000000</f>
        <v>269.48871000000003</v>
      </c>
      <c r="J442" s="115">
        <f>H187/1000000</f>
        <v>69.488709999999998</v>
      </c>
      <c r="K442" s="115">
        <f>H188/1000000</f>
        <v>0</v>
      </c>
      <c r="L442" s="575"/>
      <c r="M442" s="575"/>
      <c r="N442" s="575"/>
      <c r="O442" s="575"/>
      <c r="P442" s="575"/>
      <c r="Q442" s="575"/>
    </row>
    <row r="443" spans="2:17">
      <c r="B443" s="607" t="s">
        <v>326</v>
      </c>
      <c r="C443" s="905"/>
      <c r="D443" s="905"/>
      <c r="E443" s="906">
        <f>I171/1000000</f>
        <v>73.339722366666663</v>
      </c>
      <c r="F443" s="906">
        <f>I174/1000000</f>
        <v>1.2286356333333333</v>
      </c>
      <c r="G443" s="906">
        <f>(I177+I178+I179)/1000000</f>
        <v>13.700089999999999</v>
      </c>
      <c r="H443" s="906">
        <f>I182/1000000</f>
        <v>88.268448000000006</v>
      </c>
      <c r="I443" s="115">
        <f>I183/1000000</f>
        <v>357.757159</v>
      </c>
      <c r="J443" s="115">
        <f>I187/1000000</f>
        <v>157.757159</v>
      </c>
      <c r="K443" s="115">
        <f>I188/1000000</f>
        <v>0</v>
      </c>
      <c r="L443" s="575"/>
      <c r="M443" s="575"/>
      <c r="N443" s="575"/>
      <c r="O443" s="575"/>
      <c r="P443" s="575"/>
      <c r="Q443" s="575"/>
    </row>
    <row r="444" spans="2:17">
      <c r="B444" s="607" t="s">
        <v>327</v>
      </c>
      <c r="C444" s="905"/>
      <c r="D444" s="905"/>
      <c r="E444" s="906">
        <f>J171/1000000</f>
        <v>-29.144814083333337</v>
      </c>
      <c r="F444" s="906">
        <f>J174/1000000</f>
        <v>-65.009996916666665</v>
      </c>
      <c r="G444" s="906">
        <f>(J177+J178+J179)/1000000</f>
        <v>-18.780003000000001</v>
      </c>
      <c r="H444" s="906">
        <f>J182/1000000</f>
        <v>-112.934816</v>
      </c>
      <c r="I444" s="115">
        <f>J183/1000000</f>
        <v>244.82234500000001</v>
      </c>
      <c r="J444" s="115">
        <f>J187/1000000</f>
        <v>44.822344999999999</v>
      </c>
      <c r="K444" s="115">
        <f>J188/1000000</f>
        <v>0</v>
      </c>
      <c r="L444" s="575"/>
      <c r="M444" s="575"/>
      <c r="N444" s="575"/>
      <c r="O444" s="575"/>
      <c r="P444" s="575"/>
      <c r="Q444" s="575"/>
    </row>
    <row r="445" spans="2:17">
      <c r="B445" s="607" t="s">
        <v>328</v>
      </c>
      <c r="C445" s="905"/>
      <c r="D445" s="905"/>
      <c r="E445" s="906">
        <f>K171/1000000</f>
        <v>-108.44620243333334</v>
      </c>
      <c r="F445" s="906">
        <f>K174/1000000</f>
        <v>-3.766258566666667</v>
      </c>
      <c r="G445" s="906">
        <f>(K177+K178+K179)/1000000</f>
        <v>-17.168520000000001</v>
      </c>
      <c r="H445" s="906">
        <f>K182/1000000</f>
        <v>-129.38098299999999</v>
      </c>
      <c r="I445" s="115">
        <f>K183/1000000</f>
        <v>115.441362</v>
      </c>
      <c r="J445" s="115">
        <f>K187/1000000</f>
        <v>0</v>
      </c>
      <c r="K445" s="115">
        <f>K188/1000000</f>
        <v>84.558638000000002</v>
      </c>
      <c r="L445" s="575"/>
      <c r="M445" s="575"/>
      <c r="N445" s="575"/>
      <c r="O445" s="575"/>
      <c r="P445" s="575"/>
      <c r="Q445" s="575"/>
    </row>
    <row r="446" spans="2:17">
      <c r="B446" s="607" t="s">
        <v>329</v>
      </c>
      <c r="C446" s="905"/>
      <c r="D446" s="905"/>
      <c r="E446" s="906">
        <f>L171/1000000</f>
        <v>41.319773566666669</v>
      </c>
      <c r="F446" s="906">
        <f>L174/1000000</f>
        <v>-3.766258566666667</v>
      </c>
      <c r="G446" s="906">
        <f>(L177+L178+L179)/1000000</f>
        <v>21.272048000000002</v>
      </c>
      <c r="H446" s="906">
        <f>L182/1000000</f>
        <v>58.825563000000002</v>
      </c>
      <c r="I446" s="115">
        <f>L183/1000000</f>
        <v>174.26692499999999</v>
      </c>
      <c r="J446" s="115">
        <f>L187/1000000</f>
        <v>0</v>
      </c>
      <c r="K446" s="115">
        <f>L188/1000000</f>
        <v>25.733074999999999</v>
      </c>
      <c r="L446" s="575"/>
      <c r="M446" s="575"/>
      <c r="N446" s="575"/>
      <c r="O446" s="575"/>
      <c r="P446" s="575"/>
      <c r="Q446" s="575"/>
    </row>
    <row r="447" spans="2:17">
      <c r="B447" s="607" t="s">
        <v>330</v>
      </c>
      <c r="C447" s="905"/>
      <c r="D447" s="905"/>
      <c r="E447" s="906">
        <f>M171/1000000</f>
        <v>-1785.0775872242066</v>
      </c>
      <c r="F447" s="906">
        <f>M174/1000000</f>
        <v>-7.3600919999999999</v>
      </c>
      <c r="G447" s="906">
        <f>(M177+M178+M179)/1000000</f>
        <v>750.43693171350003</v>
      </c>
      <c r="H447" s="906">
        <f>M182/1000000</f>
        <v>-1792.4376792242067</v>
      </c>
      <c r="I447" s="115">
        <f>M183/1000000</f>
        <v>-1618.1707532242067</v>
      </c>
      <c r="J447" s="115">
        <f>M187/1000000</f>
        <v>0</v>
      </c>
      <c r="K447" s="115">
        <f>M188/1000000</f>
        <v>1818.1707532242067</v>
      </c>
      <c r="L447" s="575"/>
      <c r="M447" s="575"/>
      <c r="N447" s="575"/>
      <c r="O447" s="575"/>
      <c r="P447" s="575"/>
      <c r="Q447" s="575"/>
    </row>
    <row r="448" spans="2:17">
      <c r="B448" s="607" t="s">
        <v>331</v>
      </c>
      <c r="C448" s="905"/>
      <c r="D448" s="905"/>
      <c r="E448" s="906">
        <f>N171/1000000</f>
        <v>320.74154882601169</v>
      </c>
      <c r="F448" s="906">
        <f>N174/1000000</f>
        <v>-7.3600919999999999</v>
      </c>
      <c r="G448" s="906">
        <f>(N177+N178+N179)/1000000</f>
        <v>0</v>
      </c>
      <c r="H448" s="906">
        <f>N182/1000000</f>
        <v>313.38145682601174</v>
      </c>
      <c r="I448" s="115">
        <f>N183/1000000</f>
        <v>-554.35236468469498</v>
      </c>
      <c r="J448" s="115">
        <f>N187/1000000</f>
        <v>0</v>
      </c>
      <c r="K448" s="115">
        <f>N188/1000000</f>
        <v>754.35236468469498</v>
      </c>
      <c r="L448" s="575"/>
      <c r="M448" s="575"/>
      <c r="N448" s="575"/>
      <c r="O448" s="575"/>
      <c r="P448" s="575"/>
      <c r="Q448" s="575"/>
    </row>
    <row r="449" spans="2:19">
      <c r="B449" s="607" t="s">
        <v>332</v>
      </c>
      <c r="C449" s="905"/>
      <c r="D449" s="905"/>
      <c r="E449" s="906">
        <f>O171/1000000</f>
        <v>380.18249499723055</v>
      </c>
      <c r="F449" s="906">
        <f>O174/1000000</f>
        <v>-7.3600919999999999</v>
      </c>
      <c r="G449" s="906">
        <f>(O177+O178+O179)/1000000</f>
        <v>0</v>
      </c>
      <c r="H449" s="906">
        <f>O182/1000000</f>
        <v>372.82240299723054</v>
      </c>
      <c r="I449" s="115">
        <f>O183/1000000</f>
        <v>-181.52996168746446</v>
      </c>
      <c r="J449" s="115">
        <f>O187/1000000</f>
        <v>0</v>
      </c>
      <c r="K449" s="115">
        <f>O188/1000000</f>
        <v>381.52996168746449</v>
      </c>
      <c r="L449" s="575"/>
      <c r="M449" s="575"/>
      <c r="N449" s="575"/>
      <c r="O449" s="575"/>
      <c r="P449" s="575"/>
      <c r="Q449" s="575"/>
      <c r="R449" s="841"/>
      <c r="S449" s="575"/>
    </row>
    <row r="450" spans="2:19">
      <c r="B450" s="607" t="s">
        <v>333</v>
      </c>
      <c r="C450" s="905"/>
      <c r="D450" s="905"/>
      <c r="E450" s="906">
        <f>P171/1000000</f>
        <v>440.19642336797591</v>
      </c>
      <c r="F450" s="906">
        <f>P174/1000000</f>
        <v>-7.3600919999999999</v>
      </c>
      <c r="G450" s="906">
        <f>(P177+P178+P179)/1000000</f>
        <v>-51.306369680511473</v>
      </c>
      <c r="H450" s="906">
        <f>P182/1000000</f>
        <v>432.8363313679759</v>
      </c>
      <c r="I450" s="115">
        <f>P183/1000000</f>
        <v>251.30636968051141</v>
      </c>
      <c r="J450" s="115">
        <f>P187/1000000</f>
        <v>51.306369680511416</v>
      </c>
      <c r="K450" s="115">
        <f>P188/1000000</f>
        <v>0</v>
      </c>
      <c r="L450" s="575"/>
      <c r="M450" s="575"/>
      <c r="N450" s="575"/>
      <c r="O450" s="575"/>
      <c r="P450" s="575"/>
      <c r="Q450" s="575"/>
      <c r="R450" s="841"/>
      <c r="S450" s="575"/>
    </row>
    <row r="451" spans="2:19">
      <c r="B451" s="907" t="s">
        <v>334</v>
      </c>
      <c r="C451" s="908"/>
      <c r="D451" s="908"/>
      <c r="E451" s="909">
        <f>Q171/1000000</f>
        <v>488.13649136158989</v>
      </c>
      <c r="F451" s="909">
        <f>Q174/1000000</f>
        <v>-7.3600919999999999</v>
      </c>
      <c r="G451" s="909">
        <f>(Q177+Q178+Q179)/1000000</f>
        <v>-480.77639936158988</v>
      </c>
      <c r="H451" s="909">
        <f>Q182/1000000</f>
        <v>480.77639936158988</v>
      </c>
      <c r="I451" s="910">
        <f>Q183/1000000</f>
        <v>680.77639936158994</v>
      </c>
      <c r="J451" s="910">
        <f>Q187/1000000</f>
        <v>480.77639936158988</v>
      </c>
      <c r="K451" s="910">
        <f>Q188/1000000</f>
        <v>0</v>
      </c>
      <c r="L451" s="575"/>
      <c r="M451" s="575"/>
      <c r="N451" s="575"/>
      <c r="O451" s="575"/>
      <c r="P451" s="575"/>
      <c r="Q451" s="575"/>
      <c r="R451" s="841"/>
      <c r="S451" s="575"/>
    </row>
    <row r="452" spans="2:19">
      <c r="B452" s="575"/>
      <c r="C452" s="575"/>
      <c r="D452" s="575"/>
      <c r="E452" s="575"/>
      <c r="F452" s="575"/>
      <c r="G452" s="575"/>
      <c r="H452" s="575"/>
      <c r="I452" s="575"/>
      <c r="J452" s="575"/>
      <c r="K452" s="575"/>
      <c r="L452" s="575"/>
      <c r="M452" s="575"/>
      <c r="N452" s="575"/>
      <c r="O452" s="575"/>
      <c r="P452" s="575"/>
      <c r="Q452" s="575"/>
      <c r="R452" s="841"/>
      <c r="S452" s="575"/>
    </row>
    <row r="453" spans="2:19">
      <c r="B453" s="709" t="s">
        <v>629</v>
      </c>
      <c r="C453" s="709"/>
      <c r="D453" s="709"/>
      <c r="E453" s="709"/>
      <c r="F453" s="709"/>
      <c r="G453" s="709"/>
      <c r="H453" s="709"/>
      <c r="I453" s="709"/>
      <c r="J453" s="709"/>
      <c r="K453" s="709"/>
      <c r="L453" s="709"/>
      <c r="M453" s="709"/>
      <c r="N453" s="709"/>
      <c r="O453" s="709"/>
      <c r="P453" s="709"/>
      <c r="Q453" s="709"/>
      <c r="R453" s="876"/>
      <c r="S453" s="709"/>
    </row>
    <row r="454" spans="2:19" ht="15" thickBot="1">
      <c r="B454" s="108" t="s">
        <v>630</v>
      </c>
      <c r="C454" s="108"/>
      <c r="D454" s="108"/>
      <c r="E454" s="108"/>
      <c r="F454" s="86" t="s">
        <v>209</v>
      </c>
      <c r="G454" s="343">
        <v>46079</v>
      </c>
      <c r="H454" s="343">
        <v>46107</v>
      </c>
      <c r="I454" s="86" t="s">
        <v>326</v>
      </c>
      <c r="J454" s="343">
        <v>46168</v>
      </c>
      <c r="K454" s="343">
        <v>46199</v>
      </c>
      <c r="L454" s="343">
        <v>46229</v>
      </c>
      <c r="M454" s="86" t="s">
        <v>330</v>
      </c>
      <c r="N454" s="343">
        <v>46291</v>
      </c>
      <c r="O454" s="343">
        <v>46321</v>
      </c>
      <c r="P454" s="343">
        <v>46352</v>
      </c>
      <c r="Q454" s="86" t="s">
        <v>334</v>
      </c>
      <c r="R454" s="109"/>
      <c r="S454" s="108" t="s">
        <v>631</v>
      </c>
    </row>
    <row r="455" spans="2:19" ht="15" thickTop="1">
      <c r="B455" s="712" t="s">
        <v>632</v>
      </c>
      <c r="C455" s="712"/>
      <c r="D455" s="712"/>
      <c r="E455" s="712"/>
      <c r="F455" s="911">
        <f t="shared" ref="F455:Q455" si="297">F189-F186</f>
        <v>225594954</v>
      </c>
      <c r="G455" s="911">
        <f t="shared" si="297"/>
        <v>-79698460</v>
      </c>
      <c r="H455" s="911">
        <f t="shared" si="297"/>
        <v>69488710</v>
      </c>
      <c r="I455" s="911">
        <f t="shared" si="297"/>
        <v>157757161</v>
      </c>
      <c r="J455" s="911">
        <f>J189-J186</f>
        <v>44822345</v>
      </c>
      <c r="K455" s="911">
        <f t="shared" si="297"/>
        <v>-84558638</v>
      </c>
      <c r="L455" s="911">
        <f t="shared" si="297"/>
        <v>-25733074</v>
      </c>
      <c r="M455" s="911">
        <f t="shared" si="297"/>
        <v>-1067733821.5107067</v>
      </c>
      <c r="N455" s="911">
        <f t="shared" si="297"/>
        <v>-754352364.68469501</v>
      </c>
      <c r="O455" s="911">
        <f t="shared" si="297"/>
        <v>-381529961.68746448</v>
      </c>
      <c r="P455" s="911">
        <f t="shared" si="297"/>
        <v>0</v>
      </c>
      <c r="Q455" s="911">
        <f t="shared" si="297"/>
        <v>0</v>
      </c>
      <c r="R455" s="912"/>
      <c r="S455" s="911">
        <f>MIN(F455:Q455)</f>
        <v>-1067733821.5107067</v>
      </c>
    </row>
    <row r="456" spans="2:19">
      <c r="B456" s="575" t="s">
        <v>633</v>
      </c>
      <c r="C456" s="575"/>
      <c r="D456" s="575"/>
      <c r="E456" s="575"/>
      <c r="F456" s="575" t="str">
        <f t="shared" ref="F456:Q456" si="298">IF(F189&lt;F186,"ALERTA: Caja bajo mínimo","OK")</f>
        <v>OK</v>
      </c>
      <c r="G456" s="575" t="str">
        <f t="shared" si="298"/>
        <v>ALERTA: Caja bajo mínimo</v>
      </c>
      <c r="H456" s="575" t="str">
        <f t="shared" si="298"/>
        <v>OK</v>
      </c>
      <c r="I456" s="575" t="str">
        <f t="shared" si="298"/>
        <v>OK</v>
      </c>
      <c r="J456" s="575" t="str">
        <f>IF(J189&lt;J186,"ALERTA: Caja bajo mínimo","OK")</f>
        <v>OK</v>
      </c>
      <c r="K456" s="575" t="str">
        <f t="shared" si="298"/>
        <v>ALERTA: Caja bajo mínimo</v>
      </c>
      <c r="L456" s="575" t="str">
        <f t="shared" si="298"/>
        <v>ALERTA: Caja bajo mínimo</v>
      </c>
      <c r="M456" s="575" t="str">
        <f t="shared" si="298"/>
        <v>ALERTA: Caja bajo mínimo</v>
      </c>
      <c r="N456" s="575" t="str">
        <f t="shared" si="298"/>
        <v>ALERTA: Caja bajo mínimo</v>
      </c>
      <c r="O456" s="575" t="str">
        <f t="shared" si="298"/>
        <v>ALERTA: Caja bajo mínimo</v>
      </c>
      <c r="P456" s="575" t="str">
        <f t="shared" si="298"/>
        <v>OK</v>
      </c>
      <c r="Q456" s="575" t="str">
        <f t="shared" si="298"/>
        <v>OK</v>
      </c>
      <c r="R456" s="841"/>
      <c r="S456" s="575" t="str">
        <f>IF(COUNTIF(F456:Q456,"ALERTA*")&gt;0,"ALERTA","OK")</f>
        <v>ALERTA</v>
      </c>
    </row>
    <row r="457" spans="2:19">
      <c r="B457" s="575" t="s">
        <v>634</v>
      </c>
      <c r="C457" s="575"/>
      <c r="D457" s="575"/>
      <c r="E457" s="575"/>
      <c r="F457" s="714">
        <f t="shared" ref="F457:Q457" si="299">MAX(0,F186-F189)</f>
        <v>0</v>
      </c>
      <c r="G457" s="714">
        <f t="shared" si="299"/>
        <v>79698460</v>
      </c>
      <c r="H457" s="714">
        <f t="shared" si="299"/>
        <v>0</v>
      </c>
      <c r="I457" s="714">
        <f t="shared" si="299"/>
        <v>0</v>
      </c>
      <c r="J457" s="714">
        <f>MAX(0,J186-J189)</f>
        <v>0</v>
      </c>
      <c r="K457" s="714">
        <f t="shared" si="299"/>
        <v>84558638</v>
      </c>
      <c r="L457" s="714">
        <f t="shared" si="299"/>
        <v>25733074</v>
      </c>
      <c r="M457" s="714">
        <f t="shared" si="299"/>
        <v>1067733821.5107067</v>
      </c>
      <c r="N457" s="714">
        <f t="shared" si="299"/>
        <v>754352364.68469501</v>
      </c>
      <c r="O457" s="714">
        <f t="shared" si="299"/>
        <v>381529961.68746448</v>
      </c>
      <c r="P457" s="714">
        <f t="shared" si="299"/>
        <v>0</v>
      </c>
      <c r="Q457" s="714">
        <f t="shared" si="299"/>
        <v>0</v>
      </c>
      <c r="R457" s="913"/>
      <c r="S457" s="714">
        <f>MAX(F457:Q457)</f>
        <v>1067733821.5107067</v>
      </c>
    </row>
    <row r="458" spans="2:19">
      <c r="B458" s="575" t="s">
        <v>635</v>
      </c>
      <c r="C458" s="575"/>
      <c r="D458" s="575"/>
      <c r="E458" s="575"/>
      <c r="F458" s="714">
        <f t="shared" ref="F458:Q458" si="300">F78-F189</f>
        <v>-328</v>
      </c>
      <c r="G458" s="714">
        <f t="shared" si="300"/>
        <v>-1</v>
      </c>
      <c r="H458" s="714">
        <f t="shared" si="300"/>
        <v>1</v>
      </c>
      <c r="I458" s="714">
        <f t="shared" si="300"/>
        <v>0</v>
      </c>
      <c r="J458" s="714">
        <f>J78-J189</f>
        <v>0</v>
      </c>
      <c r="K458" s="714">
        <f t="shared" si="300"/>
        <v>0</v>
      </c>
      <c r="L458" s="714">
        <f t="shared" si="300"/>
        <v>0</v>
      </c>
      <c r="M458" s="714">
        <f t="shared" si="300"/>
        <v>0</v>
      </c>
      <c r="N458" s="714">
        <f t="shared" si="300"/>
        <v>0</v>
      </c>
      <c r="O458" s="714">
        <f t="shared" si="300"/>
        <v>0</v>
      </c>
      <c r="P458" s="714">
        <f t="shared" si="300"/>
        <v>0</v>
      </c>
      <c r="Q458" s="714">
        <f t="shared" si="300"/>
        <v>0</v>
      </c>
      <c r="R458" s="913"/>
      <c r="S458" s="714" cm="1">
        <f t="array" ref="S458">SUMPRODUCT(ABS(F458:Q458))</f>
        <v>330</v>
      </c>
    </row>
    <row r="459" spans="2:19">
      <c r="B459" s="575" t="s">
        <v>636</v>
      </c>
      <c r="C459" s="575"/>
      <c r="D459" s="575"/>
      <c r="E459" s="575"/>
      <c r="F459" s="714">
        <f t="shared" ref="F459:Q459" si="301">(F164+F165+F166)-F224</f>
        <v>0</v>
      </c>
      <c r="G459" s="714">
        <f t="shared" si="301"/>
        <v>0</v>
      </c>
      <c r="H459" s="714">
        <f t="shared" si="301"/>
        <v>0</v>
      </c>
      <c r="I459" s="714">
        <f t="shared" si="301"/>
        <v>0</v>
      </c>
      <c r="J459" s="714">
        <f>(J164+J165+J166)-J224</f>
        <v>0</v>
      </c>
      <c r="K459" s="714">
        <f t="shared" si="301"/>
        <v>0</v>
      </c>
      <c r="L459" s="714">
        <f t="shared" si="301"/>
        <v>0</v>
      </c>
      <c r="M459" s="714">
        <f t="shared" si="301"/>
        <v>0</v>
      </c>
      <c r="N459" s="714">
        <f t="shared" si="301"/>
        <v>0</v>
      </c>
      <c r="O459" s="714">
        <f t="shared" si="301"/>
        <v>0</v>
      </c>
      <c r="P459" s="714">
        <f t="shared" si="301"/>
        <v>0</v>
      </c>
      <c r="Q459" s="714">
        <f t="shared" si="301"/>
        <v>0</v>
      </c>
      <c r="R459" s="913"/>
      <c r="S459" s="714" cm="1">
        <f t="array" ref="S459">SUMPRODUCT(ABS(J459:Q459))</f>
        <v>0</v>
      </c>
    </row>
    <row r="460" spans="2:19">
      <c r="B460" s="575" t="s">
        <v>637</v>
      </c>
      <c r="C460" s="575"/>
      <c r="D460" s="575"/>
      <c r="E460" s="575"/>
      <c r="F460" s="714">
        <f t="shared" ref="F460:Q460" si="302">F189-(F183+F142-F143)</f>
        <v>0</v>
      </c>
      <c r="G460" s="714">
        <f t="shared" si="302"/>
        <v>0</v>
      </c>
      <c r="H460" s="714">
        <f t="shared" si="302"/>
        <v>0</v>
      </c>
      <c r="I460" s="714">
        <f t="shared" si="302"/>
        <v>2</v>
      </c>
      <c r="J460" s="714">
        <f>J189-(J183+J142-J143)</f>
        <v>0</v>
      </c>
      <c r="K460" s="714">
        <f t="shared" si="302"/>
        <v>0</v>
      </c>
      <c r="L460" s="714">
        <f t="shared" si="302"/>
        <v>1</v>
      </c>
      <c r="M460" s="714">
        <f t="shared" si="302"/>
        <v>0</v>
      </c>
      <c r="N460" s="714">
        <f t="shared" si="302"/>
        <v>0</v>
      </c>
      <c r="O460" s="714">
        <f t="shared" si="302"/>
        <v>0</v>
      </c>
      <c r="P460" s="714">
        <f t="shared" si="302"/>
        <v>0</v>
      </c>
      <c r="Q460" s="714">
        <f t="shared" si="302"/>
        <v>0</v>
      </c>
      <c r="R460" s="913"/>
      <c r="S460" s="714" cm="1">
        <f t="array" ref="S460">SUMPRODUCT(ABS(J460:Q460))</f>
        <v>1</v>
      </c>
    </row>
    <row r="461" spans="2:19">
      <c r="B461" s="575" t="s">
        <v>638</v>
      </c>
      <c r="C461" s="575"/>
      <c r="D461" s="575"/>
      <c r="E461" s="575"/>
      <c r="F461" s="714">
        <f t="shared" ref="F461:Q461" si="303">MAX(0,F186-F189)</f>
        <v>0</v>
      </c>
      <c r="G461" s="714">
        <f t="shared" si="303"/>
        <v>79698460</v>
      </c>
      <c r="H461" s="714">
        <f t="shared" si="303"/>
        <v>0</v>
      </c>
      <c r="I461" s="714">
        <f t="shared" si="303"/>
        <v>0</v>
      </c>
      <c r="J461" s="714">
        <f>MAX(0,J186-J189)</f>
        <v>0</v>
      </c>
      <c r="K461" s="714">
        <f t="shared" si="303"/>
        <v>84558638</v>
      </c>
      <c r="L461" s="714">
        <f t="shared" si="303"/>
        <v>25733074</v>
      </c>
      <c r="M461" s="714">
        <f t="shared" si="303"/>
        <v>1067733821.5107067</v>
      </c>
      <c r="N461" s="714">
        <f t="shared" si="303"/>
        <v>754352364.68469501</v>
      </c>
      <c r="O461" s="714">
        <f t="shared" si="303"/>
        <v>381529961.68746448</v>
      </c>
      <c r="P461" s="714">
        <f t="shared" si="303"/>
        <v>0</v>
      </c>
      <c r="Q461" s="714">
        <f t="shared" si="303"/>
        <v>0</v>
      </c>
      <c r="R461" s="913"/>
      <c r="S461" s="714">
        <f>MAX(F461:Q461)</f>
        <v>1067733821.5107067</v>
      </c>
    </row>
    <row r="462" spans="2:19">
      <c r="B462" s="575"/>
      <c r="C462" s="575"/>
      <c r="D462" s="575"/>
      <c r="E462" s="575"/>
      <c r="F462" s="575"/>
      <c r="G462" s="575"/>
      <c r="H462" s="575"/>
      <c r="I462" s="575"/>
      <c r="J462" s="575"/>
      <c r="K462" s="575"/>
      <c r="L462" s="575"/>
      <c r="M462" s="575"/>
      <c r="N462" s="575"/>
      <c r="O462" s="575"/>
      <c r="P462" s="575"/>
      <c r="Q462" s="575"/>
      <c r="R462" s="841"/>
      <c r="S462" s="575"/>
    </row>
    <row r="463" spans="2:19">
      <c r="B463" s="575"/>
      <c r="C463" s="575"/>
      <c r="D463" s="575"/>
      <c r="E463" s="575"/>
      <c r="F463" s="575"/>
      <c r="G463" s="575"/>
      <c r="H463" s="575"/>
      <c r="I463" s="575"/>
      <c r="J463" s="575"/>
      <c r="K463" s="575"/>
      <c r="L463" s="575"/>
      <c r="M463" s="575"/>
      <c r="N463" s="575"/>
      <c r="O463" s="575"/>
      <c r="P463" s="575"/>
      <c r="Q463" s="575"/>
      <c r="R463" s="841"/>
      <c r="S463" s="575"/>
    </row>
    <row r="464" spans="2:19">
      <c r="B464" s="709" t="s">
        <v>639</v>
      </c>
      <c r="C464" s="709"/>
      <c r="D464" s="709"/>
      <c r="E464" s="709"/>
      <c r="F464" s="709"/>
      <c r="G464" s="709"/>
      <c r="H464" s="709"/>
      <c r="I464" s="709"/>
      <c r="J464" s="709"/>
      <c r="K464" s="709"/>
      <c r="L464" s="709"/>
      <c r="M464" s="709"/>
      <c r="N464" s="709"/>
      <c r="O464" s="709"/>
      <c r="P464" s="709"/>
      <c r="Q464" s="709"/>
      <c r="R464" s="876"/>
      <c r="S464" s="709"/>
    </row>
    <row r="465" spans="2:19">
      <c r="B465" s="108" t="s">
        <v>281</v>
      </c>
      <c r="C465" s="108"/>
      <c r="D465" s="108"/>
      <c r="E465" s="108"/>
      <c r="F465" s="86" t="s">
        <v>209</v>
      </c>
      <c r="G465" s="343">
        <v>46079</v>
      </c>
      <c r="H465" s="343">
        <v>46107</v>
      </c>
      <c r="I465" s="86" t="s">
        <v>326</v>
      </c>
      <c r="J465" s="343">
        <v>46168</v>
      </c>
      <c r="K465" s="343">
        <v>46199</v>
      </c>
      <c r="L465" s="343">
        <v>46229</v>
      </c>
      <c r="M465" s="86" t="s">
        <v>330</v>
      </c>
      <c r="N465" s="343">
        <v>46291</v>
      </c>
      <c r="O465" s="343">
        <v>46321</v>
      </c>
      <c r="P465" s="343">
        <v>46352</v>
      </c>
      <c r="Q465" s="86" t="s">
        <v>334</v>
      </c>
      <c r="R465" s="109"/>
      <c r="S465" s="108" t="s">
        <v>16</v>
      </c>
    </row>
    <row r="466" spans="2:19">
      <c r="B466" s="575" t="s">
        <v>268</v>
      </c>
      <c r="C466" s="575"/>
      <c r="D466" s="575"/>
      <c r="E466" s="575"/>
      <c r="F466" s="714">
        <f t="shared" ref="F466:Q466" si="304">F162</f>
        <v>63485497</v>
      </c>
      <c r="G466" s="714">
        <f t="shared" si="304"/>
        <v>54048915</v>
      </c>
      <c r="H466" s="714">
        <f t="shared" si="304"/>
        <v>-37938007</v>
      </c>
      <c r="I466" s="714">
        <f t="shared" si="304"/>
        <v>706203</v>
      </c>
      <c r="J466" s="714">
        <f t="shared" si="304"/>
        <v>108374968</v>
      </c>
      <c r="K466" s="714">
        <f t="shared" si="304"/>
        <v>33343650</v>
      </c>
      <c r="L466" s="714">
        <f t="shared" si="304"/>
        <v>24707052</v>
      </c>
      <c r="M466" s="714">
        <f t="shared" si="304"/>
        <v>481522933.11648798</v>
      </c>
      <c r="N466" s="714">
        <f t="shared" si="304"/>
        <v>540903982.06381738</v>
      </c>
      <c r="O466" s="714">
        <f t="shared" si="304"/>
        <v>600285679.89773917</v>
      </c>
      <c r="P466" s="714">
        <f t="shared" si="304"/>
        <v>648741162.20347619</v>
      </c>
      <c r="Q466" s="714">
        <f t="shared" si="304"/>
        <v>708124125.54649854</v>
      </c>
      <c r="R466" s="913"/>
      <c r="S466" s="714">
        <f t="shared" ref="S466:S477" si="305">SUM(F466:Q466)</f>
        <v>3226306160.8280191</v>
      </c>
    </row>
    <row r="467" spans="2:19">
      <c r="B467" s="575" t="s">
        <v>640</v>
      </c>
      <c r="C467" s="575"/>
      <c r="D467" s="575"/>
      <c r="E467" s="575"/>
      <c r="F467" s="714">
        <f t="shared" ref="F467:Q467" si="306">F170</f>
        <v>0</v>
      </c>
      <c r="G467" s="714">
        <f t="shared" si="306"/>
        <v>0</v>
      </c>
      <c r="H467" s="714">
        <f t="shared" si="306"/>
        <v>0</v>
      </c>
      <c r="I467" s="714">
        <f t="shared" si="306"/>
        <v>3718833.3666666667</v>
      </c>
      <c r="J467" s="714">
        <f t="shared" si="306"/>
        <v>57217015.916666664</v>
      </c>
      <c r="K467" s="714">
        <f t="shared" si="306"/>
        <v>3766258.5666666669</v>
      </c>
      <c r="L467" s="714">
        <f t="shared" si="306"/>
        <v>3766258.5666666669</v>
      </c>
      <c r="M467" s="714">
        <f t="shared" si="306"/>
        <v>3766258.5666666669</v>
      </c>
      <c r="N467" s="714">
        <f t="shared" si="306"/>
        <v>3826155.7905555558</v>
      </c>
      <c r="O467" s="714">
        <f t="shared" si="306"/>
        <v>3885054.7273796294</v>
      </c>
      <c r="P467" s="714">
        <f t="shared" si="306"/>
        <v>3942972.0152566358</v>
      </c>
      <c r="Q467" s="714">
        <f t="shared" si="306"/>
        <v>3999924.0150023582</v>
      </c>
      <c r="R467" s="913"/>
      <c r="S467" s="714">
        <f t="shared" si="305"/>
        <v>87888731.531527504</v>
      </c>
    </row>
    <row r="468" spans="2:19">
      <c r="B468" s="575" t="s">
        <v>641</v>
      </c>
      <c r="C468" s="575"/>
      <c r="D468" s="575"/>
      <c r="E468" s="575"/>
      <c r="F468" s="714">
        <f t="shared" ref="F468:Q468" si="307">F164</f>
        <v>242755171</v>
      </c>
      <c r="G468" s="714">
        <f t="shared" si="307"/>
        <v>-207016360</v>
      </c>
      <c r="H468" s="714">
        <f t="shared" si="307"/>
        <v>106967375</v>
      </c>
      <c r="I468" s="714">
        <f t="shared" si="307"/>
        <v>78000110</v>
      </c>
      <c r="J468" s="714">
        <f t="shared" si="307"/>
        <v>-62756988</v>
      </c>
      <c r="K468" s="714">
        <f t="shared" si="307"/>
        <v>-124084410</v>
      </c>
      <c r="L468" s="714">
        <f t="shared" si="307"/>
        <v>110973187</v>
      </c>
      <c r="M468" s="714">
        <f t="shared" si="307"/>
        <v>-2717695085</v>
      </c>
      <c r="N468" s="714">
        <f t="shared" si="307"/>
        <v>-255963000</v>
      </c>
      <c r="O468" s="714">
        <f t="shared" si="307"/>
        <v>-255963000</v>
      </c>
      <c r="P468" s="714">
        <f t="shared" si="307"/>
        <v>-255963000</v>
      </c>
      <c r="Q468" s="714">
        <f t="shared" si="307"/>
        <v>-255963000</v>
      </c>
      <c r="R468" s="913"/>
      <c r="S468" s="714">
        <f t="shared" si="305"/>
        <v>-3596709000</v>
      </c>
    </row>
    <row r="469" spans="2:19">
      <c r="B469" s="575" t="s">
        <v>642</v>
      </c>
      <c r="C469" s="575"/>
      <c r="D469" s="575"/>
      <c r="E469" s="575"/>
      <c r="F469" s="714">
        <f t="shared" ref="F469:Q469" si="308">F165</f>
        <v>-42574759</v>
      </c>
      <c r="G469" s="714">
        <f t="shared" si="308"/>
        <v>-8345944</v>
      </c>
      <c r="H469" s="714">
        <f t="shared" si="308"/>
        <v>77255268</v>
      </c>
      <c r="I469" s="714">
        <f t="shared" si="308"/>
        <v>-7195802</v>
      </c>
      <c r="J469" s="714">
        <f t="shared" si="308"/>
        <v>-61530713</v>
      </c>
      <c r="K469" s="714">
        <f t="shared" si="308"/>
        <v>-18920144</v>
      </c>
      <c r="L469" s="714">
        <f t="shared" si="308"/>
        <v>-79630602</v>
      </c>
      <c r="M469" s="714">
        <f t="shared" si="308"/>
        <v>207276200.72222209</v>
      </c>
      <c r="N469" s="714">
        <f t="shared" si="308"/>
        <v>0</v>
      </c>
      <c r="O469" s="714">
        <f t="shared" si="308"/>
        <v>0</v>
      </c>
      <c r="P469" s="714">
        <f t="shared" si="308"/>
        <v>17383875.600000024</v>
      </c>
      <c r="Q469" s="714">
        <f t="shared" si="308"/>
        <v>0</v>
      </c>
      <c r="R469" s="913"/>
      <c r="S469" s="714">
        <f t="shared" si="305"/>
        <v>83717380.322222114</v>
      </c>
    </row>
    <row r="470" spans="2:19" ht="15" thickBot="1">
      <c r="B470" s="575" t="s">
        <v>643</v>
      </c>
      <c r="C470" s="575"/>
      <c r="D470" s="575"/>
      <c r="E470" s="575"/>
      <c r="F470" s="714">
        <f t="shared" ref="F470:Q470" si="309">F166</f>
        <v>-25726920</v>
      </c>
      <c r="G470" s="714">
        <f t="shared" si="309"/>
        <v>-12558380</v>
      </c>
      <c r="H470" s="714">
        <f t="shared" si="309"/>
        <v>23778884</v>
      </c>
      <c r="I470" s="714">
        <f t="shared" si="309"/>
        <v>-1073939</v>
      </c>
      <c r="J470" s="714">
        <f t="shared" si="309"/>
        <v>-1983229</v>
      </c>
      <c r="K470" s="714">
        <f t="shared" si="309"/>
        <v>812079</v>
      </c>
      <c r="L470" s="714">
        <f t="shared" si="309"/>
        <v>-4096021</v>
      </c>
      <c r="M470" s="714">
        <f t="shared" si="309"/>
        <v>240052105.37041661</v>
      </c>
      <c r="N470" s="714">
        <f t="shared" si="309"/>
        <v>31974410.971638829</v>
      </c>
      <c r="O470" s="714">
        <f t="shared" si="309"/>
        <v>31974760.372111738</v>
      </c>
      <c r="P470" s="714">
        <f t="shared" si="309"/>
        <v>26091413.549243033</v>
      </c>
      <c r="Q470" s="714">
        <f t="shared" si="309"/>
        <v>31975441.800089002</v>
      </c>
      <c r="R470" s="913"/>
      <c r="S470" s="714">
        <f t="shared" si="305"/>
        <v>341220606.06349921</v>
      </c>
    </row>
    <row r="471" spans="2:19" ht="15" thickTop="1">
      <c r="B471" s="712" t="s">
        <v>644</v>
      </c>
      <c r="C471" s="712"/>
      <c r="D471" s="712"/>
      <c r="E471" s="712"/>
      <c r="F471" s="911">
        <f t="shared" ref="F471:Q471" si="310">F171</f>
        <v>218727266</v>
      </c>
      <c r="G471" s="911">
        <f t="shared" si="310"/>
        <v>-304718599</v>
      </c>
      <c r="H471" s="911">
        <f t="shared" si="310"/>
        <v>125650513</v>
      </c>
      <c r="I471" s="911">
        <f t="shared" si="310"/>
        <v>73339722.36666666</v>
      </c>
      <c r="J471" s="911">
        <f t="shared" si="310"/>
        <v>-29144814.083333336</v>
      </c>
      <c r="K471" s="911">
        <f t="shared" si="310"/>
        <v>-108446202.43333334</v>
      </c>
      <c r="L471" s="911">
        <f t="shared" si="310"/>
        <v>41319773.56666667</v>
      </c>
      <c r="M471" s="911">
        <f t="shared" si="310"/>
        <v>-1785077587.2242067</v>
      </c>
      <c r="N471" s="911">
        <f t="shared" si="310"/>
        <v>320741548.82601172</v>
      </c>
      <c r="O471" s="911">
        <f t="shared" si="310"/>
        <v>380182494.99723053</v>
      </c>
      <c r="P471" s="911">
        <f t="shared" si="310"/>
        <v>440196423.36797589</v>
      </c>
      <c r="Q471" s="911">
        <f t="shared" si="310"/>
        <v>488136491.36158991</v>
      </c>
      <c r="R471" s="912"/>
      <c r="S471" s="911">
        <f t="shared" si="305"/>
        <v>-139092969.25473189</v>
      </c>
    </row>
    <row r="472" spans="2:19">
      <c r="B472" s="575" t="s">
        <v>645</v>
      </c>
      <c r="C472" s="575"/>
      <c r="D472" s="575"/>
      <c r="E472" s="575"/>
      <c r="F472" s="714">
        <f t="shared" ref="F472:Q472" si="311">F174</f>
        <v>-7359954</v>
      </c>
      <c r="G472" s="714">
        <f t="shared" si="311"/>
        <v>-6269000</v>
      </c>
      <c r="H472" s="714">
        <f t="shared" si="311"/>
        <v>-289048</v>
      </c>
      <c r="I472" s="714">
        <f t="shared" si="311"/>
        <v>1228635.6333333333</v>
      </c>
      <c r="J472" s="714">
        <f t="shared" si="311"/>
        <v>-65009996.916666664</v>
      </c>
      <c r="K472" s="714">
        <f t="shared" si="311"/>
        <v>-3766258.5666666669</v>
      </c>
      <c r="L472" s="714">
        <f t="shared" si="311"/>
        <v>-3766258.5666666669</v>
      </c>
      <c r="M472" s="714">
        <f t="shared" si="311"/>
        <v>-7360092</v>
      </c>
      <c r="N472" s="714">
        <f t="shared" si="311"/>
        <v>-7360092</v>
      </c>
      <c r="O472" s="714">
        <f t="shared" si="311"/>
        <v>-7360092</v>
      </c>
      <c r="P472" s="714">
        <f t="shared" si="311"/>
        <v>-7360092</v>
      </c>
      <c r="Q472" s="714">
        <f t="shared" si="311"/>
        <v>-7360092</v>
      </c>
      <c r="R472" s="719"/>
      <c r="S472" s="714">
        <f t="shared" si="305"/>
        <v>-122032340.41666666</v>
      </c>
    </row>
    <row r="473" spans="2:19" ht="15" thickBot="1">
      <c r="B473" s="575" t="s">
        <v>646</v>
      </c>
      <c r="C473" s="575"/>
      <c r="D473" s="575"/>
      <c r="E473" s="575"/>
      <c r="F473" s="714">
        <f t="shared" ref="F473:Q473" si="312">F182-F171-F174</f>
        <v>-17231358</v>
      </c>
      <c r="G473" s="714">
        <f t="shared" si="312"/>
        <v>5694513</v>
      </c>
      <c r="H473" s="714">
        <f t="shared" si="312"/>
        <v>23825706</v>
      </c>
      <c r="I473" s="714">
        <f t="shared" si="312"/>
        <v>13700090.000000007</v>
      </c>
      <c r="J473" s="714">
        <f t="shared" si="312"/>
        <v>-18780004.999999993</v>
      </c>
      <c r="K473" s="714">
        <f t="shared" si="312"/>
        <v>-17168521.999999996</v>
      </c>
      <c r="L473" s="714">
        <f t="shared" si="312"/>
        <v>21272047.999999996</v>
      </c>
      <c r="M473" s="714">
        <f t="shared" si="312"/>
        <v>0</v>
      </c>
      <c r="N473" s="714">
        <f t="shared" si="312"/>
        <v>0</v>
      </c>
      <c r="O473" s="714">
        <f t="shared" si="312"/>
        <v>0</v>
      </c>
      <c r="P473" s="714">
        <f t="shared" si="312"/>
        <v>0</v>
      </c>
      <c r="Q473" s="714">
        <f t="shared" si="312"/>
        <v>0</v>
      </c>
      <c r="R473" s="719"/>
      <c r="S473" s="714">
        <f t="shared" si="305"/>
        <v>11312472.000000015</v>
      </c>
    </row>
    <row r="474" spans="2:19" ht="15" thickTop="1">
      <c r="B474" s="712" t="s">
        <v>647</v>
      </c>
      <c r="C474" s="712"/>
      <c r="D474" s="712"/>
      <c r="E474" s="712"/>
      <c r="F474" s="911">
        <f t="shared" ref="F474:Q474" si="313">F182</f>
        <v>194135954</v>
      </c>
      <c r="G474" s="911">
        <f t="shared" si="313"/>
        <v>-305293086</v>
      </c>
      <c r="H474" s="911">
        <f t="shared" si="313"/>
        <v>149187171</v>
      </c>
      <c r="I474" s="911">
        <f t="shared" si="313"/>
        <v>88268448</v>
      </c>
      <c r="J474" s="911">
        <f t="shared" si="313"/>
        <v>-112934816</v>
      </c>
      <c r="K474" s="911">
        <f t="shared" si="313"/>
        <v>-129380983</v>
      </c>
      <c r="L474" s="911">
        <f t="shared" si="313"/>
        <v>58825563</v>
      </c>
      <c r="M474" s="911">
        <f t="shared" si="313"/>
        <v>-1792437679.2242067</v>
      </c>
      <c r="N474" s="911">
        <f t="shared" si="313"/>
        <v>313381456.82601172</v>
      </c>
      <c r="O474" s="911">
        <f t="shared" si="313"/>
        <v>372822402.99723053</v>
      </c>
      <c r="P474" s="911">
        <f t="shared" si="313"/>
        <v>432836331.36797589</v>
      </c>
      <c r="Q474" s="911">
        <f t="shared" si="313"/>
        <v>480776399.36158991</v>
      </c>
      <c r="R474" s="914"/>
      <c r="S474" s="911">
        <f t="shared" si="305"/>
        <v>-249812837.67139864</v>
      </c>
    </row>
    <row r="475" spans="2:19">
      <c r="B475" s="575" t="s">
        <v>648</v>
      </c>
      <c r="C475" s="575"/>
      <c r="D475" s="575"/>
      <c r="E475" s="575"/>
      <c r="F475" s="714">
        <f t="shared" ref="F475:Q475" si="314">F142</f>
        <v>0</v>
      </c>
      <c r="G475" s="714">
        <f t="shared" si="314"/>
        <v>0</v>
      </c>
      <c r="H475" s="714">
        <f t="shared" si="314"/>
        <v>0</v>
      </c>
      <c r="I475" s="714">
        <f t="shared" si="314"/>
        <v>0</v>
      </c>
      <c r="J475" s="714">
        <f t="shared" si="314"/>
        <v>0</v>
      </c>
      <c r="K475" s="714">
        <f t="shared" si="314"/>
        <v>0</v>
      </c>
      <c r="L475" s="714">
        <f t="shared" si="314"/>
        <v>0</v>
      </c>
      <c r="M475" s="714">
        <f t="shared" si="314"/>
        <v>750436931.71350002</v>
      </c>
      <c r="N475" s="714">
        <f t="shared" si="314"/>
        <v>0</v>
      </c>
      <c r="O475" s="714">
        <f t="shared" si="314"/>
        <v>0</v>
      </c>
      <c r="P475" s="714">
        <f t="shared" si="314"/>
        <v>0</v>
      </c>
      <c r="Q475" s="714">
        <f t="shared" si="314"/>
        <v>0</v>
      </c>
      <c r="R475" s="719"/>
      <c r="S475" s="714">
        <f t="shared" si="305"/>
        <v>750436931.71350002</v>
      </c>
    </row>
    <row r="476" spans="2:19" ht="15" thickBot="1">
      <c r="B476" s="575" t="s">
        <v>649</v>
      </c>
      <c r="C476" s="575"/>
      <c r="D476" s="575"/>
      <c r="E476" s="575"/>
      <c r="F476" s="714">
        <f t="shared" ref="F476:Q476" si="315">-F143</f>
        <v>0</v>
      </c>
      <c r="G476" s="714">
        <f t="shared" si="315"/>
        <v>0</v>
      </c>
      <c r="H476" s="714">
        <f t="shared" si="315"/>
        <v>0</v>
      </c>
      <c r="I476" s="714">
        <f t="shared" si="315"/>
        <v>0</v>
      </c>
      <c r="J476" s="714">
        <f t="shared" si="315"/>
        <v>0</v>
      </c>
      <c r="K476" s="714">
        <f t="shared" si="315"/>
        <v>0</v>
      </c>
      <c r="L476" s="714">
        <f t="shared" si="315"/>
        <v>0</v>
      </c>
      <c r="M476" s="714">
        <f t="shared" si="315"/>
        <v>0</v>
      </c>
      <c r="N476" s="714">
        <f t="shared" si="315"/>
        <v>0</v>
      </c>
      <c r="O476" s="714">
        <f t="shared" si="315"/>
        <v>0</v>
      </c>
      <c r="P476" s="714">
        <f t="shared" si="315"/>
        <v>-51306369.680511415</v>
      </c>
      <c r="Q476" s="714">
        <f t="shared" si="315"/>
        <v>-480776399.36158991</v>
      </c>
      <c r="R476" s="719"/>
      <c r="S476" s="714">
        <f t="shared" si="305"/>
        <v>-532082769.04210132</v>
      </c>
    </row>
    <row r="477" spans="2:19" ht="15" thickTop="1">
      <c r="B477" s="712" t="s">
        <v>650</v>
      </c>
      <c r="C477" s="712"/>
      <c r="D477" s="712"/>
      <c r="E477" s="712"/>
      <c r="F477" s="911">
        <f t="shared" ref="F477:Q477" si="316">F182+F142-F143</f>
        <v>194135954</v>
      </c>
      <c r="G477" s="911">
        <f t="shared" si="316"/>
        <v>-305293086</v>
      </c>
      <c r="H477" s="911">
        <f t="shared" si="316"/>
        <v>149187171</v>
      </c>
      <c r="I477" s="911">
        <f t="shared" si="316"/>
        <v>88268448</v>
      </c>
      <c r="J477" s="911">
        <f t="shared" si="316"/>
        <v>-112934816</v>
      </c>
      <c r="K477" s="911">
        <f t="shared" si="316"/>
        <v>-129380983</v>
      </c>
      <c r="L477" s="911">
        <f t="shared" si="316"/>
        <v>58825563</v>
      </c>
      <c r="M477" s="911">
        <f t="shared" si="316"/>
        <v>-1042000747.5107067</v>
      </c>
      <c r="N477" s="911">
        <f t="shared" si="316"/>
        <v>313381456.82601172</v>
      </c>
      <c r="O477" s="911">
        <f t="shared" si="316"/>
        <v>372822402.99723053</v>
      </c>
      <c r="P477" s="911">
        <f t="shared" si="316"/>
        <v>381529961.68746448</v>
      </c>
      <c r="Q477" s="911">
        <f t="shared" si="316"/>
        <v>0</v>
      </c>
      <c r="R477" s="914"/>
      <c r="S477" s="911">
        <f t="shared" si="305"/>
        <v>-31458675</v>
      </c>
    </row>
    <row r="478" spans="2:19">
      <c r="B478" s="579" t="s">
        <v>651</v>
      </c>
      <c r="C478" s="579"/>
      <c r="D478" s="579"/>
      <c r="E478" s="579"/>
      <c r="F478" s="748">
        <f t="shared" ref="F478:Q478" si="317">F189</f>
        <v>425594954</v>
      </c>
      <c r="G478" s="748">
        <f t="shared" si="317"/>
        <v>120301540</v>
      </c>
      <c r="H478" s="748">
        <f t="shared" si="317"/>
        <v>269488710</v>
      </c>
      <c r="I478" s="748">
        <f t="shared" si="317"/>
        <v>357757161</v>
      </c>
      <c r="J478" s="748">
        <f t="shared" si="317"/>
        <v>244822345</v>
      </c>
      <c r="K478" s="748">
        <f t="shared" si="317"/>
        <v>115441362</v>
      </c>
      <c r="L478" s="748">
        <f t="shared" si="317"/>
        <v>174266926</v>
      </c>
      <c r="M478" s="748">
        <f t="shared" si="317"/>
        <v>-867733821.51070666</v>
      </c>
      <c r="N478" s="748">
        <f t="shared" si="317"/>
        <v>-554352364.68469501</v>
      </c>
      <c r="O478" s="748">
        <f t="shared" si="317"/>
        <v>-181529961.68746448</v>
      </c>
      <c r="P478" s="748">
        <f t="shared" si="317"/>
        <v>200000000</v>
      </c>
      <c r="Q478" s="748">
        <f t="shared" si="317"/>
        <v>200000000</v>
      </c>
      <c r="R478" s="753"/>
      <c r="S478" s="748">
        <f>Q478</f>
        <v>200000000</v>
      </c>
    </row>
    <row r="481" spans="2:3">
      <c r="B481" s="709" t="s">
        <v>652</v>
      </c>
      <c r="C481" s="709"/>
    </row>
    <row r="482" spans="2:3">
      <c r="B482" s="579" t="s">
        <v>653</v>
      </c>
      <c r="C482" s="575" t="s">
        <v>654</v>
      </c>
    </row>
    <row r="483" spans="2:3">
      <c r="B483" s="579" t="s">
        <v>655</v>
      </c>
      <c r="C483" s="575" t="s">
        <v>656</v>
      </c>
    </row>
    <row r="484" spans="2:3">
      <c r="B484" s="579" t="s">
        <v>657</v>
      </c>
      <c r="C484" s="575" t="s">
        <v>658</v>
      </c>
    </row>
    <row r="485" spans="2:3">
      <c r="B485" s="579" t="s">
        <v>659</v>
      </c>
      <c r="C485" s="575" t="s">
        <v>660</v>
      </c>
    </row>
    <row r="486" spans="2:3">
      <c r="B486" s="579" t="s">
        <v>655</v>
      </c>
      <c r="C486" s="575" t="s">
        <v>661</v>
      </c>
    </row>
    <row r="487" spans="2:3">
      <c r="B487" s="579" t="s">
        <v>662</v>
      </c>
      <c r="C487" s="575" t="s">
        <v>663</v>
      </c>
    </row>
    <row r="488" spans="2:3">
      <c r="B488" s="579" t="s">
        <v>664</v>
      </c>
      <c r="C488" s="575" t="s">
        <v>665</v>
      </c>
    </row>
    <row r="489" spans="2:3">
      <c r="B489" s="579" t="s">
        <v>666</v>
      </c>
      <c r="C489" s="575" t="s">
        <v>667</v>
      </c>
    </row>
  </sheetData>
  <mergeCells count="2">
    <mergeCell ref="B2:C2"/>
    <mergeCell ref="B211:G211"/>
  </mergeCells>
  <dataValidations disablePrompts="1" count="3">
    <dataValidation type="list" allowBlank="1" showInputMessage="1" showErrorMessage="1" sqref="E19" xr:uid="{E5E1B9D5-C633-4CD7-94F6-7E3041A54C82}">
      <formula1>$E$21:$E$23</formula1>
    </dataValidation>
    <dataValidation type="list" allowBlank="1" showInputMessage="1" showErrorMessage="1" sqref="C18" xr:uid="{5EA2D4E2-8E93-4DB6-B290-59F1F5E57B48}">
      <formula1>"Conservador,Base,Optimista"</formula1>
    </dataValidation>
    <dataValidation type="list" allowBlank="1" showInputMessage="1" showErrorMessage="1" sqref="C19" xr:uid="{475F1314-D0F0-45C8-82A4-FFECE2B96538}">
      <formula1>"COP,USD"</formula1>
    </dataValidation>
  </dataValidation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A10DA-D636-44A0-90E7-C51BF17E2D65}">
  <sheetPr>
    <tabColor rgb="FF8EA9DB"/>
  </sheetPr>
  <dimension ref="B1:P254"/>
  <sheetViews>
    <sheetView showGridLines="0" topLeftCell="A29" workbookViewId="0">
      <pane xSplit="2" topLeftCell="C1" activePane="topRight" state="frozen"/>
      <selection activeCell="A29" sqref="A29"/>
      <selection pane="topRight"/>
    </sheetView>
  </sheetViews>
  <sheetFormatPr defaultRowHeight="14.4"/>
  <cols>
    <col min="1" max="1" width="3.6640625" customWidth="1"/>
    <col min="2" max="2" width="63" customWidth="1"/>
    <col min="3" max="16" width="17" customWidth="1"/>
    <col min="18" max="18" width="29.33203125" bestFit="1" customWidth="1"/>
    <col min="19" max="19" width="60.109375" bestFit="1" customWidth="1"/>
    <col min="20" max="20" width="5.33203125" bestFit="1" customWidth="1"/>
    <col min="21" max="21" width="32.44140625" bestFit="1" customWidth="1"/>
    <col min="22" max="22" width="19.109375" bestFit="1" customWidth="1"/>
  </cols>
  <sheetData>
    <row r="1" spans="2:16" ht="17.399999999999999">
      <c r="B1" s="1103" t="s">
        <v>677</v>
      </c>
      <c r="C1" s="1103"/>
      <c r="D1" s="1103"/>
      <c r="E1" s="1103"/>
      <c r="F1" s="1103"/>
      <c r="G1" s="1103"/>
      <c r="H1" s="1104"/>
      <c r="I1" s="1103"/>
      <c r="J1" s="1103"/>
      <c r="K1" s="1103"/>
      <c r="L1" s="1103"/>
      <c r="M1" s="1103"/>
      <c r="N1" s="1103"/>
      <c r="O1" s="1103"/>
      <c r="P1" s="1103"/>
    </row>
    <row r="2" spans="2:16">
      <c r="B2" s="677" t="s">
        <v>678</v>
      </c>
      <c r="C2" s="575"/>
      <c r="D2" s="575"/>
      <c r="E2" s="575"/>
      <c r="F2" s="575"/>
      <c r="G2" s="575"/>
      <c r="H2" s="140" t="s">
        <v>679</v>
      </c>
      <c r="I2" s="141" t="s">
        <v>342</v>
      </c>
      <c r="J2" s="141" t="s">
        <v>343</v>
      </c>
      <c r="K2" s="575"/>
      <c r="L2" s="575"/>
      <c r="M2" s="575"/>
      <c r="N2" s="575"/>
      <c r="O2" s="575"/>
      <c r="P2" s="575"/>
    </row>
    <row r="3" spans="2:16">
      <c r="B3" s="575"/>
      <c r="C3" s="575"/>
      <c r="D3" s="575"/>
      <c r="E3" s="575"/>
      <c r="F3" s="575"/>
      <c r="G3" s="575"/>
      <c r="H3" s="575" t="s">
        <v>680</v>
      </c>
      <c r="I3" s="745">
        <v>16192037025</v>
      </c>
      <c r="J3" s="745">
        <v>4272305.2836411595</v>
      </c>
      <c r="K3" s="575"/>
      <c r="L3" s="575"/>
      <c r="M3" s="575"/>
      <c r="N3" s="575"/>
      <c r="O3" s="575"/>
      <c r="P3" s="575"/>
    </row>
    <row r="4" spans="2:16">
      <c r="B4" s="579" t="s">
        <v>681</v>
      </c>
      <c r="C4" s="746" t="s">
        <v>682</v>
      </c>
      <c r="D4" s="746" t="s">
        <v>683</v>
      </c>
      <c r="E4" s="746" t="s">
        <v>684</v>
      </c>
      <c r="F4" s="746" t="s">
        <v>685</v>
      </c>
      <c r="G4" s="575"/>
      <c r="H4" s="575" t="s">
        <v>686</v>
      </c>
      <c r="I4" s="745">
        <v>12299660680.5</v>
      </c>
      <c r="J4" s="745">
        <v>3245293.0555409002</v>
      </c>
      <c r="K4" s="575"/>
      <c r="L4" s="575"/>
      <c r="M4" s="575"/>
      <c r="N4" s="575"/>
      <c r="O4" s="575"/>
      <c r="P4" s="575"/>
    </row>
    <row r="5" spans="2:16">
      <c r="B5" s="575"/>
      <c r="C5" s="575"/>
      <c r="D5" s="575"/>
      <c r="E5" s="575"/>
      <c r="F5" s="575"/>
      <c r="G5" s="575"/>
      <c r="H5" s="579" t="s">
        <v>687</v>
      </c>
      <c r="I5" s="344">
        <v>15238222885</v>
      </c>
      <c r="J5" s="344">
        <v>4020639.28364116</v>
      </c>
      <c r="K5" s="575"/>
      <c r="L5" s="575"/>
      <c r="M5" s="575"/>
      <c r="N5" s="575"/>
      <c r="O5" s="575"/>
      <c r="P5" s="575"/>
    </row>
    <row r="6" spans="2:16">
      <c r="B6" s="575"/>
      <c r="C6" s="575"/>
      <c r="D6" s="575"/>
      <c r="E6" s="575"/>
      <c r="F6" s="575"/>
      <c r="G6" s="575"/>
      <c r="H6" s="575"/>
      <c r="I6" s="575"/>
      <c r="J6" s="575"/>
      <c r="K6" s="575"/>
      <c r="L6" s="575"/>
      <c r="M6" s="575"/>
      <c r="N6" s="575"/>
      <c r="O6" s="575"/>
      <c r="P6" s="575"/>
    </row>
    <row r="7" spans="2:16">
      <c r="B7" s="1105" t="s">
        <v>688</v>
      </c>
      <c r="C7" s="1105"/>
      <c r="D7" s="1105"/>
      <c r="E7" s="1105"/>
      <c r="F7" s="1105"/>
      <c r="G7" s="1105"/>
      <c r="H7" s="1105"/>
      <c r="I7" s="1105"/>
      <c r="J7" s="1105"/>
      <c r="K7" s="1105"/>
      <c r="L7" s="1105"/>
      <c r="M7" s="1105"/>
      <c r="N7" s="1105"/>
      <c r="O7" s="1105"/>
      <c r="P7" s="1105"/>
    </row>
    <row r="8" spans="2:16">
      <c r="B8" s="575"/>
      <c r="C8" s="575"/>
      <c r="D8" s="575"/>
      <c r="E8" s="575"/>
      <c r="F8" s="575"/>
      <c r="G8" s="575"/>
      <c r="H8" s="575"/>
      <c r="I8" s="575"/>
      <c r="J8" s="575"/>
      <c r="K8" s="575"/>
      <c r="L8" s="575"/>
      <c r="M8" s="575"/>
      <c r="N8" s="575"/>
      <c r="O8" s="575"/>
      <c r="P8" s="575"/>
    </row>
    <row r="9" spans="2:16">
      <c r="B9" s="709" t="s">
        <v>689</v>
      </c>
      <c r="C9" s="583"/>
      <c r="D9" s="583"/>
      <c r="E9" s="583"/>
      <c r="F9" s="583"/>
      <c r="G9" s="583"/>
      <c r="H9" s="583"/>
      <c r="I9" s="583"/>
      <c r="J9" s="583"/>
      <c r="K9" s="583"/>
      <c r="L9" s="583"/>
      <c r="M9" s="583"/>
      <c r="N9" s="583"/>
      <c r="O9" s="583"/>
      <c r="P9" s="583"/>
    </row>
    <row r="10" spans="2:16">
      <c r="B10" s="575" t="s">
        <v>338</v>
      </c>
      <c r="C10" s="747">
        <f>Inputs!$C$6</f>
        <v>3690</v>
      </c>
      <c r="D10" s="575" t="s">
        <v>690</v>
      </c>
      <c r="E10" s="575"/>
      <c r="F10" s="575"/>
      <c r="G10" s="575"/>
      <c r="H10" s="575"/>
      <c r="I10" s="575"/>
      <c r="J10" s="575"/>
      <c r="K10" s="575"/>
      <c r="L10" s="575"/>
      <c r="M10" s="575"/>
      <c r="N10" s="575"/>
      <c r="O10" s="575"/>
      <c r="P10" s="575"/>
    </row>
    <row r="11" spans="2:16">
      <c r="B11" s="575" t="s">
        <v>691</v>
      </c>
      <c r="C11" s="721">
        <v>800000000</v>
      </c>
      <c r="D11" s="575" t="s">
        <v>140</v>
      </c>
      <c r="E11" s="575"/>
      <c r="F11" s="575"/>
      <c r="G11" s="575"/>
      <c r="H11" s="575"/>
      <c r="I11" s="575"/>
      <c r="J11" s="575"/>
      <c r="K11" s="575"/>
      <c r="L11" s="575"/>
      <c r="M11" s="575"/>
      <c r="N11" s="575"/>
      <c r="O11" s="575"/>
      <c r="P11" s="575"/>
    </row>
    <row r="12" spans="2:16">
      <c r="B12" s="575" t="s">
        <v>692</v>
      </c>
      <c r="C12" s="721">
        <v>612247701</v>
      </c>
      <c r="D12" s="575" t="s">
        <v>140</v>
      </c>
      <c r="E12" s="575"/>
      <c r="F12" s="575"/>
      <c r="G12" s="575"/>
      <c r="H12" s="575"/>
      <c r="I12" s="575"/>
      <c r="J12" s="575"/>
      <c r="K12" s="575"/>
      <c r="L12" s="575"/>
      <c r="M12" s="575"/>
      <c r="N12" s="575"/>
      <c r="O12" s="575"/>
      <c r="P12" s="575"/>
    </row>
    <row r="13" spans="2:16">
      <c r="B13" s="575" t="s">
        <v>693</v>
      </c>
      <c r="C13" s="721">
        <v>744218137</v>
      </c>
      <c r="D13" s="575" t="s">
        <v>140</v>
      </c>
      <c r="E13" s="575"/>
      <c r="F13" s="575"/>
      <c r="G13" s="575"/>
      <c r="H13" s="575"/>
      <c r="I13" s="575"/>
      <c r="J13" s="575"/>
      <c r="K13" s="575"/>
      <c r="L13" s="575"/>
      <c r="M13" s="575"/>
      <c r="N13" s="575"/>
      <c r="O13" s="575"/>
      <c r="P13" s="575"/>
    </row>
    <row r="14" spans="2:16">
      <c r="B14" s="575" t="s">
        <v>694</v>
      </c>
      <c r="C14" s="721">
        <v>787041187</v>
      </c>
      <c r="D14" s="575" t="s">
        <v>140</v>
      </c>
      <c r="E14" s="575"/>
      <c r="F14" s="575"/>
      <c r="G14" s="575"/>
      <c r="H14" s="575"/>
      <c r="I14" s="575"/>
      <c r="J14" s="575"/>
      <c r="K14" s="575"/>
      <c r="L14" s="575"/>
      <c r="M14" s="575"/>
      <c r="N14" s="575"/>
      <c r="O14" s="575"/>
      <c r="P14" s="575"/>
    </row>
    <row r="15" spans="2:16">
      <c r="B15" s="575"/>
      <c r="C15" s="575"/>
      <c r="D15" s="575"/>
      <c r="E15" s="575"/>
      <c r="F15" s="575"/>
      <c r="G15" s="575"/>
      <c r="H15" s="575"/>
      <c r="I15" s="575"/>
      <c r="J15" s="575"/>
      <c r="K15" s="575"/>
      <c r="L15" s="575"/>
      <c r="M15" s="575"/>
      <c r="N15" s="575"/>
      <c r="O15" s="575"/>
      <c r="P15" s="575"/>
    </row>
    <row r="16" spans="2:16">
      <c r="B16" s="224" t="s">
        <v>695</v>
      </c>
      <c r="C16" s="224" t="s">
        <v>146</v>
      </c>
      <c r="D16" s="575"/>
      <c r="E16" s="575"/>
      <c r="F16" s="575"/>
      <c r="G16" s="575"/>
      <c r="H16" s="575"/>
      <c r="I16" s="575"/>
      <c r="J16" s="575"/>
      <c r="K16" s="575"/>
      <c r="L16" s="575"/>
      <c r="M16" s="575"/>
      <c r="N16" s="575"/>
      <c r="O16" s="575"/>
      <c r="P16" s="575"/>
    </row>
    <row r="17" spans="2:3">
      <c r="B17" s="575" t="s">
        <v>696</v>
      </c>
      <c r="C17" s="721">
        <v>2100000</v>
      </c>
    </row>
    <row r="18" spans="2:3">
      <c r="B18" s="575" t="s">
        <v>307</v>
      </c>
      <c r="C18" s="721">
        <v>315000</v>
      </c>
    </row>
    <row r="19" spans="2:3">
      <c r="B19" s="575" t="s">
        <v>308</v>
      </c>
      <c r="C19" s="721">
        <v>42000</v>
      </c>
    </row>
    <row r="20" spans="2:3">
      <c r="B20" s="575" t="s">
        <v>697</v>
      </c>
      <c r="C20" s="721">
        <v>63000</v>
      </c>
    </row>
    <row r="21" spans="2:3">
      <c r="B21" s="579" t="s">
        <v>301</v>
      </c>
      <c r="C21" s="748">
        <f>SUM(C22:C26)</f>
        <v>374000</v>
      </c>
    </row>
    <row r="22" spans="2:3">
      <c r="B22" s="575" t="s">
        <v>698</v>
      </c>
      <c r="C22" s="721">
        <v>50000</v>
      </c>
    </row>
    <row r="23" spans="2:3">
      <c r="B23" s="575" t="s">
        <v>699</v>
      </c>
      <c r="C23" s="721">
        <v>50000</v>
      </c>
    </row>
    <row r="24" spans="2:3">
      <c r="B24" s="575" t="s">
        <v>700</v>
      </c>
      <c r="C24" s="721">
        <v>50000</v>
      </c>
    </row>
    <row r="25" spans="2:3">
      <c r="B25" s="575" t="s">
        <v>701</v>
      </c>
      <c r="C25" s="721">
        <v>200000</v>
      </c>
    </row>
    <row r="26" spans="2:3">
      <c r="B26" s="575" t="s">
        <v>702</v>
      </c>
      <c r="C26" s="721">
        <v>24000</v>
      </c>
    </row>
    <row r="27" spans="2:3">
      <c r="B27" s="579" t="s">
        <v>303</v>
      </c>
      <c r="C27" s="748">
        <f>SUM(C28:C31)</f>
        <v>507000</v>
      </c>
    </row>
    <row r="28" spans="2:3">
      <c r="B28" s="575" t="s">
        <v>703</v>
      </c>
      <c r="C28" s="721">
        <v>300000</v>
      </c>
    </row>
    <row r="29" spans="2:3">
      <c r="B29" s="575" t="s">
        <v>704</v>
      </c>
      <c r="C29" s="721">
        <v>105000</v>
      </c>
    </row>
    <row r="30" spans="2:3">
      <c r="B30" s="575" t="s">
        <v>705</v>
      </c>
      <c r="C30" s="721">
        <v>60000</v>
      </c>
    </row>
    <row r="31" spans="2:3">
      <c r="B31" s="575" t="s">
        <v>706</v>
      </c>
      <c r="C31" s="721">
        <v>42000</v>
      </c>
    </row>
    <row r="32" spans="2:3">
      <c r="B32" s="579" t="s">
        <v>707</v>
      </c>
      <c r="C32" s="748">
        <f>SUM(C33:C35)</f>
        <v>220000</v>
      </c>
    </row>
    <row r="33" spans="2:16">
      <c r="B33" s="575" t="s">
        <v>708</v>
      </c>
      <c r="C33" s="721">
        <v>36000</v>
      </c>
      <c r="D33" s="575"/>
      <c r="E33" s="575"/>
      <c r="F33" s="575"/>
      <c r="G33" s="575"/>
      <c r="H33" s="575"/>
      <c r="I33" s="575"/>
      <c r="J33" s="575"/>
      <c r="K33" s="575"/>
      <c r="L33" s="575"/>
      <c r="M33" s="575"/>
      <c r="N33" s="575"/>
      <c r="O33" s="575"/>
      <c r="P33" s="575"/>
    </row>
    <row r="34" spans="2:16">
      <c r="B34" s="575" t="s">
        <v>709</v>
      </c>
      <c r="C34" s="721">
        <v>84000</v>
      </c>
      <c r="D34" s="575"/>
      <c r="E34" s="575"/>
      <c r="F34" s="575"/>
      <c r="G34" s="575"/>
      <c r="H34" s="575"/>
      <c r="I34" s="575"/>
      <c r="J34" s="575"/>
      <c r="K34" s="575"/>
      <c r="L34" s="575"/>
      <c r="M34" s="575"/>
      <c r="N34" s="575"/>
      <c r="O34" s="575"/>
      <c r="P34" s="575"/>
    </row>
    <row r="35" spans="2:16">
      <c r="B35" s="575" t="s">
        <v>710</v>
      </c>
      <c r="C35" s="721">
        <v>100000</v>
      </c>
      <c r="D35" s="575"/>
      <c r="E35" s="575"/>
      <c r="F35" s="575"/>
      <c r="G35" s="575"/>
      <c r="H35" s="575"/>
      <c r="I35" s="575"/>
      <c r="J35" s="575"/>
      <c r="K35" s="575"/>
      <c r="L35" s="575"/>
      <c r="M35" s="575"/>
      <c r="N35" s="575"/>
      <c r="O35" s="575"/>
      <c r="P35" s="575"/>
    </row>
    <row r="36" spans="2:16">
      <c r="B36" s="579" t="s">
        <v>711</v>
      </c>
      <c r="C36" s="749">
        <v>1000000</v>
      </c>
      <c r="D36" s="575"/>
      <c r="E36" s="575"/>
      <c r="F36" s="575"/>
      <c r="G36" s="575"/>
      <c r="H36" s="575"/>
      <c r="I36" s="575"/>
      <c r="J36" s="575"/>
      <c r="K36" s="575"/>
      <c r="L36" s="575"/>
      <c r="M36" s="575"/>
      <c r="N36" s="575"/>
      <c r="O36" s="575"/>
      <c r="P36" s="575"/>
    </row>
    <row r="37" spans="2:16">
      <c r="B37" s="488" t="s">
        <v>23</v>
      </c>
      <c r="C37" s="489">
        <f>C17-C18-C19+C20+C21+C27+C32+C36</f>
        <v>3907000</v>
      </c>
      <c r="D37" s="580"/>
      <c r="E37" s="580"/>
      <c r="F37" s="580"/>
      <c r="G37" s="580"/>
      <c r="H37" s="580"/>
      <c r="I37" s="580"/>
      <c r="J37" s="580"/>
      <c r="K37" s="580"/>
      <c r="L37" s="580"/>
      <c r="M37" s="580"/>
      <c r="N37" s="580"/>
      <c r="O37" s="580"/>
      <c r="P37" s="580"/>
    </row>
    <row r="38" spans="2:16">
      <c r="B38" s="575"/>
      <c r="C38" s="575"/>
      <c r="D38" s="575"/>
      <c r="E38" s="575"/>
      <c r="F38" s="575"/>
      <c r="G38" s="575"/>
      <c r="H38" s="575"/>
      <c r="I38" s="575"/>
      <c r="J38" s="575"/>
      <c r="K38" s="575"/>
      <c r="L38" s="575"/>
      <c r="M38" s="575"/>
      <c r="N38" s="575"/>
      <c r="O38" s="575"/>
      <c r="P38" s="575"/>
    </row>
    <row r="39" spans="2:16">
      <c r="B39" s="575"/>
      <c r="C39" s="575"/>
      <c r="D39" s="575"/>
      <c r="E39" s="575"/>
      <c r="F39" s="575"/>
      <c r="G39" s="575"/>
      <c r="H39" s="575"/>
      <c r="I39" s="575"/>
      <c r="J39" s="575"/>
      <c r="K39" s="575"/>
      <c r="L39" s="575"/>
      <c r="M39" s="575"/>
      <c r="N39" s="575"/>
      <c r="O39" s="575"/>
      <c r="P39" s="575"/>
    </row>
    <row r="40" spans="2:16">
      <c r="B40" s="709" t="s">
        <v>712</v>
      </c>
      <c r="C40" s="583"/>
      <c r="D40" s="583"/>
      <c r="E40" s="583"/>
      <c r="F40" s="583"/>
      <c r="G40" s="583"/>
      <c r="H40" s="583"/>
      <c r="I40" s="583"/>
      <c r="J40" s="583"/>
      <c r="K40" s="583"/>
      <c r="L40" s="583"/>
      <c r="M40" s="583"/>
      <c r="N40" s="583"/>
      <c r="O40" s="583"/>
      <c r="P40" s="583"/>
    </row>
    <row r="41" spans="2:16">
      <c r="B41" s="226" t="s">
        <v>713</v>
      </c>
      <c r="C41" s="226" t="s">
        <v>674</v>
      </c>
      <c r="D41" s="227" t="s">
        <v>209</v>
      </c>
      <c r="E41" s="346">
        <v>46079</v>
      </c>
      <c r="F41" s="346">
        <v>46107</v>
      </c>
      <c r="G41" s="87" t="s">
        <v>326</v>
      </c>
      <c r="H41" s="346">
        <v>46168</v>
      </c>
      <c r="I41" s="346">
        <v>46199</v>
      </c>
      <c r="J41" s="346">
        <v>46229</v>
      </c>
      <c r="K41" s="87" t="s">
        <v>330</v>
      </c>
      <c r="L41" s="346">
        <v>46291</v>
      </c>
      <c r="M41" s="346">
        <v>46321</v>
      </c>
      <c r="N41" s="346">
        <v>46352</v>
      </c>
      <c r="O41" s="87" t="s">
        <v>334</v>
      </c>
      <c r="P41" s="227" t="s">
        <v>16</v>
      </c>
    </row>
    <row r="42" spans="2:16">
      <c r="B42" s="750" t="s">
        <v>714</v>
      </c>
      <c r="C42" s="750" t="s">
        <v>299</v>
      </c>
      <c r="D42" s="714">
        <f>$C$12</f>
        <v>612247701</v>
      </c>
      <c r="E42" s="714">
        <f>$C$13</f>
        <v>744218137</v>
      </c>
      <c r="F42" s="714">
        <f>$C$14</f>
        <v>787041187</v>
      </c>
      <c r="G42" s="721">
        <v>0</v>
      </c>
      <c r="H42" s="721">
        <v>0</v>
      </c>
      <c r="I42" s="721">
        <v>0</v>
      </c>
      <c r="J42" s="721">
        <v>0</v>
      </c>
      <c r="K42" s="721">
        <v>0</v>
      </c>
      <c r="L42" s="721">
        <v>0</v>
      </c>
      <c r="M42" s="721">
        <v>0</v>
      </c>
      <c r="N42" s="721">
        <v>0</v>
      </c>
      <c r="O42" s="721">
        <v>0</v>
      </c>
      <c r="P42" s="714">
        <f t="shared" ref="P42:P63" si="0">SUM(D42:O42)</f>
        <v>2143507025</v>
      </c>
    </row>
    <row r="43" spans="2:16">
      <c r="B43" s="228" t="s">
        <v>715</v>
      </c>
      <c r="C43" s="228" t="s">
        <v>716</v>
      </c>
      <c r="D43" s="347">
        <v>0</v>
      </c>
      <c r="E43" s="347">
        <v>0</v>
      </c>
      <c r="F43" s="347">
        <v>0</v>
      </c>
      <c r="G43" s="348">
        <f t="shared" ref="G43:O43" si="1">$C$11</f>
        <v>800000000</v>
      </c>
      <c r="H43" s="348">
        <f t="shared" si="1"/>
        <v>800000000</v>
      </c>
      <c r="I43" s="348">
        <f t="shared" si="1"/>
        <v>800000000</v>
      </c>
      <c r="J43" s="348">
        <f t="shared" si="1"/>
        <v>800000000</v>
      </c>
      <c r="K43" s="348">
        <f t="shared" si="1"/>
        <v>800000000</v>
      </c>
      <c r="L43" s="348">
        <f t="shared" si="1"/>
        <v>800000000</v>
      </c>
      <c r="M43" s="348">
        <f t="shared" si="1"/>
        <v>800000000</v>
      </c>
      <c r="N43" s="348">
        <f t="shared" si="1"/>
        <v>800000000</v>
      </c>
      <c r="O43" s="348">
        <f t="shared" si="1"/>
        <v>800000000</v>
      </c>
      <c r="P43" s="348">
        <f t="shared" si="0"/>
        <v>7200000000</v>
      </c>
    </row>
    <row r="44" spans="2:16">
      <c r="B44" s="228" t="s">
        <v>301</v>
      </c>
      <c r="C44" s="228" t="s">
        <v>717</v>
      </c>
      <c r="D44" s="348">
        <f t="shared" ref="D44:O44" si="2">SUM(D45:D49)</f>
        <v>0</v>
      </c>
      <c r="E44" s="348">
        <f t="shared" si="2"/>
        <v>0</v>
      </c>
      <c r="F44" s="348">
        <f t="shared" si="2"/>
        <v>0</v>
      </c>
      <c r="G44" s="348">
        <f t="shared" si="2"/>
        <v>30668000</v>
      </c>
      <c r="H44" s="348">
        <f t="shared" si="2"/>
        <v>61336000</v>
      </c>
      <c r="I44" s="348">
        <f t="shared" si="2"/>
        <v>92004000</v>
      </c>
      <c r="J44" s="348">
        <f t="shared" si="2"/>
        <v>122672000</v>
      </c>
      <c r="K44" s="348">
        <f t="shared" si="2"/>
        <v>153340000</v>
      </c>
      <c r="L44" s="348">
        <f t="shared" si="2"/>
        <v>184008000</v>
      </c>
      <c r="M44" s="348">
        <f t="shared" si="2"/>
        <v>214676000</v>
      </c>
      <c r="N44" s="348">
        <f t="shared" si="2"/>
        <v>245344000</v>
      </c>
      <c r="O44" s="348">
        <f t="shared" si="2"/>
        <v>276012000</v>
      </c>
      <c r="P44" s="348">
        <f t="shared" si="0"/>
        <v>1380060000</v>
      </c>
    </row>
    <row r="45" spans="2:16">
      <c r="B45" s="750" t="s">
        <v>718</v>
      </c>
      <c r="C45" s="750" t="s">
        <v>698</v>
      </c>
      <c r="D45" s="721">
        <v>0</v>
      </c>
      <c r="E45" s="721">
        <v>0</v>
      </c>
      <c r="F45" s="721">
        <v>0</v>
      </c>
      <c r="G45" s="714">
        <f>$C$22*$C$10*1/45</f>
        <v>4100000</v>
      </c>
      <c r="H45" s="714">
        <f>$C$22*$C$10*2/45</f>
        <v>8200000</v>
      </c>
      <c r="I45" s="714">
        <f>$C$22*$C$10*3/45</f>
        <v>12300000</v>
      </c>
      <c r="J45" s="714">
        <f>$C$22*$C$10*4/45</f>
        <v>16400000</v>
      </c>
      <c r="K45" s="714">
        <f>$C$22*$C$10*5/45</f>
        <v>20500000</v>
      </c>
      <c r="L45" s="714">
        <f>$C$22*$C$10*6/45</f>
        <v>24600000</v>
      </c>
      <c r="M45" s="714">
        <f>$C$22*$C$10*7/45</f>
        <v>28700000</v>
      </c>
      <c r="N45" s="714">
        <f>$C$22*$C$10*8/45</f>
        <v>32800000</v>
      </c>
      <c r="O45" s="714">
        <f>$C$22*$C$10*9/45</f>
        <v>36900000</v>
      </c>
      <c r="P45" s="714">
        <f t="shared" si="0"/>
        <v>184500000</v>
      </c>
    </row>
    <row r="46" spans="2:16">
      <c r="B46" s="750" t="s">
        <v>718</v>
      </c>
      <c r="C46" s="750" t="s">
        <v>699</v>
      </c>
      <c r="D46" s="721">
        <v>0</v>
      </c>
      <c r="E46" s="721">
        <v>0</v>
      </c>
      <c r="F46" s="721">
        <v>0</v>
      </c>
      <c r="G46" s="714">
        <f>$C$23*$C$10*1/45</f>
        <v>4100000</v>
      </c>
      <c r="H46" s="714">
        <f>$C$23*$C$10*2/45</f>
        <v>8200000</v>
      </c>
      <c r="I46" s="714">
        <f>$C$23*$C$10*3/45</f>
        <v>12300000</v>
      </c>
      <c r="J46" s="714">
        <f>$C$23*$C$10*4/45</f>
        <v>16400000</v>
      </c>
      <c r="K46" s="714">
        <f>$C$23*$C$10*5/45</f>
        <v>20500000</v>
      </c>
      <c r="L46" s="714">
        <f>$C$23*$C$10*6/45</f>
        <v>24600000</v>
      </c>
      <c r="M46" s="714">
        <f>$C$23*$C$10*7/45</f>
        <v>28700000</v>
      </c>
      <c r="N46" s="714">
        <f>$C$23*$C$10*8/45</f>
        <v>32800000</v>
      </c>
      <c r="O46" s="714">
        <f>$C$23*$C$10*9/45</f>
        <v>36900000</v>
      </c>
      <c r="P46" s="714">
        <f t="shared" si="0"/>
        <v>184500000</v>
      </c>
    </row>
    <row r="47" spans="2:16">
      <c r="B47" s="750" t="s">
        <v>718</v>
      </c>
      <c r="C47" s="750" t="s">
        <v>700</v>
      </c>
      <c r="D47" s="721">
        <v>0</v>
      </c>
      <c r="E47" s="721">
        <v>0</v>
      </c>
      <c r="F47" s="721">
        <v>0</v>
      </c>
      <c r="G47" s="714">
        <f>$C$24*$C$10*1/45</f>
        <v>4100000</v>
      </c>
      <c r="H47" s="714">
        <f>$C$24*$C$10*2/45</f>
        <v>8200000</v>
      </c>
      <c r="I47" s="714">
        <f>$C$24*$C$10*3/45</f>
        <v>12300000</v>
      </c>
      <c r="J47" s="714">
        <f>$C$24*$C$10*4/45</f>
        <v>16400000</v>
      </c>
      <c r="K47" s="714">
        <f>$C$24*$C$10*5/45</f>
        <v>20500000</v>
      </c>
      <c r="L47" s="714">
        <f>$C$24*$C$10*6/45</f>
        <v>24600000</v>
      </c>
      <c r="M47" s="714">
        <f>$C$24*$C$10*7/45</f>
        <v>28700000</v>
      </c>
      <c r="N47" s="714">
        <f>$C$24*$C$10*8/45</f>
        <v>32800000</v>
      </c>
      <c r="O47" s="714">
        <f>$C$24*$C$10*9/45</f>
        <v>36900000</v>
      </c>
      <c r="P47" s="714">
        <f t="shared" si="0"/>
        <v>184500000</v>
      </c>
    </row>
    <row r="48" spans="2:16">
      <c r="B48" s="750" t="s">
        <v>718</v>
      </c>
      <c r="C48" s="750" t="s">
        <v>701</v>
      </c>
      <c r="D48" s="721">
        <v>0</v>
      </c>
      <c r="E48" s="721">
        <v>0</v>
      </c>
      <c r="F48" s="721">
        <v>0</v>
      </c>
      <c r="G48" s="714">
        <f>$C$25*$C$10*1/45</f>
        <v>16400000</v>
      </c>
      <c r="H48" s="714">
        <f>$C$25*$C$10*2/45</f>
        <v>32800000</v>
      </c>
      <c r="I48" s="714">
        <f>$C$25*$C$10*3/45</f>
        <v>49200000</v>
      </c>
      <c r="J48" s="714">
        <f>$C$25*$C$10*4/45</f>
        <v>65600000</v>
      </c>
      <c r="K48" s="714">
        <f>$C$25*$C$10*5/45</f>
        <v>82000000</v>
      </c>
      <c r="L48" s="714">
        <f>$C$25*$C$10*6/45</f>
        <v>98400000</v>
      </c>
      <c r="M48" s="714">
        <f>$C$25*$C$10*7/45</f>
        <v>114800000</v>
      </c>
      <c r="N48" s="714">
        <f>$C$25*$C$10*8/45</f>
        <v>131200000</v>
      </c>
      <c r="O48" s="714">
        <f>$C$25*$C$10*9/45</f>
        <v>147600000</v>
      </c>
      <c r="P48" s="714">
        <f t="shared" si="0"/>
        <v>738000000</v>
      </c>
    </row>
    <row r="49" spans="2:16">
      <c r="B49" s="750" t="s">
        <v>718</v>
      </c>
      <c r="C49" s="750" t="s">
        <v>702</v>
      </c>
      <c r="D49" s="721">
        <v>0</v>
      </c>
      <c r="E49" s="721">
        <v>0</v>
      </c>
      <c r="F49" s="721">
        <v>0</v>
      </c>
      <c r="G49" s="714">
        <f>$C$26*$C$10*1/45</f>
        <v>1968000</v>
      </c>
      <c r="H49" s="714">
        <f>$C$26*$C$10*2/45</f>
        <v>3936000</v>
      </c>
      <c r="I49" s="714">
        <f>$C$26*$C$10*3/45</f>
        <v>5904000</v>
      </c>
      <c r="J49" s="714">
        <f>$C$26*$C$10*4/45</f>
        <v>7872000</v>
      </c>
      <c r="K49" s="714">
        <f>$C$26*$C$10*5/45</f>
        <v>9840000</v>
      </c>
      <c r="L49" s="714">
        <f>$C$26*$C$10*6/45</f>
        <v>11808000</v>
      </c>
      <c r="M49" s="714">
        <f>$C$26*$C$10*7/45</f>
        <v>13776000</v>
      </c>
      <c r="N49" s="714">
        <f>$C$26*$C$10*8/45</f>
        <v>15744000</v>
      </c>
      <c r="O49" s="714">
        <f>$C$26*$C$10*9/45</f>
        <v>17712000</v>
      </c>
      <c r="P49" s="714">
        <f t="shared" si="0"/>
        <v>88560000</v>
      </c>
    </row>
    <row r="50" spans="2:16">
      <c r="B50" s="750" t="s">
        <v>719</v>
      </c>
      <c r="C50" s="750" t="s">
        <v>697</v>
      </c>
      <c r="D50" s="721">
        <v>0</v>
      </c>
      <c r="E50" s="721">
        <v>0</v>
      </c>
      <c r="F50" s="721">
        <v>0</v>
      </c>
      <c r="G50" s="714">
        <f>$C$20*$C$10*1/45</f>
        <v>5166000</v>
      </c>
      <c r="H50" s="714">
        <f>$C$20*$C$10*2/45</f>
        <v>10332000</v>
      </c>
      <c r="I50" s="714">
        <f>$C$20*$C$10*3/45</f>
        <v>15498000</v>
      </c>
      <c r="J50" s="714">
        <f>$C$20*$C$10*4/45</f>
        <v>20664000</v>
      </c>
      <c r="K50" s="714">
        <f>$C$20*$C$10*5/45</f>
        <v>25830000</v>
      </c>
      <c r="L50" s="714">
        <f>$C$20*$C$10*6/45</f>
        <v>30996000</v>
      </c>
      <c r="M50" s="714">
        <f>$C$20*$C$10*7/45</f>
        <v>36162000</v>
      </c>
      <c r="N50" s="714">
        <f>$C$20*$C$10*8/45</f>
        <v>41328000</v>
      </c>
      <c r="O50" s="714">
        <f>$C$20*$C$10*9/45</f>
        <v>46494000</v>
      </c>
      <c r="P50" s="714">
        <f t="shared" si="0"/>
        <v>232470000</v>
      </c>
    </row>
    <row r="51" spans="2:16">
      <c r="B51" s="228" t="s">
        <v>303</v>
      </c>
      <c r="C51" s="228" t="s">
        <v>720</v>
      </c>
      <c r="D51" s="348">
        <f t="shared" ref="D51:O51" si="3">SUM(D52:D55)</f>
        <v>0</v>
      </c>
      <c r="E51" s="348">
        <f t="shared" si="3"/>
        <v>0</v>
      </c>
      <c r="F51" s="348">
        <f t="shared" si="3"/>
        <v>0</v>
      </c>
      <c r="G51" s="348">
        <f t="shared" si="3"/>
        <v>0</v>
      </c>
      <c r="H51" s="348">
        <f t="shared" si="3"/>
        <v>0</v>
      </c>
      <c r="I51" s="348">
        <f t="shared" si="3"/>
        <v>66815357.142857142</v>
      </c>
      <c r="J51" s="348">
        <f t="shared" si="3"/>
        <v>133630714.28571428</v>
      </c>
      <c r="K51" s="348">
        <f t="shared" si="3"/>
        <v>200446071.42857143</v>
      </c>
      <c r="L51" s="348">
        <f t="shared" si="3"/>
        <v>267261428.57142857</v>
      </c>
      <c r="M51" s="348">
        <f t="shared" si="3"/>
        <v>334076785.71428573</v>
      </c>
      <c r="N51" s="348">
        <f t="shared" si="3"/>
        <v>400892142.85714287</v>
      </c>
      <c r="O51" s="348">
        <f t="shared" si="3"/>
        <v>467707500</v>
      </c>
      <c r="P51" s="348">
        <f t="shared" si="0"/>
        <v>1870830000</v>
      </c>
    </row>
    <row r="52" spans="2:16">
      <c r="B52" s="750" t="s">
        <v>303</v>
      </c>
      <c r="C52" s="750" t="s">
        <v>703</v>
      </c>
      <c r="D52" s="721">
        <v>0</v>
      </c>
      <c r="E52" s="721">
        <v>0</v>
      </c>
      <c r="F52" s="721">
        <v>0</v>
      </c>
      <c r="G52" s="721">
        <v>0</v>
      </c>
      <c r="H52" s="721">
        <v>0</v>
      </c>
      <c r="I52" s="714">
        <f>$C$28*$C$10*1/28</f>
        <v>39535714.285714284</v>
      </c>
      <c r="J52" s="714">
        <f>$C$28*$C$10*2/28</f>
        <v>79071428.571428567</v>
      </c>
      <c r="K52" s="714">
        <f>$C$28*$C$10*3/28</f>
        <v>118607142.85714285</v>
      </c>
      <c r="L52" s="714">
        <f>$C$28*$C$10*4/28</f>
        <v>158142857.14285713</v>
      </c>
      <c r="M52" s="714">
        <f>$C$28*$C$10*5/28</f>
        <v>197678571.42857143</v>
      </c>
      <c r="N52" s="714">
        <f>$C$28*$C$10*6/28</f>
        <v>237214285.7142857</v>
      </c>
      <c r="O52" s="714">
        <f>$C$28*$C$10*7/28</f>
        <v>276750000</v>
      </c>
      <c r="P52" s="714">
        <f t="shared" si="0"/>
        <v>1107000000</v>
      </c>
    </row>
    <row r="53" spans="2:16">
      <c r="B53" s="750" t="s">
        <v>303</v>
      </c>
      <c r="C53" s="750" t="s">
        <v>704</v>
      </c>
      <c r="D53" s="721">
        <v>0</v>
      </c>
      <c r="E53" s="721">
        <v>0</v>
      </c>
      <c r="F53" s="721">
        <v>0</v>
      </c>
      <c r="G53" s="721">
        <v>0</v>
      </c>
      <c r="H53" s="721">
        <v>0</v>
      </c>
      <c r="I53" s="714">
        <f>$C$29*$C$10*1/28</f>
        <v>13837500</v>
      </c>
      <c r="J53" s="714">
        <f>$C$29*$C$10*2/28</f>
        <v>27675000</v>
      </c>
      <c r="K53" s="714">
        <f>$C$29*$C$10*3/28</f>
        <v>41512500</v>
      </c>
      <c r="L53" s="714">
        <f>$C$29*$C$10*4/28</f>
        <v>55350000</v>
      </c>
      <c r="M53" s="714">
        <f>$C$29*$C$10*5/28</f>
        <v>69187500</v>
      </c>
      <c r="N53" s="714">
        <f>$C$29*$C$10*6/28</f>
        <v>83025000</v>
      </c>
      <c r="O53" s="714">
        <f>$C$29*$C$10*7/28</f>
        <v>96862500</v>
      </c>
      <c r="P53" s="714">
        <f t="shared" si="0"/>
        <v>387450000</v>
      </c>
    </row>
    <row r="54" spans="2:16">
      <c r="B54" s="750" t="s">
        <v>303</v>
      </c>
      <c r="C54" s="750" t="s">
        <v>705</v>
      </c>
      <c r="D54" s="721">
        <v>0</v>
      </c>
      <c r="E54" s="721">
        <v>0</v>
      </c>
      <c r="F54" s="721">
        <v>0</v>
      </c>
      <c r="G54" s="721">
        <v>0</v>
      </c>
      <c r="H54" s="721">
        <v>0</v>
      </c>
      <c r="I54" s="714">
        <f>$C$30*$C$10*1/28</f>
        <v>7907142.8571428573</v>
      </c>
      <c r="J54" s="714">
        <f>$C$30*$C$10*2/28</f>
        <v>15814285.714285715</v>
      </c>
      <c r="K54" s="714">
        <f>$C$30*$C$10*3/28</f>
        <v>23721428.571428571</v>
      </c>
      <c r="L54" s="714">
        <f>$C$30*$C$10*4/28</f>
        <v>31628571.428571429</v>
      </c>
      <c r="M54" s="714">
        <f>$C$30*$C$10*5/28</f>
        <v>39535714.285714284</v>
      </c>
      <c r="N54" s="714">
        <f>$C$30*$C$10*6/28</f>
        <v>47442857.142857142</v>
      </c>
      <c r="O54" s="714">
        <f>$C$30*$C$10*7/28</f>
        <v>55350000</v>
      </c>
      <c r="P54" s="714">
        <f t="shared" si="0"/>
        <v>221400000</v>
      </c>
    </row>
    <row r="55" spans="2:16">
      <c r="B55" s="750" t="s">
        <v>303</v>
      </c>
      <c r="C55" s="750" t="s">
        <v>706</v>
      </c>
      <c r="D55" s="721">
        <v>0</v>
      </c>
      <c r="E55" s="721">
        <v>0</v>
      </c>
      <c r="F55" s="721">
        <v>0</v>
      </c>
      <c r="G55" s="721">
        <v>0</v>
      </c>
      <c r="H55" s="721">
        <v>0</v>
      </c>
      <c r="I55" s="714">
        <f>$C$31*$C$10*1/28</f>
        <v>5535000</v>
      </c>
      <c r="J55" s="714">
        <f>$C$31*$C$10*2/28</f>
        <v>11070000</v>
      </c>
      <c r="K55" s="714">
        <f>$C$31*$C$10*3/28</f>
        <v>16605000</v>
      </c>
      <c r="L55" s="714">
        <f>$C$31*$C$10*4/28</f>
        <v>22140000</v>
      </c>
      <c r="M55" s="714">
        <f>$C$31*$C$10*5/28</f>
        <v>27675000</v>
      </c>
      <c r="N55" s="714">
        <f>$C$31*$C$10*6/28</f>
        <v>33210000</v>
      </c>
      <c r="O55" s="714">
        <f>$C$31*$C$10*7/28</f>
        <v>38745000</v>
      </c>
      <c r="P55" s="714">
        <f t="shared" si="0"/>
        <v>154980000</v>
      </c>
    </row>
    <row r="56" spans="2:16">
      <c r="B56" s="228" t="s">
        <v>707</v>
      </c>
      <c r="C56" s="228" t="s">
        <v>721</v>
      </c>
      <c r="D56" s="348">
        <f t="shared" ref="D56:O56" si="4">SUM(D57:D59)</f>
        <v>0</v>
      </c>
      <c r="E56" s="348">
        <f t="shared" si="4"/>
        <v>0</v>
      </c>
      <c r="F56" s="348">
        <f t="shared" si="4"/>
        <v>0</v>
      </c>
      <c r="G56" s="348">
        <f t="shared" si="4"/>
        <v>18040000</v>
      </c>
      <c r="H56" s="348">
        <f t="shared" si="4"/>
        <v>36080000</v>
      </c>
      <c r="I56" s="348">
        <f t="shared" si="4"/>
        <v>54120000</v>
      </c>
      <c r="J56" s="348">
        <f t="shared" si="4"/>
        <v>72160000</v>
      </c>
      <c r="K56" s="348">
        <f t="shared" si="4"/>
        <v>90200000</v>
      </c>
      <c r="L56" s="348">
        <f t="shared" si="4"/>
        <v>108240000</v>
      </c>
      <c r="M56" s="348">
        <f t="shared" si="4"/>
        <v>126280000</v>
      </c>
      <c r="N56" s="348">
        <f t="shared" si="4"/>
        <v>144320000</v>
      </c>
      <c r="O56" s="348">
        <f t="shared" si="4"/>
        <v>162360000</v>
      </c>
      <c r="P56" s="348">
        <f t="shared" si="0"/>
        <v>811800000</v>
      </c>
    </row>
    <row r="57" spans="2:16">
      <c r="B57" s="750" t="s">
        <v>722</v>
      </c>
      <c r="C57" s="750" t="s">
        <v>708</v>
      </c>
      <c r="D57" s="721">
        <v>0</v>
      </c>
      <c r="E57" s="721">
        <v>0</v>
      </c>
      <c r="F57" s="721">
        <v>0</v>
      </c>
      <c r="G57" s="714">
        <f>$C$33*$C$10*1/45</f>
        <v>2952000</v>
      </c>
      <c r="H57" s="714">
        <f>$C$33*$C$10*2/45</f>
        <v>5904000</v>
      </c>
      <c r="I57" s="714">
        <f>$C$33*$C$10*3/45</f>
        <v>8856000</v>
      </c>
      <c r="J57" s="714">
        <f>$C$33*$C$10*4/45</f>
        <v>11808000</v>
      </c>
      <c r="K57" s="714">
        <f>$C$33*$C$10*5/45</f>
        <v>14760000</v>
      </c>
      <c r="L57" s="714">
        <f>$C$33*$C$10*6/45</f>
        <v>17712000</v>
      </c>
      <c r="M57" s="714">
        <f>$C$33*$C$10*7/45</f>
        <v>20664000</v>
      </c>
      <c r="N57" s="714">
        <f>$C$33*$C$10*8/45</f>
        <v>23616000</v>
      </c>
      <c r="O57" s="714">
        <f>$C$33*$C$10*9/45</f>
        <v>26568000</v>
      </c>
      <c r="P57" s="714">
        <f t="shared" si="0"/>
        <v>132840000</v>
      </c>
    </row>
    <row r="58" spans="2:16">
      <c r="B58" s="750" t="s">
        <v>722</v>
      </c>
      <c r="C58" s="750" t="s">
        <v>709</v>
      </c>
      <c r="D58" s="721">
        <v>0</v>
      </c>
      <c r="E58" s="721">
        <v>0</v>
      </c>
      <c r="F58" s="721">
        <v>0</v>
      </c>
      <c r="G58" s="714">
        <f>$C$34*$C$10*1/45</f>
        <v>6888000</v>
      </c>
      <c r="H58" s="714">
        <f>$C$34*$C$10*2/45</f>
        <v>13776000</v>
      </c>
      <c r="I58" s="714">
        <f>$C$34*$C$10*3/45</f>
        <v>20664000</v>
      </c>
      <c r="J58" s="714">
        <f>$C$34*$C$10*4/45</f>
        <v>27552000</v>
      </c>
      <c r="K58" s="714">
        <f>$C$34*$C$10*5/45</f>
        <v>34440000</v>
      </c>
      <c r="L58" s="714">
        <f>$C$34*$C$10*6/45</f>
        <v>41328000</v>
      </c>
      <c r="M58" s="714">
        <f>$C$34*$C$10*7/45</f>
        <v>48216000</v>
      </c>
      <c r="N58" s="714">
        <f>$C$34*$C$10*8/45</f>
        <v>55104000</v>
      </c>
      <c r="O58" s="714">
        <f>$C$34*$C$10*9/45</f>
        <v>61992000</v>
      </c>
      <c r="P58" s="714">
        <f t="shared" si="0"/>
        <v>309960000</v>
      </c>
    </row>
    <row r="59" spans="2:16">
      <c r="B59" s="750" t="s">
        <v>722</v>
      </c>
      <c r="C59" s="750" t="s">
        <v>710</v>
      </c>
      <c r="D59" s="721">
        <v>0</v>
      </c>
      <c r="E59" s="721">
        <v>0</v>
      </c>
      <c r="F59" s="721">
        <v>0</v>
      </c>
      <c r="G59" s="714">
        <f>$C$35*$C$10*1/45</f>
        <v>8200000</v>
      </c>
      <c r="H59" s="714">
        <f>$C$35*$C$10*2/45</f>
        <v>16400000</v>
      </c>
      <c r="I59" s="714">
        <f>$C$35*$C$10*3/45</f>
        <v>24600000</v>
      </c>
      <c r="J59" s="714">
        <f>$C$35*$C$10*4/45</f>
        <v>32800000</v>
      </c>
      <c r="K59" s="714">
        <f>$C$35*$C$10*5/45</f>
        <v>41000000</v>
      </c>
      <c r="L59" s="714">
        <f>$C$35*$C$10*6/45</f>
        <v>49200000</v>
      </c>
      <c r="M59" s="714">
        <f>$C$35*$C$10*7/45</f>
        <v>57400000</v>
      </c>
      <c r="N59" s="714">
        <f>$C$35*$C$10*8/45</f>
        <v>65600000</v>
      </c>
      <c r="O59" s="714">
        <f>$C$35*$C$10*9/45</f>
        <v>73800000</v>
      </c>
      <c r="P59" s="714">
        <f t="shared" si="0"/>
        <v>369000000</v>
      </c>
    </row>
    <row r="60" spans="2:16">
      <c r="B60" s="228" t="s">
        <v>723</v>
      </c>
      <c r="C60" s="228" t="s">
        <v>711</v>
      </c>
      <c r="D60" s="347">
        <v>0</v>
      </c>
      <c r="E60" s="347">
        <v>0</v>
      </c>
      <c r="F60" s="347">
        <v>0</v>
      </c>
      <c r="G60" s="348">
        <f>$C$36*$C$10*1/45</f>
        <v>82000000</v>
      </c>
      <c r="H60" s="348">
        <f>$C$36*$C$10*2/45</f>
        <v>164000000</v>
      </c>
      <c r="I60" s="348">
        <f>$C$36*$C$10*3/45</f>
        <v>246000000</v>
      </c>
      <c r="J60" s="348">
        <f>$C$36*$C$10*4/45</f>
        <v>328000000</v>
      </c>
      <c r="K60" s="348">
        <f>$C$36*$C$10*5/45</f>
        <v>410000000</v>
      </c>
      <c r="L60" s="348">
        <f>$C$36*$C$10*6/45</f>
        <v>492000000</v>
      </c>
      <c r="M60" s="348">
        <f>$C$36*$C$10*7/45</f>
        <v>574000000</v>
      </c>
      <c r="N60" s="348">
        <f>$C$36*$C$10*8/45</f>
        <v>656000000</v>
      </c>
      <c r="O60" s="348">
        <f>$C$36*$C$10*9/45</f>
        <v>738000000</v>
      </c>
      <c r="P60" s="348">
        <f t="shared" si="0"/>
        <v>3690000000</v>
      </c>
    </row>
    <row r="61" spans="2:16">
      <c r="B61" s="750" t="s">
        <v>724</v>
      </c>
      <c r="C61" s="750" t="s">
        <v>307</v>
      </c>
      <c r="D61" s="721">
        <v>0</v>
      </c>
      <c r="E61" s="721">
        <v>0</v>
      </c>
      <c r="F61" s="721">
        <v>0</v>
      </c>
      <c r="G61" s="714">
        <f>-$C$18*$C$10*1/45</f>
        <v>-25830000</v>
      </c>
      <c r="H61" s="714">
        <f>-$C$18*$C$10*2/45</f>
        <v>-51660000</v>
      </c>
      <c r="I61" s="714">
        <f>-$C$18*$C$10*3/45</f>
        <v>-77490000</v>
      </c>
      <c r="J61" s="714">
        <f>-$C$18*$C$10*4/45</f>
        <v>-103320000</v>
      </c>
      <c r="K61" s="714">
        <f>-$C$18*$C$10*5/45</f>
        <v>-129150000</v>
      </c>
      <c r="L61" s="714">
        <f>-$C$18*$C$10*6/45</f>
        <v>-154980000</v>
      </c>
      <c r="M61" s="714">
        <f>-$C$18*$C$10*7/45</f>
        <v>-180810000</v>
      </c>
      <c r="N61" s="714">
        <f>-$C$18*$C$10*8/45</f>
        <v>-206640000</v>
      </c>
      <c r="O61" s="714">
        <f>-$C$18*$C$10*9/45</f>
        <v>-232470000</v>
      </c>
      <c r="P61" s="714">
        <f t="shared" si="0"/>
        <v>-1162350000</v>
      </c>
    </row>
    <row r="62" spans="2:16">
      <c r="B62" s="750" t="s">
        <v>724</v>
      </c>
      <c r="C62" s="750" t="s">
        <v>308</v>
      </c>
      <c r="D62" s="721">
        <v>0</v>
      </c>
      <c r="E62" s="721">
        <v>0</v>
      </c>
      <c r="F62" s="721">
        <v>0</v>
      </c>
      <c r="G62" s="714">
        <f>-$C$19*$C$10*1/45</f>
        <v>-3444000</v>
      </c>
      <c r="H62" s="714">
        <f>-$C$19*$C$10*2/45</f>
        <v>-6888000</v>
      </c>
      <c r="I62" s="714">
        <f>-$C$19*$C$10*3/45</f>
        <v>-10332000</v>
      </c>
      <c r="J62" s="714">
        <f>-$C$19*$C$10*4/45</f>
        <v>-13776000</v>
      </c>
      <c r="K62" s="714">
        <f>-$C$19*$C$10*5/45</f>
        <v>-17220000</v>
      </c>
      <c r="L62" s="714">
        <f>-$C$19*$C$10*6/45</f>
        <v>-20664000</v>
      </c>
      <c r="M62" s="714">
        <f>-$C$19*$C$10*7/45</f>
        <v>-24108000</v>
      </c>
      <c r="N62" s="714">
        <f>-$C$19*$C$10*8/45</f>
        <v>-27552000</v>
      </c>
      <c r="O62" s="714">
        <f>-$C$19*$C$10*9/45</f>
        <v>-30996000</v>
      </c>
      <c r="P62" s="714">
        <f t="shared" si="0"/>
        <v>-154980000</v>
      </c>
    </row>
    <row r="63" spans="2:16">
      <c r="B63" s="490" t="s">
        <v>725</v>
      </c>
      <c r="C63" s="490" t="s">
        <v>726</v>
      </c>
      <c r="D63" s="489">
        <f t="shared" ref="D63:O63" si="5">D42+D43+D44+D50+D51+D56+D60+D61+D62</f>
        <v>612247701</v>
      </c>
      <c r="E63" s="489">
        <f t="shared" si="5"/>
        <v>744218137</v>
      </c>
      <c r="F63" s="489">
        <f t="shared" si="5"/>
        <v>787041187</v>
      </c>
      <c r="G63" s="489">
        <f t="shared" si="5"/>
        <v>906600000</v>
      </c>
      <c r="H63" s="489">
        <f t="shared" si="5"/>
        <v>1013200000</v>
      </c>
      <c r="I63" s="489">
        <f t="shared" si="5"/>
        <v>1186615357.1428571</v>
      </c>
      <c r="J63" s="489">
        <f t="shared" si="5"/>
        <v>1360030714.2857144</v>
      </c>
      <c r="K63" s="489">
        <f t="shared" si="5"/>
        <v>1533446071.4285715</v>
      </c>
      <c r="L63" s="489">
        <f t="shared" si="5"/>
        <v>1706861428.5714285</v>
      </c>
      <c r="M63" s="489">
        <f t="shared" si="5"/>
        <v>1880276785.7142859</v>
      </c>
      <c r="N63" s="489">
        <f t="shared" si="5"/>
        <v>2053692142.8571429</v>
      </c>
      <c r="O63" s="489">
        <f t="shared" si="5"/>
        <v>2227107500</v>
      </c>
      <c r="P63" s="489">
        <f t="shared" si="0"/>
        <v>16011337025</v>
      </c>
    </row>
    <row r="65" spans="2:16">
      <c r="B65" s="709" t="s">
        <v>727</v>
      </c>
      <c r="C65" s="583"/>
      <c r="D65" s="583"/>
      <c r="E65" s="583"/>
      <c r="F65" s="583"/>
      <c r="G65" s="583"/>
      <c r="H65" s="583"/>
      <c r="I65" s="583"/>
      <c r="J65" s="583"/>
      <c r="K65" s="583"/>
      <c r="L65" s="583"/>
      <c r="M65" s="583"/>
      <c r="N65" s="583"/>
      <c r="O65" s="583"/>
      <c r="P65" s="583"/>
    </row>
    <row r="66" spans="2:16">
      <c r="B66" s="226" t="s">
        <v>713</v>
      </c>
      <c r="C66" s="226" t="s">
        <v>674</v>
      </c>
      <c r="D66" s="227" t="s">
        <v>209</v>
      </c>
      <c r="E66" s="346">
        <v>46079</v>
      </c>
      <c r="F66" s="346">
        <v>46107</v>
      </c>
      <c r="G66" s="227" t="s">
        <v>326</v>
      </c>
      <c r="H66" s="346">
        <v>46168</v>
      </c>
      <c r="I66" s="346">
        <v>46199</v>
      </c>
      <c r="J66" s="346">
        <v>46229</v>
      </c>
      <c r="K66" s="227" t="s">
        <v>330</v>
      </c>
      <c r="L66" s="346">
        <v>46291</v>
      </c>
      <c r="M66" s="346">
        <v>46321</v>
      </c>
      <c r="N66" s="346">
        <v>46352</v>
      </c>
      <c r="O66" s="227" t="s">
        <v>334</v>
      </c>
      <c r="P66" s="227" t="s">
        <v>16</v>
      </c>
    </row>
    <row r="92" spans="2:16">
      <c r="B92" s="1105" t="s">
        <v>728</v>
      </c>
      <c r="C92" s="1105"/>
      <c r="D92" s="1105"/>
      <c r="E92" s="1105"/>
      <c r="F92" s="1105"/>
      <c r="G92" s="1105"/>
      <c r="H92" s="1105"/>
      <c r="I92" s="1105"/>
      <c r="J92" s="1105"/>
      <c r="K92" s="1105"/>
      <c r="L92" s="1105"/>
      <c r="M92" s="1105"/>
      <c r="N92" s="1105"/>
      <c r="O92" s="1105"/>
      <c r="P92" s="1105"/>
    </row>
    <row r="93" spans="2:16">
      <c r="B93" s="575"/>
      <c r="C93" s="575"/>
      <c r="D93" s="575"/>
      <c r="E93" s="575"/>
      <c r="F93" s="575"/>
      <c r="G93" s="575"/>
      <c r="H93" s="575"/>
      <c r="I93" s="575"/>
      <c r="J93" s="575"/>
      <c r="K93" s="575"/>
      <c r="L93" s="575"/>
      <c r="M93" s="575"/>
      <c r="N93" s="575"/>
      <c r="O93" s="575"/>
      <c r="P93" s="575"/>
    </row>
    <row r="94" spans="2:16">
      <c r="B94" s="224" t="s">
        <v>689</v>
      </c>
      <c r="C94" s="575"/>
      <c r="D94" s="575"/>
      <c r="E94" s="575"/>
      <c r="F94" s="575"/>
      <c r="G94" s="224" t="s">
        <v>729</v>
      </c>
      <c r="H94" s="224" t="s">
        <v>730</v>
      </c>
      <c r="I94" s="224" t="s">
        <v>731</v>
      </c>
      <c r="J94" s="224" t="s">
        <v>732</v>
      </c>
      <c r="K94" s="575"/>
      <c r="L94" s="224" t="s">
        <v>733</v>
      </c>
      <c r="M94" s="224" t="s">
        <v>734</v>
      </c>
      <c r="N94" s="224" t="s">
        <v>735</v>
      </c>
      <c r="O94" s="224" t="s">
        <v>732</v>
      </c>
      <c r="P94" s="575"/>
    </row>
    <row r="95" spans="2:16">
      <c r="B95" s="575" t="s">
        <v>338</v>
      </c>
      <c r="C95" s="747">
        <f>Inputs!$C$6</f>
        <v>3690</v>
      </c>
      <c r="D95" s="575" t="s">
        <v>690</v>
      </c>
      <c r="E95" s="575" t="s">
        <v>736</v>
      </c>
      <c r="F95" s="575"/>
      <c r="G95" s="575" t="s">
        <v>737</v>
      </c>
      <c r="H95" s="721">
        <v>13569</v>
      </c>
      <c r="I95" s="321">
        <v>0.95</v>
      </c>
      <c r="J95" s="575" t="s">
        <v>738</v>
      </c>
      <c r="K95" s="575"/>
      <c r="L95" s="575" t="s">
        <v>739</v>
      </c>
      <c r="M95" s="721">
        <v>16200000</v>
      </c>
      <c r="N95" s="575" t="s">
        <v>140</v>
      </c>
      <c r="O95" s="575" t="s">
        <v>740</v>
      </c>
      <c r="P95" s="575"/>
    </row>
    <row r="96" spans="2:16">
      <c r="B96" s="575" t="s">
        <v>741</v>
      </c>
      <c r="C96" s="321">
        <v>0.95</v>
      </c>
      <c r="D96" s="575" t="s">
        <v>291</v>
      </c>
      <c r="E96" s="575" t="s">
        <v>742</v>
      </c>
      <c r="F96" s="575"/>
      <c r="G96" s="575" t="s">
        <v>743</v>
      </c>
      <c r="H96" s="721">
        <v>17504</v>
      </c>
      <c r="I96" s="321">
        <v>0.95</v>
      </c>
      <c r="J96" s="575" t="s">
        <v>738</v>
      </c>
      <c r="K96" s="575"/>
      <c r="L96" s="575" t="s">
        <v>744</v>
      </c>
      <c r="M96" s="721">
        <v>54000000</v>
      </c>
      <c r="N96" s="575" t="s">
        <v>140</v>
      </c>
      <c r="O96" s="575" t="s">
        <v>745</v>
      </c>
      <c r="P96" s="575"/>
    </row>
    <row r="97" spans="2:16">
      <c r="B97" s="575" t="s">
        <v>746</v>
      </c>
      <c r="C97" s="321">
        <v>0.3</v>
      </c>
      <c r="D97" s="575" t="s">
        <v>291</v>
      </c>
      <c r="E97" s="575" t="s">
        <v>747</v>
      </c>
      <c r="F97" s="575"/>
      <c r="G97" s="575" t="s">
        <v>748</v>
      </c>
      <c r="H97" s="721">
        <v>58173</v>
      </c>
      <c r="I97" s="321">
        <v>0.3</v>
      </c>
      <c r="J97" s="575" t="s">
        <v>749</v>
      </c>
      <c r="K97" s="575"/>
      <c r="L97" s="575" t="s">
        <v>750</v>
      </c>
      <c r="M97" s="721">
        <v>85000000</v>
      </c>
      <c r="N97" s="575" t="s">
        <v>140</v>
      </c>
      <c r="O97" s="575" t="s">
        <v>751</v>
      </c>
      <c r="P97" s="575"/>
    </row>
    <row r="98" spans="2:16">
      <c r="B98" s="575" t="s">
        <v>752</v>
      </c>
      <c r="C98" s="321">
        <v>0.3</v>
      </c>
      <c r="D98" s="575" t="s">
        <v>291</v>
      </c>
      <c r="E98" s="575" t="s">
        <v>753</v>
      </c>
      <c r="F98" s="575"/>
      <c r="G98" s="575" t="s">
        <v>754</v>
      </c>
      <c r="H98" s="721">
        <v>87624</v>
      </c>
      <c r="I98" s="321">
        <v>0.3</v>
      </c>
      <c r="J98" s="575" t="s">
        <v>749</v>
      </c>
      <c r="K98" s="575"/>
      <c r="L98" s="575" t="s">
        <v>755</v>
      </c>
      <c r="M98" s="721">
        <v>191000000</v>
      </c>
      <c r="N98" s="575" t="s">
        <v>140</v>
      </c>
      <c r="O98" s="575" t="s">
        <v>756</v>
      </c>
      <c r="P98" s="575"/>
    </row>
    <row r="99" spans="2:16">
      <c r="B99" s="575" t="s">
        <v>757</v>
      </c>
      <c r="C99" s="721">
        <v>108666880</v>
      </c>
      <c r="D99" s="575" t="s">
        <v>140</v>
      </c>
      <c r="E99" s="575"/>
      <c r="F99" s="575"/>
      <c r="G99" s="575" t="s">
        <v>758</v>
      </c>
      <c r="H99" s="721">
        <v>140577</v>
      </c>
      <c r="I99" s="321">
        <v>0.3</v>
      </c>
      <c r="J99" s="575" t="s">
        <v>759</v>
      </c>
      <c r="K99" s="575"/>
      <c r="L99" s="575" t="s">
        <v>760</v>
      </c>
      <c r="M99" s="721">
        <v>612247701</v>
      </c>
      <c r="N99" s="575" t="s">
        <v>140</v>
      </c>
      <c r="O99" s="575" t="s">
        <v>761</v>
      </c>
      <c r="P99" s="575"/>
    </row>
    <row r="100" spans="2:16">
      <c r="B100" s="575" t="s">
        <v>762</v>
      </c>
      <c r="C100" s="721">
        <v>787041187</v>
      </c>
      <c r="D100" s="575" t="s">
        <v>140</v>
      </c>
      <c r="E100" s="575"/>
      <c r="F100" s="575"/>
      <c r="G100" s="575" t="s">
        <v>763</v>
      </c>
      <c r="H100" s="721">
        <v>171076</v>
      </c>
      <c r="I100" s="321">
        <v>0.3</v>
      </c>
      <c r="J100" s="575" t="s">
        <v>759</v>
      </c>
      <c r="K100" s="575"/>
      <c r="L100" s="575" t="s">
        <v>764</v>
      </c>
      <c r="M100" s="721">
        <v>744218137</v>
      </c>
      <c r="N100" s="575" t="s">
        <v>140</v>
      </c>
      <c r="O100" s="575" t="s">
        <v>761</v>
      </c>
      <c r="P100" s="575"/>
    </row>
    <row r="101" spans="2:16">
      <c r="B101" s="575" t="s">
        <v>765</v>
      </c>
      <c r="C101" s="721">
        <v>678374307</v>
      </c>
      <c r="D101" s="575" t="s">
        <v>140</v>
      </c>
      <c r="E101" s="575"/>
      <c r="F101" s="575"/>
      <c r="G101" s="575" t="s">
        <v>766</v>
      </c>
      <c r="H101" s="721">
        <v>3567</v>
      </c>
      <c r="I101" s="321">
        <v>0.95</v>
      </c>
      <c r="J101" s="575" t="s">
        <v>738</v>
      </c>
      <c r="K101" s="575"/>
      <c r="L101" s="575"/>
      <c r="M101" s="575"/>
      <c r="N101" s="575"/>
      <c r="O101" s="575"/>
      <c r="P101" s="575"/>
    </row>
    <row r="102" spans="2:16">
      <c r="B102" s="575"/>
      <c r="C102" s="575"/>
      <c r="D102" s="575"/>
      <c r="E102" s="575"/>
      <c r="F102" s="575"/>
      <c r="G102" s="575" t="s">
        <v>767</v>
      </c>
      <c r="H102" s="721">
        <v>3125</v>
      </c>
      <c r="I102" s="321">
        <v>0.95</v>
      </c>
      <c r="J102" s="575" t="s">
        <v>738</v>
      </c>
      <c r="K102" s="575"/>
      <c r="L102" s="575"/>
      <c r="M102" s="575"/>
      <c r="N102" s="575"/>
      <c r="O102" s="575"/>
      <c r="P102" s="575"/>
    </row>
    <row r="103" spans="2:16">
      <c r="B103" s="575"/>
      <c r="C103" s="575"/>
      <c r="D103" s="575"/>
      <c r="E103" s="575"/>
      <c r="F103" s="575"/>
      <c r="G103" s="575" t="s">
        <v>768</v>
      </c>
      <c r="H103" s="721">
        <v>1500</v>
      </c>
      <c r="I103" s="321">
        <v>0.3</v>
      </c>
      <c r="J103" s="575" t="s">
        <v>749</v>
      </c>
      <c r="K103" s="575"/>
      <c r="L103" s="575"/>
      <c r="M103" s="575"/>
      <c r="N103" s="575"/>
      <c r="O103" s="575"/>
      <c r="P103" s="575"/>
    </row>
    <row r="104" spans="2:16">
      <c r="B104" s="575"/>
      <c r="C104" s="575"/>
      <c r="D104" s="575"/>
      <c r="E104" s="575"/>
      <c r="F104" s="575"/>
      <c r="G104" s="575" t="s">
        <v>769</v>
      </c>
      <c r="H104" s="721">
        <v>0</v>
      </c>
      <c r="I104" s="321">
        <v>0.3</v>
      </c>
      <c r="J104" s="575" t="s">
        <v>749</v>
      </c>
      <c r="K104" s="575"/>
      <c r="L104" s="575"/>
      <c r="M104" s="575"/>
      <c r="N104" s="575"/>
      <c r="O104" s="575"/>
      <c r="P104" s="575"/>
    </row>
    <row r="105" spans="2:16">
      <c r="B105" s="575"/>
      <c r="C105" s="575"/>
      <c r="D105" s="575"/>
      <c r="E105" s="575"/>
      <c r="F105" s="575"/>
      <c r="G105" s="575" t="s">
        <v>770</v>
      </c>
      <c r="H105" s="721">
        <v>0</v>
      </c>
      <c r="I105" s="751" t="s">
        <v>771</v>
      </c>
      <c r="J105" s="575" t="s">
        <v>772</v>
      </c>
      <c r="K105" s="575"/>
      <c r="L105" s="575"/>
      <c r="M105" s="575"/>
      <c r="N105" s="575"/>
      <c r="O105" s="575"/>
      <c r="P105" s="575"/>
    </row>
    <row r="106" spans="2:16">
      <c r="B106" s="575"/>
      <c r="C106" s="575"/>
      <c r="D106" s="575"/>
      <c r="E106" s="575"/>
      <c r="F106" s="575"/>
      <c r="G106" s="575" t="s">
        <v>773</v>
      </c>
      <c r="H106" s="745">
        <v>0</v>
      </c>
      <c r="I106" s="751" t="s">
        <v>771</v>
      </c>
      <c r="J106" s="575" t="s">
        <v>772</v>
      </c>
      <c r="K106" s="575"/>
      <c r="L106" s="575"/>
      <c r="M106" s="575"/>
      <c r="N106" s="575"/>
      <c r="O106" s="575"/>
      <c r="P106" s="575"/>
    </row>
    <row r="107" spans="2:16">
      <c r="B107" s="575"/>
      <c r="C107" s="575"/>
      <c r="D107" s="575"/>
      <c r="E107" s="575"/>
      <c r="F107" s="575"/>
      <c r="G107" s="575"/>
      <c r="H107" s="575"/>
      <c r="I107" s="575"/>
      <c r="J107" s="575"/>
      <c r="K107" s="575"/>
      <c r="L107" s="575"/>
      <c r="M107" s="575"/>
      <c r="N107" s="575"/>
      <c r="O107" s="575"/>
      <c r="P107" s="575"/>
    </row>
    <row r="108" spans="2:16">
      <c r="B108" s="709" t="s">
        <v>774</v>
      </c>
      <c r="C108" s="583"/>
      <c r="D108" s="583"/>
      <c r="E108" s="583"/>
      <c r="F108" s="583"/>
      <c r="G108" s="583"/>
      <c r="H108" s="583"/>
      <c r="I108" s="583"/>
      <c r="J108" s="583"/>
      <c r="K108" s="583"/>
      <c r="L108" s="583"/>
      <c r="M108" s="583"/>
      <c r="N108" s="583"/>
      <c r="O108" s="583"/>
      <c r="P108" s="583"/>
    </row>
    <row r="109" spans="2:16">
      <c r="B109" s="226" t="s">
        <v>713</v>
      </c>
      <c r="C109" s="226" t="s">
        <v>674</v>
      </c>
      <c r="D109" s="227" t="s">
        <v>209</v>
      </c>
      <c r="E109" s="349">
        <v>46079</v>
      </c>
      <c r="F109" s="349">
        <v>46107</v>
      </c>
      <c r="G109" s="227" t="s">
        <v>326</v>
      </c>
      <c r="H109" s="349">
        <v>46168</v>
      </c>
      <c r="I109" s="349">
        <v>46199</v>
      </c>
      <c r="J109" s="349">
        <v>46229</v>
      </c>
      <c r="K109" s="227" t="s">
        <v>330</v>
      </c>
      <c r="L109" s="349">
        <v>46291</v>
      </c>
      <c r="M109" s="349">
        <v>46321</v>
      </c>
      <c r="N109" s="349">
        <v>46352</v>
      </c>
      <c r="O109" s="227" t="s">
        <v>334</v>
      </c>
      <c r="P109" s="227" t="s">
        <v>16</v>
      </c>
    </row>
    <row r="110" spans="2:16">
      <c r="B110" s="750" t="s">
        <v>714</v>
      </c>
      <c r="C110" s="750" t="s">
        <v>299</v>
      </c>
      <c r="D110" s="714">
        <f>$M$99</f>
        <v>612247701</v>
      </c>
      <c r="E110" s="714">
        <f>$M$100</f>
        <v>744218137</v>
      </c>
      <c r="F110" s="714">
        <f>$C$100</f>
        <v>787041187</v>
      </c>
      <c r="G110" s="721">
        <v>0</v>
      </c>
      <c r="H110" s="721">
        <v>0</v>
      </c>
      <c r="I110" s="721">
        <v>0</v>
      </c>
      <c r="J110" s="721">
        <v>0</v>
      </c>
      <c r="K110" s="721">
        <v>0</v>
      </c>
      <c r="L110" s="721">
        <v>0</v>
      </c>
      <c r="M110" s="721">
        <v>0</v>
      </c>
      <c r="N110" s="721">
        <v>0</v>
      </c>
      <c r="O110" s="721">
        <v>0</v>
      </c>
      <c r="P110" s="714">
        <f t="shared" ref="P110:P122" si="6">SUM(D110:O110)</f>
        <v>2143507025</v>
      </c>
    </row>
    <row r="111" spans="2:16">
      <c r="B111" s="228" t="s">
        <v>715</v>
      </c>
      <c r="C111" s="228" t="s">
        <v>775</v>
      </c>
      <c r="D111" s="347">
        <v>0</v>
      </c>
      <c r="E111" s="347">
        <v>0</v>
      </c>
      <c r="F111" s="347">
        <v>0</v>
      </c>
      <c r="G111" s="348">
        <f t="shared" ref="G111:O111" si="7">$C$101</f>
        <v>678374307</v>
      </c>
      <c r="H111" s="348">
        <f t="shared" si="7"/>
        <v>678374307</v>
      </c>
      <c r="I111" s="348">
        <f t="shared" si="7"/>
        <v>678374307</v>
      </c>
      <c r="J111" s="348">
        <f t="shared" si="7"/>
        <v>678374307</v>
      </c>
      <c r="K111" s="348">
        <f t="shared" si="7"/>
        <v>678374307</v>
      </c>
      <c r="L111" s="348">
        <f t="shared" si="7"/>
        <v>678374307</v>
      </c>
      <c r="M111" s="348">
        <f t="shared" si="7"/>
        <v>678374307</v>
      </c>
      <c r="N111" s="348">
        <f t="shared" si="7"/>
        <v>678374307</v>
      </c>
      <c r="O111" s="348">
        <f t="shared" si="7"/>
        <v>678374307</v>
      </c>
      <c r="P111" s="348">
        <f t="shared" si="6"/>
        <v>6105368763</v>
      </c>
    </row>
    <row r="112" spans="2:16">
      <c r="B112" s="750" t="s">
        <v>776</v>
      </c>
      <c r="C112" s="750" t="s">
        <v>777</v>
      </c>
      <c r="D112" s="721">
        <v>0</v>
      </c>
      <c r="E112" s="721">
        <v>0</v>
      </c>
      <c r="F112" s="721">
        <v>0</v>
      </c>
      <c r="G112" s="721">
        <v>0</v>
      </c>
      <c r="H112" s="721">
        <v>0</v>
      </c>
      <c r="I112" s="714">
        <f>$C$236*$C$95</f>
        <v>15376230</v>
      </c>
      <c r="J112" s="714">
        <f>$C$237*$C$95</f>
        <v>15376230</v>
      </c>
      <c r="K112" s="714">
        <f>$C$238*$C$95</f>
        <v>450180000</v>
      </c>
      <c r="L112" s="714">
        <f>$C$239*$C$95</f>
        <v>450180000</v>
      </c>
      <c r="M112" s="714">
        <f>$C$240*$C$95</f>
        <v>450180000</v>
      </c>
      <c r="N112" s="714">
        <f>$C$241*$C$95</f>
        <v>450180000</v>
      </c>
      <c r="O112" s="714">
        <f>$C$242*$C$95</f>
        <v>450180000</v>
      </c>
      <c r="P112" s="714">
        <f t="shared" si="6"/>
        <v>2281652460</v>
      </c>
    </row>
    <row r="113" spans="2:16">
      <c r="B113" s="750" t="s">
        <v>776</v>
      </c>
      <c r="C113" s="750" t="s">
        <v>778</v>
      </c>
      <c r="D113" s="721">
        <v>0</v>
      </c>
      <c r="E113" s="721">
        <v>0</v>
      </c>
      <c r="F113" s="721">
        <v>0</v>
      </c>
      <c r="G113" s="721">
        <v>0</v>
      </c>
      <c r="H113" s="714">
        <f>$D$235*$C$95</f>
        <v>479700000</v>
      </c>
      <c r="I113" s="721">
        <v>0</v>
      </c>
      <c r="J113" s="721">
        <v>0</v>
      </c>
      <c r="K113" s="721">
        <v>0</v>
      </c>
      <c r="L113" s="721">
        <v>0</v>
      </c>
      <c r="M113" s="721">
        <v>0</v>
      </c>
      <c r="N113" s="721">
        <v>0</v>
      </c>
      <c r="O113" s="721">
        <v>0</v>
      </c>
      <c r="P113" s="714">
        <f t="shared" si="6"/>
        <v>479700000</v>
      </c>
    </row>
    <row r="114" spans="2:16">
      <c r="B114" s="750" t="s">
        <v>779</v>
      </c>
      <c r="C114" s="750" t="s">
        <v>780</v>
      </c>
      <c r="D114" s="721">
        <v>0</v>
      </c>
      <c r="E114" s="721">
        <v>0</v>
      </c>
      <c r="F114" s="721">
        <v>0</v>
      </c>
      <c r="G114" s="714">
        <f>$H$95*$I$95*$C$95/3</f>
        <v>15855376.5</v>
      </c>
      <c r="H114" s="714">
        <f>$H$95*$I$95*$C$95/3</f>
        <v>15855376.5</v>
      </c>
      <c r="I114" s="714">
        <f>$H$95*$I$95*$C$95/3</f>
        <v>15855376.5</v>
      </c>
      <c r="J114" s="714">
        <f>$H$97*$I$97*$C$95/3</f>
        <v>21465836.999999996</v>
      </c>
      <c r="K114" s="714">
        <f>$H$97*$I$97*$C$95/3</f>
        <v>21465836.999999996</v>
      </c>
      <c r="L114" s="714">
        <f>$H$97*$I$97*$C$95/3</f>
        <v>21465836.999999996</v>
      </c>
      <c r="M114" s="714">
        <f>$H$99*$I$99*$C$95/3</f>
        <v>51872913</v>
      </c>
      <c r="N114" s="714">
        <f>$H$99*$I$99*$C$95/3</f>
        <v>51872913</v>
      </c>
      <c r="O114" s="714">
        <f>$H$99*$I$99*$C$95/3</f>
        <v>51872913</v>
      </c>
      <c r="P114" s="714">
        <f t="shared" si="6"/>
        <v>267582379.5</v>
      </c>
    </row>
    <row r="115" spans="2:16">
      <c r="B115" s="750" t="s">
        <v>779</v>
      </c>
      <c r="C115" s="750" t="s">
        <v>781</v>
      </c>
      <c r="D115" s="721">
        <v>0</v>
      </c>
      <c r="E115" s="721">
        <v>0</v>
      </c>
      <c r="F115" s="721">
        <v>0</v>
      </c>
      <c r="G115" s="714">
        <f>$H$96*$I$96*$C$95/3</f>
        <v>20453424</v>
      </c>
      <c r="H115" s="714">
        <f>$H$96*$I$96*$C$95/3</f>
        <v>20453424</v>
      </c>
      <c r="I115" s="714">
        <f>$H$96*$I$96*$C$95/3</f>
        <v>20453424</v>
      </c>
      <c r="J115" s="714">
        <f>$H$98*$I$98*$C$95/3</f>
        <v>32333256</v>
      </c>
      <c r="K115" s="714">
        <f>$H$98*$I$98*$C$95/3</f>
        <v>32333256</v>
      </c>
      <c r="L115" s="714">
        <f>$H$98*$I$98*$C$95/3</f>
        <v>32333256</v>
      </c>
      <c r="M115" s="714">
        <f>$H$100*$I$100*$C$95/3</f>
        <v>63127043.999999993</v>
      </c>
      <c r="N115" s="714">
        <f>$H$100*$I$100*$C$95/3</f>
        <v>63127043.999999993</v>
      </c>
      <c r="O115" s="714">
        <f>$H$100*$I$100*$C$95/3</f>
        <v>63127043.999999993</v>
      </c>
      <c r="P115" s="714">
        <f t="shared" si="6"/>
        <v>347741172</v>
      </c>
    </row>
    <row r="116" spans="2:16">
      <c r="B116" s="750" t="s">
        <v>782</v>
      </c>
      <c r="C116" s="750" t="s">
        <v>783</v>
      </c>
      <c r="D116" s="721">
        <v>0</v>
      </c>
      <c r="E116" s="721">
        <v>0</v>
      </c>
      <c r="F116" s="721">
        <v>0</v>
      </c>
      <c r="G116" s="714">
        <f>$H$101*$I$101*$C$95/3</f>
        <v>4168039.4999999995</v>
      </c>
      <c r="H116" s="714">
        <f>$H$101*$I$101*$C$95/3</f>
        <v>4168039.4999999995</v>
      </c>
      <c r="I116" s="714">
        <f>$H$101*$I$101*$C$95/3</f>
        <v>4168039.4999999995</v>
      </c>
      <c r="J116" s="714">
        <f>$H$103*$I$103*$C$95/3</f>
        <v>553500</v>
      </c>
      <c r="K116" s="714">
        <f>$H$103*$I$103*$C$95/3</f>
        <v>553500</v>
      </c>
      <c r="L116" s="714">
        <f>$H$103*$I$103*$C$95/3</f>
        <v>553500</v>
      </c>
      <c r="M116" s="721">
        <v>0</v>
      </c>
      <c r="N116" s="721">
        <v>0</v>
      </c>
      <c r="O116" s="721">
        <v>0</v>
      </c>
      <c r="P116" s="714">
        <f t="shared" si="6"/>
        <v>14164618.499999998</v>
      </c>
    </row>
    <row r="117" spans="2:16">
      <c r="B117" s="750" t="s">
        <v>782</v>
      </c>
      <c r="C117" s="750" t="s">
        <v>784</v>
      </c>
      <c r="D117" s="721">
        <v>0</v>
      </c>
      <c r="E117" s="721">
        <v>0</v>
      </c>
      <c r="F117" s="721">
        <v>0</v>
      </c>
      <c r="G117" s="714">
        <f>$H$102*$I$102*$C$95/3</f>
        <v>3651562.5</v>
      </c>
      <c r="H117" s="714">
        <f>$H$102*$I$102*$C$95/3</f>
        <v>3651562.5</v>
      </c>
      <c r="I117" s="714">
        <f>$H$102*$I$102*$C$95/3</f>
        <v>3651562.5</v>
      </c>
      <c r="J117" s="714">
        <f>$H$104*$I$104*$C$95/3</f>
        <v>0</v>
      </c>
      <c r="K117" s="714">
        <f>$H$104*$I$104*$C$95/3</f>
        <v>0</v>
      </c>
      <c r="L117" s="714">
        <f>$H$104*$I$104*$C$95/3</f>
        <v>0</v>
      </c>
      <c r="M117" s="721">
        <v>0</v>
      </c>
      <c r="N117" s="721">
        <v>0</v>
      </c>
      <c r="O117" s="721">
        <v>0</v>
      </c>
      <c r="P117" s="714">
        <f t="shared" si="6"/>
        <v>10954687.5</v>
      </c>
    </row>
    <row r="118" spans="2:16">
      <c r="B118" s="750" t="s">
        <v>785</v>
      </c>
      <c r="C118" s="750" t="s">
        <v>786</v>
      </c>
      <c r="D118" s="721">
        <v>0</v>
      </c>
      <c r="E118" s="721">
        <v>0</v>
      </c>
      <c r="F118" s="721">
        <v>0</v>
      </c>
      <c r="G118" s="721">
        <v>0</v>
      </c>
      <c r="H118" s="721">
        <v>0</v>
      </c>
      <c r="I118" s="721">
        <v>0</v>
      </c>
      <c r="J118" s="721">
        <v>0</v>
      </c>
      <c r="K118" s="721">
        <v>0</v>
      </c>
      <c r="L118" s="721">
        <v>0</v>
      </c>
      <c r="M118" s="721">
        <v>0</v>
      </c>
      <c r="N118" s="721">
        <v>0</v>
      </c>
      <c r="O118" s="721">
        <v>0</v>
      </c>
      <c r="P118" s="714">
        <f t="shared" si="6"/>
        <v>0</v>
      </c>
    </row>
    <row r="119" spans="2:16">
      <c r="B119" s="750" t="s">
        <v>785</v>
      </c>
      <c r="C119" s="750" t="s">
        <v>787</v>
      </c>
      <c r="D119" s="721">
        <v>0</v>
      </c>
      <c r="E119" s="721">
        <v>0</v>
      </c>
      <c r="F119" s="721">
        <v>0</v>
      </c>
      <c r="G119" s="721">
        <v>0</v>
      </c>
      <c r="H119" s="721">
        <v>0</v>
      </c>
      <c r="I119" s="721">
        <v>0</v>
      </c>
      <c r="J119" s="721">
        <v>0</v>
      </c>
      <c r="K119" s="721">
        <v>0</v>
      </c>
      <c r="L119" s="721">
        <v>0</v>
      </c>
      <c r="M119" s="721">
        <v>0</v>
      </c>
      <c r="N119" s="721">
        <v>0</v>
      </c>
      <c r="O119" s="721">
        <v>0</v>
      </c>
      <c r="P119" s="714">
        <f t="shared" si="6"/>
        <v>0</v>
      </c>
    </row>
    <row r="120" spans="2:16">
      <c r="B120" s="750" t="s">
        <v>140</v>
      </c>
      <c r="C120" s="750" t="s">
        <v>788</v>
      </c>
      <c r="D120" s="721">
        <v>0</v>
      </c>
      <c r="E120" s="721">
        <v>0</v>
      </c>
      <c r="F120" s="721">
        <v>0</v>
      </c>
      <c r="G120" s="721">
        <v>0</v>
      </c>
      <c r="H120" s="714">
        <f t="shared" ref="H120:N120" si="8">$M$95+(COLUMN()-COLUMN($H$120))*($M$96-$M$95)/7</f>
        <v>16200000</v>
      </c>
      <c r="I120" s="714">
        <f t="shared" si="8"/>
        <v>21600000</v>
      </c>
      <c r="J120" s="714">
        <f t="shared" si="8"/>
        <v>27000000</v>
      </c>
      <c r="K120" s="714">
        <f t="shared" si="8"/>
        <v>32400000</v>
      </c>
      <c r="L120" s="714">
        <f t="shared" si="8"/>
        <v>37800000</v>
      </c>
      <c r="M120" s="714">
        <f t="shared" si="8"/>
        <v>43200000</v>
      </c>
      <c r="N120" s="714">
        <f t="shared" si="8"/>
        <v>48600000</v>
      </c>
      <c r="O120" s="714">
        <f>$M$96</f>
        <v>54000000</v>
      </c>
      <c r="P120" s="714">
        <f t="shared" si="6"/>
        <v>280800000</v>
      </c>
    </row>
    <row r="121" spans="2:16">
      <c r="B121" s="750" t="s">
        <v>140</v>
      </c>
      <c r="C121" s="750" t="s">
        <v>789</v>
      </c>
      <c r="D121" s="721">
        <v>0</v>
      </c>
      <c r="E121" s="721">
        <v>0</v>
      </c>
      <c r="F121" s="721">
        <v>0</v>
      </c>
      <c r="G121" s="721">
        <v>0</v>
      </c>
      <c r="H121" s="721">
        <v>0</v>
      </c>
      <c r="I121" s="721">
        <v>0</v>
      </c>
      <c r="J121" s="714">
        <f>$M$97/3</f>
        <v>28333333.333333332</v>
      </c>
      <c r="K121" s="714">
        <f>$M$97/3</f>
        <v>28333333.333333332</v>
      </c>
      <c r="L121" s="714">
        <f>$M$97/3</f>
        <v>28333333.333333332</v>
      </c>
      <c r="M121" s="714">
        <f>$M$98/3</f>
        <v>63666666.666666664</v>
      </c>
      <c r="N121" s="714">
        <f>$M$98/3</f>
        <v>63666666.666666664</v>
      </c>
      <c r="O121" s="714">
        <f>$M$98/3</f>
        <v>63666666.666666664</v>
      </c>
      <c r="P121" s="714">
        <f t="shared" si="6"/>
        <v>276000000</v>
      </c>
    </row>
    <row r="122" spans="2:16">
      <c r="B122" s="490" t="s">
        <v>725</v>
      </c>
      <c r="C122" s="490" t="s">
        <v>726</v>
      </c>
      <c r="D122" s="489">
        <f t="shared" ref="D122:O122" si="9">SUM(D110:D121)</f>
        <v>612247701</v>
      </c>
      <c r="E122" s="489">
        <f t="shared" si="9"/>
        <v>744218137</v>
      </c>
      <c r="F122" s="489">
        <f t="shared" si="9"/>
        <v>787041187</v>
      </c>
      <c r="G122" s="489">
        <f t="shared" si="9"/>
        <v>722502709.5</v>
      </c>
      <c r="H122" s="489">
        <f t="shared" si="9"/>
        <v>1218402709.5</v>
      </c>
      <c r="I122" s="489">
        <f t="shared" si="9"/>
        <v>759478939.5</v>
      </c>
      <c r="J122" s="489">
        <f t="shared" si="9"/>
        <v>803436463.33333337</v>
      </c>
      <c r="K122" s="489">
        <f t="shared" si="9"/>
        <v>1243640233.3333333</v>
      </c>
      <c r="L122" s="489">
        <f t="shared" si="9"/>
        <v>1249040233.3333333</v>
      </c>
      <c r="M122" s="489">
        <f t="shared" si="9"/>
        <v>1350420930.6666667</v>
      </c>
      <c r="N122" s="489">
        <f t="shared" si="9"/>
        <v>1355820930.6666667</v>
      </c>
      <c r="O122" s="489">
        <f t="shared" si="9"/>
        <v>1361220930.6666667</v>
      </c>
      <c r="P122" s="489">
        <f t="shared" si="6"/>
        <v>12207471105.499998</v>
      </c>
    </row>
    <row r="123" spans="2:16">
      <c r="B123" s="750"/>
      <c r="C123" s="750"/>
      <c r="D123" s="750"/>
      <c r="E123" s="750"/>
      <c r="F123" s="750"/>
      <c r="G123" s="750"/>
      <c r="H123" s="750"/>
      <c r="I123" s="750"/>
      <c r="J123" s="750"/>
      <c r="K123" s="750"/>
      <c r="L123" s="750"/>
      <c r="M123" s="750"/>
      <c r="N123" s="750"/>
      <c r="O123" s="750"/>
      <c r="P123" s="750"/>
    </row>
    <row r="124" spans="2:16">
      <c r="B124" s="750"/>
      <c r="C124" s="750"/>
      <c r="D124" s="750"/>
      <c r="E124" s="750"/>
      <c r="F124" s="750"/>
      <c r="G124" s="750"/>
      <c r="H124" s="750"/>
      <c r="I124" s="750"/>
      <c r="J124" s="750"/>
      <c r="K124" s="750"/>
      <c r="L124" s="750"/>
      <c r="M124" s="750"/>
      <c r="N124" s="750"/>
      <c r="O124" s="750"/>
      <c r="P124" s="750"/>
    </row>
    <row r="125" spans="2:16">
      <c r="B125" s="750"/>
      <c r="C125" s="750"/>
      <c r="D125" s="750"/>
      <c r="E125" s="750"/>
      <c r="F125" s="750"/>
      <c r="G125" s="750"/>
      <c r="H125" s="750"/>
      <c r="I125" s="750"/>
      <c r="J125" s="750"/>
      <c r="K125" s="750"/>
      <c r="L125" s="750"/>
      <c r="M125" s="750"/>
      <c r="N125" s="750"/>
      <c r="O125" s="750"/>
      <c r="P125" s="750"/>
    </row>
    <row r="126" spans="2:16">
      <c r="B126" s="709" t="s">
        <v>790</v>
      </c>
      <c r="C126" s="583"/>
      <c r="D126" s="583"/>
      <c r="E126" s="583"/>
      <c r="F126" s="583"/>
      <c r="G126" s="583"/>
      <c r="H126" s="583"/>
      <c r="I126" s="583"/>
      <c r="J126" s="583"/>
      <c r="K126" s="583"/>
      <c r="L126" s="583"/>
      <c r="M126" s="583"/>
      <c r="N126" s="583"/>
      <c r="O126" s="583"/>
      <c r="P126" s="583"/>
    </row>
    <row r="127" spans="2:16">
      <c r="B127" s="226" t="s">
        <v>713</v>
      </c>
      <c r="C127" s="226" t="s">
        <v>674</v>
      </c>
      <c r="D127" s="227" t="s">
        <v>209</v>
      </c>
      <c r="E127" s="349">
        <v>46079</v>
      </c>
      <c r="F127" s="349">
        <v>46107</v>
      </c>
      <c r="G127" s="227" t="s">
        <v>326</v>
      </c>
      <c r="H127" s="349">
        <v>46168</v>
      </c>
      <c r="I127" s="349">
        <v>46199</v>
      </c>
      <c r="J127" s="349">
        <v>46229</v>
      </c>
      <c r="K127" s="227" t="s">
        <v>330</v>
      </c>
      <c r="L127" s="349">
        <v>46291</v>
      </c>
      <c r="M127" s="349">
        <v>46321</v>
      </c>
      <c r="N127" s="349">
        <v>46352</v>
      </c>
      <c r="O127" s="227" t="s">
        <v>334</v>
      </c>
      <c r="P127" s="227" t="s">
        <v>16</v>
      </c>
    </row>
    <row r="145" spans="2:16">
      <c r="B145" s="1105" t="s">
        <v>791</v>
      </c>
      <c r="C145" s="1105"/>
      <c r="D145" s="1105"/>
      <c r="E145" s="1105"/>
      <c r="F145" s="1105"/>
      <c r="G145" s="1105"/>
      <c r="H145" s="1105"/>
      <c r="I145" s="1105"/>
      <c r="J145" s="1105"/>
      <c r="K145" s="1105"/>
      <c r="L145" s="1105"/>
      <c r="M145" s="1105"/>
      <c r="N145" s="1105"/>
      <c r="O145" s="1105"/>
      <c r="P145" s="1105"/>
    </row>
    <row r="146" spans="2:16">
      <c r="B146" s="575"/>
      <c r="C146" s="575"/>
      <c r="D146" s="575"/>
      <c r="E146" s="575"/>
      <c r="F146" s="575"/>
      <c r="G146" s="575"/>
      <c r="H146" s="575"/>
      <c r="I146" s="575"/>
      <c r="J146" s="575"/>
      <c r="K146" s="575"/>
      <c r="L146" s="575"/>
      <c r="M146" s="575"/>
      <c r="N146" s="575"/>
      <c r="O146" s="575"/>
      <c r="P146" s="575"/>
    </row>
    <row r="147" spans="2:16">
      <c r="B147" s="709" t="s">
        <v>689</v>
      </c>
      <c r="C147" s="583"/>
      <c r="D147" s="583"/>
      <c r="E147" s="583"/>
      <c r="F147" s="583"/>
      <c r="G147" s="583"/>
      <c r="H147" s="583"/>
      <c r="I147" s="583"/>
      <c r="J147" s="583"/>
      <c r="K147" s="583"/>
      <c r="L147" s="583"/>
      <c r="M147" s="583"/>
      <c r="N147" s="583"/>
      <c r="O147" s="583"/>
      <c r="P147" s="583"/>
    </row>
    <row r="148" spans="2:16">
      <c r="B148" s="575" t="s">
        <v>338</v>
      </c>
      <c r="C148" s="747">
        <f>Inputs!$C$6</f>
        <v>3690</v>
      </c>
      <c r="D148" s="575" t="s">
        <v>690</v>
      </c>
      <c r="E148" s="575"/>
      <c r="F148" s="575"/>
      <c r="G148" s="575"/>
      <c r="H148" s="575"/>
      <c r="I148" s="575"/>
      <c r="J148" s="575"/>
      <c r="K148" s="575"/>
      <c r="L148" s="575"/>
      <c r="M148" s="575"/>
      <c r="N148" s="575"/>
      <c r="O148" s="575"/>
      <c r="P148" s="575"/>
    </row>
    <row r="149" spans="2:16">
      <c r="B149" s="575" t="s">
        <v>691</v>
      </c>
      <c r="C149" s="721">
        <v>800000000</v>
      </c>
      <c r="D149" s="575" t="s">
        <v>140</v>
      </c>
      <c r="E149" s="575"/>
      <c r="F149" s="575"/>
      <c r="G149" s="575"/>
      <c r="H149" s="575"/>
      <c r="I149" s="575"/>
      <c r="J149" s="575"/>
      <c r="K149" s="575"/>
      <c r="L149" s="575"/>
      <c r="M149" s="575"/>
      <c r="N149" s="575"/>
      <c r="O149" s="575"/>
      <c r="P149" s="575"/>
    </row>
    <row r="150" spans="2:16">
      <c r="B150" s="575" t="s">
        <v>692</v>
      </c>
      <c r="C150" s="721">
        <v>612247701</v>
      </c>
      <c r="D150" s="575" t="s">
        <v>140</v>
      </c>
      <c r="E150" s="575"/>
      <c r="F150" s="575"/>
      <c r="G150" s="575"/>
      <c r="H150" s="575"/>
      <c r="I150" s="575"/>
      <c r="J150" s="575"/>
      <c r="K150" s="575"/>
      <c r="L150" s="575"/>
      <c r="M150" s="575"/>
      <c r="N150" s="575"/>
      <c r="O150" s="575"/>
      <c r="P150" s="575"/>
    </row>
    <row r="151" spans="2:16">
      <c r="B151" s="575" t="s">
        <v>693</v>
      </c>
      <c r="C151" s="721">
        <v>744218137</v>
      </c>
      <c r="D151" s="575" t="s">
        <v>140</v>
      </c>
      <c r="E151" s="575"/>
      <c r="F151" s="575"/>
      <c r="G151" s="575"/>
      <c r="H151" s="575"/>
      <c r="I151" s="575"/>
      <c r="J151" s="575"/>
      <c r="K151" s="575"/>
      <c r="L151" s="575"/>
      <c r="M151" s="575"/>
      <c r="N151" s="575"/>
      <c r="O151" s="575"/>
      <c r="P151" s="575"/>
    </row>
    <row r="152" spans="2:16">
      <c r="B152" s="575" t="s">
        <v>694</v>
      </c>
      <c r="C152" s="721">
        <v>787041187</v>
      </c>
      <c r="D152" s="575" t="s">
        <v>140</v>
      </c>
      <c r="E152" s="575"/>
      <c r="F152" s="575"/>
      <c r="G152" s="575"/>
      <c r="H152" s="575"/>
      <c r="I152" s="575"/>
      <c r="J152" s="575"/>
      <c r="K152" s="575"/>
      <c r="L152" s="575"/>
      <c r="M152" s="575"/>
      <c r="N152" s="575"/>
      <c r="O152" s="575"/>
      <c r="P152" s="575"/>
    </row>
    <row r="153" spans="2:16">
      <c r="B153" s="575" t="s">
        <v>792</v>
      </c>
      <c r="C153" s="721">
        <v>750867662</v>
      </c>
      <c r="D153" s="575" t="s">
        <v>140</v>
      </c>
      <c r="E153" s="575"/>
      <c r="F153" s="575"/>
      <c r="G153" s="575"/>
      <c r="H153" s="575"/>
      <c r="I153" s="575"/>
      <c r="J153" s="575"/>
      <c r="K153" s="575"/>
      <c r="L153" s="575"/>
      <c r="M153" s="575"/>
      <c r="N153" s="575"/>
      <c r="O153" s="575"/>
      <c r="P153" s="575"/>
    </row>
    <row r="154" spans="2:16">
      <c r="B154" s="224" t="s">
        <v>793</v>
      </c>
      <c r="C154" s="88" t="s">
        <v>146</v>
      </c>
      <c r="D154" s="575"/>
      <c r="E154" s="575"/>
      <c r="F154" s="575"/>
      <c r="G154" s="575"/>
      <c r="H154" s="575"/>
      <c r="I154" s="575"/>
      <c r="J154" s="575"/>
      <c r="K154" s="575"/>
      <c r="L154" s="575"/>
      <c r="M154" s="575"/>
      <c r="N154" s="575"/>
      <c r="O154" s="575"/>
      <c r="P154" s="575"/>
    </row>
    <row r="155" spans="2:16">
      <c r="B155" s="575" t="s">
        <v>696</v>
      </c>
      <c r="C155" s="721">
        <v>2100000</v>
      </c>
      <c r="D155" s="575"/>
      <c r="E155" s="575"/>
      <c r="F155" s="575"/>
      <c r="G155" s="575"/>
      <c r="H155" s="575"/>
      <c r="I155" s="575"/>
      <c r="J155" s="575"/>
      <c r="K155" s="575"/>
      <c r="L155" s="575"/>
      <c r="M155" s="575"/>
      <c r="N155" s="575"/>
      <c r="O155" s="575"/>
      <c r="P155" s="575"/>
    </row>
    <row r="156" spans="2:16">
      <c r="B156" s="575" t="s">
        <v>307</v>
      </c>
      <c r="C156" s="721">
        <v>315000</v>
      </c>
      <c r="D156" s="575"/>
      <c r="E156" s="752">
        <v>0</v>
      </c>
      <c r="F156" s="575"/>
      <c r="G156" s="575"/>
      <c r="H156" s="575"/>
      <c r="I156" s="575"/>
      <c r="J156" s="575"/>
      <c r="K156" s="575"/>
      <c r="L156" s="575"/>
      <c r="M156" s="575"/>
      <c r="N156" s="575"/>
      <c r="O156" s="575"/>
      <c r="P156" s="575"/>
    </row>
    <row r="157" spans="2:16">
      <c r="B157" s="575" t="s">
        <v>308</v>
      </c>
      <c r="C157" s="721">
        <v>42000</v>
      </c>
      <c r="D157" s="575"/>
      <c r="E157" s="575"/>
      <c r="F157" s="575"/>
      <c r="G157" s="575"/>
      <c r="H157" s="575"/>
      <c r="I157" s="575"/>
      <c r="J157" s="575"/>
      <c r="K157" s="575"/>
      <c r="L157" s="575"/>
      <c r="M157" s="575"/>
      <c r="N157" s="575"/>
      <c r="O157" s="575"/>
      <c r="P157" s="575"/>
    </row>
    <row r="158" spans="2:16">
      <c r="B158" s="575" t="s">
        <v>697</v>
      </c>
      <c r="C158" s="721">
        <v>63000</v>
      </c>
      <c r="D158" s="575"/>
      <c r="E158" s="575"/>
      <c r="F158" s="575"/>
      <c r="G158" s="575"/>
      <c r="H158" s="575"/>
      <c r="I158" s="575"/>
      <c r="J158" s="575"/>
      <c r="K158" s="575"/>
      <c r="L158" s="575"/>
      <c r="M158" s="575"/>
      <c r="N158" s="575"/>
      <c r="O158" s="575"/>
      <c r="P158" s="575"/>
    </row>
    <row r="159" spans="2:16">
      <c r="B159" s="579"/>
      <c r="C159" s="753"/>
      <c r="D159" s="575"/>
      <c r="E159" s="575"/>
      <c r="F159" s="575"/>
      <c r="G159" s="575"/>
      <c r="H159" s="575"/>
      <c r="I159" s="575"/>
      <c r="J159" s="575"/>
      <c r="K159" s="575"/>
      <c r="L159" s="575"/>
      <c r="M159" s="575"/>
      <c r="N159" s="575"/>
      <c r="O159" s="575"/>
      <c r="P159" s="575"/>
    </row>
    <row r="160" spans="2:16">
      <c r="B160" s="579" t="s">
        <v>301</v>
      </c>
      <c r="C160" s="748">
        <f>SUM(C161:C165)</f>
        <v>374000</v>
      </c>
      <c r="D160" s="575"/>
      <c r="E160" s="575"/>
      <c r="F160" s="575"/>
      <c r="G160" s="575"/>
      <c r="H160" s="575"/>
      <c r="I160" s="575"/>
      <c r="J160" s="575"/>
      <c r="K160" s="575"/>
      <c r="L160" s="575"/>
      <c r="M160" s="575"/>
      <c r="N160" s="575"/>
      <c r="O160" s="575"/>
      <c r="P160" s="575"/>
    </row>
    <row r="161" spans="2:3">
      <c r="B161" s="575" t="s">
        <v>698</v>
      </c>
      <c r="C161" s="721">
        <v>50000</v>
      </c>
    </row>
    <row r="162" spans="2:3">
      <c r="B162" s="575" t="s">
        <v>699</v>
      </c>
      <c r="C162" s="721">
        <v>50000</v>
      </c>
    </row>
    <row r="163" spans="2:3">
      <c r="B163" s="575" t="s">
        <v>700</v>
      </c>
      <c r="C163" s="721">
        <v>50000</v>
      </c>
    </row>
    <row r="164" spans="2:3">
      <c r="B164" s="575" t="s">
        <v>701</v>
      </c>
      <c r="C164" s="721">
        <v>200000</v>
      </c>
    </row>
    <row r="165" spans="2:3">
      <c r="B165" s="579" t="s">
        <v>702</v>
      </c>
      <c r="C165" s="749">
        <v>24000</v>
      </c>
    </row>
    <row r="166" spans="2:3">
      <c r="B166" s="579" t="s">
        <v>303</v>
      </c>
      <c r="C166" s="748">
        <f>SUM(C167:C170)</f>
        <v>507000</v>
      </c>
    </row>
    <row r="167" spans="2:3">
      <c r="B167" s="575" t="s">
        <v>703</v>
      </c>
      <c r="C167" s="721">
        <v>300000</v>
      </c>
    </row>
    <row r="168" spans="2:3">
      <c r="B168" s="575" t="s">
        <v>704</v>
      </c>
      <c r="C168" s="721">
        <v>105000</v>
      </c>
    </row>
    <row r="169" spans="2:3">
      <c r="B169" s="575" t="s">
        <v>705</v>
      </c>
      <c r="C169" s="721">
        <v>60000</v>
      </c>
    </row>
    <row r="170" spans="2:3">
      <c r="B170" s="579" t="s">
        <v>706</v>
      </c>
      <c r="C170" s="749">
        <v>42000</v>
      </c>
    </row>
    <row r="171" spans="2:3">
      <c r="B171" s="579" t="s">
        <v>707</v>
      </c>
      <c r="C171" s="748">
        <f>SUM(C172:C174)</f>
        <v>220000</v>
      </c>
    </row>
    <row r="172" spans="2:3">
      <c r="B172" s="575" t="s">
        <v>708</v>
      </c>
      <c r="C172" s="721">
        <v>36000</v>
      </c>
    </row>
    <row r="173" spans="2:3">
      <c r="B173" s="575" t="s">
        <v>709</v>
      </c>
      <c r="C173" s="721">
        <v>84000</v>
      </c>
    </row>
    <row r="174" spans="2:3">
      <c r="B174" s="225" t="s">
        <v>710</v>
      </c>
      <c r="C174" s="350">
        <v>100000</v>
      </c>
    </row>
    <row r="175" spans="2:3">
      <c r="B175" s="225" t="s">
        <v>794</v>
      </c>
      <c r="C175" s="345">
        <f>C155-C156-C157+C158+C160+C166+C171</f>
        <v>2907000</v>
      </c>
    </row>
    <row r="177" spans="2:16">
      <c r="B177" s="709" t="s">
        <v>795</v>
      </c>
      <c r="C177" s="583"/>
      <c r="D177" s="583"/>
      <c r="E177" s="583"/>
      <c r="F177" s="583"/>
      <c r="G177" s="583"/>
      <c r="H177" s="583"/>
      <c r="I177" s="583"/>
      <c r="J177" s="583"/>
      <c r="K177" s="583"/>
      <c r="L177" s="583"/>
      <c r="M177" s="583"/>
      <c r="N177" s="583"/>
      <c r="O177" s="583"/>
      <c r="P177" s="583"/>
    </row>
    <row r="178" spans="2:16">
      <c r="B178" s="750"/>
      <c r="C178" s="750"/>
      <c r="D178" s="750"/>
      <c r="E178" s="750"/>
      <c r="F178" s="750"/>
      <c r="G178" s="750"/>
      <c r="H178" s="750"/>
      <c r="I178" s="750"/>
      <c r="J178" s="750"/>
      <c r="K178" s="750"/>
      <c r="L178" s="750"/>
      <c r="M178" s="750"/>
      <c r="N178" s="750"/>
      <c r="O178" s="750"/>
      <c r="P178" s="750"/>
    </row>
    <row r="179" spans="2:16">
      <c r="B179" s="227" t="s">
        <v>713</v>
      </c>
      <c r="C179" s="227" t="s">
        <v>674</v>
      </c>
      <c r="D179" s="227" t="s">
        <v>209</v>
      </c>
      <c r="E179" s="346">
        <v>46054</v>
      </c>
      <c r="F179" s="346">
        <v>46082</v>
      </c>
      <c r="G179" s="346">
        <v>46113</v>
      </c>
      <c r="H179" s="346">
        <v>46143</v>
      </c>
      <c r="I179" s="346">
        <v>46174</v>
      </c>
      <c r="J179" s="346">
        <v>46204</v>
      </c>
      <c r="K179" s="346">
        <v>46235</v>
      </c>
      <c r="L179" s="346">
        <v>46266</v>
      </c>
      <c r="M179" s="346">
        <v>46296</v>
      </c>
      <c r="N179" s="346">
        <v>46327</v>
      </c>
      <c r="O179" s="346">
        <v>46357</v>
      </c>
      <c r="P179" s="227" t="s">
        <v>16</v>
      </c>
    </row>
    <row r="180" spans="2:16">
      <c r="B180" s="750" t="s">
        <v>714</v>
      </c>
      <c r="C180" s="750" t="s">
        <v>299</v>
      </c>
      <c r="D180" s="714">
        <f>$C$150</f>
        <v>612247701</v>
      </c>
      <c r="E180" s="714">
        <f>$C$151</f>
        <v>744218137</v>
      </c>
      <c r="F180" s="714">
        <f>$C$152</f>
        <v>787041187</v>
      </c>
      <c r="G180" s="714">
        <f>$C$153</f>
        <v>750867662</v>
      </c>
      <c r="H180" s="721">
        <v>0</v>
      </c>
      <c r="I180" s="721">
        <v>0</v>
      </c>
      <c r="J180" s="721">
        <v>0</v>
      </c>
      <c r="K180" s="721">
        <v>0</v>
      </c>
      <c r="L180" s="721">
        <v>0</v>
      </c>
      <c r="M180" s="721">
        <v>0</v>
      </c>
      <c r="N180" s="721">
        <v>0</v>
      </c>
      <c r="O180" s="721">
        <v>0</v>
      </c>
      <c r="P180" s="714">
        <f t="shared" ref="P180:P202" si="10">SUM(D180:O180)</f>
        <v>2894374687</v>
      </c>
    </row>
    <row r="181" spans="2:16">
      <c r="B181" s="228" t="s">
        <v>715</v>
      </c>
      <c r="C181" s="228" t="s">
        <v>716</v>
      </c>
      <c r="D181" s="347">
        <v>0</v>
      </c>
      <c r="E181" s="347">
        <v>0</v>
      </c>
      <c r="F181" s="347">
        <v>0</v>
      </c>
      <c r="G181" s="347">
        <v>0</v>
      </c>
      <c r="H181" s="348">
        <f t="shared" ref="H181:O181" si="11">$C$149</f>
        <v>800000000</v>
      </c>
      <c r="I181" s="348">
        <f t="shared" si="11"/>
        <v>800000000</v>
      </c>
      <c r="J181" s="348">
        <f t="shared" si="11"/>
        <v>800000000</v>
      </c>
      <c r="K181" s="348">
        <f t="shared" si="11"/>
        <v>800000000</v>
      </c>
      <c r="L181" s="348">
        <f t="shared" si="11"/>
        <v>800000000</v>
      </c>
      <c r="M181" s="348">
        <f t="shared" si="11"/>
        <v>800000000</v>
      </c>
      <c r="N181" s="348">
        <f t="shared" si="11"/>
        <v>800000000</v>
      </c>
      <c r="O181" s="348">
        <f t="shared" si="11"/>
        <v>800000000</v>
      </c>
      <c r="P181" s="348">
        <f t="shared" si="10"/>
        <v>6400000000</v>
      </c>
    </row>
    <row r="182" spans="2:16">
      <c r="B182" s="228" t="s">
        <v>301</v>
      </c>
      <c r="C182" s="228" t="s">
        <v>717</v>
      </c>
      <c r="D182" s="348">
        <f t="shared" ref="D182:O182" si="12">SUM(D183:D187)</f>
        <v>0</v>
      </c>
      <c r="E182" s="348">
        <f t="shared" si="12"/>
        <v>0</v>
      </c>
      <c r="F182" s="348">
        <f t="shared" si="12"/>
        <v>0</v>
      </c>
      <c r="G182" s="348">
        <f t="shared" si="12"/>
        <v>0</v>
      </c>
      <c r="H182" s="348">
        <f t="shared" si="12"/>
        <v>61336000</v>
      </c>
      <c r="I182" s="348">
        <f t="shared" si="12"/>
        <v>92004000</v>
      </c>
      <c r="J182" s="348">
        <f t="shared" si="12"/>
        <v>122672000</v>
      </c>
      <c r="K182" s="348">
        <f t="shared" si="12"/>
        <v>153340000</v>
      </c>
      <c r="L182" s="348">
        <f t="shared" si="12"/>
        <v>184008000</v>
      </c>
      <c r="M182" s="348">
        <f t="shared" si="12"/>
        <v>214676000</v>
      </c>
      <c r="N182" s="348">
        <f t="shared" si="12"/>
        <v>245344000</v>
      </c>
      <c r="O182" s="348">
        <f t="shared" si="12"/>
        <v>276012000</v>
      </c>
      <c r="P182" s="348">
        <f t="shared" si="10"/>
        <v>1349392000</v>
      </c>
    </row>
    <row r="183" spans="2:16">
      <c r="B183" s="750" t="s">
        <v>718</v>
      </c>
      <c r="C183" s="750" t="s">
        <v>698</v>
      </c>
      <c r="D183" s="721">
        <v>0</v>
      </c>
      <c r="E183" s="721">
        <v>0</v>
      </c>
      <c r="F183" s="721">
        <v>0</v>
      </c>
      <c r="G183" s="721">
        <v>0</v>
      </c>
      <c r="H183" s="714">
        <f>$C$161*$C$148*2/45</f>
        <v>8200000</v>
      </c>
      <c r="I183" s="714">
        <f>$C$161*$C$148*3/45</f>
        <v>12300000</v>
      </c>
      <c r="J183" s="714">
        <f>$C$161*$C$148*4/45</f>
        <v>16400000</v>
      </c>
      <c r="K183" s="714">
        <f>$C$161*$C$148*5/45</f>
        <v>20500000</v>
      </c>
      <c r="L183" s="714">
        <f>$C$161*$C$148*6/45</f>
        <v>24600000</v>
      </c>
      <c r="M183" s="714">
        <f>$C$161*$C$148*7/45</f>
        <v>28700000</v>
      </c>
      <c r="N183" s="714">
        <f>$C$161*$C$148*8/45</f>
        <v>32800000</v>
      </c>
      <c r="O183" s="714">
        <f>$C$161*$C$148*9/45</f>
        <v>36900000</v>
      </c>
      <c r="P183" s="714">
        <f t="shared" si="10"/>
        <v>180400000</v>
      </c>
    </row>
    <row r="184" spans="2:16">
      <c r="B184" s="750" t="s">
        <v>718</v>
      </c>
      <c r="C184" s="750" t="s">
        <v>699</v>
      </c>
      <c r="D184" s="721">
        <v>0</v>
      </c>
      <c r="E184" s="721">
        <v>0</v>
      </c>
      <c r="F184" s="721">
        <v>0</v>
      </c>
      <c r="G184" s="721">
        <v>0</v>
      </c>
      <c r="H184" s="714">
        <f>$C$162*$C$148*2/45</f>
        <v>8200000</v>
      </c>
      <c r="I184" s="714">
        <f>$C$162*$C$148*3/45</f>
        <v>12300000</v>
      </c>
      <c r="J184" s="714">
        <f>$C$162*$C$148*4/45</f>
        <v>16400000</v>
      </c>
      <c r="K184" s="714">
        <f>$C$162*$C$148*5/45</f>
        <v>20500000</v>
      </c>
      <c r="L184" s="714">
        <f>$C$162*$C$148*6/45</f>
        <v>24600000</v>
      </c>
      <c r="M184" s="714">
        <f>$C$162*$C$148*7/45</f>
        <v>28700000</v>
      </c>
      <c r="N184" s="714">
        <f>$C$162*$C$148*8/45</f>
        <v>32800000</v>
      </c>
      <c r="O184" s="714">
        <f>$C$162*$C$148*9/45</f>
        <v>36900000</v>
      </c>
      <c r="P184" s="714">
        <f t="shared" si="10"/>
        <v>180400000</v>
      </c>
    </row>
    <row r="185" spans="2:16">
      <c r="B185" s="750" t="s">
        <v>718</v>
      </c>
      <c r="C185" s="750" t="s">
        <v>700</v>
      </c>
      <c r="D185" s="721">
        <v>0</v>
      </c>
      <c r="E185" s="721">
        <v>0</v>
      </c>
      <c r="F185" s="721">
        <v>0</v>
      </c>
      <c r="G185" s="721">
        <v>0</v>
      </c>
      <c r="H185" s="714">
        <f>$C$163*$C$148*2/45</f>
        <v>8200000</v>
      </c>
      <c r="I185" s="714">
        <f>$C$163*$C$148*3/45</f>
        <v>12300000</v>
      </c>
      <c r="J185" s="714">
        <f>$C$163*$C$148*4/45</f>
        <v>16400000</v>
      </c>
      <c r="K185" s="714">
        <f>$C$163*$C$148*5/45</f>
        <v>20500000</v>
      </c>
      <c r="L185" s="714">
        <f>$C$163*$C$148*6/45</f>
        <v>24600000</v>
      </c>
      <c r="M185" s="714">
        <f>$C$163*$C$148*7/45</f>
        <v>28700000</v>
      </c>
      <c r="N185" s="714">
        <f>$C$163*$C$148*8/45</f>
        <v>32800000</v>
      </c>
      <c r="O185" s="714">
        <f>$C$163*$C$148*9/45</f>
        <v>36900000</v>
      </c>
      <c r="P185" s="714">
        <f t="shared" si="10"/>
        <v>180400000</v>
      </c>
    </row>
    <row r="186" spans="2:16">
      <c r="B186" s="750" t="s">
        <v>718</v>
      </c>
      <c r="C186" s="750" t="s">
        <v>701</v>
      </c>
      <c r="D186" s="721">
        <v>0</v>
      </c>
      <c r="E186" s="721">
        <v>0</v>
      </c>
      <c r="F186" s="721">
        <v>0</v>
      </c>
      <c r="G186" s="721">
        <v>0</v>
      </c>
      <c r="H186" s="714">
        <f>$C$164*$C$148*2/45</f>
        <v>32800000</v>
      </c>
      <c r="I186" s="714">
        <f>$C$164*$C$148*3/45</f>
        <v>49200000</v>
      </c>
      <c r="J186" s="714">
        <f>$C$164*$C$148*4/45</f>
        <v>65600000</v>
      </c>
      <c r="K186" s="714">
        <f>$C$164*$C$148*5/45</f>
        <v>82000000</v>
      </c>
      <c r="L186" s="714">
        <f>$C$164*$C$148*6/45</f>
        <v>98400000</v>
      </c>
      <c r="M186" s="714">
        <f>$C$164*$C$148*7/45</f>
        <v>114800000</v>
      </c>
      <c r="N186" s="714">
        <f>$C$164*$C$148*8/45</f>
        <v>131200000</v>
      </c>
      <c r="O186" s="714">
        <f>$C$164*$C$148*9/45</f>
        <v>147600000</v>
      </c>
      <c r="P186" s="714">
        <f t="shared" si="10"/>
        <v>721600000</v>
      </c>
    </row>
    <row r="187" spans="2:16">
      <c r="B187" s="750" t="s">
        <v>718</v>
      </c>
      <c r="C187" s="750" t="s">
        <v>702</v>
      </c>
      <c r="D187" s="721">
        <v>0</v>
      </c>
      <c r="E187" s="721">
        <v>0</v>
      </c>
      <c r="F187" s="721">
        <v>0</v>
      </c>
      <c r="G187" s="721">
        <v>0</v>
      </c>
      <c r="H187" s="714">
        <f>$C$165*$C$148*2/45</f>
        <v>3936000</v>
      </c>
      <c r="I187" s="714">
        <f>$C$165*$C$148*3/45</f>
        <v>5904000</v>
      </c>
      <c r="J187" s="714">
        <f>$C$165*$C$148*4/45</f>
        <v>7872000</v>
      </c>
      <c r="K187" s="714">
        <f>$C$165*$C$148*5/45</f>
        <v>9840000</v>
      </c>
      <c r="L187" s="714">
        <f>$C$165*$C$148*6/45</f>
        <v>11808000</v>
      </c>
      <c r="M187" s="714">
        <f>$C$165*$C$148*7/45</f>
        <v>13776000</v>
      </c>
      <c r="N187" s="714">
        <f>$C$165*$C$148*8/45</f>
        <v>15744000</v>
      </c>
      <c r="O187" s="714">
        <f>$C$165*$C$148*9/45</f>
        <v>17712000</v>
      </c>
      <c r="P187" s="714">
        <f t="shared" si="10"/>
        <v>86592000</v>
      </c>
    </row>
    <row r="188" spans="2:16">
      <c r="B188" s="750" t="s">
        <v>719</v>
      </c>
      <c r="C188" s="750" t="s">
        <v>697</v>
      </c>
      <c r="D188" s="721">
        <v>0</v>
      </c>
      <c r="E188" s="721">
        <v>0</v>
      </c>
      <c r="F188" s="721">
        <v>0</v>
      </c>
      <c r="G188" s="721">
        <v>0</v>
      </c>
      <c r="H188" s="714">
        <f>$C$158*$C$148*2/45</f>
        <v>10332000</v>
      </c>
      <c r="I188" s="714">
        <f>$C$158*$C$148*3/45</f>
        <v>15498000</v>
      </c>
      <c r="J188" s="714">
        <f>$C$158*$C$148*4/45</f>
        <v>20664000</v>
      </c>
      <c r="K188" s="714">
        <f>$C$158*$C$148*5/45</f>
        <v>25830000</v>
      </c>
      <c r="L188" s="714">
        <f>$C$158*$C$148*6/45</f>
        <v>30996000</v>
      </c>
      <c r="M188" s="714">
        <f>$C$158*$C$148*7/45</f>
        <v>36162000</v>
      </c>
      <c r="N188" s="714">
        <f>$C$158*$C$148*8/45</f>
        <v>41328000</v>
      </c>
      <c r="O188" s="714">
        <f>$C$158*$C$148*9/45</f>
        <v>46494000</v>
      </c>
      <c r="P188" s="714">
        <f t="shared" si="10"/>
        <v>227304000</v>
      </c>
    </row>
    <row r="189" spans="2:16">
      <c r="B189" s="228" t="s">
        <v>303</v>
      </c>
      <c r="C189" s="228" t="s">
        <v>720</v>
      </c>
      <c r="D189" s="348">
        <f t="shared" ref="D189:O189" si="13">SUM(D190:D193)</f>
        <v>0</v>
      </c>
      <c r="E189" s="348">
        <f t="shared" si="13"/>
        <v>0</v>
      </c>
      <c r="F189" s="348">
        <f t="shared" si="13"/>
        <v>0</v>
      </c>
      <c r="G189" s="348">
        <f t="shared" si="13"/>
        <v>0</v>
      </c>
      <c r="H189" s="348">
        <f t="shared" si="13"/>
        <v>0</v>
      </c>
      <c r="I189" s="348">
        <f t="shared" si="13"/>
        <v>66815357.142857142</v>
      </c>
      <c r="J189" s="348">
        <f t="shared" si="13"/>
        <v>133630714.28571428</v>
      </c>
      <c r="K189" s="348">
        <f t="shared" si="13"/>
        <v>200446071.42857143</v>
      </c>
      <c r="L189" s="348">
        <f t="shared" si="13"/>
        <v>267261428.57142857</v>
      </c>
      <c r="M189" s="348">
        <f t="shared" si="13"/>
        <v>334076785.71428573</v>
      </c>
      <c r="N189" s="348">
        <f t="shared" si="13"/>
        <v>400892142.85714287</v>
      </c>
      <c r="O189" s="348">
        <f t="shared" si="13"/>
        <v>467707500</v>
      </c>
      <c r="P189" s="348">
        <f t="shared" si="10"/>
        <v>1870830000</v>
      </c>
    </row>
    <row r="190" spans="2:16">
      <c r="B190" s="750" t="s">
        <v>303</v>
      </c>
      <c r="C190" s="750" t="s">
        <v>703</v>
      </c>
      <c r="D190" s="721">
        <v>0</v>
      </c>
      <c r="E190" s="721">
        <v>0</v>
      </c>
      <c r="F190" s="721">
        <v>0</v>
      </c>
      <c r="G190" s="721">
        <v>0</v>
      </c>
      <c r="H190" s="721">
        <v>0</v>
      </c>
      <c r="I190" s="714">
        <f>$C$167*$C$148*1/28</f>
        <v>39535714.285714284</v>
      </c>
      <c r="J190" s="714">
        <f>$C$167*$C$148*2/28</f>
        <v>79071428.571428567</v>
      </c>
      <c r="K190" s="714">
        <f>$C$167*$C$148*3/28</f>
        <v>118607142.85714285</v>
      </c>
      <c r="L190" s="714">
        <f>$C$167*$C$148*4/28</f>
        <v>158142857.14285713</v>
      </c>
      <c r="M190" s="714">
        <f>$C$167*$C$148*5/28</f>
        <v>197678571.42857143</v>
      </c>
      <c r="N190" s="714">
        <f>$C$167*$C$148*6/28</f>
        <v>237214285.7142857</v>
      </c>
      <c r="O190" s="714">
        <f>$C$167*$C$148*7/28</f>
        <v>276750000</v>
      </c>
      <c r="P190" s="714">
        <f t="shared" si="10"/>
        <v>1107000000</v>
      </c>
    </row>
    <row r="191" spans="2:16">
      <c r="B191" s="750" t="s">
        <v>303</v>
      </c>
      <c r="C191" s="750" t="s">
        <v>704</v>
      </c>
      <c r="D191" s="721">
        <v>0</v>
      </c>
      <c r="E191" s="721">
        <v>0</v>
      </c>
      <c r="F191" s="721">
        <v>0</v>
      </c>
      <c r="G191" s="721">
        <v>0</v>
      </c>
      <c r="H191" s="721">
        <v>0</v>
      </c>
      <c r="I191" s="714">
        <f>$C$168*$C$148*1/28</f>
        <v>13837500</v>
      </c>
      <c r="J191" s="714">
        <f>$C$168*$C$148*2/28</f>
        <v>27675000</v>
      </c>
      <c r="K191" s="714">
        <f>$C$168*$C$148*3/28</f>
        <v>41512500</v>
      </c>
      <c r="L191" s="714">
        <f>$C$168*$C$148*4/28</f>
        <v>55350000</v>
      </c>
      <c r="M191" s="714">
        <f>$C$168*$C$148*5/28</f>
        <v>69187500</v>
      </c>
      <c r="N191" s="714">
        <f>$C$168*$C$148*6/28</f>
        <v>83025000</v>
      </c>
      <c r="O191" s="714">
        <f>$C$168*$C$148*7/28</f>
        <v>96862500</v>
      </c>
      <c r="P191" s="714">
        <f t="shared" si="10"/>
        <v>387450000</v>
      </c>
    </row>
    <row r="192" spans="2:16">
      <c r="B192" s="750" t="s">
        <v>303</v>
      </c>
      <c r="C192" s="750" t="s">
        <v>705</v>
      </c>
      <c r="D192" s="721">
        <v>0</v>
      </c>
      <c r="E192" s="721">
        <v>0</v>
      </c>
      <c r="F192" s="721">
        <v>0</v>
      </c>
      <c r="G192" s="721">
        <v>0</v>
      </c>
      <c r="H192" s="721">
        <v>0</v>
      </c>
      <c r="I192" s="714">
        <f>$C$169*$C$148*1/28</f>
        <v>7907142.8571428573</v>
      </c>
      <c r="J192" s="714">
        <f>$C$169*$C$148*2/28</f>
        <v>15814285.714285715</v>
      </c>
      <c r="K192" s="714">
        <f>$C$169*$C$148*3/28</f>
        <v>23721428.571428571</v>
      </c>
      <c r="L192" s="714">
        <f>$C$169*$C$148*4/28</f>
        <v>31628571.428571429</v>
      </c>
      <c r="M192" s="714">
        <f>$C$169*$C$148*5/28</f>
        <v>39535714.285714284</v>
      </c>
      <c r="N192" s="714">
        <f>$C$169*$C$148*6/28</f>
        <v>47442857.142857142</v>
      </c>
      <c r="O192" s="714">
        <f>$C$169*$C$148*7/28</f>
        <v>55350000</v>
      </c>
      <c r="P192" s="714">
        <f t="shared" si="10"/>
        <v>221400000</v>
      </c>
    </row>
    <row r="193" spans="2:16">
      <c r="B193" s="750" t="s">
        <v>303</v>
      </c>
      <c r="C193" s="750" t="s">
        <v>706</v>
      </c>
      <c r="D193" s="721">
        <v>0</v>
      </c>
      <c r="E193" s="721">
        <v>0</v>
      </c>
      <c r="F193" s="721">
        <v>0</v>
      </c>
      <c r="G193" s="721">
        <v>0</v>
      </c>
      <c r="H193" s="721">
        <v>0</v>
      </c>
      <c r="I193" s="714">
        <f>$C$170*$C$148*1/28</f>
        <v>5535000</v>
      </c>
      <c r="J193" s="714">
        <f>$C$170*$C$148*2/28</f>
        <v>11070000</v>
      </c>
      <c r="K193" s="714">
        <f>$C$170*$C$148*3/28</f>
        <v>16605000</v>
      </c>
      <c r="L193" s="714">
        <f>$C$170*$C$148*4/28</f>
        <v>22140000</v>
      </c>
      <c r="M193" s="714">
        <f>$C$170*$C$148*5/28</f>
        <v>27675000</v>
      </c>
      <c r="N193" s="714">
        <f>$C$170*$C$148*6/28</f>
        <v>33210000</v>
      </c>
      <c r="O193" s="714">
        <f>$C$170*$C$148*7/28</f>
        <v>38745000</v>
      </c>
      <c r="P193" s="714">
        <f t="shared" si="10"/>
        <v>154980000</v>
      </c>
    </row>
    <row r="194" spans="2:16">
      <c r="B194" s="228" t="s">
        <v>707</v>
      </c>
      <c r="C194" s="228" t="s">
        <v>721</v>
      </c>
      <c r="D194" s="348">
        <f t="shared" ref="D194:O194" si="14">SUM(D195:D197)</f>
        <v>0</v>
      </c>
      <c r="E194" s="348">
        <f t="shared" si="14"/>
        <v>0</v>
      </c>
      <c r="F194" s="348">
        <f t="shared" si="14"/>
        <v>0</v>
      </c>
      <c r="G194" s="348">
        <f t="shared" si="14"/>
        <v>0</v>
      </c>
      <c r="H194" s="348">
        <f t="shared" si="14"/>
        <v>36080000</v>
      </c>
      <c r="I194" s="348">
        <f t="shared" si="14"/>
        <v>54120000</v>
      </c>
      <c r="J194" s="348">
        <f t="shared" si="14"/>
        <v>72160000</v>
      </c>
      <c r="K194" s="348">
        <f t="shared" si="14"/>
        <v>90200000</v>
      </c>
      <c r="L194" s="348">
        <f t="shared" si="14"/>
        <v>108240000</v>
      </c>
      <c r="M194" s="348">
        <f t="shared" si="14"/>
        <v>126280000</v>
      </c>
      <c r="N194" s="348">
        <f t="shared" si="14"/>
        <v>144320000</v>
      </c>
      <c r="O194" s="348">
        <f t="shared" si="14"/>
        <v>162360000</v>
      </c>
      <c r="P194" s="348">
        <f t="shared" si="10"/>
        <v>793760000</v>
      </c>
    </row>
    <row r="195" spans="2:16">
      <c r="B195" s="750" t="s">
        <v>722</v>
      </c>
      <c r="C195" s="750" t="s">
        <v>708</v>
      </c>
      <c r="D195" s="721">
        <v>0</v>
      </c>
      <c r="E195" s="721">
        <v>0</v>
      </c>
      <c r="F195" s="721">
        <v>0</v>
      </c>
      <c r="G195" s="721">
        <v>0</v>
      </c>
      <c r="H195" s="714">
        <f>$C$172*$C$148*2/45</f>
        <v>5904000</v>
      </c>
      <c r="I195" s="714">
        <f>$C$172*$C$148*3/45</f>
        <v>8856000</v>
      </c>
      <c r="J195" s="714">
        <f>$C$172*$C$148*4/45</f>
        <v>11808000</v>
      </c>
      <c r="K195" s="714">
        <f>$C$172*$C$148*5/45</f>
        <v>14760000</v>
      </c>
      <c r="L195" s="714">
        <f>$C$172*$C$148*6/45</f>
        <v>17712000</v>
      </c>
      <c r="M195" s="714">
        <f>$C$172*$C$148*7/45</f>
        <v>20664000</v>
      </c>
      <c r="N195" s="714">
        <f>$C$172*$C$148*8/45</f>
        <v>23616000</v>
      </c>
      <c r="O195" s="714">
        <f>$C$172*$C$148*9/45</f>
        <v>26568000</v>
      </c>
      <c r="P195" s="714">
        <f t="shared" si="10"/>
        <v>129888000</v>
      </c>
    </row>
    <row r="196" spans="2:16">
      <c r="B196" s="750" t="s">
        <v>722</v>
      </c>
      <c r="C196" s="750" t="s">
        <v>709</v>
      </c>
      <c r="D196" s="721">
        <v>0</v>
      </c>
      <c r="E196" s="721">
        <v>0</v>
      </c>
      <c r="F196" s="721">
        <v>0</v>
      </c>
      <c r="G196" s="721">
        <v>0</v>
      </c>
      <c r="H196" s="714">
        <f>$C$173*$C$148*2/45</f>
        <v>13776000</v>
      </c>
      <c r="I196" s="714">
        <f>$C$173*$C$148*3/45</f>
        <v>20664000</v>
      </c>
      <c r="J196" s="714">
        <f>$C$173*$C$148*4/45</f>
        <v>27552000</v>
      </c>
      <c r="K196" s="714">
        <f>$C$173*$C$148*5/45</f>
        <v>34440000</v>
      </c>
      <c r="L196" s="714">
        <f>$C$173*$C$148*6/45</f>
        <v>41328000</v>
      </c>
      <c r="M196" s="714">
        <f>$C$173*$C$148*7/45</f>
        <v>48216000</v>
      </c>
      <c r="N196" s="714">
        <f>$C$173*$C$148*8/45</f>
        <v>55104000</v>
      </c>
      <c r="O196" s="714">
        <f>$C$173*$C$148*9/45</f>
        <v>61992000</v>
      </c>
      <c r="P196" s="714">
        <f t="shared" si="10"/>
        <v>303072000</v>
      </c>
    </row>
    <row r="197" spans="2:16">
      <c r="B197" s="750" t="s">
        <v>722</v>
      </c>
      <c r="C197" s="750" t="s">
        <v>710</v>
      </c>
      <c r="D197" s="721">
        <v>0</v>
      </c>
      <c r="E197" s="721">
        <v>0</v>
      </c>
      <c r="F197" s="721">
        <v>0</v>
      </c>
      <c r="G197" s="721">
        <v>0</v>
      </c>
      <c r="H197" s="714">
        <f>$C$174*$C$148*2/45</f>
        <v>16400000</v>
      </c>
      <c r="I197" s="714">
        <f>$C$174*$C$148*3/45</f>
        <v>24600000</v>
      </c>
      <c r="J197" s="714">
        <f>$C$174*$C$148*4/45</f>
        <v>32800000</v>
      </c>
      <c r="K197" s="714">
        <f>$C$174*$C$148*5/45</f>
        <v>41000000</v>
      </c>
      <c r="L197" s="714">
        <f>$C$174*$C$148*6/45</f>
        <v>49200000</v>
      </c>
      <c r="M197" s="714">
        <f>$C$174*$C$148*7/45</f>
        <v>57400000</v>
      </c>
      <c r="N197" s="714">
        <f>$C$174*$C$148*8/45</f>
        <v>65600000</v>
      </c>
      <c r="O197" s="714">
        <f>$C$174*$C$148*9/45</f>
        <v>73800000</v>
      </c>
      <c r="P197" s="714">
        <f t="shared" si="10"/>
        <v>360800000</v>
      </c>
    </row>
    <row r="198" spans="2:16">
      <c r="B198" s="228" t="s">
        <v>776</v>
      </c>
      <c r="C198" s="228" t="s">
        <v>796</v>
      </c>
      <c r="D198" s="348">
        <f t="shared" ref="D198:O198" si="15">D112</f>
        <v>0</v>
      </c>
      <c r="E198" s="348">
        <f t="shared" si="15"/>
        <v>0</v>
      </c>
      <c r="F198" s="348">
        <f t="shared" si="15"/>
        <v>0</v>
      </c>
      <c r="G198" s="348">
        <f t="shared" si="15"/>
        <v>0</v>
      </c>
      <c r="H198" s="348">
        <f t="shared" si="15"/>
        <v>0</v>
      </c>
      <c r="I198" s="348">
        <f t="shared" si="15"/>
        <v>15376230</v>
      </c>
      <c r="J198" s="348">
        <f t="shared" si="15"/>
        <v>15376230</v>
      </c>
      <c r="K198" s="348">
        <f t="shared" si="15"/>
        <v>450180000</v>
      </c>
      <c r="L198" s="348">
        <f t="shared" si="15"/>
        <v>450180000</v>
      </c>
      <c r="M198" s="348">
        <f t="shared" si="15"/>
        <v>450180000</v>
      </c>
      <c r="N198" s="348">
        <f t="shared" si="15"/>
        <v>450180000</v>
      </c>
      <c r="O198" s="348">
        <f t="shared" si="15"/>
        <v>450180000</v>
      </c>
      <c r="P198" s="348">
        <f t="shared" si="10"/>
        <v>2281652460</v>
      </c>
    </row>
    <row r="199" spans="2:16">
      <c r="B199" s="228" t="s">
        <v>776</v>
      </c>
      <c r="C199" s="228" t="s">
        <v>797</v>
      </c>
      <c r="D199" s="348">
        <f t="shared" ref="D199:O199" si="16">D113</f>
        <v>0</v>
      </c>
      <c r="E199" s="348">
        <f t="shared" si="16"/>
        <v>0</v>
      </c>
      <c r="F199" s="348">
        <f t="shared" si="16"/>
        <v>0</v>
      </c>
      <c r="G199" s="348">
        <f t="shared" si="16"/>
        <v>0</v>
      </c>
      <c r="H199" s="348">
        <f t="shared" si="16"/>
        <v>479700000</v>
      </c>
      <c r="I199" s="348">
        <f t="shared" si="16"/>
        <v>0</v>
      </c>
      <c r="J199" s="348">
        <f t="shared" si="16"/>
        <v>0</v>
      </c>
      <c r="K199" s="348">
        <f t="shared" si="16"/>
        <v>0</v>
      </c>
      <c r="L199" s="348">
        <f t="shared" si="16"/>
        <v>0</v>
      </c>
      <c r="M199" s="348">
        <f t="shared" si="16"/>
        <v>0</v>
      </c>
      <c r="N199" s="348">
        <f t="shared" si="16"/>
        <v>0</v>
      </c>
      <c r="O199" s="348">
        <f t="shared" si="16"/>
        <v>0</v>
      </c>
      <c r="P199" s="348">
        <f t="shared" si="10"/>
        <v>479700000</v>
      </c>
    </row>
    <row r="200" spans="2:16">
      <c r="B200" s="750" t="s">
        <v>724</v>
      </c>
      <c r="C200" s="750" t="s">
        <v>307</v>
      </c>
      <c r="D200" s="721">
        <v>0</v>
      </c>
      <c r="E200" s="721">
        <v>0</v>
      </c>
      <c r="F200" s="721">
        <v>0</v>
      </c>
      <c r="G200" s="721">
        <v>0</v>
      </c>
      <c r="H200" s="714">
        <f>-$C$156*$C$148*2/45</f>
        <v>-51660000</v>
      </c>
      <c r="I200" s="714">
        <f>-$C$156*$C$148*3/45</f>
        <v>-77490000</v>
      </c>
      <c r="J200" s="714">
        <f>-$C$156*$C$148*4/45</f>
        <v>-103320000</v>
      </c>
      <c r="K200" s="714">
        <f>-$C$156*$C$148*5/45</f>
        <v>-129150000</v>
      </c>
      <c r="L200" s="714">
        <f>-$C$156*$C$148*6/45</f>
        <v>-154980000</v>
      </c>
      <c r="M200" s="714">
        <f>-$C$156*$C$148*7/45</f>
        <v>-180810000</v>
      </c>
      <c r="N200" s="714">
        <f>-$C$156*$C$148*8/45</f>
        <v>-206640000</v>
      </c>
      <c r="O200" s="714">
        <f>-$C$156*$C$148*9/45</f>
        <v>-232470000</v>
      </c>
      <c r="P200" s="714">
        <f t="shared" si="10"/>
        <v>-1136520000</v>
      </c>
    </row>
    <row r="201" spans="2:16">
      <c r="B201" s="750" t="s">
        <v>724</v>
      </c>
      <c r="C201" s="750" t="s">
        <v>308</v>
      </c>
      <c r="D201" s="721">
        <v>0</v>
      </c>
      <c r="E201" s="721">
        <v>0</v>
      </c>
      <c r="F201" s="721">
        <v>0</v>
      </c>
      <c r="G201" s="721">
        <v>0</v>
      </c>
      <c r="H201" s="714">
        <f>-$C$157*$C$148*2/45</f>
        <v>-6888000</v>
      </c>
      <c r="I201" s="714">
        <f>-$C$157*$C$148*3/45</f>
        <v>-10332000</v>
      </c>
      <c r="J201" s="714">
        <f>-$C$157*$C$148*4/45</f>
        <v>-13776000</v>
      </c>
      <c r="K201" s="714">
        <f>-$C$157*$C$148*5/45</f>
        <v>-17220000</v>
      </c>
      <c r="L201" s="714">
        <f>-$C$157*$C$148*6/45</f>
        <v>-20664000</v>
      </c>
      <c r="M201" s="714">
        <f>-$C$157*$C$148*7/45</f>
        <v>-24108000</v>
      </c>
      <c r="N201" s="714">
        <f>-$C$157*$C$148*8/45</f>
        <v>-27552000</v>
      </c>
      <c r="O201" s="714">
        <f>-$C$157*$C$148*9/45</f>
        <v>-30996000</v>
      </c>
      <c r="P201" s="714">
        <f t="shared" si="10"/>
        <v>-151536000</v>
      </c>
    </row>
    <row r="202" spans="2:16">
      <c r="B202" s="490" t="s">
        <v>725</v>
      </c>
      <c r="C202" s="490" t="s">
        <v>726</v>
      </c>
      <c r="D202" s="489">
        <f t="shared" ref="D202:O202" si="17">D180+D181+D182+D188+D189+D194+D198+D199+D200+D201</f>
        <v>612247701</v>
      </c>
      <c r="E202" s="489">
        <f t="shared" si="17"/>
        <v>744218137</v>
      </c>
      <c r="F202" s="489">
        <f t="shared" si="17"/>
        <v>787041187</v>
      </c>
      <c r="G202" s="489">
        <f t="shared" si="17"/>
        <v>750867662</v>
      </c>
      <c r="H202" s="489">
        <f t="shared" si="17"/>
        <v>1328900000</v>
      </c>
      <c r="I202" s="489">
        <f t="shared" si="17"/>
        <v>955991587.14285719</v>
      </c>
      <c r="J202" s="489">
        <f t="shared" si="17"/>
        <v>1047406944.2857144</v>
      </c>
      <c r="K202" s="489">
        <f t="shared" si="17"/>
        <v>1573626071.4285715</v>
      </c>
      <c r="L202" s="489">
        <f t="shared" si="17"/>
        <v>1665041428.5714285</v>
      </c>
      <c r="M202" s="489">
        <f t="shared" si="17"/>
        <v>1756456785.7142859</v>
      </c>
      <c r="N202" s="489">
        <f t="shared" si="17"/>
        <v>1847872142.8571429</v>
      </c>
      <c r="O202" s="489">
        <f t="shared" si="17"/>
        <v>1939287500</v>
      </c>
      <c r="P202" s="489">
        <f t="shared" si="10"/>
        <v>15008957147</v>
      </c>
    </row>
    <row r="203" spans="2:16">
      <c r="B203" s="750"/>
      <c r="C203" s="750"/>
      <c r="D203" s="750"/>
      <c r="E203" s="750"/>
      <c r="F203" s="750"/>
      <c r="G203" s="750"/>
      <c r="H203" s="750"/>
      <c r="I203" s="750"/>
      <c r="J203" s="750"/>
      <c r="K203" s="750"/>
      <c r="L203" s="750"/>
      <c r="M203" s="750"/>
      <c r="N203" s="750"/>
      <c r="O203" s="750"/>
      <c r="P203" s="750"/>
    </row>
    <row r="204" spans="2:16">
      <c r="B204" s="709" t="s">
        <v>798</v>
      </c>
      <c r="C204" s="583"/>
      <c r="D204" s="583"/>
      <c r="E204" s="583"/>
      <c r="F204" s="583"/>
      <c r="G204" s="583"/>
      <c r="H204" s="583"/>
      <c r="I204" s="583"/>
      <c r="J204" s="583"/>
      <c r="K204" s="583"/>
      <c r="L204" s="583"/>
      <c r="M204" s="583"/>
      <c r="N204" s="583"/>
      <c r="O204" s="583"/>
      <c r="P204" s="583"/>
    </row>
    <row r="205" spans="2:16">
      <c r="B205" s="226" t="s">
        <v>713</v>
      </c>
      <c r="C205" s="226" t="s">
        <v>674</v>
      </c>
      <c r="D205" s="227" t="s">
        <v>209</v>
      </c>
      <c r="E205" s="346">
        <v>46054</v>
      </c>
      <c r="F205" s="346">
        <v>46082</v>
      </c>
      <c r="G205" s="346">
        <v>46113</v>
      </c>
      <c r="H205" s="346">
        <v>46143</v>
      </c>
      <c r="I205" s="346">
        <v>46174</v>
      </c>
      <c r="J205" s="346">
        <v>46204</v>
      </c>
      <c r="K205" s="346">
        <v>46235</v>
      </c>
      <c r="L205" s="346">
        <v>46266</v>
      </c>
      <c r="M205" s="346">
        <v>46296</v>
      </c>
      <c r="N205" s="346">
        <v>46327</v>
      </c>
      <c r="O205" s="346">
        <v>46357</v>
      </c>
      <c r="P205" s="227" t="s">
        <v>16</v>
      </c>
    </row>
    <row r="206" spans="2:16">
      <c r="B206" s="750" t="str">
        <f t="shared" ref="B206:C228" si="18">B180</f>
        <v>Actual</v>
      </c>
      <c r="C206" s="750" t="str">
        <f t="shared" si="18"/>
        <v>Ingresos reales reportados</v>
      </c>
      <c r="D206" s="612">
        <f t="shared" ref="D206:P206" si="19">D180/$C$148</f>
        <v>165920.7861788618</v>
      </c>
      <c r="E206" s="612">
        <f t="shared" si="19"/>
        <v>201685.13197831978</v>
      </c>
      <c r="F206" s="612">
        <f t="shared" si="19"/>
        <v>213290.2945799458</v>
      </c>
      <c r="G206" s="612">
        <f t="shared" si="19"/>
        <v>203487.17127371274</v>
      </c>
      <c r="H206" s="612">
        <f t="shared" si="19"/>
        <v>0</v>
      </c>
      <c r="I206" s="612">
        <f t="shared" si="19"/>
        <v>0</v>
      </c>
      <c r="J206" s="612">
        <f t="shared" si="19"/>
        <v>0</v>
      </c>
      <c r="K206" s="612">
        <f t="shared" si="19"/>
        <v>0</v>
      </c>
      <c r="L206" s="612">
        <f t="shared" si="19"/>
        <v>0</v>
      </c>
      <c r="M206" s="612">
        <f t="shared" si="19"/>
        <v>0</v>
      </c>
      <c r="N206" s="612">
        <f t="shared" si="19"/>
        <v>0</v>
      </c>
      <c r="O206" s="612">
        <f t="shared" si="19"/>
        <v>0</v>
      </c>
      <c r="P206" s="612">
        <f t="shared" si="19"/>
        <v>784383.38401084009</v>
      </c>
    </row>
    <row r="207" spans="2:16">
      <c r="B207" s="228" t="str">
        <f t="shared" si="18"/>
        <v>Base recurrente</v>
      </c>
      <c r="C207" s="228" t="str">
        <f t="shared" si="18"/>
        <v>MRR base (800M plano Abr-Dic)</v>
      </c>
      <c r="D207" s="351">
        <f t="shared" ref="D207:P207" si="20">D181/$C$148</f>
        <v>0</v>
      </c>
      <c r="E207" s="351">
        <f t="shared" si="20"/>
        <v>0</v>
      </c>
      <c r="F207" s="351">
        <f t="shared" si="20"/>
        <v>0</v>
      </c>
      <c r="G207" s="351">
        <f t="shared" si="20"/>
        <v>0</v>
      </c>
      <c r="H207" s="351">
        <f t="shared" si="20"/>
        <v>216802.16802168021</v>
      </c>
      <c r="I207" s="351">
        <f t="shared" si="20"/>
        <v>216802.16802168021</v>
      </c>
      <c r="J207" s="351">
        <f t="shared" si="20"/>
        <v>216802.16802168021</v>
      </c>
      <c r="K207" s="351">
        <f t="shared" si="20"/>
        <v>216802.16802168021</v>
      </c>
      <c r="L207" s="351">
        <f t="shared" si="20"/>
        <v>216802.16802168021</v>
      </c>
      <c r="M207" s="351">
        <f t="shared" si="20"/>
        <v>216802.16802168021</v>
      </c>
      <c r="N207" s="351">
        <f t="shared" si="20"/>
        <v>216802.16802168021</v>
      </c>
      <c r="O207" s="351">
        <f t="shared" si="20"/>
        <v>216802.16802168021</v>
      </c>
      <c r="P207" s="351">
        <f t="shared" si="20"/>
        <v>1734417.3441734416</v>
      </c>
    </row>
    <row r="208" spans="2:16">
      <c r="B208" s="228" t="str">
        <f t="shared" si="18"/>
        <v>Logos nuevos (MRR)</v>
      </c>
      <c r="C208" s="228" t="str">
        <f t="shared" si="18"/>
        <v>Subtotal logos nuevos</v>
      </c>
      <c r="D208" s="351">
        <f t="shared" ref="D208:P208" si="21">D182/$C$148</f>
        <v>0</v>
      </c>
      <c r="E208" s="351">
        <f t="shared" si="21"/>
        <v>0</v>
      </c>
      <c r="F208" s="351">
        <f t="shared" si="21"/>
        <v>0</v>
      </c>
      <c r="G208" s="351">
        <f t="shared" si="21"/>
        <v>0</v>
      </c>
      <c r="H208" s="351">
        <f t="shared" si="21"/>
        <v>16622.222222222223</v>
      </c>
      <c r="I208" s="351">
        <f t="shared" si="21"/>
        <v>24933.333333333332</v>
      </c>
      <c r="J208" s="351">
        <f t="shared" si="21"/>
        <v>33244.444444444445</v>
      </c>
      <c r="K208" s="351">
        <f t="shared" si="21"/>
        <v>41555.555555555555</v>
      </c>
      <c r="L208" s="351">
        <f t="shared" si="21"/>
        <v>49866.666666666664</v>
      </c>
      <c r="M208" s="351">
        <f t="shared" si="21"/>
        <v>58177.777777777781</v>
      </c>
      <c r="N208" s="351">
        <f t="shared" si="21"/>
        <v>66488.888888888891</v>
      </c>
      <c r="O208" s="351">
        <f t="shared" si="21"/>
        <v>74800</v>
      </c>
      <c r="P208" s="351">
        <f t="shared" si="21"/>
        <v>365688.88888888888</v>
      </c>
    </row>
    <row r="209" spans="2:16">
      <c r="B209" s="750" t="str">
        <f t="shared" si="18"/>
        <v>Logos nuevos</v>
      </c>
      <c r="C209" s="750" t="str">
        <f t="shared" si="18"/>
        <v xml:space="preserve">   Siesa</v>
      </c>
      <c r="D209" s="612">
        <f t="shared" ref="D209:P209" si="22">D183/$C$148</f>
        <v>0</v>
      </c>
      <c r="E209" s="612">
        <f t="shared" si="22"/>
        <v>0</v>
      </c>
      <c r="F209" s="612">
        <f t="shared" si="22"/>
        <v>0</v>
      </c>
      <c r="G209" s="612">
        <f t="shared" si="22"/>
        <v>0</v>
      </c>
      <c r="H209" s="612">
        <f t="shared" si="22"/>
        <v>2222.2222222222222</v>
      </c>
      <c r="I209" s="612">
        <f t="shared" si="22"/>
        <v>3333.3333333333335</v>
      </c>
      <c r="J209" s="612">
        <f t="shared" si="22"/>
        <v>4444.4444444444443</v>
      </c>
      <c r="K209" s="612">
        <f t="shared" si="22"/>
        <v>5555.5555555555557</v>
      </c>
      <c r="L209" s="612">
        <f t="shared" si="22"/>
        <v>6666.666666666667</v>
      </c>
      <c r="M209" s="612">
        <f t="shared" si="22"/>
        <v>7777.7777777777774</v>
      </c>
      <c r="N209" s="612">
        <f t="shared" si="22"/>
        <v>8888.8888888888887</v>
      </c>
      <c r="O209" s="612">
        <f t="shared" si="22"/>
        <v>10000</v>
      </c>
      <c r="P209" s="612">
        <f t="shared" si="22"/>
        <v>48888.888888888891</v>
      </c>
    </row>
    <row r="210" spans="2:16">
      <c r="B210" s="750" t="str">
        <f t="shared" si="18"/>
        <v>Logos nuevos</v>
      </c>
      <c r="C210" s="750" t="str">
        <f t="shared" si="18"/>
        <v xml:space="preserve">   Indigo</v>
      </c>
      <c r="D210" s="612">
        <f t="shared" ref="D210:P210" si="23">D184/$C$148</f>
        <v>0</v>
      </c>
      <c r="E210" s="612">
        <f t="shared" si="23"/>
        <v>0</v>
      </c>
      <c r="F210" s="612">
        <f t="shared" si="23"/>
        <v>0</v>
      </c>
      <c r="G210" s="612">
        <f t="shared" si="23"/>
        <v>0</v>
      </c>
      <c r="H210" s="612">
        <f t="shared" si="23"/>
        <v>2222.2222222222222</v>
      </c>
      <c r="I210" s="612">
        <f t="shared" si="23"/>
        <v>3333.3333333333335</v>
      </c>
      <c r="J210" s="612">
        <f t="shared" si="23"/>
        <v>4444.4444444444443</v>
      </c>
      <c r="K210" s="612">
        <f t="shared" si="23"/>
        <v>5555.5555555555557</v>
      </c>
      <c r="L210" s="612">
        <f t="shared" si="23"/>
        <v>6666.666666666667</v>
      </c>
      <c r="M210" s="612">
        <f t="shared" si="23"/>
        <v>7777.7777777777774</v>
      </c>
      <c r="N210" s="612">
        <f t="shared" si="23"/>
        <v>8888.8888888888887</v>
      </c>
      <c r="O210" s="612">
        <f t="shared" si="23"/>
        <v>10000</v>
      </c>
      <c r="P210" s="612">
        <f t="shared" si="23"/>
        <v>48888.888888888891</v>
      </c>
    </row>
    <row r="211" spans="2:16">
      <c r="B211" s="750" t="str">
        <f t="shared" si="18"/>
        <v>Logos nuevos</v>
      </c>
      <c r="C211" s="750" t="str">
        <f t="shared" si="18"/>
        <v xml:space="preserve">   Weli</v>
      </c>
      <c r="D211" s="612">
        <f t="shared" ref="D211:P211" si="24">D185/$C$148</f>
        <v>0</v>
      </c>
      <c r="E211" s="612">
        <f t="shared" si="24"/>
        <v>0</v>
      </c>
      <c r="F211" s="612">
        <f t="shared" si="24"/>
        <v>0</v>
      </c>
      <c r="G211" s="612">
        <f t="shared" si="24"/>
        <v>0</v>
      </c>
      <c r="H211" s="612">
        <f t="shared" si="24"/>
        <v>2222.2222222222222</v>
      </c>
      <c r="I211" s="612">
        <f t="shared" si="24"/>
        <v>3333.3333333333335</v>
      </c>
      <c r="J211" s="612">
        <f t="shared" si="24"/>
        <v>4444.4444444444443</v>
      </c>
      <c r="K211" s="612">
        <f t="shared" si="24"/>
        <v>5555.5555555555557</v>
      </c>
      <c r="L211" s="612">
        <f t="shared" si="24"/>
        <v>6666.666666666667</v>
      </c>
      <c r="M211" s="612">
        <f t="shared" si="24"/>
        <v>7777.7777777777774</v>
      </c>
      <c r="N211" s="612">
        <f t="shared" si="24"/>
        <v>8888.8888888888887</v>
      </c>
      <c r="O211" s="612">
        <f t="shared" si="24"/>
        <v>10000</v>
      </c>
      <c r="P211" s="612">
        <f t="shared" si="24"/>
        <v>48888.888888888891</v>
      </c>
    </row>
    <row r="212" spans="2:16">
      <c r="B212" s="750" t="str">
        <f t="shared" si="18"/>
        <v>Logos nuevos</v>
      </c>
      <c r="C212" s="750" t="str">
        <f t="shared" si="18"/>
        <v xml:space="preserve">   Menudeo</v>
      </c>
      <c r="D212" s="612">
        <f t="shared" ref="D212:P212" si="25">D186/$C$148</f>
        <v>0</v>
      </c>
      <c r="E212" s="612">
        <f t="shared" si="25"/>
        <v>0</v>
      </c>
      <c r="F212" s="612">
        <f t="shared" si="25"/>
        <v>0</v>
      </c>
      <c r="G212" s="612">
        <f t="shared" si="25"/>
        <v>0</v>
      </c>
      <c r="H212" s="612">
        <f t="shared" si="25"/>
        <v>8888.8888888888887</v>
      </c>
      <c r="I212" s="612">
        <f t="shared" si="25"/>
        <v>13333.333333333334</v>
      </c>
      <c r="J212" s="612">
        <f t="shared" si="25"/>
        <v>17777.777777777777</v>
      </c>
      <c r="K212" s="612">
        <f t="shared" si="25"/>
        <v>22222.222222222223</v>
      </c>
      <c r="L212" s="612">
        <f t="shared" si="25"/>
        <v>26666.666666666668</v>
      </c>
      <c r="M212" s="612">
        <f t="shared" si="25"/>
        <v>31111.111111111109</v>
      </c>
      <c r="N212" s="612">
        <f t="shared" si="25"/>
        <v>35555.555555555555</v>
      </c>
      <c r="O212" s="612">
        <f t="shared" si="25"/>
        <v>40000</v>
      </c>
      <c r="P212" s="612">
        <f t="shared" si="25"/>
        <v>195555.55555555556</v>
      </c>
    </row>
    <row r="213" spans="2:16">
      <c r="B213" s="750" t="str">
        <f t="shared" si="18"/>
        <v>Logos nuevos</v>
      </c>
      <c r="C213" s="750" t="str">
        <f t="shared" si="18"/>
        <v xml:space="preserve">   Clientes &gt; 3mil citas</v>
      </c>
      <c r="D213" s="612">
        <f t="shared" ref="D213:P213" si="26">D187/$C$148</f>
        <v>0</v>
      </c>
      <c r="E213" s="612">
        <f t="shared" si="26"/>
        <v>0</v>
      </c>
      <c r="F213" s="612">
        <f t="shared" si="26"/>
        <v>0</v>
      </c>
      <c r="G213" s="612">
        <f t="shared" si="26"/>
        <v>0</v>
      </c>
      <c r="H213" s="612">
        <f t="shared" si="26"/>
        <v>1066.6666666666667</v>
      </c>
      <c r="I213" s="612">
        <f t="shared" si="26"/>
        <v>1600</v>
      </c>
      <c r="J213" s="612">
        <f t="shared" si="26"/>
        <v>2133.3333333333335</v>
      </c>
      <c r="K213" s="612">
        <f t="shared" si="26"/>
        <v>2666.6666666666665</v>
      </c>
      <c r="L213" s="612">
        <f t="shared" si="26"/>
        <v>3200</v>
      </c>
      <c r="M213" s="612">
        <f t="shared" si="26"/>
        <v>3733.3333333333335</v>
      </c>
      <c r="N213" s="612">
        <f t="shared" si="26"/>
        <v>4266.666666666667</v>
      </c>
      <c r="O213" s="612">
        <f t="shared" si="26"/>
        <v>4800</v>
      </c>
      <c r="P213" s="612">
        <f t="shared" si="26"/>
        <v>23466.666666666668</v>
      </c>
    </row>
    <row r="214" spans="2:16">
      <c r="B214" s="750" t="str">
        <f t="shared" si="18"/>
        <v>One-off</v>
      </c>
      <c r="C214" s="750" t="str">
        <f t="shared" si="18"/>
        <v>One-off (imp. + interop.)</v>
      </c>
      <c r="D214" s="612">
        <f t="shared" ref="D214:P214" si="27">D188/$C$148</f>
        <v>0</v>
      </c>
      <c r="E214" s="612">
        <f t="shared" si="27"/>
        <v>0</v>
      </c>
      <c r="F214" s="612">
        <f t="shared" si="27"/>
        <v>0</v>
      </c>
      <c r="G214" s="612">
        <f t="shared" si="27"/>
        <v>0</v>
      </c>
      <c r="H214" s="612">
        <f t="shared" si="27"/>
        <v>2800</v>
      </c>
      <c r="I214" s="612">
        <f t="shared" si="27"/>
        <v>4200</v>
      </c>
      <c r="J214" s="612">
        <f t="shared" si="27"/>
        <v>5600</v>
      </c>
      <c r="K214" s="612">
        <f t="shared" si="27"/>
        <v>7000</v>
      </c>
      <c r="L214" s="612">
        <f t="shared" si="27"/>
        <v>8400</v>
      </c>
      <c r="M214" s="612">
        <f t="shared" si="27"/>
        <v>9800</v>
      </c>
      <c r="N214" s="612">
        <f t="shared" si="27"/>
        <v>11200</v>
      </c>
      <c r="O214" s="612">
        <f t="shared" si="27"/>
        <v>12600</v>
      </c>
      <c r="P214" s="612">
        <f t="shared" si="27"/>
        <v>61600</v>
      </c>
    </row>
    <row r="215" spans="2:16">
      <c r="B215" s="228" t="str">
        <f t="shared" si="18"/>
        <v>Innovación</v>
      </c>
      <c r="C215" s="228" t="str">
        <f t="shared" si="18"/>
        <v>Subtotal innovación</v>
      </c>
      <c r="D215" s="351">
        <f t="shared" ref="D215:P215" si="28">D189/$C$148</f>
        <v>0</v>
      </c>
      <c r="E215" s="351">
        <f t="shared" si="28"/>
        <v>0</v>
      </c>
      <c r="F215" s="351">
        <f t="shared" si="28"/>
        <v>0</v>
      </c>
      <c r="G215" s="351">
        <f t="shared" si="28"/>
        <v>0</v>
      </c>
      <c r="H215" s="351">
        <f t="shared" si="28"/>
        <v>0</v>
      </c>
      <c r="I215" s="351">
        <f t="shared" si="28"/>
        <v>18107.142857142855</v>
      </c>
      <c r="J215" s="351">
        <f t="shared" si="28"/>
        <v>36214.28571428571</v>
      </c>
      <c r="K215" s="351">
        <f t="shared" si="28"/>
        <v>54321.428571428572</v>
      </c>
      <c r="L215" s="351">
        <f t="shared" si="28"/>
        <v>72428.57142857142</v>
      </c>
      <c r="M215" s="351">
        <f t="shared" si="28"/>
        <v>90535.71428571429</v>
      </c>
      <c r="N215" s="351">
        <f t="shared" si="28"/>
        <v>108642.85714285714</v>
      </c>
      <c r="O215" s="351">
        <f t="shared" si="28"/>
        <v>126750</v>
      </c>
      <c r="P215" s="351">
        <f t="shared" si="28"/>
        <v>507000</v>
      </c>
    </row>
    <row r="216" spans="2:16">
      <c r="B216" s="750" t="str">
        <f t="shared" si="18"/>
        <v>Innovación</v>
      </c>
      <c r="C216" s="750" t="str">
        <f t="shared" si="18"/>
        <v xml:space="preserve">   Campañas + bot 2.0</v>
      </c>
      <c r="D216" s="612">
        <f t="shared" ref="D216:P216" si="29">D190/$C$148</f>
        <v>0</v>
      </c>
      <c r="E216" s="612">
        <f t="shared" si="29"/>
        <v>0</v>
      </c>
      <c r="F216" s="612">
        <f t="shared" si="29"/>
        <v>0</v>
      </c>
      <c r="G216" s="612">
        <f t="shared" si="29"/>
        <v>0</v>
      </c>
      <c r="H216" s="612">
        <f t="shared" si="29"/>
        <v>0</v>
      </c>
      <c r="I216" s="612">
        <f t="shared" si="29"/>
        <v>10714.285714285714</v>
      </c>
      <c r="J216" s="612">
        <f t="shared" si="29"/>
        <v>21428.571428571428</v>
      </c>
      <c r="K216" s="612">
        <f t="shared" si="29"/>
        <v>32142.857142857141</v>
      </c>
      <c r="L216" s="612">
        <f t="shared" si="29"/>
        <v>42857.142857142855</v>
      </c>
      <c r="M216" s="612">
        <f t="shared" si="29"/>
        <v>53571.428571428572</v>
      </c>
      <c r="N216" s="612">
        <f t="shared" si="29"/>
        <v>64285.714285714283</v>
      </c>
      <c r="O216" s="612">
        <f t="shared" si="29"/>
        <v>75000</v>
      </c>
      <c r="P216" s="612">
        <f t="shared" si="29"/>
        <v>300000</v>
      </c>
    </row>
    <row r="217" spans="2:16">
      <c r="B217" s="750" t="str">
        <f t="shared" si="18"/>
        <v>Innovación</v>
      </c>
      <c r="C217" s="750" t="str">
        <f t="shared" si="18"/>
        <v xml:space="preserve">   COCO Pay</v>
      </c>
      <c r="D217" s="612">
        <f t="shared" ref="D217:P217" si="30">D191/$C$148</f>
        <v>0</v>
      </c>
      <c r="E217" s="612">
        <f t="shared" si="30"/>
        <v>0</v>
      </c>
      <c r="F217" s="612">
        <f t="shared" si="30"/>
        <v>0</v>
      </c>
      <c r="G217" s="612">
        <f t="shared" si="30"/>
        <v>0</v>
      </c>
      <c r="H217" s="612">
        <f t="shared" si="30"/>
        <v>0</v>
      </c>
      <c r="I217" s="612">
        <f t="shared" si="30"/>
        <v>3750</v>
      </c>
      <c r="J217" s="612">
        <f t="shared" si="30"/>
        <v>7500</v>
      </c>
      <c r="K217" s="612">
        <f t="shared" si="30"/>
        <v>11250</v>
      </c>
      <c r="L217" s="612">
        <f t="shared" si="30"/>
        <v>15000</v>
      </c>
      <c r="M217" s="612">
        <f t="shared" si="30"/>
        <v>18750</v>
      </c>
      <c r="N217" s="612">
        <f t="shared" si="30"/>
        <v>22500</v>
      </c>
      <c r="O217" s="612">
        <f t="shared" si="30"/>
        <v>26250</v>
      </c>
      <c r="P217" s="612">
        <f t="shared" si="30"/>
        <v>105000</v>
      </c>
    </row>
    <row r="218" spans="2:16">
      <c r="B218" s="750" t="str">
        <f t="shared" si="18"/>
        <v>Innovación</v>
      </c>
      <c r="C218" s="750" t="str">
        <f t="shared" si="18"/>
        <v xml:space="preserve">   Cirugías</v>
      </c>
      <c r="D218" s="612">
        <f t="shared" ref="D218:P218" si="31">D192/$C$148</f>
        <v>0</v>
      </c>
      <c r="E218" s="612">
        <f t="shared" si="31"/>
        <v>0</v>
      </c>
      <c r="F218" s="612">
        <f t="shared" si="31"/>
        <v>0</v>
      </c>
      <c r="G218" s="612">
        <f t="shared" si="31"/>
        <v>0</v>
      </c>
      <c r="H218" s="612">
        <f t="shared" si="31"/>
        <v>0</v>
      </c>
      <c r="I218" s="612">
        <f t="shared" si="31"/>
        <v>2142.8571428571431</v>
      </c>
      <c r="J218" s="612">
        <f t="shared" si="31"/>
        <v>4285.7142857142862</v>
      </c>
      <c r="K218" s="612">
        <f t="shared" si="31"/>
        <v>6428.5714285714284</v>
      </c>
      <c r="L218" s="612">
        <f t="shared" si="31"/>
        <v>8571.4285714285725</v>
      </c>
      <c r="M218" s="612">
        <f t="shared" si="31"/>
        <v>10714.285714285714</v>
      </c>
      <c r="N218" s="612">
        <f t="shared" si="31"/>
        <v>12857.142857142857</v>
      </c>
      <c r="O218" s="612">
        <f t="shared" si="31"/>
        <v>15000</v>
      </c>
      <c r="P218" s="612">
        <f t="shared" si="31"/>
        <v>60000</v>
      </c>
    </row>
    <row r="219" spans="2:16">
      <c r="B219" s="750" t="str">
        <f t="shared" si="18"/>
        <v>Innovación</v>
      </c>
      <c r="C219" s="750" t="str">
        <f t="shared" si="18"/>
        <v xml:space="preserve">   ChargeBee</v>
      </c>
      <c r="D219" s="612">
        <f t="shared" ref="D219:P219" si="32">D193/$C$148</f>
        <v>0</v>
      </c>
      <c r="E219" s="612">
        <f t="shared" si="32"/>
        <v>0</v>
      </c>
      <c r="F219" s="612">
        <f t="shared" si="32"/>
        <v>0</v>
      </c>
      <c r="G219" s="612">
        <f t="shared" si="32"/>
        <v>0</v>
      </c>
      <c r="H219" s="612">
        <f t="shared" si="32"/>
        <v>0</v>
      </c>
      <c r="I219" s="612">
        <f t="shared" si="32"/>
        <v>1500</v>
      </c>
      <c r="J219" s="612">
        <f t="shared" si="32"/>
        <v>3000</v>
      </c>
      <c r="K219" s="612">
        <f t="shared" si="32"/>
        <v>4500</v>
      </c>
      <c r="L219" s="612">
        <f t="shared" si="32"/>
        <v>6000</v>
      </c>
      <c r="M219" s="612">
        <f t="shared" si="32"/>
        <v>7500</v>
      </c>
      <c r="N219" s="612">
        <f t="shared" si="32"/>
        <v>9000</v>
      </c>
      <c r="O219" s="612">
        <f t="shared" si="32"/>
        <v>10500</v>
      </c>
      <c r="P219" s="612">
        <f t="shared" si="32"/>
        <v>42000</v>
      </c>
    </row>
    <row r="220" spans="2:16">
      <c r="B220" s="228" t="str">
        <f t="shared" si="18"/>
        <v>Up/Cross Selling (NRR)</v>
      </c>
      <c r="C220" s="228" t="str">
        <f t="shared" si="18"/>
        <v>Subtotal up/cross selling</v>
      </c>
      <c r="D220" s="351">
        <f t="shared" ref="D220:P220" si="33">D194/$C$148</f>
        <v>0</v>
      </c>
      <c r="E220" s="351">
        <f t="shared" si="33"/>
        <v>0</v>
      </c>
      <c r="F220" s="351">
        <f t="shared" si="33"/>
        <v>0</v>
      </c>
      <c r="G220" s="351">
        <f t="shared" si="33"/>
        <v>0</v>
      </c>
      <c r="H220" s="351">
        <f t="shared" si="33"/>
        <v>9777.7777777777774</v>
      </c>
      <c r="I220" s="351">
        <f t="shared" si="33"/>
        <v>14666.666666666666</v>
      </c>
      <c r="J220" s="351">
        <f t="shared" si="33"/>
        <v>19555.555555555555</v>
      </c>
      <c r="K220" s="351">
        <f t="shared" si="33"/>
        <v>24444.444444444445</v>
      </c>
      <c r="L220" s="351">
        <f t="shared" si="33"/>
        <v>29333.333333333332</v>
      </c>
      <c r="M220" s="351">
        <f t="shared" si="33"/>
        <v>34222.222222222219</v>
      </c>
      <c r="N220" s="351">
        <f t="shared" si="33"/>
        <v>39111.111111111109</v>
      </c>
      <c r="O220" s="351">
        <f t="shared" si="33"/>
        <v>44000</v>
      </c>
      <c r="P220" s="351">
        <f t="shared" si="33"/>
        <v>215111.11111111112</v>
      </c>
    </row>
    <row r="221" spans="2:16">
      <c r="B221" s="750" t="str">
        <f t="shared" si="18"/>
        <v>Up/Cross</v>
      </c>
      <c r="C221" s="750" t="str">
        <f t="shared" si="18"/>
        <v xml:space="preserve">   Comfama</v>
      </c>
      <c r="D221" s="612">
        <f t="shared" ref="D221:P221" si="34">D195/$C$148</f>
        <v>0</v>
      </c>
      <c r="E221" s="612">
        <f t="shared" si="34"/>
        <v>0</v>
      </c>
      <c r="F221" s="612">
        <f t="shared" si="34"/>
        <v>0</v>
      </c>
      <c r="G221" s="612">
        <f t="shared" si="34"/>
        <v>0</v>
      </c>
      <c r="H221" s="612">
        <f t="shared" si="34"/>
        <v>1600</v>
      </c>
      <c r="I221" s="612">
        <f t="shared" si="34"/>
        <v>2400</v>
      </c>
      <c r="J221" s="612">
        <f t="shared" si="34"/>
        <v>3200</v>
      </c>
      <c r="K221" s="612">
        <f t="shared" si="34"/>
        <v>4000</v>
      </c>
      <c r="L221" s="612">
        <f t="shared" si="34"/>
        <v>4800</v>
      </c>
      <c r="M221" s="612">
        <f t="shared" si="34"/>
        <v>5600</v>
      </c>
      <c r="N221" s="612">
        <f t="shared" si="34"/>
        <v>6400</v>
      </c>
      <c r="O221" s="612">
        <f t="shared" si="34"/>
        <v>7200</v>
      </c>
      <c r="P221" s="612">
        <f t="shared" si="34"/>
        <v>35200</v>
      </c>
    </row>
    <row r="222" spans="2:16">
      <c r="B222" s="750" t="str">
        <f t="shared" si="18"/>
        <v>Up/Cross</v>
      </c>
      <c r="C222" s="750" t="str">
        <f t="shared" si="18"/>
        <v xml:space="preserve">   Maple</v>
      </c>
      <c r="D222" s="612">
        <f t="shared" ref="D222:P222" si="35">D196/$C$148</f>
        <v>0</v>
      </c>
      <c r="E222" s="612">
        <f t="shared" si="35"/>
        <v>0</v>
      </c>
      <c r="F222" s="612">
        <f t="shared" si="35"/>
        <v>0</v>
      </c>
      <c r="G222" s="612">
        <f t="shared" si="35"/>
        <v>0</v>
      </c>
      <c r="H222" s="612">
        <f t="shared" si="35"/>
        <v>3733.3333333333335</v>
      </c>
      <c r="I222" s="612">
        <f t="shared" si="35"/>
        <v>5600</v>
      </c>
      <c r="J222" s="612">
        <f t="shared" si="35"/>
        <v>7466.666666666667</v>
      </c>
      <c r="K222" s="612">
        <f t="shared" si="35"/>
        <v>9333.3333333333339</v>
      </c>
      <c r="L222" s="612">
        <f t="shared" si="35"/>
        <v>11200</v>
      </c>
      <c r="M222" s="612">
        <f t="shared" si="35"/>
        <v>13066.666666666666</v>
      </c>
      <c r="N222" s="612">
        <f t="shared" si="35"/>
        <v>14933.333333333334</v>
      </c>
      <c r="O222" s="612">
        <f t="shared" si="35"/>
        <v>16800</v>
      </c>
      <c r="P222" s="612">
        <f t="shared" si="35"/>
        <v>82133.333333333328</v>
      </c>
    </row>
    <row r="223" spans="2:16">
      <c r="B223" s="750" t="str">
        <f t="shared" si="18"/>
        <v>Up/Cross</v>
      </c>
      <c r="C223" s="750" t="str">
        <f t="shared" si="18"/>
        <v xml:space="preserve">   Otros</v>
      </c>
      <c r="D223" s="612">
        <f t="shared" ref="D223:P223" si="36">D197/$C$148</f>
        <v>0</v>
      </c>
      <c r="E223" s="612">
        <f t="shared" si="36"/>
        <v>0</v>
      </c>
      <c r="F223" s="612">
        <f t="shared" si="36"/>
        <v>0</v>
      </c>
      <c r="G223" s="612">
        <f t="shared" si="36"/>
        <v>0</v>
      </c>
      <c r="H223" s="612">
        <f t="shared" si="36"/>
        <v>4444.4444444444443</v>
      </c>
      <c r="I223" s="612">
        <f t="shared" si="36"/>
        <v>6666.666666666667</v>
      </c>
      <c r="J223" s="612">
        <f t="shared" si="36"/>
        <v>8888.8888888888887</v>
      </c>
      <c r="K223" s="612">
        <f t="shared" si="36"/>
        <v>11111.111111111111</v>
      </c>
      <c r="L223" s="612">
        <f t="shared" si="36"/>
        <v>13333.333333333334</v>
      </c>
      <c r="M223" s="612">
        <f t="shared" si="36"/>
        <v>15555.555555555555</v>
      </c>
      <c r="N223" s="612">
        <f t="shared" si="36"/>
        <v>17777.777777777777</v>
      </c>
      <c r="O223" s="612">
        <f t="shared" si="36"/>
        <v>20000</v>
      </c>
      <c r="P223" s="612">
        <f t="shared" si="36"/>
        <v>97777.777777777781</v>
      </c>
    </row>
    <row r="224" spans="2:16">
      <c r="B224" s="228" t="str">
        <f t="shared" si="18"/>
        <v>Internacional</v>
      </c>
      <c r="C224" s="228" t="str">
        <f t="shared" si="18"/>
        <v>MRR Internacional (de Intnl.)</v>
      </c>
      <c r="D224" s="351">
        <f t="shared" ref="D224:P224" si="37">D198/$C$148</f>
        <v>0</v>
      </c>
      <c r="E224" s="351">
        <f t="shared" si="37"/>
        <v>0</v>
      </c>
      <c r="F224" s="351">
        <f t="shared" si="37"/>
        <v>0</v>
      </c>
      <c r="G224" s="351">
        <f t="shared" si="37"/>
        <v>0</v>
      </c>
      <c r="H224" s="351">
        <f t="shared" si="37"/>
        <v>0</v>
      </c>
      <c r="I224" s="351">
        <f t="shared" si="37"/>
        <v>4167</v>
      </c>
      <c r="J224" s="351">
        <f t="shared" si="37"/>
        <v>4167</v>
      </c>
      <c r="K224" s="351">
        <f t="shared" si="37"/>
        <v>122000</v>
      </c>
      <c r="L224" s="351">
        <f t="shared" si="37"/>
        <v>122000</v>
      </c>
      <c r="M224" s="351">
        <f t="shared" si="37"/>
        <v>122000</v>
      </c>
      <c r="N224" s="351">
        <f t="shared" si="37"/>
        <v>122000</v>
      </c>
      <c r="O224" s="351">
        <f t="shared" si="37"/>
        <v>122000</v>
      </c>
      <c r="P224" s="351">
        <f t="shared" si="37"/>
        <v>618334</v>
      </c>
    </row>
    <row r="225" spans="2:16">
      <c r="B225" s="228" t="str">
        <f t="shared" si="18"/>
        <v>Internacional</v>
      </c>
      <c r="C225" s="228" t="str">
        <f t="shared" si="18"/>
        <v>One-off Internacional (de Intnl.)</v>
      </c>
      <c r="D225" s="351">
        <f t="shared" ref="D225:P225" si="38">D199/$C$148</f>
        <v>0</v>
      </c>
      <c r="E225" s="351">
        <f t="shared" si="38"/>
        <v>0</v>
      </c>
      <c r="F225" s="351">
        <f t="shared" si="38"/>
        <v>0</v>
      </c>
      <c r="G225" s="351">
        <f t="shared" si="38"/>
        <v>0</v>
      </c>
      <c r="H225" s="351">
        <f t="shared" si="38"/>
        <v>130000</v>
      </c>
      <c r="I225" s="351">
        <f t="shared" si="38"/>
        <v>0</v>
      </c>
      <c r="J225" s="351">
        <f t="shared" si="38"/>
        <v>0</v>
      </c>
      <c r="K225" s="351">
        <f t="shared" si="38"/>
        <v>0</v>
      </c>
      <c r="L225" s="351">
        <f t="shared" si="38"/>
        <v>0</v>
      </c>
      <c r="M225" s="351">
        <f t="shared" si="38"/>
        <v>0</v>
      </c>
      <c r="N225" s="351">
        <f t="shared" si="38"/>
        <v>0</v>
      </c>
      <c r="O225" s="351">
        <f t="shared" si="38"/>
        <v>0</v>
      </c>
      <c r="P225" s="351">
        <f t="shared" si="38"/>
        <v>130000</v>
      </c>
    </row>
    <row r="226" spans="2:16">
      <c r="B226" s="750" t="str">
        <f t="shared" si="18"/>
        <v>Ajustes</v>
      </c>
      <c r="C226" s="750" t="str">
        <f t="shared" si="18"/>
        <v>Churn (-)</v>
      </c>
      <c r="D226" s="612">
        <f t="shared" ref="D226:P226" si="39">D200/$C$148</f>
        <v>0</v>
      </c>
      <c r="E226" s="612">
        <f t="shared" si="39"/>
        <v>0</v>
      </c>
      <c r="F226" s="612">
        <f t="shared" si="39"/>
        <v>0</v>
      </c>
      <c r="G226" s="612">
        <f t="shared" si="39"/>
        <v>0</v>
      </c>
      <c r="H226" s="612">
        <f t="shared" si="39"/>
        <v>-14000</v>
      </c>
      <c r="I226" s="612">
        <f t="shared" si="39"/>
        <v>-21000</v>
      </c>
      <c r="J226" s="612">
        <f t="shared" si="39"/>
        <v>-28000</v>
      </c>
      <c r="K226" s="612">
        <f t="shared" si="39"/>
        <v>-35000</v>
      </c>
      <c r="L226" s="612">
        <f t="shared" si="39"/>
        <v>-42000</v>
      </c>
      <c r="M226" s="612">
        <f t="shared" si="39"/>
        <v>-49000</v>
      </c>
      <c r="N226" s="612">
        <f t="shared" si="39"/>
        <v>-56000</v>
      </c>
      <c r="O226" s="612">
        <f t="shared" si="39"/>
        <v>-63000</v>
      </c>
      <c r="P226" s="612">
        <f t="shared" si="39"/>
        <v>-308000</v>
      </c>
    </row>
    <row r="227" spans="2:16">
      <c r="B227" s="750" t="str">
        <f t="shared" si="18"/>
        <v>Ajustes</v>
      </c>
      <c r="C227" s="750" t="str">
        <f t="shared" si="18"/>
        <v>Contracción (-)</v>
      </c>
      <c r="D227" s="612">
        <f t="shared" ref="D227:P227" si="40">D201/$C$148</f>
        <v>0</v>
      </c>
      <c r="E227" s="612">
        <f t="shared" si="40"/>
        <v>0</v>
      </c>
      <c r="F227" s="612">
        <f t="shared" si="40"/>
        <v>0</v>
      </c>
      <c r="G227" s="612">
        <f t="shared" si="40"/>
        <v>0</v>
      </c>
      <c r="H227" s="612">
        <f t="shared" si="40"/>
        <v>-1866.6666666666667</v>
      </c>
      <c r="I227" s="612">
        <f t="shared" si="40"/>
        <v>-2800</v>
      </c>
      <c r="J227" s="612">
        <f t="shared" si="40"/>
        <v>-3733.3333333333335</v>
      </c>
      <c r="K227" s="612">
        <f t="shared" si="40"/>
        <v>-4666.666666666667</v>
      </c>
      <c r="L227" s="612">
        <f t="shared" si="40"/>
        <v>-5600</v>
      </c>
      <c r="M227" s="612">
        <f t="shared" si="40"/>
        <v>-6533.333333333333</v>
      </c>
      <c r="N227" s="612">
        <f t="shared" si="40"/>
        <v>-7466.666666666667</v>
      </c>
      <c r="O227" s="612">
        <f t="shared" si="40"/>
        <v>-8400</v>
      </c>
      <c r="P227" s="612">
        <f t="shared" si="40"/>
        <v>-41066.666666666664</v>
      </c>
    </row>
    <row r="228" spans="2:16">
      <c r="B228" s="490" t="str">
        <f t="shared" si="18"/>
        <v>Total</v>
      </c>
      <c r="C228" s="490" t="str">
        <f t="shared" si="18"/>
        <v>Total ingresos</v>
      </c>
      <c r="D228" s="491">
        <f t="shared" ref="D228:P228" si="41">D202/$C$148</f>
        <v>165920.7861788618</v>
      </c>
      <c r="E228" s="491">
        <f t="shared" si="41"/>
        <v>201685.13197831978</v>
      </c>
      <c r="F228" s="491">
        <f t="shared" si="41"/>
        <v>213290.2945799458</v>
      </c>
      <c r="G228" s="491">
        <f t="shared" si="41"/>
        <v>203487.17127371274</v>
      </c>
      <c r="H228" s="491">
        <f t="shared" si="41"/>
        <v>360135.50135501358</v>
      </c>
      <c r="I228" s="491">
        <f t="shared" si="41"/>
        <v>259076.31087882307</v>
      </c>
      <c r="J228" s="491">
        <f t="shared" si="41"/>
        <v>283850.12040263263</v>
      </c>
      <c r="K228" s="491">
        <f t="shared" si="41"/>
        <v>426456.92992644216</v>
      </c>
      <c r="L228" s="491">
        <f t="shared" si="41"/>
        <v>451230.73945025163</v>
      </c>
      <c r="M228" s="491">
        <f t="shared" si="41"/>
        <v>476004.54897406121</v>
      </c>
      <c r="N228" s="491">
        <f t="shared" si="41"/>
        <v>500778.35849787074</v>
      </c>
      <c r="O228" s="491">
        <f t="shared" si="41"/>
        <v>525552.16802168021</v>
      </c>
      <c r="P228" s="491">
        <f t="shared" si="41"/>
        <v>4067468.0615176153</v>
      </c>
    </row>
    <row r="229" spans="2:16">
      <c r="B229" s="575"/>
      <c r="C229" s="575"/>
      <c r="D229" s="575"/>
      <c r="E229" s="575"/>
      <c r="F229" s="575"/>
      <c r="G229" s="575"/>
      <c r="H229" s="575"/>
      <c r="I229" s="575"/>
      <c r="J229" s="575"/>
      <c r="K229" s="575"/>
      <c r="L229" s="575"/>
      <c r="M229" s="575"/>
      <c r="N229" s="575"/>
      <c r="O229" s="575"/>
      <c r="P229" s="575"/>
    </row>
    <row r="230" spans="2:16">
      <c r="B230" s="575"/>
      <c r="C230" s="575"/>
      <c r="D230" s="575"/>
      <c r="E230" s="575"/>
      <c r="F230" s="575"/>
      <c r="G230" s="575"/>
      <c r="H230" s="575"/>
      <c r="I230" s="575"/>
      <c r="J230" s="575"/>
      <c r="K230" s="575"/>
      <c r="L230" s="575"/>
      <c r="M230" s="575"/>
      <c r="N230" s="575"/>
      <c r="O230" s="575"/>
      <c r="P230" s="575"/>
    </row>
    <row r="231" spans="2:16">
      <c r="B231" s="575"/>
      <c r="C231" s="575"/>
      <c r="D231" s="575"/>
      <c r="E231" s="575"/>
      <c r="F231" s="575"/>
      <c r="G231" s="575"/>
      <c r="H231" s="575"/>
      <c r="I231" s="575"/>
      <c r="J231" s="575"/>
      <c r="K231" s="575"/>
      <c r="L231" s="575"/>
      <c r="M231" s="575"/>
      <c r="N231" s="575"/>
      <c r="O231" s="575"/>
      <c r="P231" s="575"/>
    </row>
    <row r="232" spans="2:16">
      <c r="B232" s="1105" t="s">
        <v>799</v>
      </c>
      <c r="C232" s="1105"/>
      <c r="D232" s="1105"/>
      <c r="E232" s="1105"/>
      <c r="F232" s="1105"/>
      <c r="G232" s="1105"/>
      <c r="H232" s="1105"/>
      <c r="I232" s="1105"/>
      <c r="J232" s="1105"/>
      <c r="K232" s="1105"/>
      <c r="L232" s="1105"/>
      <c r="M232" s="1105"/>
      <c r="N232" s="1105"/>
      <c r="O232" s="1105"/>
      <c r="P232" s="1105"/>
    </row>
    <row r="233" spans="2:16">
      <c r="B233" s="575"/>
      <c r="C233" s="575"/>
      <c r="D233" s="575"/>
      <c r="E233" s="575"/>
      <c r="F233" s="575"/>
      <c r="G233" s="575"/>
      <c r="H233" s="575"/>
      <c r="I233" s="575"/>
      <c r="J233" s="575"/>
      <c r="K233" s="575"/>
      <c r="L233" s="575"/>
      <c r="M233" s="575"/>
      <c r="N233" s="575"/>
      <c r="O233" s="575"/>
      <c r="P233" s="575"/>
    </row>
    <row r="234" spans="2:16">
      <c r="B234" s="141" t="s">
        <v>800</v>
      </c>
      <c r="C234" s="141" t="s">
        <v>801</v>
      </c>
      <c r="D234" s="141" t="s">
        <v>802</v>
      </c>
      <c r="E234" s="575"/>
      <c r="F234" s="575"/>
      <c r="G234" s="575"/>
      <c r="H234" s="575"/>
      <c r="I234" s="575"/>
      <c r="J234" s="575"/>
      <c r="K234" s="575"/>
      <c r="L234" s="575"/>
      <c r="M234" s="575"/>
      <c r="N234" s="575"/>
      <c r="O234" s="575"/>
      <c r="P234" s="575"/>
    </row>
    <row r="235" spans="2:16">
      <c r="B235" s="754">
        <v>46143</v>
      </c>
      <c r="C235" s="721">
        <v>0</v>
      </c>
      <c r="D235" s="721">
        <v>130000</v>
      </c>
      <c r="E235" s="575"/>
      <c r="F235" s="575"/>
      <c r="G235" s="575"/>
      <c r="H235" s="575"/>
      <c r="I235" s="575"/>
      <c r="J235" s="575"/>
      <c r="K235" s="575"/>
      <c r="L235" s="575"/>
      <c r="M235" s="575"/>
      <c r="N235" s="575"/>
      <c r="O235" s="575"/>
      <c r="P235" s="575"/>
    </row>
    <row r="236" spans="2:16">
      <c r="B236" s="754">
        <v>46174</v>
      </c>
      <c r="C236" s="721">
        <v>4167</v>
      </c>
      <c r="D236" s="721">
        <v>0</v>
      </c>
      <c r="E236" s="575"/>
      <c r="F236" s="575"/>
      <c r="G236" s="575"/>
      <c r="H236" s="575"/>
      <c r="I236" s="575"/>
      <c r="J236" s="575"/>
      <c r="K236" s="575"/>
      <c r="L236" s="575"/>
      <c r="M236" s="575"/>
      <c r="N236" s="575"/>
      <c r="O236" s="575"/>
      <c r="P236" s="575"/>
    </row>
    <row r="237" spans="2:16">
      <c r="B237" s="754">
        <v>46204</v>
      </c>
      <c r="C237" s="721">
        <v>4167</v>
      </c>
      <c r="D237" s="721">
        <v>0</v>
      </c>
      <c r="E237" s="575"/>
      <c r="F237" s="575"/>
      <c r="G237" s="575"/>
      <c r="H237" s="575"/>
      <c r="I237" s="575"/>
      <c r="J237" s="575"/>
      <c r="K237" s="575"/>
      <c r="L237" s="575"/>
      <c r="M237" s="575"/>
      <c r="N237" s="575"/>
      <c r="O237" s="575"/>
      <c r="P237" s="575"/>
    </row>
    <row r="238" spans="2:16">
      <c r="B238" s="754">
        <v>46235</v>
      </c>
      <c r="C238" s="721">
        <v>122000</v>
      </c>
      <c r="D238" s="721">
        <v>0</v>
      </c>
      <c r="E238" s="575"/>
      <c r="F238" s="575"/>
      <c r="G238" s="575"/>
      <c r="H238" s="575"/>
      <c r="I238" s="575"/>
      <c r="J238" s="575"/>
      <c r="K238" s="575"/>
      <c r="L238" s="575"/>
      <c r="M238" s="575"/>
      <c r="N238" s="575"/>
      <c r="O238" s="575"/>
      <c r="P238" s="575"/>
    </row>
    <row r="239" spans="2:16">
      <c r="B239" s="754">
        <v>46266</v>
      </c>
      <c r="C239" s="721">
        <v>122000</v>
      </c>
      <c r="D239" s="721">
        <v>0</v>
      </c>
      <c r="E239" s="575"/>
      <c r="F239" s="575"/>
      <c r="G239" s="575"/>
      <c r="H239" s="575"/>
      <c r="I239" s="575"/>
      <c r="J239" s="575"/>
      <c r="K239" s="575"/>
      <c r="L239" s="575"/>
      <c r="M239" s="575"/>
      <c r="N239" s="575"/>
      <c r="O239" s="575"/>
      <c r="P239" s="575"/>
    </row>
    <row r="240" spans="2:16">
      <c r="B240" s="754">
        <v>46296</v>
      </c>
      <c r="C240" s="721">
        <v>122000</v>
      </c>
      <c r="D240" s="721">
        <v>0</v>
      </c>
      <c r="E240" s="575"/>
      <c r="F240" s="575"/>
      <c r="G240" s="575"/>
      <c r="H240" s="575"/>
      <c r="I240" s="575"/>
      <c r="J240" s="575"/>
      <c r="K240" s="575"/>
      <c r="L240" s="575"/>
      <c r="M240" s="575"/>
      <c r="N240" s="575"/>
      <c r="O240" s="575"/>
      <c r="P240" s="575"/>
    </row>
    <row r="241" spans="2:4">
      <c r="B241" s="754">
        <v>46327</v>
      </c>
      <c r="C241" s="721">
        <v>122000</v>
      </c>
      <c r="D241" s="721">
        <v>0</v>
      </c>
    </row>
    <row r="242" spans="2:4">
      <c r="B242" s="754">
        <v>46357</v>
      </c>
      <c r="C242" s="721">
        <v>122000</v>
      </c>
      <c r="D242" s="721">
        <v>0</v>
      </c>
    </row>
    <row r="243" spans="2:4">
      <c r="B243" s="754">
        <v>46388</v>
      </c>
      <c r="C243" s="721">
        <v>122000</v>
      </c>
      <c r="D243" s="721">
        <v>0</v>
      </c>
    </row>
    <row r="244" spans="2:4">
      <c r="B244" s="754">
        <v>46419</v>
      </c>
      <c r="C244" s="721">
        <v>122000</v>
      </c>
      <c r="D244" s="721">
        <v>0</v>
      </c>
    </row>
    <row r="245" spans="2:4">
      <c r="B245" s="754">
        <v>46447</v>
      </c>
      <c r="C245" s="721">
        <v>122000</v>
      </c>
      <c r="D245" s="721">
        <v>0</v>
      </c>
    </row>
    <row r="246" spans="2:4">
      <c r="B246" s="754">
        <v>46478</v>
      </c>
      <c r="C246" s="721">
        <v>122000</v>
      </c>
      <c r="D246" s="721">
        <v>0</v>
      </c>
    </row>
    <row r="247" spans="2:4">
      <c r="B247" s="754">
        <v>46508</v>
      </c>
      <c r="C247" s="721">
        <v>122000</v>
      </c>
      <c r="D247" s="721">
        <v>0</v>
      </c>
    </row>
    <row r="248" spans="2:4">
      <c r="B248" s="754">
        <v>46539</v>
      </c>
      <c r="C248" s="721">
        <v>122000</v>
      </c>
      <c r="D248" s="721">
        <v>0</v>
      </c>
    </row>
    <row r="249" spans="2:4">
      <c r="B249" s="754">
        <v>46569</v>
      </c>
      <c r="C249" s="721">
        <v>122000</v>
      </c>
      <c r="D249" s="721">
        <v>0</v>
      </c>
    </row>
    <row r="250" spans="2:4">
      <c r="B250" s="754">
        <v>46600</v>
      </c>
      <c r="C250" s="721">
        <v>122000</v>
      </c>
      <c r="D250" s="721">
        <v>0</v>
      </c>
    </row>
    <row r="251" spans="2:4">
      <c r="B251" s="754">
        <v>46631</v>
      </c>
      <c r="C251" s="721">
        <v>122000</v>
      </c>
      <c r="D251" s="721">
        <v>0</v>
      </c>
    </row>
    <row r="252" spans="2:4">
      <c r="B252" s="754">
        <v>46661</v>
      </c>
      <c r="C252" s="721">
        <v>122000</v>
      </c>
      <c r="D252" s="721">
        <v>0</v>
      </c>
    </row>
    <row r="253" spans="2:4">
      <c r="B253" s="754">
        <v>46692</v>
      </c>
      <c r="C253" s="721">
        <v>122000</v>
      </c>
      <c r="D253" s="721">
        <v>0</v>
      </c>
    </row>
    <row r="254" spans="2:4">
      <c r="B254" s="754">
        <v>46722</v>
      </c>
      <c r="C254" s="721">
        <v>122000</v>
      </c>
      <c r="D254" s="721">
        <v>0</v>
      </c>
    </row>
  </sheetData>
  <mergeCells count="5">
    <mergeCell ref="B1:P1"/>
    <mergeCell ref="B7:P7"/>
    <mergeCell ref="B92:P92"/>
    <mergeCell ref="B145:P145"/>
    <mergeCell ref="B232:P23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FC492-D1CC-4151-9909-1FC2AF3FFEFC}">
  <sheetPr>
    <tabColor rgb="FF548235"/>
  </sheetPr>
  <dimension ref="B2:P150"/>
  <sheetViews>
    <sheetView showGridLines="0" topLeftCell="A137" workbookViewId="0">
      <pane xSplit="2" topLeftCell="G1" activePane="topRight" state="frozen"/>
      <selection activeCell="A83" sqref="A83"/>
      <selection pane="topRight" activeCell="G83" sqref="G83"/>
    </sheetView>
  </sheetViews>
  <sheetFormatPr defaultRowHeight="14.4"/>
  <cols>
    <col min="2" max="2" width="63" customWidth="1"/>
    <col min="3" max="16" width="17" customWidth="1"/>
    <col min="17" max="18" width="10.109375" customWidth="1"/>
    <col min="19" max="703" width="13" customWidth="1"/>
  </cols>
  <sheetData>
    <row r="2" spans="2:13">
      <c r="B2" s="755" t="s">
        <v>1156</v>
      </c>
      <c r="C2" s="575"/>
      <c r="D2" s="575"/>
      <c r="E2" s="575"/>
      <c r="F2" s="575"/>
      <c r="G2" s="575"/>
      <c r="H2" s="575"/>
      <c r="I2" s="575"/>
      <c r="J2" s="575"/>
      <c r="K2" s="575"/>
      <c r="L2" s="756" t="s">
        <v>269</v>
      </c>
      <c r="M2" s="757">
        <v>3690</v>
      </c>
    </row>
    <row r="3" spans="2:13">
      <c r="B3" s="677" t="s">
        <v>270</v>
      </c>
      <c r="C3" s="575"/>
      <c r="D3" s="575"/>
      <c r="E3" s="575"/>
      <c r="F3" s="575"/>
      <c r="G3" s="575"/>
      <c r="H3" s="575"/>
      <c r="I3" s="575"/>
      <c r="J3" s="575"/>
      <c r="K3" s="575"/>
      <c r="L3" s="756" t="s">
        <v>271</v>
      </c>
      <c r="M3" s="757">
        <v>4000</v>
      </c>
    </row>
    <row r="4" spans="2:13">
      <c r="B4" s="575"/>
      <c r="C4" s="575"/>
      <c r="D4" s="575"/>
      <c r="E4" s="575"/>
      <c r="F4" s="575"/>
      <c r="G4" s="575"/>
      <c r="H4" s="575"/>
      <c r="I4" s="575"/>
      <c r="J4" s="575"/>
      <c r="K4" s="575"/>
      <c r="L4" s="575"/>
      <c r="M4" s="575"/>
    </row>
    <row r="5" spans="2:13" ht="15" thickBot="1">
      <c r="B5" s="1106" t="s">
        <v>1157</v>
      </c>
      <c r="C5" s="1106"/>
      <c r="D5" s="1106"/>
      <c r="E5" s="1106"/>
      <c r="F5" s="1106"/>
      <c r="G5" s="758"/>
      <c r="H5" s="758"/>
      <c r="I5" s="758"/>
      <c r="J5" s="758"/>
      <c r="K5" s="758"/>
      <c r="L5" s="229" t="s">
        <v>272</v>
      </c>
      <c r="M5" s="758"/>
    </row>
    <row r="6" spans="2:13">
      <c r="B6" s="575"/>
      <c r="C6" s="575"/>
      <c r="D6" s="575"/>
      <c r="E6" s="575"/>
      <c r="F6" s="575"/>
      <c r="G6" s="575"/>
      <c r="H6" s="575"/>
      <c r="I6" s="575"/>
      <c r="J6" s="575"/>
      <c r="K6" s="575"/>
      <c r="L6" s="575"/>
      <c r="M6" s="575"/>
    </row>
    <row r="7" spans="2:13" ht="30" customHeight="1">
      <c r="B7" s="392"/>
      <c r="C7" s="386" t="s">
        <v>1158</v>
      </c>
      <c r="D7" s="386" t="s">
        <v>273</v>
      </c>
      <c r="E7" s="386" t="s">
        <v>274</v>
      </c>
      <c r="F7" s="386" t="s">
        <v>275</v>
      </c>
      <c r="G7" s="386"/>
      <c r="H7" s="386"/>
      <c r="I7" s="386"/>
      <c r="J7" s="386"/>
      <c r="K7" s="386"/>
      <c r="L7" s="386"/>
      <c r="M7" s="386"/>
    </row>
    <row r="8" spans="2:13">
      <c r="B8" s="759" t="s">
        <v>276</v>
      </c>
      <c r="C8" s="644">
        <f>SUM(C65:I65)</f>
        <v>2462707</v>
      </c>
      <c r="D8" s="643">
        <f>SUM('Modelo Base'!F51:L51)/$M$2</f>
        <v>1396269.1867208672</v>
      </c>
      <c r="E8" s="644">
        <f t="shared" ref="E8:E13" si="0">D8-C8</f>
        <v>-1066437.8132791328</v>
      </c>
      <c r="F8" s="760">
        <f>IF(C8=0,0,D8/C8)</f>
        <v>0.56696520809047413</v>
      </c>
      <c r="G8" s="575"/>
      <c r="H8" s="575"/>
      <c r="I8" s="575"/>
      <c r="J8" s="575"/>
      <c r="K8" s="575"/>
      <c r="L8" s="575"/>
      <c r="M8" s="575"/>
    </row>
    <row r="9" spans="2:13">
      <c r="B9" s="759" t="s">
        <v>277</v>
      </c>
      <c r="C9" s="644">
        <f>SUM(C65:I65)-SUM(C66:I66)</f>
        <v>1683173</v>
      </c>
      <c r="D9" s="643">
        <f>SUM('Modelo Base'!F53:L53)/$M$2</f>
        <v>734311.64010840107</v>
      </c>
      <c r="E9" s="644">
        <f t="shared" si="0"/>
        <v>-948861.35989159893</v>
      </c>
      <c r="F9" s="760">
        <f>IF(C9=0,0,D9/C9)</f>
        <v>0.43626628998231382</v>
      </c>
      <c r="G9" s="575"/>
      <c r="H9" s="575"/>
      <c r="I9" s="575"/>
      <c r="J9" s="575"/>
      <c r="K9" s="575"/>
      <c r="L9" s="575"/>
      <c r="M9" s="575"/>
    </row>
    <row r="10" spans="2:13">
      <c r="B10" s="759" t="s">
        <v>278</v>
      </c>
      <c r="C10" s="761">
        <f>C9-SUM(C68:I68)-SUM(C69:I69)</f>
        <v>1070288</v>
      </c>
      <c r="D10" s="762">
        <f>SUM('Modelo Base'!F59:L59)/$M$2</f>
        <v>74806.553929539295</v>
      </c>
      <c r="E10" s="761">
        <f t="shared" si="0"/>
        <v>-995481.44607046072</v>
      </c>
      <c r="F10" s="760">
        <f>IF(C10=0,0,D10/ABS(C10))</f>
        <v>6.989385467233053E-2</v>
      </c>
      <c r="G10" s="575"/>
      <c r="H10" s="575"/>
      <c r="I10" s="575"/>
      <c r="J10" s="575"/>
      <c r="K10" s="575"/>
      <c r="L10" s="575"/>
      <c r="M10" s="575"/>
    </row>
    <row r="11" spans="2:13">
      <c r="B11" s="231" t="s">
        <v>268</v>
      </c>
      <c r="C11" s="352">
        <f>C10+SUM(C71:I71)-SUM(C72:I72)-SUM(C73:I73)</f>
        <v>685267</v>
      </c>
      <c r="D11" s="353">
        <f>SUM('Modelo Base'!F70:L70)/$M$2</f>
        <v>66864.031978319777</v>
      </c>
      <c r="E11" s="352">
        <f t="shared" si="0"/>
        <v>-618402.96802168025</v>
      </c>
      <c r="F11" s="760">
        <f>IF(C11=0,0,D11/ABS(C11))</f>
        <v>9.7573693141972076E-2</v>
      </c>
      <c r="G11" s="575"/>
      <c r="H11" s="575"/>
      <c r="I11" s="575"/>
      <c r="J11" s="575"/>
      <c r="K11" s="575"/>
      <c r="L11" s="575"/>
      <c r="M11" s="575"/>
    </row>
    <row r="12" spans="2:13">
      <c r="B12" s="763" t="s">
        <v>279</v>
      </c>
      <c r="C12" s="764">
        <f>IF(C8=0,0,C10/C8)</f>
        <v>0.434598188091397</v>
      </c>
      <c r="D12" s="764">
        <f>IF(D8=0,0,D10/D8)</f>
        <v>5.3576025769946412E-2</v>
      </c>
      <c r="E12" s="764">
        <f t="shared" si="0"/>
        <v>-0.38102216232145059</v>
      </c>
      <c r="F12" s="765"/>
      <c r="G12" s="575"/>
      <c r="H12" s="575"/>
      <c r="I12" s="575"/>
      <c r="J12" s="575"/>
      <c r="K12" s="575"/>
      <c r="L12" s="575"/>
      <c r="M12" s="575"/>
    </row>
    <row r="13" spans="2:13">
      <c r="B13" s="763" t="s">
        <v>280</v>
      </c>
      <c r="C13" s="764">
        <f>IF(C8=0,0,C11/C8)</f>
        <v>0.27825762463825376</v>
      </c>
      <c r="D13" s="764">
        <f>IF(D8=0,0,D11/D8)</f>
        <v>4.7887637007409507E-2</v>
      </c>
      <c r="E13" s="764">
        <f t="shared" si="0"/>
        <v>-0.23036998763084426</v>
      </c>
      <c r="F13" s="765"/>
      <c r="G13" s="575"/>
      <c r="H13" s="575"/>
      <c r="I13" s="575"/>
      <c r="J13" s="575"/>
      <c r="K13" s="575"/>
      <c r="L13" s="575"/>
      <c r="M13" s="575"/>
    </row>
    <row r="14" spans="2:13">
      <c r="B14" s="575"/>
      <c r="C14" s="575"/>
      <c r="D14" s="575"/>
      <c r="E14" s="575"/>
      <c r="F14" s="575"/>
      <c r="G14" s="575"/>
      <c r="H14" s="575"/>
      <c r="I14" s="575"/>
      <c r="J14" s="575"/>
      <c r="K14" s="575"/>
      <c r="L14" s="575"/>
      <c r="M14" s="575"/>
    </row>
    <row r="15" spans="2:13">
      <c r="B15" s="575"/>
      <c r="C15" s="575"/>
      <c r="D15" s="575"/>
      <c r="E15" s="575"/>
      <c r="F15" s="575"/>
      <c r="G15" s="575"/>
      <c r="H15" s="575"/>
      <c r="I15" s="575"/>
      <c r="J15" s="575"/>
      <c r="K15" s="575"/>
      <c r="L15" s="575"/>
      <c r="M15" s="575"/>
    </row>
    <row r="16" spans="2:13" ht="15" thickBot="1">
      <c r="B16" s="1106" t="s">
        <v>1164</v>
      </c>
      <c r="C16" s="1106"/>
      <c r="D16" s="1106"/>
      <c r="E16" s="1106"/>
      <c r="F16" s="1106"/>
      <c r="G16" s="758"/>
      <c r="H16" s="758"/>
      <c r="I16" s="758"/>
      <c r="J16" s="758"/>
      <c r="K16" s="758"/>
      <c r="L16" s="229" t="s">
        <v>272</v>
      </c>
      <c r="M16" s="758"/>
    </row>
    <row r="17" spans="2:16" ht="30" customHeight="1">
      <c r="B17" s="392" t="s">
        <v>281</v>
      </c>
      <c r="C17" s="528" t="s">
        <v>51</v>
      </c>
      <c r="D17" s="528" t="s">
        <v>285</v>
      </c>
      <c r="E17" s="528" t="s">
        <v>286</v>
      </c>
      <c r="F17" s="528" t="s">
        <v>878</v>
      </c>
      <c r="G17" s="528" t="s">
        <v>882</v>
      </c>
      <c r="H17" s="528" t="s">
        <v>1159</v>
      </c>
      <c r="I17" s="528" t="s">
        <v>1155</v>
      </c>
      <c r="J17" s="386"/>
      <c r="K17" s="386"/>
      <c r="L17" s="386"/>
      <c r="M17" s="386"/>
      <c r="N17" s="386"/>
      <c r="O17" s="386"/>
      <c r="P17" s="386"/>
    </row>
    <row r="18" spans="2:16">
      <c r="B18" s="230" t="s">
        <v>276</v>
      </c>
      <c r="C18" s="354">
        <f>IF(C65=0,0,C30/C65)</f>
        <v>0.89093596255671315</v>
      </c>
      <c r="D18" s="354">
        <f>IF(SUM(C65:D65)=0,0,SUM(C30:D30)/SUM(C65:D65))</f>
        <v>0.68005527331673599</v>
      </c>
      <c r="E18" s="354">
        <f>IF(SUM(C65:E65)=0,0,SUM(C30:E30)/SUM(C65:E65))</f>
        <v>0.62009091958207097</v>
      </c>
      <c r="F18" s="355">
        <f>IF(SUM(C65:F65)=0,0,SUM(C30:F30)/SUM(C65:F65))</f>
        <v>0.60524203173254598</v>
      </c>
      <c r="G18" s="611">
        <f>IF(SUM(C65:G65)=0,0,SUM(C30:G30)/SUM(C65:G65))</f>
        <v>0.59348659823337957</v>
      </c>
      <c r="H18" s="611">
        <f>IF(SUM(C65:H65)=0,0,SUM(C30:H30)/SUM(C65:H65))</f>
        <v>0.58421100547812865</v>
      </c>
      <c r="I18" s="611">
        <f>IF(SUM(C65:I65)=0,0,SUM(C30:I30)/SUM(C65:I65))</f>
        <v>0.56696520809047424</v>
      </c>
      <c r="J18" s="575"/>
      <c r="K18" s="575"/>
      <c r="L18" s="575"/>
      <c r="M18" s="575"/>
      <c r="N18" s="575"/>
      <c r="O18" s="575"/>
      <c r="P18" s="575"/>
    </row>
    <row r="19" spans="2:16">
      <c r="B19" s="579" t="s">
        <v>277</v>
      </c>
      <c r="C19" s="611">
        <f>IF(C65-C66=0,0,C32/(C65-C66))</f>
        <v>1.3527038809455811</v>
      </c>
      <c r="D19" s="611">
        <f>IF(SUM(C65:D65)-SUM(C66:D66)=0,0,SUM(C32:D32)/(SUM(C65:D65)-SUM(C66:D66)))</f>
        <v>0.6604949793995768</v>
      </c>
      <c r="E19" s="611">
        <f>IF(SUM(C65:E65)-SUM(C66:E66)=0,0,SUM(C32:E32)/(SUM(C65:E65)-SUM(C66:E66)))</f>
        <v>0.49731593035734051</v>
      </c>
      <c r="F19" s="611">
        <f>IF(SUM(C65:F65)-SUM(C66:F66)=0,0,SUM(C32:F32)/(SUM(C65:F65)-SUM(C66:F66)))</f>
        <v>0.47080754416919451</v>
      </c>
      <c r="G19" s="611">
        <f>IF(SUM(C67:G67)=0,0,SUM(C32:G32)/ABS(SUM(C67:G67)))</f>
        <v>0.46232538286662905</v>
      </c>
      <c r="H19" s="611">
        <f>IF(SUM(C67:H67)=0,0,SUM(C32:H32)/ABS(SUM(C67:H67)))</f>
        <v>0.45312671228884427</v>
      </c>
      <c r="I19" s="611">
        <f>IF(SUM(C67:I67)=0,0,SUM(C32:I32)/ABS(SUM(C67:I67)))</f>
        <v>0.43626628998231382</v>
      </c>
      <c r="J19" s="575"/>
      <c r="K19" s="575"/>
      <c r="L19" s="575"/>
      <c r="M19" s="575"/>
      <c r="N19" s="575"/>
      <c r="O19" s="575"/>
      <c r="P19" s="575"/>
    </row>
    <row r="20" spans="2:16">
      <c r="B20" s="579" t="s">
        <v>278</v>
      </c>
      <c r="C20" s="611">
        <f>IF((C65-C66-C68-C69)=0,0,C37/ABS(C65-C66-C68-C69))</f>
        <v>1.4950411097331311</v>
      </c>
      <c r="D20" s="611">
        <f>IF((SUM(C65:D65)-SUM(C66:D66)-SUM(C68:D68)-SUM(C69:D69))=0,0,SUM(C37:D37)/ABS(SUM(C65:D65)-SUM(C66:D66)-SUM(C68:D68)-SUM(C69:D69)))</f>
        <v>0.22048251580687739</v>
      </c>
      <c r="E20" s="611">
        <f>IF((SUM(C65:E65)-SUM(C66:E66)-SUM(C68:E68)-SUM(C69:E69))=0,0,SUM(C37:E37)/ABS(SUM(C65:E65)-SUM(C66:E66)-SUM(C68:E68)-SUM(C69:E69)))</f>
        <v>7.4812116750244573E-2</v>
      </c>
      <c r="F20" s="611">
        <f>IF((SUM(C65:F65)-SUM(C66:F66)-SUM(C68:F68)-SUM(C69:F69))=0,0,SUM(C37:F37)/ABS(SUM(C65:F65)-SUM(C66:F66)-SUM(C68:F68)-SUM(C69:F69)))</f>
        <v>5.3467048550740942E-2</v>
      </c>
      <c r="G20" s="611">
        <f>IF(SUM(C70:G70)=0,0,SUM(C37:G37)/ABS(SUM(C70:G70)))</f>
        <v>8.1445042115444052E-2</v>
      </c>
      <c r="H20" s="611">
        <f>IF(SUM(C70:H70)=0,0,SUM(C37:H37)/ABS(SUM(C70:H70)))</f>
        <v>7.5874675763736021E-2</v>
      </c>
      <c r="I20" s="611">
        <f>IF(SUM(C70:I70)=0,0,SUM(C37:I37)/ABS(SUM(C70:I70)))</f>
        <v>6.989385467233053E-2</v>
      </c>
      <c r="J20" s="575"/>
      <c r="K20" s="575"/>
      <c r="L20" s="575"/>
      <c r="M20" s="575"/>
      <c r="N20" s="575"/>
      <c r="O20" s="575"/>
      <c r="P20" s="575"/>
    </row>
    <row r="21" spans="2:16">
      <c r="B21" s="579" t="s">
        <v>268</v>
      </c>
      <c r="C21" s="766">
        <f>IF(C74=0,0,C41/ABS(C74))</f>
        <v>1.2372171533451277</v>
      </c>
      <c r="D21" s="766">
        <f>IF(SUM(C74:D74)=0,0,SUM(C41:D41)/ABS(SUM(C74:D74)))</f>
        <v>0.36903066946394791</v>
      </c>
      <c r="E21" s="766">
        <f>IF(SUM(C74:E74)=0,0,SUM(C41:E41)/ABS(SUM(C74:E74)))</f>
        <v>0.10090252767303913</v>
      </c>
      <c r="F21" s="766">
        <f>IF(SUM(C74:F74)=0,0,SUM(C41:F41)/ABS(SUM(C74:F74)))</f>
        <v>6.8615052118916081E-2</v>
      </c>
      <c r="G21" s="611">
        <f>IF(SUM(C74:G74)=0,0,SUM(C41:G41)/ABS(SUM(C74:G74)))</f>
        <v>0.1138605059206866</v>
      </c>
      <c r="H21" s="611">
        <f>IF(SUM(C74:H74)=0,0,SUM(C41:H41)/ABS(SUM(C74:H74)))</f>
        <v>0.10685179733216474</v>
      </c>
      <c r="I21" s="611">
        <f>IF(SUM(C74:I74)=0,0,SUM(C41:I41)/ABS(SUM(C74:I74)))</f>
        <v>9.757369314197209E-2</v>
      </c>
      <c r="J21" s="575"/>
      <c r="K21" s="575"/>
      <c r="L21" s="575"/>
      <c r="M21" s="575"/>
      <c r="N21" s="575"/>
      <c r="O21" s="575"/>
      <c r="P21" s="575"/>
    </row>
    <row r="22" spans="2:16">
      <c r="B22" s="575"/>
      <c r="C22" s="575"/>
      <c r="D22" s="575"/>
      <c r="E22" s="575"/>
      <c r="F22" s="575"/>
      <c r="G22" s="575"/>
      <c r="H22" s="575"/>
      <c r="I22" s="575"/>
      <c r="J22" s="575"/>
      <c r="K22" s="575"/>
      <c r="L22" s="575"/>
      <c r="M22" s="575"/>
      <c r="N22" s="575"/>
      <c r="O22" s="575"/>
      <c r="P22" s="575"/>
    </row>
    <row r="23" spans="2:16">
      <c r="B23" s="579"/>
      <c r="C23" s="579"/>
      <c r="D23" s="579"/>
      <c r="E23" s="579"/>
      <c r="F23" s="579"/>
      <c r="G23" s="579"/>
      <c r="H23" s="575"/>
      <c r="I23" s="575"/>
      <c r="J23" s="575"/>
      <c r="K23" s="575"/>
      <c r="L23" s="575"/>
      <c r="M23" s="575"/>
      <c r="N23" s="575"/>
      <c r="O23" s="575"/>
      <c r="P23" s="575"/>
    </row>
    <row r="24" spans="2:16">
      <c r="B24" s="575"/>
      <c r="C24" s="767"/>
      <c r="D24" s="767"/>
      <c r="E24" s="767"/>
      <c r="F24" s="575"/>
      <c r="G24" s="575"/>
      <c r="H24" s="575"/>
      <c r="I24" s="575"/>
      <c r="J24" s="575"/>
      <c r="K24" s="575"/>
      <c r="L24" s="575"/>
      <c r="M24" s="575"/>
      <c r="N24" s="575"/>
      <c r="O24" s="575"/>
      <c r="P24" s="575"/>
    </row>
    <row r="25" spans="2:16" ht="15" thickBot="1">
      <c r="B25" s="1106" t="s">
        <v>1165</v>
      </c>
      <c r="C25" s="1106"/>
      <c r="D25" s="1106"/>
      <c r="E25" s="1106"/>
      <c r="F25" s="1106"/>
      <c r="G25" s="758"/>
      <c r="H25" s="758"/>
      <c r="I25" s="758"/>
      <c r="J25" s="758"/>
      <c r="K25" s="758"/>
      <c r="L25" s="229" t="s">
        <v>272</v>
      </c>
      <c r="M25" s="758"/>
      <c r="N25" s="758"/>
      <c r="O25" s="758"/>
      <c r="P25" s="575"/>
    </row>
    <row r="26" spans="2:16">
      <c r="B26" s="583" t="s">
        <v>292</v>
      </c>
      <c r="C26" s="768"/>
      <c r="D26" s="768"/>
      <c r="E26" s="768"/>
      <c r="F26" s="583"/>
      <c r="G26" s="583"/>
      <c r="H26" s="583"/>
      <c r="I26" s="583"/>
      <c r="J26" s="583"/>
      <c r="K26" s="583"/>
      <c r="L26" s="583"/>
      <c r="M26" s="583"/>
      <c r="N26" s="583"/>
      <c r="O26" s="583"/>
      <c r="P26" s="583"/>
    </row>
    <row r="27" spans="2:16">
      <c r="B27" s="575"/>
      <c r="C27" s="767"/>
      <c r="D27" s="767"/>
      <c r="E27" s="767"/>
      <c r="F27" s="575"/>
      <c r="G27" s="575"/>
      <c r="H27" s="575"/>
      <c r="I27" s="575"/>
      <c r="J27" s="575"/>
      <c r="K27" s="575"/>
      <c r="L27" s="575"/>
      <c r="M27" s="575"/>
      <c r="N27" s="575"/>
      <c r="O27" s="575"/>
      <c r="P27" s="575"/>
    </row>
    <row r="28" spans="2:16" ht="30" customHeight="1">
      <c r="B28" s="392" t="s">
        <v>281</v>
      </c>
      <c r="C28" s="386" t="s">
        <v>51</v>
      </c>
      <c r="D28" s="386" t="s">
        <v>52</v>
      </c>
      <c r="E28" s="386" t="s">
        <v>53</v>
      </c>
      <c r="F28" s="386" t="s">
        <v>54</v>
      </c>
      <c r="G28" s="386" t="s">
        <v>55</v>
      </c>
      <c r="H28" s="386" t="s">
        <v>56</v>
      </c>
      <c r="I28" s="386" t="s">
        <v>57</v>
      </c>
      <c r="J28" s="386" t="s">
        <v>58</v>
      </c>
      <c r="K28" s="386" t="s">
        <v>59</v>
      </c>
      <c r="L28" s="386" t="s">
        <v>60</v>
      </c>
      <c r="M28" s="386" t="s">
        <v>61</v>
      </c>
      <c r="N28" s="386" t="s">
        <v>62</v>
      </c>
      <c r="O28" s="386" t="s">
        <v>16</v>
      </c>
      <c r="P28" s="386" t="s">
        <v>1163</v>
      </c>
    </row>
    <row r="29" spans="2:16">
      <c r="B29" s="583" t="s">
        <v>293</v>
      </c>
      <c r="C29" s="583"/>
      <c r="D29" s="583"/>
      <c r="E29" s="583"/>
      <c r="F29" s="583"/>
      <c r="G29" s="583"/>
      <c r="H29" s="583"/>
      <c r="I29" s="583"/>
      <c r="J29" s="583"/>
      <c r="K29" s="583"/>
      <c r="L29" s="583"/>
      <c r="M29" s="583"/>
      <c r="N29" s="583"/>
      <c r="O29" s="583"/>
      <c r="P29" s="583"/>
    </row>
    <row r="30" spans="2:16">
      <c r="B30" s="579" t="s">
        <v>276</v>
      </c>
      <c r="C30" s="529">
        <f>'Modelo Base'!F51/$M$2</f>
        <v>165920.7861788618</v>
      </c>
      <c r="D30" s="529">
        <f>'Modelo Base'!G51/$M$2</f>
        <v>201685.13197831978</v>
      </c>
      <c r="E30" s="529">
        <f>'Modelo Base'!H51/$M$2</f>
        <v>213290.2945799458</v>
      </c>
      <c r="F30" s="529">
        <f>'Modelo Base'!I51/$M$2</f>
        <v>203487.17127371274</v>
      </c>
      <c r="G30" s="529">
        <f>'Modelo Base'!J51/$M$2</f>
        <v>223987.73604336043</v>
      </c>
      <c r="H30" s="529">
        <f>'Modelo Base'!K51/$M$2</f>
        <v>203645.88455284553</v>
      </c>
      <c r="I30" s="529">
        <f>'Modelo Base'!L51/$M$2</f>
        <v>184252.18211382115</v>
      </c>
      <c r="J30" s="532">
        <f>'Modelo Base'!M51/$M$2</f>
        <v>426456.92992644216</v>
      </c>
      <c r="K30" s="532">
        <f>'Modelo Base'!N51/$M$2</f>
        <v>451230.73945025163</v>
      </c>
      <c r="L30" s="532">
        <f>'Modelo Base'!O51/$M$2</f>
        <v>476004.54897406121</v>
      </c>
      <c r="M30" s="532">
        <f>'Modelo Base'!P51/$M$2</f>
        <v>500778.35849787074</v>
      </c>
      <c r="N30" s="532">
        <f>'Modelo Base'!Q51/$M$2</f>
        <v>525552.16802168021</v>
      </c>
      <c r="O30" s="352">
        <f>SUM(C30:N30)</f>
        <v>3776291.9315911736</v>
      </c>
      <c r="P30" s="535">
        <f>SUM(C30:I30)</f>
        <v>1396269.1867208674</v>
      </c>
    </row>
    <row r="31" spans="2:16">
      <c r="B31" s="575" t="s">
        <v>255</v>
      </c>
      <c r="C31" s="530">
        <f>'Modelo Base'!F52/$M$2</f>
        <v>64643.846612466128</v>
      </c>
      <c r="D31" s="530">
        <f>'Modelo Base'!G52/$M$2</f>
        <v>93037.612737127376</v>
      </c>
      <c r="E31" s="530">
        <f>'Modelo Base'!H52/$M$2</f>
        <v>123479.45826558265</v>
      </c>
      <c r="F31" s="530">
        <f>'Modelo Base'!I52/$M$2</f>
        <v>102784.17181571816</v>
      </c>
      <c r="G31" s="530">
        <f>'Modelo Base'!J52/$M$2</f>
        <v>96333.475067750682</v>
      </c>
      <c r="H31" s="530">
        <f>'Modelo Base'!K52/$M$2</f>
        <v>94438.375609756098</v>
      </c>
      <c r="I31" s="530">
        <f>'Modelo Base'!L52/$M$2</f>
        <v>87240.606504065043</v>
      </c>
      <c r="J31" s="533">
        <f>'Modelo Base'!M52/$M$2</f>
        <v>95534.162714543796</v>
      </c>
      <c r="K31" s="533">
        <f>'Modelo Base'!N52/$M$2</f>
        <v>95534.162714543796</v>
      </c>
      <c r="L31" s="533">
        <f>'Modelo Base'!O52/$M$2</f>
        <v>95534.162714543796</v>
      </c>
      <c r="M31" s="533">
        <f>'Modelo Base'!P52/$M$2</f>
        <v>98252.091982836486</v>
      </c>
      <c r="N31" s="533">
        <f>'Modelo Base'!Q52/$M$2</f>
        <v>98252.091982836486</v>
      </c>
      <c r="O31" s="356">
        <f>SUM(C31:N31)</f>
        <v>1145064.2187217704</v>
      </c>
      <c r="P31" s="536">
        <f>SUM(C31:I31)</f>
        <v>661957.54661246622</v>
      </c>
    </row>
    <row r="32" spans="2:16">
      <c r="B32" s="579" t="s">
        <v>277</v>
      </c>
      <c r="C32" s="529">
        <f>'Modelo Base'!F53/$M$2</f>
        <v>101276.93956639567</v>
      </c>
      <c r="D32" s="529">
        <f>'Modelo Base'!G53/$M$2</f>
        <v>108647.51924119241</v>
      </c>
      <c r="E32" s="529">
        <f>'Modelo Base'!H53/$M$2</f>
        <v>89810.836314363143</v>
      </c>
      <c r="F32" s="529">
        <f>'Modelo Base'!I53/$M$2</f>
        <v>100702.99945799458</v>
      </c>
      <c r="G32" s="529">
        <f>'Modelo Base'!J53/$M$2</f>
        <v>127654.26097560975</v>
      </c>
      <c r="H32" s="529">
        <f>'Modelo Base'!K53/$M$2</f>
        <v>109207.50894308943</v>
      </c>
      <c r="I32" s="529">
        <f>'Modelo Base'!L53/$M$2</f>
        <v>97011.575609756095</v>
      </c>
      <c r="J32" s="532">
        <f>'Modelo Base'!M53/$M$2</f>
        <v>330922.76721189829</v>
      </c>
      <c r="K32" s="532">
        <f>'Modelo Base'!N53/$M$2</f>
        <v>355696.57673570781</v>
      </c>
      <c r="L32" s="532">
        <f>'Modelo Base'!O53/$M$2</f>
        <v>380470.38625951746</v>
      </c>
      <c r="M32" s="532">
        <f>'Modelo Base'!P53/$M$2</f>
        <v>402526.26651503425</v>
      </c>
      <c r="N32" s="532">
        <f>'Modelo Base'!Q53/$M$2</f>
        <v>427300.07603884378</v>
      </c>
      <c r="O32" s="352">
        <f>SUM(C32:N32)</f>
        <v>2631227.712869403</v>
      </c>
      <c r="P32" s="535">
        <f>SUM(C32:I32)</f>
        <v>734311.64010840107</v>
      </c>
    </row>
    <row r="33" spans="2:16">
      <c r="B33" s="769" t="s">
        <v>282</v>
      </c>
      <c r="C33" s="531">
        <f t="shared" ref="C33:O33" si="1">IF(C30=0,0,C32/C30)</f>
        <v>0.6103933202029288</v>
      </c>
      <c r="D33" s="531">
        <f t="shared" si="1"/>
        <v>0.53869870414082632</v>
      </c>
      <c r="E33" s="531">
        <f t="shared" si="1"/>
        <v>0.42107324429007298</v>
      </c>
      <c r="F33" s="531">
        <f t="shared" si="1"/>
        <v>0.49488623202952636</v>
      </c>
      <c r="G33" s="531">
        <f t="shared" si="1"/>
        <v>0.56991629644802488</v>
      </c>
      <c r="H33" s="531">
        <f t="shared" si="1"/>
        <v>0.53626180162138459</v>
      </c>
      <c r="I33" s="531">
        <f t="shared" si="1"/>
        <v>0.52651520593567536</v>
      </c>
      <c r="J33" s="534">
        <f t="shared" si="1"/>
        <v>0.77598168534622669</v>
      </c>
      <c r="K33" s="534">
        <f t="shared" si="1"/>
        <v>0.78828090738911971</v>
      </c>
      <c r="L33" s="534">
        <f t="shared" si="1"/>
        <v>0.79929989551475977</v>
      </c>
      <c r="M33" s="534">
        <f t="shared" si="1"/>
        <v>0.80380124197548719</v>
      </c>
      <c r="N33" s="534">
        <f t="shared" si="1"/>
        <v>0.81304978275956175</v>
      </c>
      <c r="O33" s="357">
        <f t="shared" si="1"/>
        <v>0.6967755037309078</v>
      </c>
      <c r="P33" s="531">
        <f>IF(P30=0,0,P32/P30)</f>
        <v>0.52590979382201297</v>
      </c>
    </row>
    <row r="34" spans="2:16">
      <c r="B34" s="575" t="s">
        <v>283</v>
      </c>
      <c r="C34" s="530">
        <f>'Modelo Base'!F56/$M$2</f>
        <v>26754.047425474255</v>
      </c>
      <c r="D34" s="530">
        <f>'Modelo Base'!G56/$M$2</f>
        <v>28626.957181571815</v>
      </c>
      <c r="E34" s="530">
        <f>'Modelo Base'!H56/$M$2</f>
        <v>38431.39972899729</v>
      </c>
      <c r="F34" s="530">
        <f>'Modelo Base'!I56/$M$2</f>
        <v>30970.430081300812</v>
      </c>
      <c r="G34" s="530">
        <f>'Modelo Base'!J56/$M$2</f>
        <v>31655.507859078592</v>
      </c>
      <c r="H34" s="530">
        <f>'Modelo Base'!K56/$M$2</f>
        <v>30430.540108401085</v>
      </c>
      <c r="I34" s="530">
        <f>'Modelo Base'!L56/$M$2</f>
        <v>29250.065582655825</v>
      </c>
      <c r="J34" s="533">
        <f>'Modelo Base'!M56/$M$2</f>
        <v>36693.761427280937</v>
      </c>
      <c r="K34" s="533">
        <f>'Modelo Base'!N56/$M$2</f>
        <v>36693.761427280937</v>
      </c>
      <c r="L34" s="533">
        <f>'Modelo Base'!O56/$M$2</f>
        <v>36693.761427280937</v>
      </c>
      <c r="M34" s="533">
        <f>'Modelo Base'!P56/$M$2</f>
        <v>36693.761427280937</v>
      </c>
      <c r="N34" s="533">
        <f>'Modelo Base'!Q56/$M$2</f>
        <v>36693.761427280937</v>
      </c>
      <c r="O34" s="356">
        <f>SUM(C34:N34)</f>
        <v>399587.75510388444</v>
      </c>
      <c r="P34" s="536">
        <f>SUM(C34:I34)</f>
        <v>216118.9479674797</v>
      </c>
    </row>
    <row r="35" spans="2:16">
      <c r="B35" s="575" t="s">
        <v>284</v>
      </c>
      <c r="C35" s="530">
        <f>'Modelo Base'!F57/$M$2</f>
        <v>35664.026829268296</v>
      </c>
      <c r="D35" s="530">
        <f>'Modelo Base'!G57/$M$2</f>
        <v>47054.797831978321</v>
      </c>
      <c r="E35" s="530">
        <f>'Modelo Base'!H57/$M$2</f>
        <v>37836.253658536589</v>
      </c>
      <c r="F35" s="530">
        <f>'Modelo Base'!I57/$M$2</f>
        <v>35254.855013550135</v>
      </c>
      <c r="G35" s="530">
        <f>'Modelo Base'!J57/$M$2</f>
        <v>32583.526558265581</v>
      </c>
      <c r="H35" s="530">
        <f>'Modelo Base'!K57/$M$2</f>
        <v>39784.135501355013</v>
      </c>
      <c r="I35" s="530">
        <f>'Modelo Base'!L57/$M$2</f>
        <v>31913.614092140921</v>
      </c>
      <c r="J35" s="533">
        <f>'Modelo Base'!M57/$M$2</f>
        <v>62569.927439024388</v>
      </c>
      <c r="K35" s="533">
        <f>'Modelo Base'!N57/$M$2</f>
        <v>62569.927439024388</v>
      </c>
      <c r="L35" s="533">
        <f>'Modelo Base'!O57/$M$2</f>
        <v>62569.927439024388</v>
      </c>
      <c r="M35" s="533">
        <f>'Modelo Base'!P57/$M$2</f>
        <v>64407.701151761517</v>
      </c>
      <c r="N35" s="533">
        <f>'Modelo Base'!Q57/$M$2</f>
        <v>64407.701151761517</v>
      </c>
      <c r="O35" s="356">
        <f>SUM(C35:N35)</f>
        <v>576616.394105691</v>
      </c>
      <c r="P35" s="536">
        <f>SUM(C35:I35)</f>
        <v>260091.20948509488</v>
      </c>
    </row>
    <row r="36" spans="2:16">
      <c r="B36" s="575" t="s">
        <v>294</v>
      </c>
      <c r="C36" s="530">
        <f>'Modelo Base'!F58/$M$2</f>
        <v>19894.268834688348</v>
      </c>
      <c r="D36" s="530">
        <f>'Modelo Base'!G58/$M$2</f>
        <v>20463.31653116531</v>
      </c>
      <c r="E36" s="530">
        <f>'Modelo Base'!H58/$M$2</f>
        <v>19571.040108401085</v>
      </c>
      <c r="F36" s="530">
        <f>'Modelo Base'!I58/$M$2</f>
        <v>33166.534959349592</v>
      </c>
      <c r="G36" s="530">
        <f>'Modelo Base'!J58/$M$2</f>
        <v>32789.352574525743</v>
      </c>
      <c r="H36" s="530">
        <f>'Modelo Base'!K58/$M$2</f>
        <v>29514.379403794039</v>
      </c>
      <c r="I36" s="530">
        <f>'Modelo Base'!L58/$M$2</f>
        <v>27896.036314363144</v>
      </c>
      <c r="J36" s="533">
        <f>'Modelo Base'!M58/$M$2</f>
        <v>30630.146522131887</v>
      </c>
      <c r="K36" s="533">
        <f>'Modelo Base'!N58/$M$2</f>
        <v>30630.146522131887</v>
      </c>
      <c r="L36" s="533">
        <f>'Modelo Base'!O58/$M$2</f>
        <v>30630.146522131887</v>
      </c>
      <c r="M36" s="533">
        <f>'Modelo Base'!P58/$M$2</f>
        <v>30630.146522131887</v>
      </c>
      <c r="N36" s="533">
        <f>'Modelo Base'!Q58/$M$2</f>
        <v>30630.146522131887</v>
      </c>
      <c r="O36" s="356">
        <f>SUM(C36:N36)</f>
        <v>336445.66133694665</v>
      </c>
      <c r="P36" s="536">
        <f>SUM(C36:I36)</f>
        <v>183294.92872628727</v>
      </c>
    </row>
    <row r="37" spans="2:16">
      <c r="B37" s="579" t="s">
        <v>278</v>
      </c>
      <c r="C37" s="529">
        <f>'Modelo Base'!F59/$M$2</f>
        <v>18964.596476964769</v>
      </c>
      <c r="D37" s="529">
        <f>'Modelo Base'!G59/$M$2</f>
        <v>12502.447696476966</v>
      </c>
      <c r="E37" s="529">
        <f>'Modelo Base'!H59/$M$2</f>
        <v>-6027.857181571816</v>
      </c>
      <c r="F37" s="529">
        <f>'Modelo Base'!I59/$M$2</f>
        <v>1311.1794037940379</v>
      </c>
      <c r="G37" s="529">
        <f>'Modelo Base'!J59/$M$2</f>
        <v>30625.873983739839</v>
      </c>
      <c r="H37" s="529">
        <f>'Modelo Base'!K59/$M$2</f>
        <v>9478.4539295392951</v>
      </c>
      <c r="I37" s="529">
        <f>'Modelo Base'!L59/$M$2</f>
        <v>7951.8596205962058</v>
      </c>
      <c r="J37" s="532">
        <f>'Modelo Base'!M59/$M$2</f>
        <v>201028.93182346105</v>
      </c>
      <c r="K37" s="532">
        <f>'Modelo Base'!N59/$M$2</f>
        <v>225802.74134727058</v>
      </c>
      <c r="L37" s="532">
        <f>'Modelo Base'!O59/$M$2</f>
        <v>250576.5508710802</v>
      </c>
      <c r="M37" s="532">
        <f>'Modelo Base'!P59/$M$2</f>
        <v>270794.65741385991</v>
      </c>
      <c r="N37" s="532">
        <f>'Modelo Base'!Q59/$M$2</f>
        <v>295568.46693766938</v>
      </c>
      <c r="O37" s="352">
        <f>SUM(C37:N37)</f>
        <v>1318577.9023228802</v>
      </c>
      <c r="P37" s="535">
        <f>SUM(C37:I37)</f>
        <v>74806.553929539295</v>
      </c>
    </row>
    <row r="38" spans="2:16">
      <c r="B38" s="769" t="s">
        <v>279</v>
      </c>
      <c r="C38" s="531">
        <f t="shared" ref="C38:O38" si="2">IF(C30=0,0,C37/C30)</f>
        <v>0.11429909967109862</v>
      </c>
      <c r="D38" s="531">
        <f t="shared" si="2"/>
        <v>6.1989932395318664E-2</v>
      </c>
      <c r="E38" s="531">
        <f t="shared" si="2"/>
        <v>-2.8261282087134281E-2</v>
      </c>
      <c r="F38" s="531">
        <f t="shared" si="2"/>
        <v>6.4435482373989888E-3</v>
      </c>
      <c r="G38" s="531">
        <f t="shared" si="2"/>
        <v>0.13673013766169395</v>
      </c>
      <c r="H38" s="531">
        <f t="shared" si="2"/>
        <v>4.6543802986009589E-2</v>
      </c>
      <c r="I38" s="531">
        <f t="shared" si="2"/>
        <v>4.3157478676067847E-2</v>
      </c>
      <c r="J38" s="534">
        <f t="shared" si="2"/>
        <v>0.47139328198544161</v>
      </c>
      <c r="K38" s="534">
        <f t="shared" si="2"/>
        <v>0.50041524569530227</v>
      </c>
      <c r="L38" s="534">
        <f t="shared" si="2"/>
        <v>0.5264162945735521</v>
      </c>
      <c r="M38" s="534">
        <f t="shared" si="2"/>
        <v>0.54074752396675563</v>
      </c>
      <c r="N38" s="534">
        <f t="shared" si="2"/>
        <v>0.56239605679921112</v>
      </c>
      <c r="O38" s="357">
        <f t="shared" si="2"/>
        <v>0.34917266096196276</v>
      </c>
      <c r="P38" s="531">
        <f>IF(P30=0,0,P37/P30)</f>
        <v>5.3576025769946398E-2</v>
      </c>
    </row>
    <row r="39" spans="2:16">
      <c r="B39" s="575" t="s">
        <v>295</v>
      </c>
      <c r="C39" s="530">
        <f>'Modelo Base'!F67/$M$2</f>
        <v>17204.741734417345</v>
      </c>
      <c r="D39" s="530">
        <f>'Modelo Base'!G67/$M$2</f>
        <v>14647.40243902439</v>
      </c>
      <c r="E39" s="530">
        <f>'Modelo Base'!H67/$M$2</f>
        <v>-10281.302710027101</v>
      </c>
      <c r="F39" s="530">
        <f>'Modelo Base'!I67/$M$2</f>
        <v>191.38292682926829</v>
      </c>
      <c r="G39" s="530">
        <f>'Modelo Base'!J67/$M$2</f>
        <v>29369.910027100272</v>
      </c>
      <c r="H39" s="530">
        <f>'Modelo Base'!K67/$M$2</f>
        <v>9036.2195121951227</v>
      </c>
      <c r="I39" s="530">
        <f>'Modelo Base'!L67/$M$2</f>
        <v>6695.6780487804881</v>
      </c>
      <c r="J39" s="533">
        <f>'Modelo Base'!M67/$M$2</f>
        <v>200760.03048425599</v>
      </c>
      <c r="K39" s="533">
        <f>'Modelo Base'!N67/$M$2</f>
        <v>225517.60769806852</v>
      </c>
      <c r="L39" s="533">
        <f>'Modelo Base'!O67/$M$2</f>
        <v>250275.45545038109</v>
      </c>
      <c r="M39" s="533">
        <f>'Modelo Base'!P67/$M$2</f>
        <v>270477.86625118874</v>
      </c>
      <c r="N39" s="533">
        <f>'Modelo Base'!Q67/$M$2</f>
        <v>295236.24162872566</v>
      </c>
      <c r="O39" s="356">
        <f>SUM(C39:N39)</f>
        <v>1309131.2334909397</v>
      </c>
      <c r="P39" s="536">
        <f>SUM(C39:I39)</f>
        <v>66864.031978319792</v>
      </c>
    </row>
    <row r="40" spans="2:16">
      <c r="B40" s="575" t="s">
        <v>267</v>
      </c>
      <c r="C40" s="530">
        <f>'Modelo Base'!F69/$M$2</f>
        <v>0</v>
      </c>
      <c r="D40" s="530">
        <f>'Modelo Base'!G69/$M$2</f>
        <v>0</v>
      </c>
      <c r="E40" s="530">
        <f>'Modelo Base'!H69/$M$2</f>
        <v>0</v>
      </c>
      <c r="F40" s="530">
        <f>'Modelo Base'!I69/$M$2</f>
        <v>0</v>
      </c>
      <c r="G40" s="530">
        <f>'Modelo Base'!J69/$M$2</f>
        <v>0</v>
      </c>
      <c r="H40" s="530">
        <f>'Modelo Base'!K69/$M$2</f>
        <v>0</v>
      </c>
      <c r="I40" s="530">
        <f>'Modelo Base'!L69/$M$2</f>
        <v>0</v>
      </c>
      <c r="J40" s="533">
        <f>'Modelo Base'!M69/$M$2</f>
        <v>70266.010669489595</v>
      </c>
      <c r="K40" s="533">
        <f>'Modelo Base'!N69/$M$2</f>
        <v>78931.162694323968</v>
      </c>
      <c r="L40" s="533">
        <f>'Modelo Base'!O69/$M$2</f>
        <v>87596.409407633386</v>
      </c>
      <c r="M40" s="533">
        <f>'Modelo Base'!P69/$M$2</f>
        <v>94667.253187916052</v>
      </c>
      <c r="N40" s="533">
        <f>'Modelo Base'!Q69/$M$2</f>
        <v>103332.68457005399</v>
      </c>
      <c r="O40" s="356">
        <f>SUM(C40:N40)</f>
        <v>434793.52052941697</v>
      </c>
      <c r="P40" s="536">
        <f>SUM(C40:I40)</f>
        <v>0</v>
      </c>
    </row>
    <row r="41" spans="2:16">
      <c r="B41" s="231" t="s">
        <v>268</v>
      </c>
      <c r="C41" s="529">
        <f>'Modelo Base'!F70/$M$2</f>
        <v>17204.741734417345</v>
      </c>
      <c r="D41" s="529">
        <f>'Modelo Base'!G70/$M$2</f>
        <v>14647.40243902439</v>
      </c>
      <c r="E41" s="529">
        <f>'Modelo Base'!H70/$M$2</f>
        <v>-10281.302710027101</v>
      </c>
      <c r="F41" s="529">
        <f>'Modelo Base'!I70/$M$2</f>
        <v>191.38292682926829</v>
      </c>
      <c r="G41" s="529">
        <f>'Modelo Base'!J70/$M$2</f>
        <v>29369.910027100272</v>
      </c>
      <c r="H41" s="529">
        <f>'Modelo Base'!K70/$M$2</f>
        <v>9036.2195121951227</v>
      </c>
      <c r="I41" s="529">
        <f>'Modelo Base'!L70/$M$2</f>
        <v>6695.6780487804881</v>
      </c>
      <c r="J41" s="532">
        <f>'Modelo Base'!M70/$M$2</f>
        <v>130494.01981476639</v>
      </c>
      <c r="K41" s="532">
        <f>'Modelo Base'!N70/$M$2</f>
        <v>146586.44500374453</v>
      </c>
      <c r="L41" s="532">
        <f>'Modelo Base'!O70/$M$2</f>
        <v>162679.04604274774</v>
      </c>
      <c r="M41" s="532">
        <f>'Modelo Base'!P70/$M$2</f>
        <v>175810.61306327267</v>
      </c>
      <c r="N41" s="532">
        <f>'Modelo Base'!Q70/$M$2</f>
        <v>191903.55705867169</v>
      </c>
      <c r="O41" s="352">
        <f>SUM(C41:N41)</f>
        <v>874337.71296152286</v>
      </c>
      <c r="P41" s="535">
        <f>SUM(C41:I41)</f>
        <v>66864.031978319792</v>
      </c>
    </row>
    <row r="42" spans="2:16">
      <c r="B42" s="769" t="s">
        <v>280</v>
      </c>
      <c r="C42" s="531">
        <f t="shared" ref="C42:O42" si="3">IF(C30=0,0,C41/C30)</f>
        <v>0.10369250369794365</v>
      </c>
      <c r="D42" s="531">
        <f t="shared" si="3"/>
        <v>7.2625097821285692E-2</v>
      </c>
      <c r="E42" s="531">
        <f t="shared" si="3"/>
        <v>-4.8203331193644387E-2</v>
      </c>
      <c r="F42" s="531">
        <f t="shared" si="3"/>
        <v>9.4051593341890386E-4</v>
      </c>
      <c r="G42" s="531">
        <f t="shared" si="3"/>
        <v>0.13112284871442573</v>
      </c>
      <c r="H42" s="531">
        <f t="shared" si="3"/>
        <v>4.4372217646511045E-2</v>
      </c>
      <c r="I42" s="531">
        <f t="shared" si="3"/>
        <v>3.6339748989481467E-2</v>
      </c>
      <c r="J42" s="534">
        <f t="shared" si="3"/>
        <v>0.30599577743354944</v>
      </c>
      <c r="K42" s="534">
        <f t="shared" si="3"/>
        <v>0.32485917334075098</v>
      </c>
      <c r="L42" s="534">
        <f t="shared" si="3"/>
        <v>0.34175943568894879</v>
      </c>
      <c r="M42" s="534">
        <f t="shared" si="3"/>
        <v>0.35107470217090103</v>
      </c>
      <c r="N42" s="534">
        <f t="shared" si="3"/>
        <v>0.36514654250414058</v>
      </c>
      <c r="O42" s="764">
        <f t="shared" si="3"/>
        <v>0.23153340070112455</v>
      </c>
      <c r="P42" s="531">
        <f>IF(P30=0,0,P41/P30)</f>
        <v>4.7887637007409514E-2</v>
      </c>
    </row>
    <row r="43" spans="2:16">
      <c r="B43" s="769"/>
      <c r="C43" s="770"/>
      <c r="D43" s="770"/>
      <c r="E43" s="770"/>
      <c r="F43" s="770"/>
      <c r="G43" s="770"/>
      <c r="H43" s="770"/>
      <c r="I43" s="770"/>
      <c r="J43" s="770"/>
      <c r="K43" s="770"/>
      <c r="L43" s="770"/>
      <c r="M43" s="770"/>
      <c r="N43" s="770"/>
      <c r="O43" s="770"/>
      <c r="P43" s="575"/>
    </row>
    <row r="44" spans="2:16">
      <c r="B44" s="1107" t="s">
        <v>1166</v>
      </c>
      <c r="C44" s="1107"/>
      <c r="D44" s="1107"/>
      <c r="E44" s="1107"/>
      <c r="F44" s="1107"/>
      <c r="G44" s="1107"/>
      <c r="H44" s="770"/>
      <c r="I44" s="770"/>
      <c r="J44" s="770"/>
      <c r="K44" s="770"/>
      <c r="L44" s="90" t="s">
        <v>272</v>
      </c>
      <c r="M44" s="770"/>
      <c r="N44" s="770"/>
      <c r="O44" s="770"/>
      <c r="P44" s="575"/>
    </row>
    <row r="45" spans="2:16">
      <c r="B45" s="677" t="s">
        <v>296</v>
      </c>
      <c r="C45" s="770"/>
      <c r="D45" s="770"/>
      <c r="E45" s="770"/>
      <c r="F45" s="770"/>
      <c r="G45" s="770"/>
      <c r="H45" s="770"/>
      <c r="I45" s="770"/>
      <c r="J45" s="770"/>
      <c r="K45" s="770"/>
      <c r="L45" s="771" t="s">
        <v>297</v>
      </c>
      <c r="M45" s="772">
        <f>Inputs!$C$6</f>
        <v>3690</v>
      </c>
      <c r="N45" s="770"/>
      <c r="O45" s="770"/>
      <c r="P45" s="575"/>
    </row>
    <row r="46" spans="2:16">
      <c r="B46" s="769"/>
      <c r="C46" s="770"/>
      <c r="D46" s="770"/>
      <c r="E46" s="770"/>
      <c r="F46" s="770"/>
      <c r="G46" s="770"/>
      <c r="H46" s="770"/>
      <c r="I46" s="770"/>
      <c r="J46" s="770"/>
      <c r="K46" s="770"/>
      <c r="L46" s="770"/>
      <c r="M46" s="770"/>
      <c r="N46" s="770"/>
      <c r="O46" s="770"/>
      <c r="P46" s="575"/>
    </row>
    <row r="47" spans="2:16" ht="30" customHeight="1" thickBot="1">
      <c r="B47" s="493" t="s">
        <v>298</v>
      </c>
      <c r="C47" s="492" t="s">
        <v>51</v>
      </c>
      <c r="D47" s="492" t="s">
        <v>52</v>
      </c>
      <c r="E47" s="492" t="s">
        <v>53</v>
      </c>
      <c r="F47" s="492" t="s">
        <v>54</v>
      </c>
      <c r="G47" s="492" t="s">
        <v>55</v>
      </c>
      <c r="H47" s="492" t="s">
        <v>56</v>
      </c>
      <c r="I47" s="492" t="s">
        <v>57</v>
      </c>
      <c r="J47" s="492" t="s">
        <v>58</v>
      </c>
      <c r="K47" s="492" t="s">
        <v>59</v>
      </c>
      <c r="L47" s="492" t="s">
        <v>60</v>
      </c>
      <c r="M47" s="492" t="s">
        <v>61</v>
      </c>
      <c r="N47" s="492" t="s">
        <v>62</v>
      </c>
      <c r="O47" s="492" t="s">
        <v>16</v>
      </c>
      <c r="P47" s="386"/>
    </row>
    <row r="48" spans="2:16">
      <c r="B48" s="773" t="s">
        <v>299</v>
      </c>
      <c r="C48" s="774">
        <f>'Consol. Pptos'!D206</f>
        <v>165920.7861788618</v>
      </c>
      <c r="D48" s="774">
        <f>'Consol. Pptos'!E206</f>
        <v>201685.13197831978</v>
      </c>
      <c r="E48" s="774">
        <f>'Consol. Pptos'!F206</f>
        <v>213290.2945799458</v>
      </c>
      <c r="F48" s="774">
        <f>'Consol. Pptos'!G206</f>
        <v>203487.17127371274</v>
      </c>
      <c r="G48" s="774">
        <f>'Consol. Pptos'!H206</f>
        <v>0</v>
      </c>
      <c r="H48" s="774">
        <f>'Consol. Pptos'!I206</f>
        <v>0</v>
      </c>
      <c r="I48" s="774">
        <f>'Consol. Pptos'!J206</f>
        <v>0</v>
      </c>
      <c r="J48" s="774">
        <f>'Consol. Pptos'!K206</f>
        <v>0</v>
      </c>
      <c r="K48" s="774">
        <f>'Consol. Pptos'!L206</f>
        <v>0</v>
      </c>
      <c r="L48" s="774">
        <f>'Consol. Pptos'!M206</f>
        <v>0</v>
      </c>
      <c r="M48" s="774">
        <f>'Consol. Pptos'!N206</f>
        <v>0</v>
      </c>
      <c r="N48" s="774">
        <f>'Consol. Pptos'!O206</f>
        <v>0</v>
      </c>
      <c r="O48" s="358">
        <f>'Consol. Pptos'!P206</f>
        <v>784383.38401084009</v>
      </c>
      <c r="P48" s="575"/>
    </row>
    <row r="49" spans="2:15">
      <c r="B49" s="775" t="s">
        <v>300</v>
      </c>
      <c r="C49" s="776">
        <f>'Consol. Pptos'!D207</f>
        <v>0</v>
      </c>
      <c r="D49" s="776">
        <f>'Consol. Pptos'!E207</f>
        <v>0</v>
      </c>
      <c r="E49" s="776">
        <f>'Consol. Pptos'!F207</f>
        <v>0</v>
      </c>
      <c r="F49" s="776">
        <f>'Consol. Pptos'!G207</f>
        <v>0</v>
      </c>
      <c r="G49" s="776">
        <f>'Consol. Pptos'!H207</f>
        <v>216802.16802168021</v>
      </c>
      <c r="H49" s="776">
        <f>'Consol. Pptos'!I207</f>
        <v>216802.16802168021</v>
      </c>
      <c r="I49" s="776">
        <f>'Consol. Pptos'!J207</f>
        <v>216802.16802168021</v>
      </c>
      <c r="J49" s="776">
        <f>'Consol. Pptos'!K207</f>
        <v>216802.16802168021</v>
      </c>
      <c r="K49" s="776">
        <f>'Consol. Pptos'!L207</f>
        <v>216802.16802168021</v>
      </c>
      <c r="L49" s="776">
        <f>'Consol. Pptos'!M207</f>
        <v>216802.16802168021</v>
      </c>
      <c r="M49" s="776">
        <f>'Consol. Pptos'!N207</f>
        <v>216802.16802168021</v>
      </c>
      <c r="N49" s="776">
        <f>'Consol. Pptos'!O207</f>
        <v>216802.16802168021</v>
      </c>
      <c r="O49" s="359">
        <f>'Consol. Pptos'!P207</f>
        <v>1734417.3441734416</v>
      </c>
    </row>
    <row r="50" spans="2:15">
      <c r="B50" s="775" t="s">
        <v>301</v>
      </c>
      <c r="C50" s="776">
        <f>'Consol. Pptos'!D208</f>
        <v>0</v>
      </c>
      <c r="D50" s="776">
        <f>'Consol. Pptos'!E208</f>
        <v>0</v>
      </c>
      <c r="E50" s="776">
        <f>'Consol. Pptos'!F208</f>
        <v>0</v>
      </c>
      <c r="F50" s="776">
        <f>'Consol. Pptos'!G208</f>
        <v>0</v>
      </c>
      <c r="G50" s="776">
        <f>'Consol. Pptos'!H208</f>
        <v>16622.222222222223</v>
      </c>
      <c r="H50" s="776">
        <f>'Consol. Pptos'!I208</f>
        <v>24933.333333333332</v>
      </c>
      <c r="I50" s="776">
        <f>'Consol. Pptos'!J208</f>
        <v>33244.444444444445</v>
      </c>
      <c r="J50" s="776">
        <f>'Consol. Pptos'!K208</f>
        <v>41555.555555555555</v>
      </c>
      <c r="K50" s="776">
        <f>'Consol. Pptos'!L208</f>
        <v>49866.666666666664</v>
      </c>
      <c r="L50" s="776">
        <f>'Consol. Pptos'!M208</f>
        <v>58177.777777777781</v>
      </c>
      <c r="M50" s="776">
        <f>'Consol. Pptos'!N208</f>
        <v>66488.888888888891</v>
      </c>
      <c r="N50" s="776">
        <f>'Consol. Pptos'!O208</f>
        <v>74800</v>
      </c>
      <c r="O50" s="359">
        <f>'Consol. Pptos'!P208</f>
        <v>365688.88888888888</v>
      </c>
    </row>
    <row r="51" spans="2:15">
      <c r="B51" s="775" t="s">
        <v>302</v>
      </c>
      <c r="C51" s="776">
        <f>'Consol. Pptos'!D214</f>
        <v>0</v>
      </c>
      <c r="D51" s="776">
        <f>'Consol. Pptos'!E214</f>
        <v>0</v>
      </c>
      <c r="E51" s="776">
        <f>'Consol. Pptos'!F214</f>
        <v>0</v>
      </c>
      <c r="F51" s="776">
        <f>'Consol. Pptos'!G214</f>
        <v>0</v>
      </c>
      <c r="G51" s="776">
        <f>'Consol. Pptos'!H214</f>
        <v>2800</v>
      </c>
      <c r="H51" s="776">
        <f>'Consol. Pptos'!I214</f>
        <v>4200</v>
      </c>
      <c r="I51" s="776">
        <f>'Consol. Pptos'!J214</f>
        <v>5600</v>
      </c>
      <c r="J51" s="776">
        <f>'Consol. Pptos'!K214</f>
        <v>7000</v>
      </c>
      <c r="K51" s="776">
        <f>'Consol. Pptos'!L214</f>
        <v>8400</v>
      </c>
      <c r="L51" s="776">
        <f>'Consol. Pptos'!M214</f>
        <v>9800</v>
      </c>
      <c r="M51" s="776">
        <f>'Consol. Pptos'!N214</f>
        <v>11200</v>
      </c>
      <c r="N51" s="776">
        <f>'Consol. Pptos'!O214</f>
        <v>12600</v>
      </c>
      <c r="O51" s="359">
        <f>'Consol. Pptos'!P214</f>
        <v>61600</v>
      </c>
    </row>
    <row r="52" spans="2:15">
      <c r="B52" s="769" t="s">
        <v>303</v>
      </c>
      <c r="C52" s="777">
        <f>'Consol. Pptos'!D215</f>
        <v>0</v>
      </c>
      <c r="D52" s="777">
        <f>'Consol. Pptos'!E215</f>
        <v>0</v>
      </c>
      <c r="E52" s="777">
        <f>'Consol. Pptos'!F215</f>
        <v>0</v>
      </c>
      <c r="F52" s="777">
        <f>'Consol. Pptos'!G215</f>
        <v>0</v>
      </c>
      <c r="G52" s="777">
        <f>'Consol. Pptos'!H215</f>
        <v>0</v>
      </c>
      <c r="H52" s="777">
        <f>'Consol. Pptos'!I215</f>
        <v>18107.142857142855</v>
      </c>
      <c r="I52" s="777">
        <f>'Consol. Pptos'!J215</f>
        <v>36214.28571428571</v>
      </c>
      <c r="J52" s="777">
        <f>'Consol. Pptos'!K215</f>
        <v>54321.428571428572</v>
      </c>
      <c r="K52" s="777">
        <f>'Consol. Pptos'!L215</f>
        <v>72428.57142857142</v>
      </c>
      <c r="L52" s="777">
        <f>'Consol. Pptos'!M215</f>
        <v>90535.71428571429</v>
      </c>
      <c r="M52" s="777">
        <f>'Consol. Pptos'!N215</f>
        <v>108642.85714285714</v>
      </c>
      <c r="N52" s="777">
        <f>'Consol. Pptos'!O215</f>
        <v>126750</v>
      </c>
      <c r="O52" s="360">
        <f>'Consol. Pptos'!P215</f>
        <v>507000</v>
      </c>
    </row>
    <row r="53" spans="2:15">
      <c r="B53" s="769" t="s">
        <v>304</v>
      </c>
      <c r="C53" s="777">
        <f>'Consol. Pptos'!D220</f>
        <v>0</v>
      </c>
      <c r="D53" s="777">
        <f>'Consol. Pptos'!E220</f>
        <v>0</v>
      </c>
      <c r="E53" s="777">
        <f>'Consol. Pptos'!F220</f>
        <v>0</v>
      </c>
      <c r="F53" s="777">
        <f>'Consol. Pptos'!G220</f>
        <v>0</v>
      </c>
      <c r="G53" s="777">
        <f>'Consol. Pptos'!H220</f>
        <v>9777.7777777777774</v>
      </c>
      <c r="H53" s="777">
        <f>'Consol. Pptos'!I220</f>
        <v>14666.666666666666</v>
      </c>
      <c r="I53" s="777">
        <f>'Consol. Pptos'!J220</f>
        <v>19555.555555555555</v>
      </c>
      <c r="J53" s="777">
        <f>'Consol. Pptos'!K220</f>
        <v>24444.444444444445</v>
      </c>
      <c r="K53" s="777">
        <f>'Consol. Pptos'!L220</f>
        <v>29333.333333333332</v>
      </c>
      <c r="L53" s="777">
        <f>'Consol. Pptos'!M220</f>
        <v>34222.222222222219</v>
      </c>
      <c r="M53" s="777">
        <f>'Consol. Pptos'!N220</f>
        <v>39111.111111111109</v>
      </c>
      <c r="N53" s="777">
        <f>'Consol. Pptos'!O220</f>
        <v>44000</v>
      </c>
      <c r="O53" s="360">
        <f>'Consol. Pptos'!P220</f>
        <v>215111.11111111112</v>
      </c>
    </row>
    <row r="54" spans="2:15">
      <c r="B54" s="232" t="s">
        <v>305</v>
      </c>
      <c r="C54" s="361">
        <f>'Consol. Pptos'!D224</f>
        <v>0</v>
      </c>
      <c r="D54" s="361">
        <f>'Consol. Pptos'!E224</f>
        <v>0</v>
      </c>
      <c r="E54" s="361">
        <f>'Consol. Pptos'!F224</f>
        <v>0</v>
      </c>
      <c r="F54" s="361">
        <f>'Consol. Pptos'!G224</f>
        <v>0</v>
      </c>
      <c r="G54" s="361">
        <f>'Consol. Pptos'!H224</f>
        <v>0</v>
      </c>
      <c r="H54" s="361">
        <f>'Consol. Pptos'!I224</f>
        <v>4167</v>
      </c>
      <c r="I54" s="361">
        <f>'Consol. Pptos'!J224</f>
        <v>4167</v>
      </c>
      <c r="J54" s="361">
        <f>'Consol. Pptos'!K224</f>
        <v>122000</v>
      </c>
      <c r="K54" s="361">
        <f>'Consol. Pptos'!L224</f>
        <v>122000</v>
      </c>
      <c r="L54" s="361">
        <f>'Consol. Pptos'!M224</f>
        <v>122000</v>
      </c>
      <c r="M54" s="361">
        <f>'Consol. Pptos'!N224</f>
        <v>122000</v>
      </c>
      <c r="N54" s="361">
        <f>'Consol. Pptos'!O224</f>
        <v>122000</v>
      </c>
      <c r="O54" s="362">
        <f>'Consol. Pptos'!P224</f>
        <v>618334</v>
      </c>
    </row>
    <row r="55" spans="2:15">
      <c r="B55" s="233" t="s">
        <v>306</v>
      </c>
      <c r="C55" s="363">
        <f>'Consol. Pptos'!D225</f>
        <v>0</v>
      </c>
      <c r="D55" s="363">
        <f>'Consol. Pptos'!E225</f>
        <v>0</v>
      </c>
      <c r="E55" s="363">
        <f>'Consol. Pptos'!F225</f>
        <v>0</v>
      </c>
      <c r="F55" s="363">
        <f>'Consol. Pptos'!G225</f>
        <v>0</v>
      </c>
      <c r="G55" s="363">
        <f>'Consol. Pptos'!H225</f>
        <v>130000</v>
      </c>
      <c r="H55" s="363">
        <f>'Consol. Pptos'!I225</f>
        <v>0</v>
      </c>
      <c r="I55" s="363">
        <f>'Consol. Pptos'!J225</f>
        <v>0</v>
      </c>
      <c r="J55" s="363">
        <f>'Consol. Pptos'!K225</f>
        <v>0</v>
      </c>
      <c r="K55" s="363">
        <f>'Consol. Pptos'!L225</f>
        <v>0</v>
      </c>
      <c r="L55" s="363">
        <f>'Consol. Pptos'!M225</f>
        <v>0</v>
      </c>
      <c r="M55" s="363">
        <f>'Consol. Pptos'!N225</f>
        <v>0</v>
      </c>
      <c r="N55" s="363">
        <f>'Consol. Pptos'!O225</f>
        <v>0</v>
      </c>
      <c r="O55" s="364">
        <f>'Consol. Pptos'!P225</f>
        <v>130000</v>
      </c>
    </row>
    <row r="56" spans="2:15">
      <c r="B56" s="234" t="s">
        <v>307</v>
      </c>
      <c r="C56" s="365">
        <f>'Consol. Pptos'!D243</f>
        <v>0</v>
      </c>
      <c r="D56" s="365">
        <f>'Consol. Pptos'!E243</f>
        <v>0</v>
      </c>
      <c r="E56" s="365">
        <f>'Consol. Pptos'!F243</f>
        <v>0</v>
      </c>
      <c r="F56" s="365">
        <f>'Consol. Pptos'!G243</f>
        <v>0</v>
      </c>
      <c r="G56" s="365">
        <f>'Consol. Pptos'!H243</f>
        <v>0</v>
      </c>
      <c r="H56" s="365">
        <f>'Consol. Pptos'!I243</f>
        <v>0</v>
      </c>
      <c r="I56" s="365">
        <f>'Consol. Pptos'!J243</f>
        <v>0</v>
      </c>
      <c r="J56" s="365">
        <f>'Consol. Pptos'!K243</f>
        <v>0</v>
      </c>
      <c r="K56" s="365">
        <f>'Consol. Pptos'!L243</f>
        <v>0</v>
      </c>
      <c r="L56" s="365">
        <f>'Consol. Pptos'!M243</f>
        <v>0</v>
      </c>
      <c r="M56" s="365">
        <f>'Consol. Pptos'!N226</f>
        <v>-56000</v>
      </c>
      <c r="N56" s="365">
        <f>'Consol. Pptos'!O226</f>
        <v>-63000</v>
      </c>
      <c r="O56" s="366">
        <f>'Consol. Pptos'!P226</f>
        <v>-308000</v>
      </c>
    </row>
    <row r="57" spans="2:15">
      <c r="B57" s="235" t="s">
        <v>308</v>
      </c>
      <c r="C57" s="367">
        <f>'Consol. Pptos'!D244</f>
        <v>0</v>
      </c>
      <c r="D57" s="367">
        <f>'Consol. Pptos'!E244</f>
        <v>0</v>
      </c>
      <c r="E57" s="367">
        <f>'Consol. Pptos'!F244</f>
        <v>0</v>
      </c>
      <c r="F57" s="367">
        <f>'Consol. Pptos'!G244</f>
        <v>0</v>
      </c>
      <c r="G57" s="367">
        <f>'Consol. Pptos'!H244</f>
        <v>0</v>
      </c>
      <c r="H57" s="367">
        <f>'Consol. Pptos'!I244</f>
        <v>0</v>
      </c>
      <c r="I57" s="367">
        <f>'Consol. Pptos'!J244</f>
        <v>0</v>
      </c>
      <c r="J57" s="367">
        <f>'Consol. Pptos'!K244</f>
        <v>0</v>
      </c>
      <c r="K57" s="367">
        <f>'Consol. Pptos'!L244</f>
        <v>0</v>
      </c>
      <c r="L57" s="367">
        <f>'Consol. Pptos'!M244</f>
        <v>0</v>
      </c>
      <c r="M57" s="367">
        <f>'Consol. Pptos'!N227</f>
        <v>-7466.666666666667</v>
      </c>
      <c r="N57" s="367">
        <f>'Consol. Pptos'!O227</f>
        <v>-8400</v>
      </c>
      <c r="O57" s="368">
        <f>'Consol. Pptos'!P227</f>
        <v>-41066.666666666664</v>
      </c>
    </row>
    <row r="58" spans="2:15">
      <c r="B58" s="494" t="s">
        <v>309</v>
      </c>
      <c r="C58" s="495">
        <f>'Consol. Pptos'!D228</f>
        <v>165920.7861788618</v>
      </c>
      <c r="D58" s="495">
        <f>'Consol. Pptos'!E228</f>
        <v>201685.13197831978</v>
      </c>
      <c r="E58" s="495">
        <f>'Consol. Pptos'!F228</f>
        <v>213290.2945799458</v>
      </c>
      <c r="F58" s="495">
        <f>'Consol. Pptos'!G228</f>
        <v>203487.17127371274</v>
      </c>
      <c r="G58" s="495">
        <f>'Consol. Pptos'!H228</f>
        <v>360135.50135501358</v>
      </c>
      <c r="H58" s="495">
        <f>'Consol. Pptos'!I228</f>
        <v>259076.31087882307</v>
      </c>
      <c r="I58" s="495">
        <f>'Consol. Pptos'!J228</f>
        <v>283850.12040263263</v>
      </c>
      <c r="J58" s="495">
        <f>'Consol. Pptos'!K228</f>
        <v>426456.92992644216</v>
      </c>
      <c r="K58" s="495">
        <f>'Consol. Pptos'!L228</f>
        <v>451230.73945025163</v>
      </c>
      <c r="L58" s="495">
        <f>'Consol. Pptos'!M228</f>
        <v>476004.54897406121</v>
      </c>
      <c r="M58" s="495">
        <f>'Consol. Pptos'!N228</f>
        <v>500778.35849787074</v>
      </c>
      <c r="N58" s="495">
        <f>'Consol. Pptos'!O228</f>
        <v>525552.16802168021</v>
      </c>
      <c r="O58" s="495">
        <f>'Consol. Pptos'!P228</f>
        <v>4067468.0615176153</v>
      </c>
    </row>
    <row r="59" spans="2:15">
      <c r="B59" s="769"/>
      <c r="C59" s="770"/>
      <c r="D59" s="770"/>
      <c r="E59" s="770"/>
      <c r="F59" s="770"/>
      <c r="G59" s="770"/>
      <c r="H59" s="770"/>
      <c r="I59" s="770"/>
      <c r="J59" s="770"/>
      <c r="K59" s="770"/>
      <c r="L59" s="770"/>
      <c r="M59" s="770"/>
      <c r="N59" s="770"/>
      <c r="O59" s="770"/>
    </row>
    <row r="60" spans="2:15">
      <c r="B60" s="575"/>
      <c r="C60" s="575"/>
      <c r="D60" s="575"/>
      <c r="E60" s="575"/>
      <c r="F60" s="575"/>
      <c r="G60" s="575"/>
      <c r="H60" s="575"/>
      <c r="I60" s="575"/>
      <c r="J60" s="575"/>
      <c r="K60" s="575"/>
      <c r="L60" s="575"/>
      <c r="M60" s="575"/>
      <c r="N60" s="575"/>
      <c r="O60" s="575"/>
    </row>
    <row r="61" spans="2:15" ht="15" thickBot="1">
      <c r="B61" s="1106" t="s">
        <v>1167</v>
      </c>
      <c r="C61" s="1106"/>
      <c r="D61" s="1106"/>
      <c r="E61" s="1106"/>
      <c r="F61" s="1106"/>
      <c r="G61" s="758"/>
      <c r="H61" s="758"/>
      <c r="I61" s="758"/>
      <c r="J61" s="758"/>
      <c r="K61" s="758"/>
      <c r="L61" s="229" t="s">
        <v>310</v>
      </c>
      <c r="M61" s="758"/>
      <c r="N61" s="758"/>
      <c r="O61" s="758"/>
    </row>
    <row r="62" spans="2:15">
      <c r="B62" s="583" t="s">
        <v>311</v>
      </c>
      <c r="C62" s="583"/>
      <c r="D62" s="583"/>
      <c r="E62" s="583"/>
      <c r="F62" s="583"/>
      <c r="G62" s="583"/>
      <c r="H62" s="583"/>
      <c r="I62" s="583"/>
      <c r="J62" s="583"/>
      <c r="K62" s="583"/>
      <c r="L62" s="583"/>
      <c r="M62" s="583"/>
      <c r="N62" s="583"/>
      <c r="O62" s="583"/>
    </row>
    <row r="63" spans="2:15">
      <c r="B63" s="575"/>
      <c r="C63" s="575"/>
      <c r="D63" s="575"/>
      <c r="E63" s="575"/>
      <c r="F63" s="575"/>
      <c r="G63" s="575"/>
      <c r="H63" s="575"/>
      <c r="I63" s="575"/>
      <c r="J63" s="575"/>
      <c r="K63" s="575"/>
      <c r="L63" s="575"/>
      <c r="M63" s="575"/>
      <c r="N63" s="575"/>
      <c r="O63" s="575"/>
    </row>
    <row r="64" spans="2:15" ht="30" customHeight="1">
      <c r="B64" s="392" t="s">
        <v>281</v>
      </c>
      <c r="C64" s="386" t="s">
        <v>51</v>
      </c>
      <c r="D64" s="496" t="s">
        <v>52</v>
      </c>
      <c r="E64" s="496" t="s">
        <v>53</v>
      </c>
      <c r="F64" s="496" t="s">
        <v>54</v>
      </c>
      <c r="G64" s="496" t="s">
        <v>55</v>
      </c>
      <c r="H64" s="496" t="s">
        <v>56</v>
      </c>
      <c r="I64" s="496" t="s">
        <v>57</v>
      </c>
      <c r="J64" s="496" t="s">
        <v>58</v>
      </c>
      <c r="K64" s="496" t="s">
        <v>59</v>
      </c>
      <c r="L64" s="496" t="s">
        <v>60</v>
      </c>
      <c r="M64" s="496" t="s">
        <v>61</v>
      </c>
      <c r="N64" s="496" t="s">
        <v>62</v>
      </c>
      <c r="O64" s="386" t="s">
        <v>16</v>
      </c>
    </row>
    <row r="65" spans="2:15">
      <c r="B65" s="759" t="s">
        <v>276</v>
      </c>
      <c r="C65" s="778">
        <v>186232</v>
      </c>
      <c r="D65" s="778">
        <v>354321</v>
      </c>
      <c r="E65" s="778">
        <v>396239</v>
      </c>
      <c r="F65" s="778">
        <v>359191</v>
      </c>
      <c r="G65" s="778">
        <v>403080</v>
      </c>
      <c r="H65" s="778">
        <v>375559</v>
      </c>
      <c r="I65" s="778">
        <v>388085</v>
      </c>
      <c r="J65" s="778">
        <v>383589</v>
      </c>
      <c r="K65" s="778">
        <v>424263</v>
      </c>
      <c r="L65" s="778">
        <v>419954</v>
      </c>
      <c r="M65" s="778">
        <v>423217</v>
      </c>
      <c r="N65" s="778">
        <v>441996</v>
      </c>
      <c r="O65" s="352">
        <f t="shared" ref="O65:O74" si="4">SUM(C65:N65)</f>
        <v>4555726</v>
      </c>
    </row>
    <row r="66" spans="2:15">
      <c r="B66" s="779" t="s">
        <v>255</v>
      </c>
      <c r="C66" s="745">
        <v>111362</v>
      </c>
      <c r="D66" s="778">
        <v>111362</v>
      </c>
      <c r="E66" s="778">
        <v>111362</v>
      </c>
      <c r="F66" s="778">
        <v>111362</v>
      </c>
      <c r="G66" s="778">
        <v>111362</v>
      </c>
      <c r="H66" s="778">
        <v>111362</v>
      </c>
      <c r="I66" s="778">
        <v>111362</v>
      </c>
      <c r="J66" s="778">
        <v>111362</v>
      </c>
      <c r="K66" s="778">
        <v>111362</v>
      </c>
      <c r="L66" s="778">
        <v>111362</v>
      </c>
      <c r="M66" s="778">
        <v>111362</v>
      </c>
      <c r="N66" s="778">
        <v>111362</v>
      </c>
      <c r="O66" s="356">
        <f t="shared" si="4"/>
        <v>1336344</v>
      </c>
    </row>
    <row r="67" spans="2:15">
      <c r="B67" s="759" t="s">
        <v>277</v>
      </c>
      <c r="C67" s="761">
        <f t="shared" ref="C67:N67" si="5">C65-C66</f>
        <v>74870</v>
      </c>
      <c r="D67" s="761">
        <f t="shared" si="5"/>
        <v>242959</v>
      </c>
      <c r="E67" s="761">
        <f t="shared" si="5"/>
        <v>284877</v>
      </c>
      <c r="F67" s="761">
        <f t="shared" si="5"/>
        <v>247829</v>
      </c>
      <c r="G67" s="761">
        <f t="shared" si="5"/>
        <v>291718</v>
      </c>
      <c r="H67" s="761">
        <f t="shared" si="5"/>
        <v>264197</v>
      </c>
      <c r="I67" s="761">
        <f t="shared" si="5"/>
        <v>276723</v>
      </c>
      <c r="J67" s="761">
        <f t="shared" si="5"/>
        <v>272227</v>
      </c>
      <c r="K67" s="761">
        <f t="shared" si="5"/>
        <v>312901</v>
      </c>
      <c r="L67" s="761">
        <f t="shared" si="5"/>
        <v>308592</v>
      </c>
      <c r="M67" s="761">
        <f t="shared" si="5"/>
        <v>311855</v>
      </c>
      <c r="N67" s="761">
        <f t="shared" si="5"/>
        <v>330634</v>
      </c>
      <c r="O67" s="352">
        <f t="shared" si="4"/>
        <v>3219382</v>
      </c>
    </row>
    <row r="68" spans="2:15">
      <c r="B68" s="779" t="s">
        <v>283</v>
      </c>
      <c r="C68" s="745">
        <v>33545</v>
      </c>
      <c r="D68" s="745">
        <v>33545</v>
      </c>
      <c r="E68" s="745">
        <v>33545</v>
      </c>
      <c r="F68" s="745">
        <v>33545</v>
      </c>
      <c r="G68" s="745">
        <v>33545</v>
      </c>
      <c r="H68" s="745">
        <v>33545</v>
      </c>
      <c r="I68" s="745">
        <v>33545</v>
      </c>
      <c r="J68" s="745">
        <v>33545</v>
      </c>
      <c r="K68" s="745">
        <v>33545</v>
      </c>
      <c r="L68" s="745">
        <v>33545</v>
      </c>
      <c r="M68" s="745">
        <v>33545</v>
      </c>
      <c r="N68" s="778">
        <v>33545</v>
      </c>
      <c r="O68" s="356">
        <f t="shared" si="4"/>
        <v>402540</v>
      </c>
    </row>
    <row r="69" spans="2:15">
      <c r="B69" s="779" t="s">
        <v>284</v>
      </c>
      <c r="C69" s="778">
        <v>54010</v>
      </c>
      <c r="D69" s="778">
        <v>54010</v>
      </c>
      <c r="E69" s="778">
        <v>54010</v>
      </c>
      <c r="F69" s="778">
        <v>54010</v>
      </c>
      <c r="G69" s="778">
        <v>54010</v>
      </c>
      <c r="H69" s="778">
        <v>54010</v>
      </c>
      <c r="I69" s="778">
        <v>54010</v>
      </c>
      <c r="J69" s="778">
        <v>54010</v>
      </c>
      <c r="K69" s="778">
        <v>54010</v>
      </c>
      <c r="L69" s="778">
        <v>54010</v>
      </c>
      <c r="M69" s="778">
        <v>54010</v>
      </c>
      <c r="N69" s="778">
        <v>54010</v>
      </c>
      <c r="O69" s="356">
        <f t="shared" si="4"/>
        <v>648120</v>
      </c>
    </row>
    <row r="70" spans="2:15">
      <c r="B70" s="759" t="s">
        <v>278</v>
      </c>
      <c r="C70" s="761">
        <f t="shared" ref="C70:N70" si="6">C67-C68-C69</f>
        <v>-12685</v>
      </c>
      <c r="D70" s="761">
        <f t="shared" si="6"/>
        <v>155404</v>
      </c>
      <c r="E70" s="761">
        <f t="shared" si="6"/>
        <v>197322</v>
      </c>
      <c r="F70" s="761">
        <f t="shared" si="6"/>
        <v>160274</v>
      </c>
      <c r="G70" s="761">
        <f t="shared" si="6"/>
        <v>204163</v>
      </c>
      <c r="H70" s="761">
        <f t="shared" si="6"/>
        <v>176642</v>
      </c>
      <c r="I70" s="761">
        <f t="shared" si="6"/>
        <v>189168</v>
      </c>
      <c r="J70" s="761">
        <f t="shared" si="6"/>
        <v>184672</v>
      </c>
      <c r="K70" s="761">
        <f t="shared" si="6"/>
        <v>225346</v>
      </c>
      <c r="L70" s="761">
        <f t="shared" si="6"/>
        <v>221037</v>
      </c>
      <c r="M70" s="761">
        <f t="shared" si="6"/>
        <v>224300</v>
      </c>
      <c r="N70" s="761">
        <f t="shared" si="6"/>
        <v>243079</v>
      </c>
      <c r="O70" s="352">
        <f t="shared" si="4"/>
        <v>2168722</v>
      </c>
    </row>
    <row r="71" spans="2:15">
      <c r="B71" s="759" t="s">
        <v>261</v>
      </c>
      <c r="C71" s="778">
        <v>794</v>
      </c>
      <c r="D71" s="778">
        <v>794</v>
      </c>
      <c r="E71" s="778">
        <v>794</v>
      </c>
      <c r="F71" s="778">
        <v>794</v>
      </c>
      <c r="G71" s="778">
        <v>794</v>
      </c>
      <c r="H71" s="778">
        <v>794</v>
      </c>
      <c r="I71" s="778">
        <v>794</v>
      </c>
      <c r="J71" s="778">
        <v>794</v>
      </c>
      <c r="K71" s="778">
        <v>794</v>
      </c>
      <c r="L71" s="778">
        <v>794</v>
      </c>
      <c r="M71" s="778">
        <v>794</v>
      </c>
      <c r="N71" s="778">
        <v>794</v>
      </c>
      <c r="O71" s="352">
        <f t="shared" si="4"/>
        <v>9528</v>
      </c>
    </row>
    <row r="72" spans="2:15">
      <c r="B72" s="759" t="s">
        <v>264</v>
      </c>
      <c r="C72" s="778">
        <v>2015</v>
      </c>
      <c r="D72" s="778">
        <v>2015</v>
      </c>
      <c r="E72" s="778">
        <v>2015</v>
      </c>
      <c r="F72" s="778">
        <v>2015</v>
      </c>
      <c r="G72" s="778">
        <v>2015</v>
      </c>
      <c r="H72" s="778">
        <v>2015</v>
      </c>
      <c r="I72" s="778">
        <v>2015</v>
      </c>
      <c r="J72" s="778">
        <v>2015</v>
      </c>
      <c r="K72" s="778">
        <v>2015</v>
      </c>
      <c r="L72" s="778">
        <v>2015</v>
      </c>
      <c r="M72" s="778">
        <v>2015</v>
      </c>
      <c r="N72" s="778">
        <v>2015</v>
      </c>
      <c r="O72" s="352">
        <f t="shared" si="4"/>
        <v>24180</v>
      </c>
    </row>
    <row r="73" spans="2:15">
      <c r="B73" s="779" t="s">
        <v>267</v>
      </c>
      <c r="C73" s="778">
        <v>0</v>
      </c>
      <c r="D73" s="778">
        <v>53964</v>
      </c>
      <c r="E73" s="778">
        <v>68635</v>
      </c>
      <c r="F73" s="778">
        <v>55668</v>
      </c>
      <c r="G73" s="778">
        <v>71029</v>
      </c>
      <c r="H73" s="778">
        <v>61397</v>
      </c>
      <c r="I73" s="778">
        <v>65781</v>
      </c>
      <c r="J73" s="778">
        <v>64208</v>
      </c>
      <c r="K73" s="778">
        <v>78444</v>
      </c>
      <c r="L73" s="778">
        <v>76935</v>
      </c>
      <c r="M73" s="778">
        <v>78077</v>
      </c>
      <c r="N73" s="778">
        <v>84650</v>
      </c>
      <c r="O73" s="356">
        <f t="shared" si="4"/>
        <v>758788</v>
      </c>
    </row>
    <row r="74" spans="2:15">
      <c r="B74" s="89" t="s">
        <v>268</v>
      </c>
      <c r="C74" s="352">
        <f t="shared" ref="C74:N74" si="7">C70+C71-C72-C73</f>
        <v>-13906</v>
      </c>
      <c r="D74" s="352">
        <f t="shared" si="7"/>
        <v>100219</v>
      </c>
      <c r="E74" s="352">
        <f t="shared" si="7"/>
        <v>127466</v>
      </c>
      <c r="F74" s="352">
        <f t="shared" si="7"/>
        <v>103385</v>
      </c>
      <c r="G74" s="352">
        <f t="shared" si="7"/>
        <v>131913</v>
      </c>
      <c r="H74" s="352">
        <f t="shared" si="7"/>
        <v>114024</v>
      </c>
      <c r="I74" s="352">
        <f t="shared" si="7"/>
        <v>122166</v>
      </c>
      <c r="J74" s="352">
        <f t="shared" si="7"/>
        <v>119243</v>
      </c>
      <c r="K74" s="352">
        <f t="shared" si="7"/>
        <v>145681</v>
      </c>
      <c r="L74" s="352">
        <f t="shared" si="7"/>
        <v>142881</v>
      </c>
      <c r="M74" s="352">
        <f t="shared" si="7"/>
        <v>145002</v>
      </c>
      <c r="N74" s="352">
        <f t="shared" si="7"/>
        <v>157208</v>
      </c>
      <c r="O74" s="352">
        <f t="shared" si="4"/>
        <v>1395282</v>
      </c>
    </row>
    <row r="75" spans="2:15">
      <c r="B75" s="579"/>
      <c r="C75" s="780"/>
      <c r="D75" s="780"/>
      <c r="E75" s="780"/>
      <c r="F75" s="780"/>
      <c r="G75" s="780"/>
      <c r="H75" s="780"/>
      <c r="I75" s="780"/>
      <c r="J75" s="780"/>
      <c r="K75" s="780"/>
      <c r="L75" s="780"/>
      <c r="M75" s="780"/>
      <c r="N75" s="780"/>
      <c r="O75" s="780"/>
    </row>
    <row r="76" spans="2:15">
      <c r="B76" s="709" t="s">
        <v>312</v>
      </c>
      <c r="C76" s="781"/>
      <c r="D76" s="781"/>
      <c r="E76" s="781"/>
      <c r="F76" s="781"/>
      <c r="G76" s="781"/>
      <c r="H76" s="781"/>
      <c r="I76" s="781"/>
      <c r="J76" s="781"/>
      <c r="K76" s="781"/>
      <c r="L76" s="781"/>
      <c r="M76" s="781"/>
      <c r="N76" s="781"/>
      <c r="O76" s="781"/>
    </row>
    <row r="77" spans="2:15">
      <c r="B77" s="709" t="s">
        <v>313</v>
      </c>
      <c r="C77" s="781"/>
      <c r="D77" s="781"/>
      <c r="E77" s="781"/>
      <c r="F77" s="781"/>
      <c r="G77" s="781"/>
      <c r="H77" s="781"/>
      <c r="I77" s="781"/>
      <c r="J77" s="781"/>
      <c r="K77" s="781"/>
      <c r="L77" s="781"/>
      <c r="M77" s="781"/>
      <c r="N77" s="781"/>
      <c r="O77" s="781"/>
    </row>
    <row r="78" spans="2:15">
      <c r="B78" s="579"/>
      <c r="C78" s="780"/>
      <c r="D78" s="780"/>
      <c r="E78" s="780"/>
      <c r="F78" s="780"/>
      <c r="G78" s="780"/>
      <c r="H78" s="780"/>
      <c r="I78" s="780"/>
      <c r="J78" s="780"/>
      <c r="K78" s="780"/>
      <c r="L78" s="780"/>
      <c r="M78" s="780"/>
      <c r="N78" s="780"/>
      <c r="O78" s="780"/>
    </row>
    <row r="79" spans="2:15" ht="30" customHeight="1">
      <c r="B79" s="392" t="s">
        <v>281</v>
      </c>
      <c r="C79" s="497" t="s">
        <v>314</v>
      </c>
      <c r="D79" s="497" t="s">
        <v>315</v>
      </c>
      <c r="E79" s="497" t="s">
        <v>316</v>
      </c>
      <c r="F79" s="497" t="s">
        <v>317</v>
      </c>
      <c r="G79" s="497"/>
      <c r="H79" s="497"/>
      <c r="I79" s="497"/>
      <c r="J79" s="497"/>
      <c r="K79" s="497"/>
      <c r="L79" s="497"/>
      <c r="M79" s="497"/>
      <c r="N79" s="497"/>
      <c r="O79" s="497"/>
    </row>
    <row r="80" spans="2:15">
      <c r="B80" s="89" t="s">
        <v>276</v>
      </c>
      <c r="C80" s="352">
        <f>SUM(C65:N65)</f>
        <v>4555726</v>
      </c>
      <c r="D80" s="352">
        <f>C80*$M$3/$M$2</f>
        <v>4938456.3685636856</v>
      </c>
      <c r="E80" s="352">
        <f>D80-C80</f>
        <v>382730.36856368557</v>
      </c>
      <c r="F80" s="369">
        <f>IF(C80=0,0,E80/C80)</f>
        <v>8.4010840108401069E-2</v>
      </c>
      <c r="G80" s="780"/>
      <c r="H80" s="780"/>
      <c r="I80" s="780"/>
      <c r="J80" s="780"/>
      <c r="K80" s="780"/>
      <c r="L80" s="780"/>
      <c r="M80" s="780"/>
      <c r="N80" s="780"/>
      <c r="O80" s="780"/>
    </row>
    <row r="81" spans="2:13">
      <c r="B81" s="89" t="s">
        <v>277</v>
      </c>
      <c r="C81" s="352">
        <f>SUM(C65:N65)-SUM(C66:N66)</f>
        <v>3219382</v>
      </c>
      <c r="D81" s="352">
        <f>C81*$M$3/$M$2</f>
        <v>3489844.9864498647</v>
      </c>
      <c r="E81" s="352">
        <f>D81-C81</f>
        <v>270462.98644986469</v>
      </c>
      <c r="F81" s="369">
        <f>IF(C81=0,0,E81/C81)</f>
        <v>8.4010840108401139E-2</v>
      </c>
      <c r="G81" s="780"/>
      <c r="H81" s="780"/>
      <c r="I81" s="780"/>
      <c r="J81" s="780"/>
      <c r="K81" s="780"/>
      <c r="L81" s="780"/>
      <c r="M81" s="780"/>
    </row>
    <row r="82" spans="2:13">
      <c r="B82" s="89" t="s">
        <v>278</v>
      </c>
      <c r="C82" s="352">
        <f>C81-SUM(C68:N68)-SUM(C69:N69)</f>
        <v>2168722</v>
      </c>
      <c r="D82" s="352">
        <f>C82*$M$3/$M$2</f>
        <v>2350918.1571815717</v>
      </c>
      <c r="E82" s="352">
        <f>D82-C82</f>
        <v>182196.1571815717</v>
      </c>
      <c r="F82" s="369">
        <f>IF(C82=0,0,E82/C82)</f>
        <v>8.4010840108401028E-2</v>
      </c>
      <c r="G82" s="780"/>
      <c r="H82" s="780"/>
      <c r="I82" s="780"/>
      <c r="J82" s="780"/>
      <c r="K82" s="780"/>
      <c r="L82" s="780"/>
      <c r="M82" s="780"/>
    </row>
    <row r="83" spans="2:13">
      <c r="B83" s="231" t="s">
        <v>268</v>
      </c>
      <c r="C83" s="352">
        <f>C82+SUM(C71:N71)-SUM(C72:N72)-SUM(C73:N73)</f>
        <v>1395282</v>
      </c>
      <c r="D83" s="352">
        <f>C83*$M$3/$M$2</f>
        <v>1512500.8130081301</v>
      </c>
      <c r="E83" s="352">
        <f>D83-C83</f>
        <v>117218.81300813006</v>
      </c>
      <c r="F83" s="369">
        <f>IF(C83=0,0,E83/C83)</f>
        <v>8.4010840108401069E-2</v>
      </c>
      <c r="G83" s="780"/>
      <c r="H83" s="780"/>
      <c r="I83" s="780"/>
      <c r="J83" s="780"/>
      <c r="K83" s="780"/>
      <c r="L83" s="780"/>
      <c r="M83" s="780"/>
    </row>
    <row r="84" spans="2:13">
      <c r="B84" s="575"/>
      <c r="C84" s="575"/>
      <c r="D84" s="575"/>
      <c r="E84" s="575"/>
      <c r="F84" s="575"/>
      <c r="G84" s="575"/>
      <c r="H84" s="575"/>
      <c r="I84" s="575"/>
      <c r="J84" s="575"/>
      <c r="K84" s="575"/>
      <c r="L84" s="575"/>
      <c r="M84" s="575"/>
    </row>
    <row r="85" spans="2:13">
      <c r="B85" s="782"/>
      <c r="C85" s="782"/>
      <c r="D85" s="782"/>
      <c r="E85" s="782"/>
      <c r="F85" s="782"/>
      <c r="G85" s="782"/>
      <c r="H85" s="782"/>
      <c r="I85" s="782"/>
      <c r="J85" s="782"/>
      <c r="K85" s="782"/>
      <c r="L85" s="782"/>
      <c r="M85" s="782"/>
    </row>
    <row r="86" spans="2:13">
      <c r="B86" s="575"/>
      <c r="C86" s="575"/>
      <c r="D86" s="575"/>
      <c r="E86" s="575"/>
      <c r="F86" s="575"/>
      <c r="G86" s="575"/>
      <c r="H86" s="575"/>
      <c r="I86" s="575"/>
      <c r="J86" s="575"/>
      <c r="K86" s="575"/>
      <c r="L86" s="575"/>
      <c r="M86" s="575"/>
    </row>
    <row r="87" spans="2:13">
      <c r="B87" s="575"/>
      <c r="C87" s="575"/>
      <c r="D87" s="575"/>
      <c r="E87" s="575"/>
      <c r="F87" s="575"/>
      <c r="G87" s="575"/>
      <c r="H87" s="575"/>
      <c r="I87" s="575"/>
      <c r="J87" s="575"/>
      <c r="K87" s="575"/>
      <c r="L87" s="575"/>
      <c r="M87" s="575"/>
    </row>
    <row r="88" spans="2:13">
      <c r="B88" s="575"/>
      <c r="C88" s="575"/>
      <c r="D88" s="575"/>
      <c r="E88" s="575"/>
      <c r="F88" s="575"/>
      <c r="G88" s="575"/>
      <c r="H88" s="575"/>
      <c r="I88" s="575"/>
      <c r="J88" s="575"/>
      <c r="K88" s="575"/>
      <c r="L88" s="575"/>
      <c r="M88" s="575"/>
    </row>
    <row r="89" spans="2:13">
      <c r="B89" s="575"/>
      <c r="C89" s="575"/>
      <c r="D89" s="575"/>
      <c r="E89" s="575"/>
      <c r="F89" s="575"/>
      <c r="G89" s="575"/>
      <c r="H89" s="575"/>
      <c r="I89" s="575"/>
      <c r="J89" s="575"/>
      <c r="K89" s="575"/>
      <c r="L89" s="575"/>
      <c r="M89" s="575"/>
    </row>
    <row r="90" spans="2:13" s="3" customFormat="1">
      <c r="B90" s="236"/>
      <c r="C90" s="236"/>
      <c r="D90" s="236"/>
      <c r="E90" s="236"/>
      <c r="F90" s="236"/>
      <c r="G90" s="236"/>
      <c r="H90" s="236"/>
      <c r="I90" s="236"/>
      <c r="J90" s="236"/>
      <c r="K90" s="236"/>
      <c r="L90" s="236"/>
      <c r="M90" s="236"/>
    </row>
    <row r="91" spans="2:13">
      <c r="B91" s="575"/>
      <c r="C91" s="575"/>
      <c r="D91" s="575"/>
      <c r="E91" s="575"/>
      <c r="F91" s="575"/>
      <c r="G91" s="575"/>
      <c r="H91" s="575"/>
      <c r="I91" s="575"/>
      <c r="J91" s="575"/>
      <c r="K91" s="575"/>
      <c r="L91" s="575"/>
      <c r="M91" s="575"/>
    </row>
    <row r="92" spans="2:13">
      <c r="B92" s="575"/>
      <c r="C92" s="575"/>
      <c r="D92" s="575"/>
      <c r="E92" s="575"/>
      <c r="F92" s="575"/>
      <c r="G92" s="575"/>
      <c r="H92" s="575"/>
      <c r="I92" s="575"/>
      <c r="J92" s="575"/>
      <c r="K92" s="575"/>
      <c r="L92" s="575"/>
      <c r="M92" s="575"/>
    </row>
    <row r="93" spans="2:13">
      <c r="B93" s="575"/>
      <c r="C93" s="575"/>
      <c r="D93" s="575"/>
      <c r="E93" s="575"/>
      <c r="F93" s="575"/>
      <c r="G93" s="575"/>
      <c r="H93" s="575"/>
      <c r="I93" s="575"/>
      <c r="J93" s="575"/>
      <c r="K93" s="575"/>
      <c r="L93" s="575"/>
      <c r="M93" s="575"/>
    </row>
    <row r="94" spans="2:13">
      <c r="B94" s="755" t="s">
        <v>1160</v>
      </c>
      <c r="C94" s="575"/>
      <c r="D94" s="575"/>
      <c r="E94" s="575"/>
      <c r="F94" s="575"/>
      <c r="G94" s="575"/>
      <c r="H94" s="575"/>
      <c r="I94" s="575"/>
      <c r="J94" s="575"/>
      <c r="K94" s="575"/>
      <c r="L94" s="756" t="s">
        <v>269</v>
      </c>
      <c r="M94" s="197">
        <f>M2</f>
        <v>3690</v>
      </c>
    </row>
    <row r="95" spans="2:13">
      <c r="B95" s="677" t="s">
        <v>318</v>
      </c>
      <c r="C95" s="575"/>
      <c r="D95" s="575"/>
      <c r="E95" s="575"/>
      <c r="F95" s="575"/>
      <c r="G95" s="575"/>
      <c r="H95" s="575"/>
      <c r="I95" s="575"/>
      <c r="J95" s="575"/>
      <c r="K95" s="575"/>
      <c r="L95" s="756" t="s">
        <v>271</v>
      </c>
      <c r="M95" s="197">
        <f>M3</f>
        <v>4000</v>
      </c>
    </row>
    <row r="97" spans="2:12" ht="15" thickBot="1">
      <c r="B97" s="1106" t="s">
        <v>1161</v>
      </c>
      <c r="C97" s="1106"/>
      <c r="D97" s="1106"/>
      <c r="E97" s="1106"/>
      <c r="F97" s="1106"/>
      <c r="G97" s="758"/>
      <c r="H97" s="758"/>
      <c r="I97" s="758"/>
      <c r="J97" s="758"/>
      <c r="K97" s="758"/>
      <c r="L97" s="229" t="s">
        <v>272</v>
      </c>
    </row>
    <row r="98" spans="2:12">
      <c r="B98" s="575"/>
      <c r="C98" s="575"/>
      <c r="D98" s="575"/>
      <c r="E98" s="575"/>
      <c r="F98" s="575"/>
      <c r="G98" s="575"/>
      <c r="H98" s="575"/>
      <c r="I98" s="575"/>
      <c r="J98" s="575"/>
      <c r="K98" s="575"/>
      <c r="L98" s="575"/>
    </row>
    <row r="99" spans="2:12" ht="30" customHeight="1">
      <c r="B99" s="392"/>
      <c r="C99" s="386" t="s">
        <v>1158</v>
      </c>
      <c r="D99" s="386" t="s">
        <v>273</v>
      </c>
      <c r="E99" s="386" t="s">
        <v>274</v>
      </c>
      <c r="F99" s="386" t="s">
        <v>275</v>
      </c>
      <c r="G99" s="386"/>
      <c r="H99" s="386"/>
      <c r="I99" s="386"/>
      <c r="J99" s="386"/>
      <c r="K99" s="386"/>
      <c r="L99" s="386"/>
    </row>
    <row r="100" spans="2:12">
      <c r="B100" s="759" t="s">
        <v>276</v>
      </c>
      <c r="C100" s="644">
        <f>C8*$M$95</f>
        <v>9850828000</v>
      </c>
      <c r="D100" s="644">
        <f>D8*$M$94</f>
        <v>5152233299</v>
      </c>
      <c r="E100" s="644">
        <f t="shared" ref="E100:E105" si="8">D100-C100</f>
        <v>-4698594701</v>
      </c>
      <c r="F100" s="760">
        <f>IF(C100=0,0,D100/C100)</f>
        <v>0.52302540446346235</v>
      </c>
      <c r="G100" s="575"/>
      <c r="H100" s="575"/>
      <c r="I100" s="575"/>
      <c r="J100" s="575"/>
      <c r="K100" s="575"/>
      <c r="L100" s="575"/>
    </row>
    <row r="101" spans="2:12">
      <c r="B101" s="759" t="s">
        <v>277</v>
      </c>
      <c r="C101" s="644">
        <f>C9*$M$95</f>
        <v>6732692000</v>
      </c>
      <c r="D101" s="644">
        <f>D9*$M$94</f>
        <v>2709609952</v>
      </c>
      <c r="E101" s="644">
        <f t="shared" si="8"/>
        <v>-4023082048</v>
      </c>
      <c r="F101" s="760">
        <f>IF(C101=0,0,D101/C101)</f>
        <v>0.40245565250868448</v>
      </c>
      <c r="G101" s="575"/>
      <c r="H101" s="575"/>
      <c r="I101" s="575"/>
      <c r="J101" s="575"/>
      <c r="K101" s="575"/>
      <c r="L101" s="575"/>
    </row>
    <row r="102" spans="2:12">
      <c r="B102" s="759" t="s">
        <v>278</v>
      </c>
      <c r="C102" s="761">
        <f>C10*$M$95</f>
        <v>4281152000</v>
      </c>
      <c r="D102" s="761">
        <f>D10*$M$94</f>
        <v>276036184</v>
      </c>
      <c r="E102" s="761">
        <f t="shared" si="8"/>
        <v>-4005115816</v>
      </c>
      <c r="F102" s="760">
        <f>IF(C102=0,0,D102/ABS(C102))</f>
        <v>6.4477080935224917E-2</v>
      </c>
      <c r="G102" s="575"/>
      <c r="H102" s="575"/>
      <c r="I102" s="575"/>
      <c r="J102" s="575"/>
      <c r="K102" s="575"/>
      <c r="L102" s="575"/>
    </row>
    <row r="103" spans="2:12">
      <c r="B103" s="231" t="s">
        <v>268</v>
      </c>
      <c r="C103" s="352">
        <f>C11*$M$95</f>
        <v>2741068000</v>
      </c>
      <c r="D103" s="352">
        <f>D11*$M$94</f>
        <v>246728277.99999997</v>
      </c>
      <c r="E103" s="352">
        <f t="shared" si="8"/>
        <v>-2494339722</v>
      </c>
      <c r="F103" s="760">
        <f>IF(C103=0,0,D103/ABS(C103))</f>
        <v>9.0011731923469229E-2</v>
      </c>
      <c r="G103" s="575"/>
      <c r="H103" s="575"/>
      <c r="I103" s="575"/>
      <c r="J103" s="575"/>
      <c r="K103" s="575"/>
      <c r="L103" s="575"/>
    </row>
    <row r="104" spans="2:12">
      <c r="B104" s="763" t="s">
        <v>279</v>
      </c>
      <c r="C104" s="764">
        <f>IF(C100=0,0,C102/C100)</f>
        <v>0.434598188091397</v>
      </c>
      <c r="D104" s="764">
        <f>IF(D100=0,0,D102/D100)</f>
        <v>5.3576025769946412E-2</v>
      </c>
      <c r="E104" s="764">
        <f t="shared" si="8"/>
        <v>-0.38102216232145059</v>
      </c>
      <c r="F104" s="765"/>
      <c r="G104" s="575"/>
      <c r="H104" s="575"/>
      <c r="I104" s="575"/>
      <c r="J104" s="575"/>
      <c r="K104" s="575"/>
      <c r="L104" s="575"/>
    </row>
    <row r="105" spans="2:12">
      <c r="B105" s="763" t="s">
        <v>280</v>
      </c>
      <c r="C105" s="764">
        <f>IF(C100=0,0,C103/C100)</f>
        <v>0.27825762463825376</v>
      </c>
      <c r="D105" s="764">
        <f>IF(D100=0,0,D103/D100)</f>
        <v>4.7887637007409507E-2</v>
      </c>
      <c r="E105" s="764">
        <f t="shared" si="8"/>
        <v>-0.23036998763084426</v>
      </c>
      <c r="F105" s="765"/>
      <c r="G105" s="575"/>
      <c r="H105" s="575"/>
      <c r="I105" s="575"/>
      <c r="J105" s="575"/>
      <c r="K105" s="575"/>
      <c r="L105" s="575"/>
    </row>
    <row r="106" spans="2:12">
      <c r="B106" s="575"/>
      <c r="C106" s="575"/>
      <c r="D106" s="575"/>
      <c r="E106" s="575"/>
      <c r="F106" s="575"/>
      <c r="G106" s="575"/>
      <c r="H106" s="575"/>
      <c r="I106" s="575"/>
      <c r="J106" s="575"/>
      <c r="K106" s="575"/>
      <c r="L106" s="575"/>
    </row>
    <row r="107" spans="2:12">
      <c r="B107" s="575"/>
      <c r="C107" s="575"/>
      <c r="D107" s="575"/>
      <c r="E107" s="575"/>
      <c r="F107" s="575"/>
      <c r="G107" s="575"/>
      <c r="H107" s="575"/>
      <c r="I107" s="575"/>
      <c r="J107" s="575"/>
      <c r="K107" s="575"/>
      <c r="L107" s="575"/>
    </row>
    <row r="108" spans="2:12" ht="15" thickBot="1">
      <c r="B108" s="1106" t="s">
        <v>1168</v>
      </c>
      <c r="C108" s="1106"/>
      <c r="D108" s="1106"/>
      <c r="E108" s="1106"/>
      <c r="F108" s="1106"/>
      <c r="G108" s="758"/>
      <c r="H108" s="758"/>
      <c r="I108" s="758"/>
      <c r="J108" s="758"/>
      <c r="K108" s="758"/>
      <c r="L108" s="229" t="s">
        <v>272</v>
      </c>
    </row>
    <row r="109" spans="2:12" ht="30" customHeight="1">
      <c r="B109" s="392" t="s">
        <v>281</v>
      </c>
      <c r="C109" s="528" t="s">
        <v>51</v>
      </c>
      <c r="D109" s="528" t="s">
        <v>285</v>
      </c>
      <c r="E109" s="528" t="s">
        <v>286</v>
      </c>
      <c r="F109" s="528" t="s">
        <v>878</v>
      </c>
      <c r="G109" s="528" t="s">
        <v>882</v>
      </c>
      <c r="H109" s="528" t="s">
        <v>1159</v>
      </c>
      <c r="I109" s="528" t="s">
        <v>1155</v>
      </c>
      <c r="J109" s="386"/>
      <c r="K109" s="386"/>
      <c r="L109" s="386"/>
    </row>
    <row r="110" spans="2:12">
      <c r="B110" s="230" t="s">
        <v>276</v>
      </c>
      <c r="C110" s="354">
        <f>IF(SUM($C$65:C65)=0,0,SUM($C122:C122)/(SUM($C$65:C65)*$M$95))</f>
        <v>0.82188842545856777</v>
      </c>
      <c r="D110" s="354">
        <f>IF(SUM($C$65:D65)=0,0,SUM($C122:D122)/(SUM($C$65:D65)*$M$95))</f>
        <v>0.62735098963468894</v>
      </c>
      <c r="E110" s="354">
        <f>IF(SUM($C$65:E65)=0,0,SUM($C122:E122)/(SUM($C$65:E65)*$M$95))</f>
        <v>0.57203387331446043</v>
      </c>
      <c r="F110" s="355">
        <f>IF(SUM($C$65:F65)=0,0,SUM($C122:F122)/(SUM($C$65:F65)*$M$95))</f>
        <v>0.55833577427327363</v>
      </c>
      <c r="G110" s="355">
        <f>IF(SUM($C$65:G65)=0,0,SUM($C122:G122)/(SUM($C$65:G65)*$M$95))</f>
        <v>0.54749138687029264</v>
      </c>
      <c r="H110" s="355">
        <f>IF(SUM($C$65:H65)=0,0,SUM($C122:H122)/(SUM($C$65:H65)*$M$95))</f>
        <v>0.53893465255357365</v>
      </c>
      <c r="I110" s="355">
        <f>IF(SUM($C$65:I65)=0,0,SUM($C122:I122)/(SUM($C$65:I65)*$M$95))</f>
        <v>0.52302540446346235</v>
      </c>
      <c r="J110" s="575"/>
      <c r="K110" s="575"/>
      <c r="L110" s="575"/>
    </row>
    <row r="111" spans="2:12">
      <c r="B111" s="579" t="s">
        <v>277</v>
      </c>
      <c r="C111" s="611">
        <f>IF(SUM($C$67:C67)=0,0,SUM($C124:C124)/(SUM($C$67:C67)*$M$95))</f>
        <v>1.2478693301722987</v>
      </c>
      <c r="D111" s="611">
        <f>IF(SUM($C$67:D67)=0,0,SUM($C124:D124)/(SUM($C$67:D67)*$M$95))</f>
        <v>0.60930661849610956</v>
      </c>
      <c r="E111" s="611">
        <f>IF(SUM($C$67:E67)=0,0,SUM($C124:E124)/(SUM($C$67:E67)*$M$95))</f>
        <v>0.45877394575464653</v>
      </c>
      <c r="F111" s="611">
        <f>IF(SUM($C$67:F67)=0,0,SUM($C124:F124)/(SUM($C$67:F67)*$M$95))</f>
        <v>0.43431995949608188</v>
      </c>
      <c r="G111" s="611">
        <f>IF(SUM($C$67:G67)=0,0,SUM($C124:G124)/(SUM($C$67:G67)*$M$95))</f>
        <v>0.42649516569446522</v>
      </c>
      <c r="H111" s="611">
        <f>IF(SUM($C$67:H67)=0,0,SUM($C124:H124)/(SUM($C$67:H67)*$M$95))</f>
        <v>0.41800939208645882</v>
      </c>
      <c r="I111" s="611">
        <f>IF(SUM($C$67:I67)=0,0,SUM($C124:I124)/(SUM($C$67:I67)*$M$95))</f>
        <v>0.40245565250868448</v>
      </c>
      <c r="J111" s="575"/>
      <c r="K111" s="575"/>
      <c r="L111" s="575"/>
    </row>
    <row r="112" spans="2:12">
      <c r="B112" s="579" t="s">
        <v>278</v>
      </c>
      <c r="C112" s="611">
        <f>IF(SUM($C$70:C70)=0,0,SUM($C129:C129)/ABS(SUM($C$70:C70)*$M$95))</f>
        <v>1.3791754237288136</v>
      </c>
      <c r="D112" s="611">
        <f>IF(SUM($C$70:D70)=0,0,SUM($C129:D129)/ABS(SUM($C$70:D70)*$M$95))</f>
        <v>0.20339512083184438</v>
      </c>
      <c r="E112" s="611">
        <f>IF(SUM($C$70:E70)=0,0,SUM($C129:E129)/ABS(SUM($C$70:E70)*$M$95))</f>
        <v>6.9014177702100624E-2</v>
      </c>
      <c r="F112" s="611">
        <f>IF(SUM($C$70:F70)=0,0,SUM($C129:F129)/ABS(SUM($C$70:F70)*$M$95))</f>
        <v>4.9323352288058522E-2</v>
      </c>
      <c r="G112" s="611">
        <f>IF(SUM($C$70:G70)=0,0,SUM($C129:G129)/ABS(SUM($C$70:G70)*$M$95))</f>
        <v>7.5133051351497143E-2</v>
      </c>
      <c r="H112" s="611">
        <f>IF(SUM($C$70:H70)=0,0,SUM($C129:H129)/ABS(SUM($C$70:H70)*$M$95))</f>
        <v>6.9994388392046483E-2</v>
      </c>
      <c r="I112" s="611">
        <f>IF(SUM($C$70:I70)=0,0,SUM($C129:I129)/ABS(SUM($C$70:I70)*$M$95))</f>
        <v>6.4477080935224917E-2</v>
      </c>
      <c r="J112" s="575"/>
      <c r="K112" s="575"/>
      <c r="L112" s="575"/>
    </row>
    <row r="113" spans="2:16">
      <c r="B113" s="579" t="s">
        <v>268</v>
      </c>
      <c r="C113" s="766">
        <f>IF(SUM($C$74:C74)=0,0,SUM($C133:C133)/ABS(SUM($C$74:C74)*$M$95))</f>
        <v>1.1413328239608802</v>
      </c>
      <c r="D113" s="766">
        <f>IF(SUM($C$74:D74)=0,0,SUM($C133:D133)/ABS(SUM($C$74:D74)*$M$95))</f>
        <v>0.34043079258049191</v>
      </c>
      <c r="E113" s="766">
        <f>IF(SUM($C$74:E74)=0,0,SUM($C133:E133)/ABS(SUM($C$74:E74)*$M$95))</f>
        <v>9.3082581778378609E-2</v>
      </c>
      <c r="F113" s="766">
        <f>IF(SUM($C$74:F74)=0,0,SUM($C133:F133)/ABS(SUM($C$74:F74)*$M$95))</f>
        <v>6.3297385579700091E-2</v>
      </c>
      <c r="G113" s="766">
        <f>IF(SUM($C$74:G74)=0,0,SUM($C133:G133)/ABS(SUM($C$74:G74)*$M$95))</f>
        <v>0.10503631671183339</v>
      </c>
      <c r="H113" s="766">
        <f>IF(SUM($C$74:H74)=0,0,SUM($C133:H133)/ABS(SUM($C$74:H74)*$M$95))</f>
        <v>9.8570783038921972E-2</v>
      </c>
      <c r="I113" s="766">
        <f>IF(SUM($C$74:I74)=0,0,SUM($C133:I133)/ABS(SUM($C$74:I74)*$M$95))</f>
        <v>9.0011731923469243E-2</v>
      </c>
      <c r="J113" s="575"/>
      <c r="K113" s="575"/>
      <c r="L113" s="575"/>
      <c r="M113" s="575"/>
      <c r="N113" s="575"/>
      <c r="O113" s="575"/>
      <c r="P113" s="575"/>
    </row>
    <row r="114" spans="2:16">
      <c r="B114" s="575"/>
      <c r="C114" s="575"/>
      <c r="D114" s="575"/>
      <c r="E114" s="575"/>
      <c r="F114" s="575"/>
      <c r="G114" s="575"/>
      <c r="H114" s="575"/>
      <c r="I114" s="575"/>
      <c r="J114" s="575"/>
      <c r="K114" s="575"/>
      <c r="L114" s="575"/>
      <c r="M114" s="575"/>
      <c r="N114" s="575"/>
      <c r="O114" s="575"/>
      <c r="P114" s="575"/>
    </row>
    <row r="115" spans="2:16">
      <c r="B115" s="579"/>
      <c r="C115" s="579"/>
      <c r="D115" s="579"/>
      <c r="E115" s="579"/>
      <c r="F115" s="579"/>
      <c r="G115" s="579"/>
      <c r="H115" s="575"/>
      <c r="I115" s="575"/>
      <c r="J115" s="575"/>
      <c r="K115" s="575"/>
      <c r="L115" s="575"/>
      <c r="M115" s="575"/>
      <c r="N115" s="575"/>
      <c r="O115" s="575"/>
      <c r="P115" s="575"/>
    </row>
    <row r="116" spans="2:16">
      <c r="B116" s="575"/>
      <c r="C116" s="767"/>
      <c r="D116" s="767"/>
      <c r="E116" s="767"/>
      <c r="F116" s="575"/>
      <c r="G116" s="575"/>
      <c r="H116" s="575"/>
      <c r="I116" s="575"/>
      <c r="J116" s="575"/>
      <c r="K116" s="575"/>
      <c r="L116" s="575"/>
      <c r="M116" s="575"/>
      <c r="N116" s="575"/>
      <c r="O116" s="575"/>
      <c r="P116" s="575"/>
    </row>
    <row r="117" spans="2:16" ht="15" thickBot="1">
      <c r="B117" s="1106" t="s">
        <v>1169</v>
      </c>
      <c r="C117" s="1106"/>
      <c r="D117" s="1106"/>
      <c r="E117" s="1106"/>
      <c r="F117" s="1106"/>
      <c r="G117" s="758"/>
      <c r="H117" s="758"/>
      <c r="I117" s="758"/>
      <c r="J117" s="758"/>
      <c r="K117" s="758"/>
      <c r="L117" s="229" t="s">
        <v>272</v>
      </c>
      <c r="M117" s="758"/>
      <c r="N117" s="758"/>
      <c r="O117" s="758"/>
      <c r="P117" s="575"/>
    </row>
    <row r="118" spans="2:16">
      <c r="B118" s="583" t="s">
        <v>319</v>
      </c>
      <c r="C118" s="768"/>
      <c r="D118" s="768"/>
      <c r="E118" s="768"/>
      <c r="F118" s="583"/>
      <c r="G118" s="583"/>
      <c r="H118" s="583"/>
      <c r="I118" s="583"/>
      <c r="J118" s="583"/>
      <c r="K118" s="583"/>
      <c r="L118" s="583"/>
      <c r="M118" s="583"/>
      <c r="N118" s="583"/>
      <c r="O118" s="583"/>
      <c r="P118" s="583"/>
    </row>
    <row r="119" spans="2:16">
      <c r="B119" s="575"/>
      <c r="C119" s="767"/>
      <c r="D119" s="767"/>
      <c r="E119" s="767"/>
      <c r="F119" s="575"/>
      <c r="G119" s="575"/>
      <c r="H119" s="575"/>
      <c r="I119" s="575"/>
      <c r="J119" s="575"/>
      <c r="K119" s="575"/>
      <c r="L119" s="575"/>
      <c r="M119" s="575"/>
      <c r="N119" s="575"/>
      <c r="O119" s="575"/>
      <c r="P119" s="575"/>
    </row>
    <row r="120" spans="2:16" ht="30" customHeight="1">
      <c r="B120" s="392" t="s">
        <v>281</v>
      </c>
      <c r="C120" s="386" t="s">
        <v>51</v>
      </c>
      <c r="D120" s="386" t="s">
        <v>52</v>
      </c>
      <c r="E120" s="386" t="s">
        <v>53</v>
      </c>
      <c r="F120" s="386" t="s">
        <v>54</v>
      </c>
      <c r="G120" s="386" t="s">
        <v>55</v>
      </c>
      <c r="H120" s="386" t="s">
        <v>56</v>
      </c>
      <c r="I120" s="386" t="s">
        <v>57</v>
      </c>
      <c r="J120" s="386" t="s">
        <v>58</v>
      </c>
      <c r="K120" s="386" t="s">
        <v>59</v>
      </c>
      <c r="L120" s="386" t="s">
        <v>60</v>
      </c>
      <c r="M120" s="386" t="s">
        <v>61</v>
      </c>
      <c r="N120" s="386" t="s">
        <v>62</v>
      </c>
      <c r="O120" s="386" t="s">
        <v>16</v>
      </c>
      <c r="P120" s="386" t="s">
        <v>1163</v>
      </c>
    </row>
    <row r="121" spans="2:16">
      <c r="B121" s="583" t="s">
        <v>293</v>
      </c>
      <c r="C121" s="583"/>
      <c r="D121" s="583"/>
      <c r="E121" s="583"/>
      <c r="F121" s="583"/>
      <c r="G121" s="583"/>
      <c r="H121" s="583"/>
      <c r="I121" s="583"/>
      <c r="J121" s="583"/>
      <c r="K121" s="583"/>
      <c r="L121" s="583"/>
      <c r="M121" s="583"/>
      <c r="N121" s="583"/>
      <c r="O121" s="583"/>
      <c r="P121" s="583"/>
    </row>
    <row r="122" spans="2:16">
      <c r="B122" s="579" t="s">
        <v>276</v>
      </c>
      <c r="C122" s="529">
        <f>'Modelo Base'!F51</f>
        <v>612247701</v>
      </c>
      <c r="D122" s="529">
        <f>'Modelo Base'!G51</f>
        <v>744218137</v>
      </c>
      <c r="E122" s="529">
        <f>'Modelo Base'!H51</f>
        <v>787041187</v>
      </c>
      <c r="F122" s="529">
        <f>'Modelo Base'!I51</f>
        <v>750867662</v>
      </c>
      <c r="G122" s="529">
        <f>'Modelo Base'!J51</f>
        <v>826514746</v>
      </c>
      <c r="H122" s="529">
        <f>'Modelo Base'!K51</f>
        <v>751453314</v>
      </c>
      <c r="I122" s="529">
        <f>'Modelo Base'!L51</f>
        <v>679890552</v>
      </c>
      <c r="J122" s="532">
        <f>'Modelo Base'!M51</f>
        <v>1573626071.4285715</v>
      </c>
      <c r="K122" s="532">
        <f>'Modelo Base'!N51</f>
        <v>1665041428.5714285</v>
      </c>
      <c r="L122" s="532">
        <f>'Modelo Base'!O51</f>
        <v>1756456785.7142859</v>
      </c>
      <c r="M122" s="532">
        <f>'Modelo Base'!P51</f>
        <v>1847872142.8571429</v>
      </c>
      <c r="N122" s="532">
        <f>'Modelo Base'!Q51</f>
        <v>1939287500</v>
      </c>
      <c r="O122" s="352">
        <f>SUM(C122:N122)</f>
        <v>13934517227.57143</v>
      </c>
      <c r="P122" s="535">
        <f>SUM(C122:I122)</f>
        <v>5152233299</v>
      </c>
    </row>
    <row r="123" spans="2:16">
      <c r="B123" s="575" t="s">
        <v>255</v>
      </c>
      <c r="C123" s="530">
        <f>'Modelo Base'!F52</f>
        <v>238535794</v>
      </c>
      <c r="D123" s="530">
        <f>'Modelo Base'!G52</f>
        <v>343308791</v>
      </c>
      <c r="E123" s="530">
        <f>'Modelo Base'!H52</f>
        <v>455639201</v>
      </c>
      <c r="F123" s="530">
        <f>'Modelo Base'!I52</f>
        <v>379273594</v>
      </c>
      <c r="G123" s="530">
        <f>'Modelo Base'!J52</f>
        <v>355470523</v>
      </c>
      <c r="H123" s="530">
        <f>'Modelo Base'!K52</f>
        <v>348477606</v>
      </c>
      <c r="I123" s="530">
        <f>'Modelo Base'!L52</f>
        <v>321917838</v>
      </c>
      <c r="J123" s="533">
        <f>'Modelo Base'!M52</f>
        <v>352521060.41666663</v>
      </c>
      <c r="K123" s="533">
        <f>'Modelo Base'!N52</f>
        <v>352521060.41666663</v>
      </c>
      <c r="L123" s="533">
        <f>'Modelo Base'!O52</f>
        <v>352521060.41666663</v>
      </c>
      <c r="M123" s="533">
        <f>'Modelo Base'!P52</f>
        <v>362550219.41666663</v>
      </c>
      <c r="N123" s="533">
        <f>'Modelo Base'!Q52</f>
        <v>362550219.41666663</v>
      </c>
      <c r="O123" s="356">
        <f>SUM(C123:N123)</f>
        <v>4225286967.0833325</v>
      </c>
      <c r="P123" s="536">
        <f>SUM(C123:I123)</f>
        <v>2442623347</v>
      </c>
    </row>
    <row r="124" spans="2:16">
      <c r="B124" s="579" t="s">
        <v>277</v>
      </c>
      <c r="C124" s="529">
        <f>'Modelo Base'!F53</f>
        <v>373711907</v>
      </c>
      <c r="D124" s="529">
        <f>'Modelo Base'!G53</f>
        <v>400909346</v>
      </c>
      <c r="E124" s="529">
        <f>'Modelo Base'!H53</f>
        <v>331401986</v>
      </c>
      <c r="F124" s="529">
        <f>'Modelo Base'!I53</f>
        <v>371594068</v>
      </c>
      <c r="G124" s="529">
        <f>'Modelo Base'!J53</f>
        <v>471044223</v>
      </c>
      <c r="H124" s="529">
        <f>'Modelo Base'!K53</f>
        <v>402975708</v>
      </c>
      <c r="I124" s="529">
        <f>'Modelo Base'!L53</f>
        <v>357972714</v>
      </c>
      <c r="J124" s="532">
        <f>'Modelo Base'!M53</f>
        <v>1221105011.0119047</v>
      </c>
      <c r="K124" s="532">
        <f>'Modelo Base'!N53</f>
        <v>1312520368.1547618</v>
      </c>
      <c r="L124" s="532">
        <f>'Modelo Base'!O53</f>
        <v>1403935725.2976193</v>
      </c>
      <c r="M124" s="532">
        <f>'Modelo Base'!P53</f>
        <v>1485321923.4404764</v>
      </c>
      <c r="N124" s="532">
        <f>'Modelo Base'!Q53</f>
        <v>1576737280.5833335</v>
      </c>
      <c r="O124" s="352">
        <f>SUM(C124:N124)</f>
        <v>9709230260.4880943</v>
      </c>
      <c r="P124" s="535">
        <f>SUM(C124:I124)</f>
        <v>2709609952</v>
      </c>
    </row>
    <row r="125" spans="2:16">
      <c r="B125" s="769" t="s">
        <v>282</v>
      </c>
      <c r="C125" s="531">
        <f t="shared" ref="C125:O125" si="9">IF(C122=0,0,C124/C122)</f>
        <v>0.6103933202029288</v>
      </c>
      <c r="D125" s="531">
        <f t="shared" si="9"/>
        <v>0.53869870414082643</v>
      </c>
      <c r="E125" s="531">
        <f t="shared" si="9"/>
        <v>0.42107324429007298</v>
      </c>
      <c r="F125" s="531">
        <f t="shared" si="9"/>
        <v>0.49488623202952642</v>
      </c>
      <c r="G125" s="531">
        <f t="shared" si="9"/>
        <v>0.56991629644802488</v>
      </c>
      <c r="H125" s="531">
        <f t="shared" si="9"/>
        <v>0.53626180162138459</v>
      </c>
      <c r="I125" s="531">
        <f t="shared" si="9"/>
        <v>0.52651520593567536</v>
      </c>
      <c r="J125" s="534">
        <f t="shared" si="9"/>
        <v>0.7759816853462268</v>
      </c>
      <c r="K125" s="534">
        <f t="shared" si="9"/>
        <v>0.78828090738911971</v>
      </c>
      <c r="L125" s="534">
        <f t="shared" si="9"/>
        <v>0.79929989551475966</v>
      </c>
      <c r="M125" s="534">
        <f t="shared" si="9"/>
        <v>0.80380124197548719</v>
      </c>
      <c r="N125" s="534">
        <f t="shared" si="9"/>
        <v>0.81304978275956175</v>
      </c>
      <c r="O125" s="357">
        <f t="shared" si="9"/>
        <v>0.69677550373090769</v>
      </c>
      <c r="P125" s="531">
        <f>IF(P122=0,0,P124/P122)</f>
        <v>0.52590979382201308</v>
      </c>
    </row>
    <row r="126" spans="2:16">
      <c r="B126" s="575" t="s">
        <v>283</v>
      </c>
      <c r="C126" s="530">
        <f>'Modelo Base'!F56</f>
        <v>98722435</v>
      </c>
      <c r="D126" s="530">
        <f>'Modelo Base'!G56</f>
        <v>105633472</v>
      </c>
      <c r="E126" s="530">
        <f>'Modelo Base'!H56</f>
        <v>141811865</v>
      </c>
      <c r="F126" s="530">
        <f>'Modelo Base'!I56</f>
        <v>114280887</v>
      </c>
      <c r="G126" s="530">
        <f>'Modelo Base'!J56</f>
        <v>116808824</v>
      </c>
      <c r="H126" s="530">
        <f>'Modelo Base'!K56</f>
        <v>112288693</v>
      </c>
      <c r="I126" s="530">
        <f>'Modelo Base'!L56</f>
        <v>107932742</v>
      </c>
      <c r="J126" s="533">
        <f>'Modelo Base'!M56</f>
        <v>135399979.66666666</v>
      </c>
      <c r="K126" s="533">
        <f>'Modelo Base'!N56</f>
        <v>135399979.66666666</v>
      </c>
      <c r="L126" s="533">
        <f>'Modelo Base'!O56</f>
        <v>135399979.66666666</v>
      </c>
      <c r="M126" s="533">
        <f>'Modelo Base'!P56</f>
        <v>135399979.66666666</v>
      </c>
      <c r="N126" s="533">
        <f>'Modelo Base'!Q56</f>
        <v>135399979.66666666</v>
      </c>
      <c r="O126" s="356">
        <f>SUM(C126:N126)</f>
        <v>1474478816.3333335</v>
      </c>
      <c r="P126" s="536">
        <f>SUM(C126:I126)</f>
        <v>797478918</v>
      </c>
    </row>
    <row r="127" spans="2:16">
      <c r="B127" s="575" t="s">
        <v>284</v>
      </c>
      <c r="C127" s="530">
        <f>'Modelo Base'!F57</f>
        <v>131600259</v>
      </c>
      <c r="D127" s="530">
        <f>'Modelo Base'!G57</f>
        <v>173632204</v>
      </c>
      <c r="E127" s="530">
        <f>'Modelo Base'!H57</f>
        <v>139615776</v>
      </c>
      <c r="F127" s="530">
        <f>'Modelo Base'!I57</f>
        <v>130090415</v>
      </c>
      <c r="G127" s="530">
        <f>'Modelo Base'!J57</f>
        <v>120233213</v>
      </c>
      <c r="H127" s="530">
        <f>'Modelo Base'!K57</f>
        <v>146803460</v>
      </c>
      <c r="I127" s="530">
        <f>'Modelo Base'!L57</f>
        <v>117761236</v>
      </c>
      <c r="J127" s="533">
        <f>'Modelo Base'!M57</f>
        <v>230883032.25</v>
      </c>
      <c r="K127" s="533">
        <f>'Modelo Base'!N57</f>
        <v>230883032.25</v>
      </c>
      <c r="L127" s="533">
        <f>'Modelo Base'!O57</f>
        <v>230883032.25</v>
      </c>
      <c r="M127" s="533">
        <f>'Modelo Base'!P57</f>
        <v>237664417.25</v>
      </c>
      <c r="N127" s="533">
        <f>'Modelo Base'!Q57</f>
        <v>237664417.25</v>
      </c>
      <c r="O127" s="356">
        <f>SUM(C127:N127)</f>
        <v>2127714494.25</v>
      </c>
      <c r="P127" s="536">
        <f>SUM(C127:I127)</f>
        <v>959736563</v>
      </c>
    </row>
    <row r="128" spans="2:16">
      <c r="B128" s="575" t="s">
        <v>294</v>
      </c>
      <c r="C128" s="530">
        <f>'Modelo Base'!F58</f>
        <v>73409852</v>
      </c>
      <c r="D128" s="530">
        <f>'Modelo Base'!G58</f>
        <v>75509638</v>
      </c>
      <c r="E128" s="530">
        <f>'Modelo Base'!H58</f>
        <v>72217138</v>
      </c>
      <c r="F128" s="530">
        <f>'Modelo Base'!I58</f>
        <v>122384514</v>
      </c>
      <c r="G128" s="530">
        <f>'Modelo Base'!J58</f>
        <v>120992711</v>
      </c>
      <c r="H128" s="530">
        <f>'Modelo Base'!K58</f>
        <v>108908060</v>
      </c>
      <c r="I128" s="530">
        <f>'Modelo Base'!L58</f>
        <v>102936374</v>
      </c>
      <c r="J128" s="533">
        <f>'Modelo Base'!M58</f>
        <v>113025240.66666666</v>
      </c>
      <c r="K128" s="533">
        <f>'Modelo Base'!N58</f>
        <v>113025240.66666666</v>
      </c>
      <c r="L128" s="533">
        <f>'Modelo Base'!O58</f>
        <v>113025240.66666666</v>
      </c>
      <c r="M128" s="533">
        <f>'Modelo Base'!P58</f>
        <v>113025240.66666666</v>
      </c>
      <c r="N128" s="533">
        <f>'Modelo Base'!Q58</f>
        <v>113025240.66666666</v>
      </c>
      <c r="O128" s="356">
        <f>SUM(C128:N128)</f>
        <v>1241484490.3333333</v>
      </c>
      <c r="P128" s="536">
        <f>SUM(C128:I128)</f>
        <v>676358287</v>
      </c>
    </row>
    <row r="129" spans="2:16">
      <c r="B129" s="579" t="s">
        <v>278</v>
      </c>
      <c r="C129" s="529">
        <f>'Modelo Base'!F59</f>
        <v>69979361</v>
      </c>
      <c r="D129" s="529">
        <f>'Modelo Base'!G59</f>
        <v>46134032</v>
      </c>
      <c r="E129" s="529">
        <f>'Modelo Base'!H59</f>
        <v>-22242793</v>
      </c>
      <c r="F129" s="529">
        <f>'Modelo Base'!I59</f>
        <v>4838252</v>
      </c>
      <c r="G129" s="529">
        <f>'Modelo Base'!J59</f>
        <v>113009475</v>
      </c>
      <c r="H129" s="529">
        <f>'Modelo Base'!K59</f>
        <v>34975495</v>
      </c>
      <c r="I129" s="529">
        <f>'Modelo Base'!L59</f>
        <v>29342362</v>
      </c>
      <c r="J129" s="532">
        <f>'Modelo Base'!M59</f>
        <v>741796758.42857134</v>
      </c>
      <c r="K129" s="532">
        <f>'Modelo Base'!N59</f>
        <v>833212115.57142842</v>
      </c>
      <c r="L129" s="532">
        <f>'Modelo Base'!O59</f>
        <v>924627472.71428597</v>
      </c>
      <c r="M129" s="532">
        <f>'Modelo Base'!P59</f>
        <v>999232285.85714304</v>
      </c>
      <c r="N129" s="532">
        <f>'Modelo Base'!Q59</f>
        <v>1090647643</v>
      </c>
      <c r="O129" s="352">
        <f>SUM(C129:N129)</f>
        <v>4865552459.5714283</v>
      </c>
      <c r="P129" s="535">
        <f>SUM(C129:I129)</f>
        <v>276036184</v>
      </c>
    </row>
    <row r="130" spans="2:16">
      <c r="B130" s="769" t="s">
        <v>279</v>
      </c>
      <c r="C130" s="531">
        <f t="shared" ref="C130:O130" si="10">IF(C122=0,0,C129/C122)</f>
        <v>0.11429909967109864</v>
      </c>
      <c r="D130" s="531">
        <f t="shared" si="10"/>
        <v>6.1989932395318657E-2</v>
      </c>
      <c r="E130" s="531">
        <f t="shared" si="10"/>
        <v>-2.8261282087134278E-2</v>
      </c>
      <c r="F130" s="531">
        <f t="shared" si="10"/>
        <v>6.4435482373989888E-3</v>
      </c>
      <c r="G130" s="531">
        <f t="shared" si="10"/>
        <v>0.13673013766169395</v>
      </c>
      <c r="H130" s="531">
        <f t="shared" si="10"/>
        <v>4.6543802986009589E-2</v>
      </c>
      <c r="I130" s="531">
        <f t="shared" si="10"/>
        <v>4.3157478676067854E-2</v>
      </c>
      <c r="J130" s="534">
        <f t="shared" si="10"/>
        <v>0.47139328198544167</v>
      </c>
      <c r="K130" s="534">
        <f t="shared" si="10"/>
        <v>0.50041524569530227</v>
      </c>
      <c r="L130" s="534">
        <f t="shared" si="10"/>
        <v>0.5264162945735521</v>
      </c>
      <c r="M130" s="534">
        <f t="shared" si="10"/>
        <v>0.54074752396675563</v>
      </c>
      <c r="N130" s="534">
        <f t="shared" si="10"/>
        <v>0.56239605679921101</v>
      </c>
      <c r="O130" s="357">
        <f t="shared" si="10"/>
        <v>0.34917266096196276</v>
      </c>
      <c r="P130" s="531">
        <f>IF(P122=0,0,P129/P122)</f>
        <v>5.3576025769946412E-2</v>
      </c>
    </row>
    <row r="131" spans="2:16">
      <c r="B131" s="575" t="s">
        <v>295</v>
      </c>
      <c r="C131" s="530">
        <f>'Modelo Base'!F67</f>
        <v>63485497</v>
      </c>
      <c r="D131" s="530">
        <f>'Modelo Base'!G67</f>
        <v>54048915</v>
      </c>
      <c r="E131" s="530">
        <f>'Modelo Base'!H67</f>
        <v>-37938007</v>
      </c>
      <c r="F131" s="530">
        <f>'Modelo Base'!I67</f>
        <v>706203</v>
      </c>
      <c r="G131" s="530">
        <f>'Modelo Base'!J67</f>
        <v>108374968</v>
      </c>
      <c r="H131" s="530">
        <f>'Modelo Base'!K67</f>
        <v>33343650</v>
      </c>
      <c r="I131" s="530">
        <f>'Modelo Base'!L67</f>
        <v>24707052</v>
      </c>
      <c r="J131" s="533">
        <f>'Modelo Base'!M67</f>
        <v>740804512.48690462</v>
      </c>
      <c r="K131" s="533">
        <f>'Modelo Base'!N67</f>
        <v>832159972.40587282</v>
      </c>
      <c r="L131" s="533">
        <f>'Modelo Base'!O67</f>
        <v>923516430.61190629</v>
      </c>
      <c r="M131" s="533">
        <f>'Modelo Base'!P67</f>
        <v>998063326.4668864</v>
      </c>
      <c r="N131" s="533">
        <f>'Modelo Base'!Q67</f>
        <v>1089421731.6099977</v>
      </c>
      <c r="O131" s="356">
        <f>SUM(C131:N131)</f>
        <v>4830694251.5815678</v>
      </c>
      <c r="P131" s="536">
        <f>SUM(C131:I131)</f>
        <v>246728278</v>
      </c>
    </row>
    <row r="132" spans="2:16">
      <c r="B132" s="575" t="s">
        <v>267</v>
      </c>
      <c r="C132" s="530">
        <f>'Modelo Base'!F69</f>
        <v>0</v>
      </c>
      <c r="D132" s="530">
        <f>'Modelo Base'!G69</f>
        <v>0</v>
      </c>
      <c r="E132" s="530">
        <f>'Modelo Base'!H69</f>
        <v>0</v>
      </c>
      <c r="F132" s="530">
        <f>'Modelo Base'!I69</f>
        <v>0</v>
      </c>
      <c r="G132" s="530">
        <f>'Modelo Base'!J69</f>
        <v>0</v>
      </c>
      <c r="H132" s="530">
        <f>'Modelo Base'!K69</f>
        <v>0</v>
      </c>
      <c r="I132" s="530">
        <f>'Modelo Base'!L69</f>
        <v>0</v>
      </c>
      <c r="J132" s="533">
        <f>'Modelo Base'!M69</f>
        <v>259281579.37041661</v>
      </c>
      <c r="K132" s="533">
        <f>'Modelo Base'!N69</f>
        <v>291255990.34205544</v>
      </c>
      <c r="L132" s="533">
        <f>'Modelo Base'!O69</f>
        <v>323230750.71416718</v>
      </c>
      <c r="M132" s="533">
        <f>'Modelo Base'!P69</f>
        <v>349322164.26341021</v>
      </c>
      <c r="N132" s="533">
        <f>'Modelo Base'!Q69</f>
        <v>381297606.06349921</v>
      </c>
      <c r="O132" s="356">
        <f>SUM(C132:N132)</f>
        <v>1604388090.7535489</v>
      </c>
      <c r="P132" s="536">
        <f>SUM(C132:I132)</f>
        <v>0</v>
      </c>
    </row>
    <row r="133" spans="2:16">
      <c r="B133" s="231" t="s">
        <v>268</v>
      </c>
      <c r="C133" s="529">
        <f>'Modelo Base'!F70</f>
        <v>63485497</v>
      </c>
      <c r="D133" s="529">
        <f>'Modelo Base'!G70</f>
        <v>54048915</v>
      </c>
      <c r="E133" s="529">
        <f>'Modelo Base'!H70</f>
        <v>-37938007</v>
      </c>
      <c r="F133" s="529">
        <f>'Modelo Base'!I70</f>
        <v>706203</v>
      </c>
      <c r="G133" s="529">
        <f>'Modelo Base'!J70</f>
        <v>108374968</v>
      </c>
      <c r="H133" s="529">
        <f>'Modelo Base'!K70</f>
        <v>33343650</v>
      </c>
      <c r="I133" s="529">
        <f>'Modelo Base'!L70</f>
        <v>24707052</v>
      </c>
      <c r="J133" s="532">
        <f>'Modelo Base'!M70</f>
        <v>481522933.11648798</v>
      </c>
      <c r="K133" s="532">
        <f>'Modelo Base'!N70</f>
        <v>540903982.06381738</v>
      </c>
      <c r="L133" s="532">
        <f>'Modelo Base'!O70</f>
        <v>600285679.89773917</v>
      </c>
      <c r="M133" s="532">
        <f>'Modelo Base'!P70</f>
        <v>648741162.20347619</v>
      </c>
      <c r="N133" s="532">
        <f>'Modelo Base'!Q70</f>
        <v>708124125.54649854</v>
      </c>
      <c r="O133" s="352">
        <f>SUM(C133:N133)</f>
        <v>3226306160.8280191</v>
      </c>
      <c r="P133" s="535">
        <f>SUM(C133:I133)</f>
        <v>246728278</v>
      </c>
    </row>
    <row r="134" spans="2:16">
      <c r="B134" s="769" t="s">
        <v>280</v>
      </c>
      <c r="C134" s="531">
        <f t="shared" ref="C134:O134" si="11">IF(C122=0,0,C133/C122)</f>
        <v>0.10369250369794365</v>
      </c>
      <c r="D134" s="531">
        <f t="shared" si="11"/>
        <v>7.2625097821285692E-2</v>
      </c>
      <c r="E134" s="531">
        <f t="shared" si="11"/>
        <v>-4.820333119364438E-2</v>
      </c>
      <c r="F134" s="531">
        <f t="shared" si="11"/>
        <v>9.4051593341890386E-4</v>
      </c>
      <c r="G134" s="531">
        <f t="shared" si="11"/>
        <v>0.13112284871442573</v>
      </c>
      <c r="H134" s="531">
        <f t="shared" si="11"/>
        <v>4.4372217646511038E-2</v>
      </c>
      <c r="I134" s="531">
        <f t="shared" si="11"/>
        <v>3.6339748989481474E-2</v>
      </c>
      <c r="J134" s="534">
        <f t="shared" si="11"/>
        <v>0.3059957774335495</v>
      </c>
      <c r="K134" s="534">
        <f t="shared" si="11"/>
        <v>0.32485917334075098</v>
      </c>
      <c r="L134" s="534">
        <f t="shared" si="11"/>
        <v>0.34175943568894879</v>
      </c>
      <c r="M134" s="534">
        <f t="shared" si="11"/>
        <v>0.35107470217090109</v>
      </c>
      <c r="N134" s="534">
        <f t="shared" si="11"/>
        <v>0.36514654250414058</v>
      </c>
      <c r="O134" s="764">
        <f t="shared" si="11"/>
        <v>0.23153340070112455</v>
      </c>
      <c r="P134" s="531">
        <f>IF(P122=0,0,P133/P122)</f>
        <v>4.7887637007409514E-2</v>
      </c>
    </row>
    <row r="135" spans="2:16">
      <c r="B135" s="769"/>
      <c r="C135" s="770"/>
      <c r="D135" s="770"/>
      <c r="E135" s="770"/>
      <c r="F135" s="770"/>
      <c r="G135" s="770"/>
      <c r="H135" s="770"/>
      <c r="I135" s="770"/>
      <c r="J135" s="770"/>
      <c r="K135" s="770"/>
      <c r="L135" s="770"/>
      <c r="M135" s="770"/>
      <c r="N135" s="770"/>
      <c r="O135" s="770"/>
      <c r="P135" s="575"/>
    </row>
    <row r="136" spans="2:16" ht="15" thickBot="1">
      <c r="B136" s="1106" t="s">
        <v>1170</v>
      </c>
      <c r="C136" s="1106"/>
      <c r="D136" s="1106"/>
      <c r="E136" s="1106"/>
      <c r="F136" s="1106"/>
      <c r="G136" s="770"/>
      <c r="H136" s="770"/>
      <c r="I136" s="770"/>
      <c r="J136" s="770"/>
      <c r="K136" s="770"/>
      <c r="L136" s="90" t="s">
        <v>272</v>
      </c>
      <c r="M136" s="770"/>
      <c r="N136" s="770"/>
      <c r="O136" s="770"/>
      <c r="P136" s="575"/>
    </row>
    <row r="137" spans="2:16">
      <c r="B137" s="677" t="s">
        <v>320</v>
      </c>
      <c r="C137" s="770"/>
      <c r="D137" s="770"/>
      <c r="E137" s="770"/>
      <c r="F137" s="770"/>
      <c r="G137" s="770"/>
      <c r="H137" s="770"/>
      <c r="I137" s="770"/>
      <c r="J137" s="770"/>
      <c r="K137" s="770"/>
      <c r="L137" s="771" t="s">
        <v>297</v>
      </c>
      <c r="M137" s="334">
        <f>M45</f>
        <v>3690</v>
      </c>
      <c r="N137" s="764">
        <f>$M$94</f>
        <v>3690</v>
      </c>
      <c r="O137" s="770"/>
      <c r="P137" s="575"/>
    </row>
    <row r="138" spans="2:16">
      <c r="B138" s="769"/>
      <c r="C138" s="770"/>
      <c r="D138" s="770"/>
      <c r="E138" s="770"/>
      <c r="F138" s="770"/>
      <c r="G138" s="770"/>
      <c r="H138" s="770"/>
      <c r="I138" s="770"/>
      <c r="J138" s="770"/>
      <c r="K138" s="770"/>
      <c r="L138" s="770"/>
      <c r="M138" s="770"/>
      <c r="N138" s="770"/>
      <c r="O138" s="770"/>
      <c r="P138" s="575"/>
    </row>
    <row r="139" spans="2:16" ht="30" customHeight="1">
      <c r="B139" s="500" t="s">
        <v>298</v>
      </c>
      <c r="C139" s="499" t="s">
        <v>51</v>
      </c>
      <c r="D139" s="499" t="s">
        <v>52</v>
      </c>
      <c r="E139" s="499" t="s">
        <v>53</v>
      </c>
      <c r="F139" s="499" t="s">
        <v>54</v>
      </c>
      <c r="G139" s="499" t="s">
        <v>55</v>
      </c>
      <c r="H139" s="499" t="s">
        <v>56</v>
      </c>
      <c r="I139" s="499" t="s">
        <v>57</v>
      </c>
      <c r="J139" s="499" t="s">
        <v>58</v>
      </c>
      <c r="K139" s="499" t="s">
        <v>59</v>
      </c>
      <c r="L139" s="499" t="s">
        <v>60</v>
      </c>
      <c r="M139" s="499" t="s">
        <v>61</v>
      </c>
      <c r="N139" s="499" t="s">
        <v>62</v>
      </c>
      <c r="O139" s="499" t="s">
        <v>16</v>
      </c>
      <c r="P139" s="386"/>
    </row>
    <row r="140" spans="2:16">
      <c r="B140" s="769" t="s">
        <v>299</v>
      </c>
      <c r="C140" s="783">
        <f t="shared" ref="C140:O140" si="12">C48*$M$94</f>
        <v>612247701</v>
      </c>
      <c r="D140" s="783">
        <f t="shared" si="12"/>
        <v>744218137</v>
      </c>
      <c r="E140" s="783">
        <f t="shared" si="12"/>
        <v>787041187</v>
      </c>
      <c r="F140" s="783">
        <f t="shared" si="12"/>
        <v>750867662</v>
      </c>
      <c r="G140" s="783">
        <f t="shared" si="12"/>
        <v>0</v>
      </c>
      <c r="H140" s="783">
        <f t="shared" si="12"/>
        <v>0</v>
      </c>
      <c r="I140" s="783">
        <f t="shared" si="12"/>
        <v>0</v>
      </c>
      <c r="J140" s="783">
        <f t="shared" si="12"/>
        <v>0</v>
      </c>
      <c r="K140" s="783">
        <f t="shared" si="12"/>
        <v>0</v>
      </c>
      <c r="L140" s="783">
        <f t="shared" si="12"/>
        <v>0</v>
      </c>
      <c r="M140" s="783">
        <f t="shared" si="12"/>
        <v>0</v>
      </c>
      <c r="N140" s="783">
        <f t="shared" si="12"/>
        <v>0</v>
      </c>
      <c r="O140" s="370">
        <f t="shared" si="12"/>
        <v>2894374687</v>
      </c>
      <c r="P140" s="575"/>
    </row>
    <row r="141" spans="2:16">
      <c r="B141" s="769" t="s">
        <v>300</v>
      </c>
      <c r="C141" s="783">
        <f t="shared" ref="C141:O141" si="13">C49*$M$94</f>
        <v>0</v>
      </c>
      <c r="D141" s="783">
        <f t="shared" si="13"/>
        <v>0</v>
      </c>
      <c r="E141" s="783">
        <f t="shared" si="13"/>
        <v>0</v>
      </c>
      <c r="F141" s="783">
        <f t="shared" si="13"/>
        <v>0</v>
      </c>
      <c r="G141" s="783">
        <f t="shared" si="13"/>
        <v>800000000</v>
      </c>
      <c r="H141" s="783">
        <f t="shared" si="13"/>
        <v>800000000</v>
      </c>
      <c r="I141" s="783">
        <f t="shared" si="13"/>
        <v>800000000</v>
      </c>
      <c r="J141" s="783">
        <f t="shared" si="13"/>
        <v>800000000</v>
      </c>
      <c r="K141" s="783">
        <f t="shared" si="13"/>
        <v>800000000</v>
      </c>
      <c r="L141" s="783">
        <f t="shared" si="13"/>
        <v>800000000</v>
      </c>
      <c r="M141" s="783">
        <f t="shared" si="13"/>
        <v>800000000</v>
      </c>
      <c r="N141" s="783">
        <f t="shared" si="13"/>
        <v>800000000</v>
      </c>
      <c r="O141" s="370">
        <f t="shared" si="13"/>
        <v>6400000000</v>
      </c>
      <c r="P141" s="575"/>
    </row>
    <row r="142" spans="2:16">
      <c r="B142" s="769" t="s">
        <v>301</v>
      </c>
      <c r="C142" s="783">
        <f t="shared" ref="C142:O142" si="14">C50*$M$94</f>
        <v>0</v>
      </c>
      <c r="D142" s="783">
        <f t="shared" si="14"/>
        <v>0</v>
      </c>
      <c r="E142" s="783">
        <f t="shared" si="14"/>
        <v>0</v>
      </c>
      <c r="F142" s="783">
        <f t="shared" si="14"/>
        <v>0</v>
      </c>
      <c r="G142" s="783">
        <f t="shared" si="14"/>
        <v>61336000</v>
      </c>
      <c r="H142" s="783">
        <f t="shared" si="14"/>
        <v>92004000</v>
      </c>
      <c r="I142" s="783">
        <f t="shared" si="14"/>
        <v>122672000</v>
      </c>
      <c r="J142" s="783">
        <f t="shared" si="14"/>
        <v>153340000</v>
      </c>
      <c r="K142" s="783">
        <f t="shared" si="14"/>
        <v>184008000</v>
      </c>
      <c r="L142" s="783">
        <f t="shared" si="14"/>
        <v>214676000</v>
      </c>
      <c r="M142" s="783">
        <f t="shared" si="14"/>
        <v>245344000</v>
      </c>
      <c r="N142" s="783">
        <f t="shared" si="14"/>
        <v>276012000</v>
      </c>
      <c r="O142" s="370">
        <f t="shared" si="14"/>
        <v>1349392000</v>
      </c>
      <c r="P142" s="575"/>
    </row>
    <row r="143" spans="2:16">
      <c r="B143" s="769" t="s">
        <v>302</v>
      </c>
      <c r="C143" s="783">
        <f t="shared" ref="C143:O143" si="15">C51*$M$94</f>
        <v>0</v>
      </c>
      <c r="D143" s="783">
        <f t="shared" si="15"/>
        <v>0</v>
      </c>
      <c r="E143" s="783">
        <f t="shared" si="15"/>
        <v>0</v>
      </c>
      <c r="F143" s="783">
        <f t="shared" si="15"/>
        <v>0</v>
      </c>
      <c r="G143" s="783">
        <f t="shared" si="15"/>
        <v>10332000</v>
      </c>
      <c r="H143" s="783">
        <f t="shared" si="15"/>
        <v>15498000</v>
      </c>
      <c r="I143" s="783">
        <f t="shared" si="15"/>
        <v>20664000</v>
      </c>
      <c r="J143" s="783">
        <f t="shared" si="15"/>
        <v>25830000</v>
      </c>
      <c r="K143" s="783">
        <f t="shared" si="15"/>
        <v>30996000</v>
      </c>
      <c r="L143" s="783">
        <f t="shared" si="15"/>
        <v>36162000</v>
      </c>
      <c r="M143" s="783">
        <f t="shared" si="15"/>
        <v>41328000</v>
      </c>
      <c r="N143" s="783">
        <f t="shared" si="15"/>
        <v>46494000</v>
      </c>
      <c r="O143" s="370">
        <f t="shared" si="15"/>
        <v>227304000</v>
      </c>
      <c r="P143" s="575"/>
    </row>
    <row r="144" spans="2:16">
      <c r="B144" s="769" t="s">
        <v>303</v>
      </c>
      <c r="C144" s="783">
        <f t="shared" ref="C144:O144" si="16">C52*$M$94</f>
        <v>0</v>
      </c>
      <c r="D144" s="783">
        <f t="shared" si="16"/>
        <v>0</v>
      </c>
      <c r="E144" s="783">
        <f t="shared" si="16"/>
        <v>0</v>
      </c>
      <c r="F144" s="783">
        <f t="shared" si="16"/>
        <v>0</v>
      </c>
      <c r="G144" s="783">
        <f t="shared" si="16"/>
        <v>0</v>
      </c>
      <c r="H144" s="783">
        <f t="shared" si="16"/>
        <v>66815357.142857134</v>
      </c>
      <c r="I144" s="783">
        <f t="shared" si="16"/>
        <v>133630714.28571427</v>
      </c>
      <c r="J144" s="783">
        <f t="shared" si="16"/>
        <v>200446071.42857143</v>
      </c>
      <c r="K144" s="783">
        <f t="shared" si="16"/>
        <v>267261428.57142854</v>
      </c>
      <c r="L144" s="783">
        <f t="shared" si="16"/>
        <v>334076785.71428573</v>
      </c>
      <c r="M144" s="783">
        <f t="shared" si="16"/>
        <v>400892142.85714287</v>
      </c>
      <c r="N144" s="783">
        <f t="shared" si="16"/>
        <v>467707500</v>
      </c>
      <c r="O144" s="370">
        <f t="shared" si="16"/>
        <v>1870830000</v>
      </c>
      <c r="P144" s="575"/>
    </row>
    <row r="145" spans="2:15">
      <c r="B145" s="769" t="s">
        <v>304</v>
      </c>
      <c r="C145" s="783">
        <f t="shared" ref="C145:O145" si="17">C53*$M$94</f>
        <v>0</v>
      </c>
      <c r="D145" s="783">
        <f t="shared" si="17"/>
        <v>0</v>
      </c>
      <c r="E145" s="783">
        <f t="shared" si="17"/>
        <v>0</v>
      </c>
      <c r="F145" s="783">
        <f t="shared" si="17"/>
        <v>0</v>
      </c>
      <c r="G145" s="783">
        <f t="shared" si="17"/>
        <v>36080000</v>
      </c>
      <c r="H145" s="783">
        <f t="shared" si="17"/>
        <v>54120000</v>
      </c>
      <c r="I145" s="783">
        <f t="shared" si="17"/>
        <v>72160000</v>
      </c>
      <c r="J145" s="783">
        <f t="shared" si="17"/>
        <v>90200000</v>
      </c>
      <c r="K145" s="783">
        <f t="shared" si="17"/>
        <v>108240000</v>
      </c>
      <c r="L145" s="783">
        <f t="shared" si="17"/>
        <v>126279999.99999999</v>
      </c>
      <c r="M145" s="783">
        <f t="shared" si="17"/>
        <v>144320000</v>
      </c>
      <c r="N145" s="783">
        <f t="shared" si="17"/>
        <v>162360000</v>
      </c>
      <c r="O145" s="370">
        <f t="shared" si="17"/>
        <v>793760000</v>
      </c>
    </row>
    <row r="146" spans="2:15">
      <c r="B146" s="769" t="s">
        <v>305</v>
      </c>
      <c r="C146" s="783">
        <f t="shared" ref="C146:O146" si="18">C54*$M$94</f>
        <v>0</v>
      </c>
      <c r="D146" s="783">
        <f t="shared" si="18"/>
        <v>0</v>
      </c>
      <c r="E146" s="783">
        <f t="shared" si="18"/>
        <v>0</v>
      </c>
      <c r="F146" s="783">
        <f t="shared" si="18"/>
        <v>0</v>
      </c>
      <c r="G146" s="783">
        <f t="shared" si="18"/>
        <v>0</v>
      </c>
      <c r="H146" s="783">
        <f t="shared" si="18"/>
        <v>15376230</v>
      </c>
      <c r="I146" s="783">
        <f t="shared" si="18"/>
        <v>15376230</v>
      </c>
      <c r="J146" s="783">
        <f t="shared" si="18"/>
        <v>450180000</v>
      </c>
      <c r="K146" s="783">
        <f t="shared" si="18"/>
        <v>450180000</v>
      </c>
      <c r="L146" s="783">
        <f t="shared" si="18"/>
        <v>450180000</v>
      </c>
      <c r="M146" s="783">
        <f t="shared" si="18"/>
        <v>450180000</v>
      </c>
      <c r="N146" s="783">
        <f t="shared" si="18"/>
        <v>450180000</v>
      </c>
      <c r="O146" s="370">
        <f t="shared" si="18"/>
        <v>2281652460</v>
      </c>
    </row>
    <row r="147" spans="2:15">
      <c r="B147" s="769" t="s">
        <v>306</v>
      </c>
      <c r="C147" s="783">
        <f t="shared" ref="C147:O147" si="19">C55*$M$94</f>
        <v>0</v>
      </c>
      <c r="D147" s="783">
        <f t="shared" si="19"/>
        <v>0</v>
      </c>
      <c r="E147" s="783">
        <f t="shared" si="19"/>
        <v>0</v>
      </c>
      <c r="F147" s="783">
        <f t="shared" si="19"/>
        <v>0</v>
      </c>
      <c r="G147" s="783">
        <f t="shared" si="19"/>
        <v>479700000</v>
      </c>
      <c r="H147" s="783">
        <f t="shared" si="19"/>
        <v>0</v>
      </c>
      <c r="I147" s="783">
        <f t="shared" si="19"/>
        <v>0</v>
      </c>
      <c r="J147" s="783">
        <f t="shared" si="19"/>
        <v>0</v>
      </c>
      <c r="K147" s="783">
        <f t="shared" si="19"/>
        <v>0</v>
      </c>
      <c r="L147" s="783">
        <f t="shared" si="19"/>
        <v>0</v>
      </c>
      <c r="M147" s="783">
        <f t="shared" si="19"/>
        <v>0</v>
      </c>
      <c r="N147" s="783">
        <f t="shared" si="19"/>
        <v>0</v>
      </c>
      <c r="O147" s="370">
        <f t="shared" si="19"/>
        <v>479700000</v>
      </c>
    </row>
    <row r="148" spans="2:15">
      <c r="B148" s="769" t="s">
        <v>307</v>
      </c>
      <c r="C148" s="783">
        <f t="shared" ref="C148:O148" si="20">C56*$M$94</f>
        <v>0</v>
      </c>
      <c r="D148" s="783">
        <f t="shared" si="20"/>
        <v>0</v>
      </c>
      <c r="E148" s="783">
        <f t="shared" si="20"/>
        <v>0</v>
      </c>
      <c r="F148" s="783">
        <f t="shared" si="20"/>
        <v>0</v>
      </c>
      <c r="G148" s="783">
        <f t="shared" si="20"/>
        <v>0</v>
      </c>
      <c r="H148" s="783">
        <f t="shared" si="20"/>
        <v>0</v>
      </c>
      <c r="I148" s="783">
        <f t="shared" si="20"/>
        <v>0</v>
      </c>
      <c r="J148" s="783">
        <f t="shared" si="20"/>
        <v>0</v>
      </c>
      <c r="K148" s="783">
        <f t="shared" si="20"/>
        <v>0</v>
      </c>
      <c r="L148" s="783">
        <f t="shared" si="20"/>
        <v>0</v>
      </c>
      <c r="M148" s="783">
        <f t="shared" si="20"/>
        <v>-206640000</v>
      </c>
      <c r="N148" s="783">
        <f t="shared" si="20"/>
        <v>-232470000</v>
      </c>
      <c r="O148" s="370">
        <f t="shared" si="20"/>
        <v>-1136520000</v>
      </c>
    </row>
    <row r="149" spans="2:15">
      <c r="B149" s="769" t="s">
        <v>308</v>
      </c>
      <c r="C149" s="783">
        <f t="shared" ref="C149:O149" si="21">C57*$M$94</f>
        <v>0</v>
      </c>
      <c r="D149" s="783">
        <f t="shared" si="21"/>
        <v>0</v>
      </c>
      <c r="E149" s="783">
        <f t="shared" si="21"/>
        <v>0</v>
      </c>
      <c r="F149" s="783">
        <f t="shared" si="21"/>
        <v>0</v>
      </c>
      <c r="G149" s="783">
        <f t="shared" si="21"/>
        <v>0</v>
      </c>
      <c r="H149" s="783">
        <f t="shared" si="21"/>
        <v>0</v>
      </c>
      <c r="I149" s="783">
        <f t="shared" si="21"/>
        <v>0</v>
      </c>
      <c r="J149" s="783">
        <f t="shared" si="21"/>
        <v>0</v>
      </c>
      <c r="K149" s="783">
        <f t="shared" si="21"/>
        <v>0</v>
      </c>
      <c r="L149" s="783">
        <f t="shared" si="21"/>
        <v>0</v>
      </c>
      <c r="M149" s="783">
        <f t="shared" si="21"/>
        <v>-27552000</v>
      </c>
      <c r="N149" s="783">
        <f t="shared" si="21"/>
        <v>-30996000</v>
      </c>
      <c r="O149" s="370">
        <f t="shared" si="21"/>
        <v>-151536000</v>
      </c>
    </row>
    <row r="150" spans="2:15">
      <c r="B150" s="494" t="s">
        <v>309</v>
      </c>
      <c r="C150" s="501">
        <f t="shared" ref="C150:O150" si="22">C58*$M$94</f>
        <v>612247701</v>
      </c>
      <c r="D150" s="501">
        <f t="shared" si="22"/>
        <v>744218137</v>
      </c>
      <c r="E150" s="501">
        <f t="shared" si="22"/>
        <v>787041187</v>
      </c>
      <c r="F150" s="501">
        <f t="shared" si="22"/>
        <v>750867662</v>
      </c>
      <c r="G150" s="501">
        <f t="shared" si="22"/>
        <v>1328900000</v>
      </c>
      <c r="H150" s="501">
        <f t="shared" si="22"/>
        <v>955991587.14285719</v>
      </c>
      <c r="I150" s="501">
        <f t="shared" si="22"/>
        <v>1047406944.2857144</v>
      </c>
      <c r="J150" s="501">
        <f t="shared" si="22"/>
        <v>1573626071.4285715</v>
      </c>
      <c r="K150" s="501">
        <f t="shared" si="22"/>
        <v>1665041428.5714285</v>
      </c>
      <c r="L150" s="501">
        <f t="shared" si="22"/>
        <v>1756456785.7142859</v>
      </c>
      <c r="M150" s="501">
        <f t="shared" si="22"/>
        <v>1847872142.8571429</v>
      </c>
      <c r="N150" s="501">
        <f t="shared" si="22"/>
        <v>1939287500</v>
      </c>
      <c r="O150" s="501">
        <f t="shared" si="22"/>
        <v>15008957147</v>
      </c>
    </row>
  </sheetData>
  <mergeCells count="9">
    <mergeCell ref="B5:F5"/>
    <mergeCell ref="B16:F16"/>
    <mergeCell ref="B44:G44"/>
    <mergeCell ref="B25:F25"/>
    <mergeCell ref="B117:F117"/>
    <mergeCell ref="B136:F136"/>
    <mergeCell ref="B97:F97"/>
    <mergeCell ref="B108:F108"/>
    <mergeCell ref="B61:F61"/>
  </mergeCells>
  <conditionalFormatting sqref="C19:F21">
    <cfRule type="cellIs" dxfId="19" priority="102" operator="lessThan">
      <formula>0.7</formula>
    </cfRule>
    <cfRule type="cellIs" dxfId="18" priority="103" operator="greaterThanOrEqual">
      <formula>0.9</formula>
    </cfRule>
    <cfRule type="cellIs" dxfId="17" priority="130" operator="greaterThanOrEqual">
      <formula>1</formula>
    </cfRule>
    <cfRule type="cellIs" dxfId="16" priority="131" operator="between">
      <formula>0.5</formula>
      <formula>0.9999</formula>
    </cfRule>
    <cfRule type="cellIs" dxfId="15" priority="132" operator="lessThan">
      <formula>0.5</formula>
    </cfRule>
  </conditionalFormatting>
  <conditionalFormatting sqref="C111:I113">
    <cfRule type="cellIs" dxfId="14" priority="1" operator="lessThan">
      <formula>0.7</formula>
    </cfRule>
    <cfRule type="cellIs" dxfId="13" priority="2" operator="greaterThanOrEqual">
      <formula>0.9</formula>
    </cfRule>
    <cfRule type="cellIs" dxfId="12" priority="3" operator="greaterThanOrEqual">
      <formula>1</formula>
    </cfRule>
    <cfRule type="cellIs" dxfId="11" priority="4" operator="between">
      <formula>0.5</formula>
      <formula>0.9999</formula>
    </cfRule>
    <cfRule type="cellIs" dxfId="10" priority="5" operator="lessThan">
      <formula>0.5</formula>
    </cfRule>
  </conditionalFormatting>
  <conditionalFormatting sqref="F8:F11">
    <cfRule type="cellIs" dxfId="9" priority="100" operator="lessThan">
      <formula>0.7</formula>
    </cfRule>
    <cfRule type="cellIs" dxfId="8" priority="101" operator="greaterThanOrEqual">
      <formula>0.9</formula>
    </cfRule>
    <cfRule type="cellIs" dxfId="7" priority="133" operator="greaterThanOrEqual">
      <formula>1</formula>
    </cfRule>
    <cfRule type="cellIs" dxfId="6" priority="134" operator="between">
      <formula>0.5</formula>
      <formula>0.9999</formula>
    </cfRule>
    <cfRule type="cellIs" dxfId="5" priority="135" operator="lessThan">
      <formula>0.5</formula>
    </cfRule>
  </conditionalFormatting>
  <conditionalFormatting sqref="F100:F103">
    <cfRule type="cellIs" dxfId="4" priority="16" operator="lessThan">
      <formula>0.7</formula>
    </cfRule>
    <cfRule type="cellIs" dxfId="3" priority="17" operator="greaterThanOrEqual">
      <formula>0.9</formula>
    </cfRule>
    <cfRule type="cellIs" dxfId="2" priority="41" operator="greaterThanOrEqual">
      <formula>1</formula>
    </cfRule>
    <cfRule type="cellIs" dxfId="1" priority="42" operator="between">
      <formula>0.5</formula>
      <formula>0.9999</formula>
    </cfRule>
    <cfRule type="cellIs" dxfId="0" priority="43" operator="lessThan">
      <formula>0.5</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D5FF2-44AD-4B4D-9F61-1689FE8BDB54}">
  <sheetPr>
    <tabColor rgb="FF8EA9DB"/>
    <outlinePr summaryBelow="0"/>
  </sheetPr>
  <dimension ref="A1:V117"/>
  <sheetViews>
    <sheetView showGridLines="0" tabSelected="1" topLeftCell="A60" zoomScale="98" zoomScaleNormal="98" workbookViewId="0">
      <pane xSplit="2" topLeftCell="K1" activePane="topRight" state="frozen"/>
      <selection activeCell="A91" sqref="A91"/>
      <selection pane="topRight" activeCell="N20" sqref="N20"/>
    </sheetView>
  </sheetViews>
  <sheetFormatPr defaultColWidth="12.6640625" defaultRowHeight="13.2"/>
  <cols>
    <col min="1" max="1" width="29.6640625" style="6" customWidth="1"/>
    <col min="2" max="2" width="58.77734375" style="6" bestFit="1" customWidth="1"/>
    <col min="3" max="22" width="17.5546875" style="6" customWidth="1"/>
    <col min="23" max="16384" width="12.6640625" style="6"/>
  </cols>
  <sheetData>
    <row r="1" spans="1:22" ht="13.8">
      <c r="A1" s="802"/>
      <c r="B1" s="802"/>
      <c r="C1" s="1059" t="s">
        <v>1224</v>
      </c>
      <c r="D1" s="1060"/>
      <c r="E1" s="1060"/>
      <c r="F1" s="1060"/>
      <c r="G1" s="1059"/>
      <c r="H1" s="1059" t="s">
        <v>879</v>
      </c>
      <c r="I1" s="1060"/>
      <c r="J1" s="1060"/>
      <c r="K1" s="1060"/>
      <c r="L1" s="1059"/>
      <c r="M1" s="1059" t="s">
        <v>883</v>
      </c>
      <c r="N1" s="1060"/>
      <c r="O1" s="1060"/>
      <c r="P1" s="1060"/>
      <c r="Q1" s="1059"/>
      <c r="R1" s="1059" t="s">
        <v>1172</v>
      </c>
      <c r="S1" s="1060"/>
      <c r="T1" s="1060"/>
      <c r="U1" s="1060"/>
      <c r="V1" s="1059"/>
    </row>
    <row r="2" spans="1:22" ht="13.8">
      <c r="A2" s="803"/>
      <c r="B2" s="568" t="s">
        <v>969</v>
      </c>
      <c r="C2" s="569" t="s">
        <v>970</v>
      </c>
      <c r="D2" s="568" t="s">
        <v>971</v>
      </c>
      <c r="E2" s="568" t="s">
        <v>972</v>
      </c>
      <c r="F2" s="568" t="s">
        <v>973</v>
      </c>
      <c r="G2" s="570" t="s">
        <v>974</v>
      </c>
      <c r="H2" s="571" t="s">
        <v>970</v>
      </c>
      <c r="I2" s="568" t="s">
        <v>971</v>
      </c>
      <c r="J2" s="568" t="s">
        <v>972</v>
      </c>
      <c r="K2" s="568" t="s">
        <v>973</v>
      </c>
      <c r="L2" s="570" t="s">
        <v>974</v>
      </c>
      <c r="M2" s="571" t="s">
        <v>970</v>
      </c>
      <c r="N2" s="568" t="s">
        <v>971</v>
      </c>
      <c r="O2" s="568" t="s">
        <v>972</v>
      </c>
      <c r="P2" s="568" t="s">
        <v>973</v>
      </c>
      <c r="Q2" s="570" t="s">
        <v>974</v>
      </c>
      <c r="R2" s="571" t="s">
        <v>970</v>
      </c>
      <c r="S2" s="568" t="s">
        <v>971</v>
      </c>
      <c r="T2" s="568" t="s">
        <v>972</v>
      </c>
      <c r="U2" s="568" t="s">
        <v>973</v>
      </c>
      <c r="V2" s="570" t="s">
        <v>974</v>
      </c>
    </row>
    <row r="3" spans="1:22" ht="30" customHeight="1">
      <c r="A3" s="506"/>
      <c r="B3" s="502" t="s">
        <v>471</v>
      </c>
      <c r="C3" s="503" t="s">
        <v>146</v>
      </c>
      <c r="D3" s="504" t="s">
        <v>975</v>
      </c>
      <c r="E3" s="504" t="s">
        <v>976</v>
      </c>
      <c r="F3" s="504" t="s">
        <v>690</v>
      </c>
      <c r="G3" s="502" t="s">
        <v>977</v>
      </c>
      <c r="H3" s="502" t="s">
        <v>146</v>
      </c>
      <c r="I3" s="504" t="s">
        <v>975</v>
      </c>
      <c r="J3" s="504" t="s">
        <v>976</v>
      </c>
      <c r="K3" s="504" t="s">
        <v>690</v>
      </c>
      <c r="L3" s="502" t="s">
        <v>977</v>
      </c>
      <c r="M3" s="502" t="s">
        <v>146</v>
      </c>
      <c r="N3" s="504" t="s">
        <v>975</v>
      </c>
      <c r="O3" s="504" t="s">
        <v>976</v>
      </c>
      <c r="P3" s="504" t="s">
        <v>690</v>
      </c>
      <c r="Q3" s="502" t="s">
        <v>977</v>
      </c>
      <c r="R3" s="502" t="s">
        <v>146</v>
      </c>
      <c r="S3" s="504" t="s">
        <v>975</v>
      </c>
      <c r="T3" s="504" t="s">
        <v>976</v>
      </c>
      <c r="U3" s="504" t="s">
        <v>690</v>
      </c>
      <c r="V3" s="502" t="s">
        <v>977</v>
      </c>
    </row>
    <row r="4" spans="1:22" ht="13.8">
      <c r="A4" s="802"/>
      <c r="B4" s="802"/>
      <c r="C4" s="804"/>
      <c r="D4" s="371">
        <v>0.29044437990124899</v>
      </c>
      <c r="E4" s="372">
        <v>1</v>
      </c>
      <c r="F4" s="373">
        <v>3617.51866666667</v>
      </c>
      <c r="G4" s="805"/>
      <c r="H4" s="806"/>
      <c r="I4" s="371">
        <v>0.29112081513828197</v>
      </c>
      <c r="J4" s="372">
        <v>1</v>
      </c>
      <c r="K4" s="373">
        <v>3714.0209677419398</v>
      </c>
      <c r="L4" s="805"/>
      <c r="M4" s="806"/>
      <c r="N4" s="371">
        <v>0.29368575624082199</v>
      </c>
      <c r="O4" s="372">
        <v>1</v>
      </c>
      <c r="P4" s="373">
        <v>3505.2683333333298</v>
      </c>
      <c r="Q4" s="805"/>
      <c r="R4" s="806"/>
      <c r="S4" s="916">
        <f>1/3.4</f>
        <v>0.29411764705882354</v>
      </c>
      <c r="T4" s="372">
        <v>1</v>
      </c>
      <c r="U4" s="915">
        <v>3268.95</v>
      </c>
      <c r="V4" s="805"/>
    </row>
    <row r="5" spans="1:22" ht="13.8">
      <c r="A5" s="802"/>
      <c r="B5" s="802"/>
      <c r="C5" s="802"/>
      <c r="D5" s="802"/>
      <c r="E5" s="802"/>
      <c r="F5" s="802"/>
      <c r="G5" s="807"/>
      <c r="H5" s="802"/>
      <c r="I5" s="802"/>
      <c r="J5" s="802"/>
      <c r="K5" s="802"/>
      <c r="L5" s="807"/>
      <c r="M5" s="802"/>
      <c r="N5" s="802"/>
      <c r="O5" s="802" t="s">
        <v>978</v>
      </c>
      <c r="P5" s="802"/>
      <c r="Q5" s="807"/>
      <c r="R5" s="802"/>
      <c r="S5" s="802"/>
      <c r="T5" s="802"/>
      <c r="U5" s="802"/>
      <c r="V5" s="807"/>
    </row>
    <row r="6" spans="1:22" ht="13.8">
      <c r="A6" s="808">
        <v>417005</v>
      </c>
      <c r="B6" s="809" t="s">
        <v>979</v>
      </c>
      <c r="C6" s="810">
        <v>17616.150000000001</v>
      </c>
      <c r="D6" s="811">
        <f>10291.03*D4</f>
        <v>2988.9718268951506</v>
      </c>
      <c r="E6" s="812">
        <v>0</v>
      </c>
      <c r="F6" s="811">
        <f>(3092211433-197836746)/F4</f>
        <v>800099.44763242803</v>
      </c>
      <c r="G6" s="91">
        <f>SUM(C6:F6)</f>
        <v>820704.56945932319</v>
      </c>
      <c r="H6" s="812">
        <v>9716.4500000000007</v>
      </c>
      <c r="I6" s="811">
        <f>2813.98*I4</f>
        <v>819.20815138282273</v>
      </c>
      <c r="J6" s="812">
        <v>0</v>
      </c>
      <c r="K6" s="811">
        <f>826514745/K4</f>
        <v>222539.06269745875</v>
      </c>
      <c r="L6" s="91">
        <f>SUM(H6:K6)</f>
        <v>233074.72084884156</v>
      </c>
      <c r="M6" s="812">
        <v>5664.45</v>
      </c>
      <c r="N6" s="811">
        <f>6202.25*N4</f>
        <v>1821.5124816446382</v>
      </c>
      <c r="O6" s="812"/>
      <c r="P6" s="811">
        <f>751453313.77/P4</f>
        <v>214378.25647299492</v>
      </c>
      <c r="Q6" s="91">
        <f>SUM(M6:P6)</f>
        <v>221864.21895463957</v>
      </c>
      <c r="R6" s="812">
        <v>6013.45</v>
      </c>
      <c r="S6" s="811">
        <f>6202.25*S4</f>
        <v>1824.1911764705883</v>
      </c>
      <c r="T6" s="812">
        <v>134104</v>
      </c>
      <c r="U6" s="811">
        <f>Inputs!J132/U4</f>
        <v>207984.38397650621</v>
      </c>
      <c r="V6" s="91">
        <f>SUM(R6:U6)</f>
        <v>349926.0251529768</v>
      </c>
    </row>
    <row r="7" spans="1:22" ht="13.8">
      <c r="A7" s="814">
        <v>420505</v>
      </c>
      <c r="B7" s="815" t="s">
        <v>980</v>
      </c>
      <c r="C7" s="816"/>
      <c r="D7" s="817"/>
      <c r="E7" s="818">
        <v>0</v>
      </c>
      <c r="F7" s="817">
        <f>4795548/F4</f>
        <v>1325.6456819941759</v>
      </c>
      <c r="G7" s="92">
        <f>SUM(C7:F7)</f>
        <v>1325.6456819941759</v>
      </c>
      <c r="H7" s="818">
        <v>0</v>
      </c>
      <c r="I7" s="818">
        <v>0</v>
      </c>
      <c r="J7" s="818">
        <v>0</v>
      </c>
      <c r="K7" s="817">
        <f>1366337/K4</f>
        <v>367.88618369882528</v>
      </c>
      <c r="L7" s="92">
        <f>SUM(H7:K7)</f>
        <v>367.88618369882528</v>
      </c>
      <c r="M7" s="818">
        <v>0</v>
      </c>
      <c r="N7" s="818">
        <v>0</v>
      </c>
      <c r="O7" s="818">
        <v>0</v>
      </c>
      <c r="P7" s="817">
        <f>3920248.31/P4</f>
        <v>1118.3875062346642</v>
      </c>
      <c r="Q7" s="92">
        <f>SUM(M7:P7)</f>
        <v>1118.3875062346642</v>
      </c>
      <c r="R7" s="818">
        <v>10.76</v>
      </c>
      <c r="S7" s="818">
        <v>0</v>
      </c>
      <c r="T7" s="818">
        <v>0</v>
      </c>
      <c r="U7" s="817">
        <f>Inputs!J146/U4</f>
        <v>219.73753039966962</v>
      </c>
      <c r="V7" s="92">
        <f>SUM(R7:U7)</f>
        <v>230.49753039966961</v>
      </c>
    </row>
    <row r="8" spans="1:22" ht="13.8">
      <c r="A8" s="815"/>
      <c r="B8" s="815"/>
      <c r="C8" s="819"/>
      <c r="D8" s="819"/>
      <c r="E8" s="819"/>
      <c r="F8" s="819"/>
      <c r="G8" s="92"/>
      <c r="H8" s="819"/>
      <c r="I8" s="819"/>
      <c r="J8" s="819"/>
      <c r="K8" s="819"/>
      <c r="L8" s="92"/>
      <c r="M8" s="819"/>
      <c r="N8" s="819"/>
      <c r="O8" s="819"/>
      <c r="P8" s="819"/>
      <c r="Q8" s="92"/>
      <c r="R8" s="819"/>
      <c r="S8" s="819"/>
      <c r="T8" s="819"/>
      <c r="U8" s="819"/>
      <c r="V8" s="92"/>
    </row>
    <row r="9" spans="1:22" ht="13.8">
      <c r="A9" s="814">
        <v>613005</v>
      </c>
      <c r="B9" s="815" t="s">
        <v>981</v>
      </c>
      <c r="C9" s="816"/>
      <c r="D9" s="819"/>
      <c r="E9" s="819"/>
      <c r="F9" s="817">
        <f>1416757380/F4</f>
        <v>391637.89064990735</v>
      </c>
      <c r="G9" s="92">
        <f>SUM(C9:F9)</f>
        <v>391637.89064990735</v>
      </c>
      <c r="H9" s="818">
        <v>0</v>
      </c>
      <c r="I9" s="817">
        <f>15383.22*I4</f>
        <v>4478.3755458515216</v>
      </c>
      <c r="J9" s="818">
        <v>0</v>
      </c>
      <c r="K9" s="817">
        <f>355470522.84/K4</f>
        <v>95710.424342628277</v>
      </c>
      <c r="L9" s="92">
        <f>SUM(H9:K9)</f>
        <v>100188.7998884798</v>
      </c>
      <c r="M9" s="818">
        <v>0</v>
      </c>
      <c r="N9" s="817">
        <v>0</v>
      </c>
      <c r="O9" s="818">
        <v>0</v>
      </c>
      <c r="P9" s="817">
        <f>348477606.57/P4</f>
        <v>99415.386621376208</v>
      </c>
      <c r="Q9" s="92">
        <f>SUM(M9:P9)</f>
        <v>99415.386621376208</v>
      </c>
      <c r="R9" s="818">
        <v>0</v>
      </c>
      <c r="S9" s="817">
        <v>0</v>
      </c>
      <c r="T9" s="818">
        <v>0</v>
      </c>
      <c r="U9" s="817">
        <f>Inputs!J135/U4</f>
        <v>98477.443215711479</v>
      </c>
      <c r="V9" s="92">
        <f>SUM(R9:U9)</f>
        <v>98477.443215711479</v>
      </c>
    </row>
    <row r="10" spans="1:22" ht="13.8">
      <c r="A10" s="815"/>
      <c r="B10" s="815"/>
      <c r="C10" s="819"/>
      <c r="D10" s="819"/>
      <c r="E10" s="819"/>
      <c r="F10" s="819"/>
      <c r="G10" s="92"/>
      <c r="H10" s="819"/>
      <c r="I10" s="819"/>
      <c r="J10" s="819"/>
      <c r="K10" s="819"/>
      <c r="L10" s="92"/>
      <c r="M10" s="819"/>
      <c r="N10" s="819"/>
      <c r="O10" s="819"/>
      <c r="P10" s="819"/>
      <c r="Q10" s="92"/>
      <c r="R10" s="819"/>
      <c r="S10" s="819"/>
      <c r="T10" s="819"/>
      <c r="U10" s="819"/>
      <c r="V10" s="92"/>
    </row>
    <row r="11" spans="1:22" ht="13.8">
      <c r="A11" s="820">
        <v>51</v>
      </c>
      <c r="B11" s="809" t="s">
        <v>982</v>
      </c>
      <c r="C11" s="810">
        <v>-46372.59</v>
      </c>
      <c r="D11" s="811"/>
      <c r="E11" s="812">
        <v>-17320.22</v>
      </c>
      <c r="F11" s="811">
        <f>460448659/F4</f>
        <v>127283.00844519933</v>
      </c>
      <c r="G11" s="91">
        <f>C11+D22+E11+F11</f>
        <v>70573.178404537117</v>
      </c>
      <c r="H11" s="812">
        <v>21616.02</v>
      </c>
      <c r="I11" s="812">
        <v>0</v>
      </c>
      <c r="J11" s="812">
        <v>57.8</v>
      </c>
      <c r="K11" s="811">
        <f>116808823.84/K4</f>
        <v>31450.771240803668</v>
      </c>
      <c r="L11" s="91">
        <f>H11+I22+J11+K11</f>
        <v>59194.221517368438</v>
      </c>
      <c r="M11" s="812">
        <v>25433.27</v>
      </c>
      <c r="N11" s="812">
        <v>0</v>
      </c>
      <c r="O11" s="812">
        <v>71.989999999999995</v>
      </c>
      <c r="P11" s="811">
        <f>112288693.6/P4</f>
        <v>32034.264690149761</v>
      </c>
      <c r="Q11" s="91">
        <f>M11+N22+O11+P11</f>
        <v>59705.888860487496</v>
      </c>
      <c r="R11" s="812">
        <v>4001.75</v>
      </c>
      <c r="S11" s="812">
        <f>878*S4</f>
        <v>258.23529411764707</v>
      </c>
      <c r="T11" s="812">
        <v>3046.94</v>
      </c>
      <c r="U11" s="811">
        <f>Inputs!J139/U4</f>
        <v>33017.556707811382</v>
      </c>
      <c r="V11" s="91">
        <f>R11+S11+T11+U11</f>
        <v>40324.482001929027</v>
      </c>
    </row>
    <row r="12" spans="1:22" ht="13.8">
      <c r="A12" s="820">
        <v>52</v>
      </c>
      <c r="B12" s="809" t="s">
        <v>983</v>
      </c>
      <c r="C12" s="821"/>
      <c r="D12" s="813"/>
      <c r="E12" s="813"/>
      <c r="F12" s="811">
        <f>574938654/F4</f>
        <v>158931.77257044317</v>
      </c>
      <c r="G12" s="91">
        <f>SUM(C12:F12)</f>
        <v>158931.77257044317</v>
      </c>
      <c r="H12" s="812">
        <v>4000</v>
      </c>
      <c r="I12" s="812">
        <v>0</v>
      </c>
      <c r="J12" s="812">
        <v>1300</v>
      </c>
      <c r="K12" s="811">
        <f>120233213.2/K4</f>
        <v>32372.787941770752</v>
      </c>
      <c r="L12" s="91">
        <f>SUM(H12:K12)</f>
        <v>37672.787941770752</v>
      </c>
      <c r="M12" s="812">
        <v>2535</v>
      </c>
      <c r="N12" s="812">
        <v>0</v>
      </c>
      <c r="O12" s="812">
        <v>2550</v>
      </c>
      <c r="P12" s="811">
        <f>146803459.79/P4</f>
        <v>41880.805071033596</v>
      </c>
      <c r="Q12" s="91">
        <f>SUM(M12:P12)</f>
        <v>46965.805071033596</v>
      </c>
      <c r="R12" s="812">
        <v>8000</v>
      </c>
      <c r="S12" s="812">
        <f>(6676.42+4541.89)*S4</f>
        <v>3299.5029411764713</v>
      </c>
      <c r="T12" s="812">
        <v>0</v>
      </c>
      <c r="U12" s="811">
        <f>Inputs!J142/U4</f>
        <v>36024.17779409291</v>
      </c>
      <c r="V12" s="91">
        <f>SUM(R12:U12)</f>
        <v>47323.68073526938</v>
      </c>
    </row>
    <row r="13" spans="1:22" ht="13.8">
      <c r="A13" s="822">
        <v>75</v>
      </c>
      <c r="B13" s="815" t="s">
        <v>984</v>
      </c>
      <c r="C13" s="816"/>
      <c r="D13" s="819"/>
      <c r="E13" s="819"/>
      <c r="F13" s="817">
        <f>343521142/F4</f>
        <v>94960.433836968819</v>
      </c>
      <c r="G13" s="92">
        <f>SUM(C13:F13)</f>
        <v>94960.433836968819</v>
      </c>
      <c r="H13" s="818">
        <v>7500</v>
      </c>
      <c r="I13" s="818">
        <v>0</v>
      </c>
      <c r="J13" s="818">
        <v>0</v>
      </c>
      <c r="K13" s="817">
        <f>120992711/K4</f>
        <v>32577.282694653572</v>
      </c>
      <c r="L13" s="92">
        <f>SUM(H13:K13)</f>
        <v>40077.282694653572</v>
      </c>
      <c r="M13" s="818">
        <v>0</v>
      </c>
      <c r="N13" s="818">
        <v>0</v>
      </c>
      <c r="O13" s="818">
        <v>0</v>
      </c>
      <c r="P13" s="817">
        <f>108908060.06/P4</f>
        <v>31069.821110224118</v>
      </c>
      <c r="Q13" s="92">
        <f>SUM(M13:P13)</f>
        <v>31069.821110224118</v>
      </c>
      <c r="R13" s="818">
        <v>0</v>
      </c>
      <c r="S13" s="818">
        <v>0</v>
      </c>
      <c r="T13" s="818">
        <v>0</v>
      </c>
      <c r="U13" s="817">
        <f>Inputs!J141/U4</f>
        <v>31489.124642469294</v>
      </c>
      <c r="V13" s="92">
        <f>SUM(R13:U13)</f>
        <v>31489.124642469294</v>
      </c>
    </row>
    <row r="14" spans="1:22" ht="13.8">
      <c r="A14" s="815"/>
      <c r="B14" s="815"/>
      <c r="C14" s="819"/>
      <c r="D14" s="819"/>
      <c r="E14" s="819"/>
      <c r="F14" s="819"/>
      <c r="G14" s="92"/>
      <c r="H14" s="819"/>
      <c r="I14" s="819"/>
      <c r="J14" s="819"/>
      <c r="K14" s="819"/>
      <c r="L14" s="92"/>
      <c r="M14" s="819"/>
      <c r="N14" s="819"/>
      <c r="O14" s="819"/>
      <c r="P14" s="819"/>
      <c r="Q14" s="92"/>
      <c r="R14" s="819"/>
      <c r="S14" s="819"/>
      <c r="T14" s="819"/>
      <c r="U14" s="819"/>
      <c r="V14" s="92"/>
    </row>
    <row r="15" spans="1:22" ht="13.8">
      <c r="A15" s="814">
        <v>530505</v>
      </c>
      <c r="B15" s="815" t="s">
        <v>985</v>
      </c>
      <c r="C15" s="816"/>
      <c r="D15" s="817">
        <f>-318.95*D4</f>
        <v>-92.637234969503368</v>
      </c>
      <c r="E15" s="818">
        <v>267.92</v>
      </c>
      <c r="F15" s="817">
        <f>23201792/F4</f>
        <v>6413.7311062942163</v>
      </c>
      <c r="G15" s="92">
        <f>SUM(C15:F15)</f>
        <v>6589.0138713247125</v>
      </c>
      <c r="H15" s="818">
        <v>0</v>
      </c>
      <c r="I15" s="817">
        <f>111*I4</f>
        <v>32.314410480349302</v>
      </c>
      <c r="J15" s="818">
        <v>36</v>
      </c>
      <c r="K15" s="817">
        <f>6000847.89/K4</f>
        <v>1615.728059189825</v>
      </c>
      <c r="L15" s="92">
        <f>SUM(H15:K15)</f>
        <v>1684.0424696701743</v>
      </c>
      <c r="M15" s="818">
        <v>0</v>
      </c>
      <c r="N15" s="817">
        <f>40.75*N4</f>
        <v>11.967694566813496</v>
      </c>
      <c r="O15" s="818">
        <v>50</v>
      </c>
      <c r="P15" s="817">
        <f>5552093.3/P4</f>
        <v>1583.9281823883209</v>
      </c>
      <c r="Q15" s="92">
        <f>SUM(M15:P15)</f>
        <v>1645.8958769551343</v>
      </c>
      <c r="R15" s="818">
        <v>134.28</v>
      </c>
      <c r="S15" s="817">
        <f>314.15*S4</f>
        <v>92.397058823529406</v>
      </c>
      <c r="T15" s="818">
        <v>30</v>
      </c>
      <c r="U15" s="817">
        <f>Inputs!J151/U4</f>
        <v>1637.7188393826764</v>
      </c>
      <c r="V15" s="92">
        <f>SUM(R15:U15)</f>
        <v>1894.3958982062059</v>
      </c>
    </row>
    <row r="17" spans="1:22" ht="13.8">
      <c r="A17" s="374">
        <v>360501</v>
      </c>
      <c r="B17" s="237" t="s">
        <v>986</v>
      </c>
      <c r="C17" s="93">
        <f>C6+C11</f>
        <v>-28756.439999999995</v>
      </c>
      <c r="D17" s="94">
        <f>D6-D15</f>
        <v>3081.609061864654</v>
      </c>
      <c r="E17" s="94">
        <f>E6+E7+E11+E15</f>
        <v>-17052.300000000003</v>
      </c>
      <c r="F17" s="94">
        <f>F6+F7-F9-F11-F12-F13-F15</f>
        <v>22198.256705609281</v>
      </c>
      <c r="G17" s="92">
        <f>C17+D17+E17+F17</f>
        <v>-20528.874232526061</v>
      </c>
      <c r="H17" s="94">
        <f>H6+H7-H9-H11-H12-H13-H15</f>
        <v>-23399.57</v>
      </c>
      <c r="I17" s="94">
        <f>I6+I7-I9-I11-I12-I13-I15</f>
        <v>-3691.4818049490482</v>
      </c>
      <c r="J17" s="94">
        <f>J6+J7-J9-J11-J12-J13-J15</f>
        <v>-1393.8</v>
      </c>
      <c r="K17" s="94">
        <f>K6+K7-K9-K11-K12-K13-K15</f>
        <v>29179.954602111487</v>
      </c>
      <c r="L17" s="92">
        <f>H17+I17+J17+K17</f>
        <v>695.10279716243895</v>
      </c>
      <c r="M17" s="94">
        <f>M6+M7-M9-M11-M12-M13-M15</f>
        <v>-22303.82</v>
      </c>
      <c r="N17" s="94">
        <f>N6+N7-N9-N11-N12-N13-N15</f>
        <v>1809.5447870778248</v>
      </c>
      <c r="O17" s="94">
        <f>O6+O7-O9-O11-O12-O13-O15</f>
        <v>-2671.99</v>
      </c>
      <c r="P17" s="94">
        <f>P6+P7-P9-P11-P12-P13-P15</f>
        <v>9512.4383040575776</v>
      </c>
      <c r="Q17" s="92">
        <f>M17+N17+O17+P17</f>
        <v>-13653.826908864597</v>
      </c>
      <c r="R17" s="94">
        <f>R6+R7-R9-R11-R12-R13-R15</f>
        <v>-6111.82</v>
      </c>
      <c r="S17" s="94">
        <f>S6+S7-S9-S11-S12-S13-S15</f>
        <v>-1825.9441176470596</v>
      </c>
      <c r="T17" s="94">
        <f>T6+T7-T9-T11-T12-T13-T15</f>
        <v>131027.06</v>
      </c>
      <c r="U17" s="94">
        <f>U6+U7-U9-U11-U12-U13-U15</f>
        <v>7558.1003074381406</v>
      </c>
      <c r="V17" s="92">
        <f>R17+S17+T17+U17</f>
        <v>130647.39618979108</v>
      </c>
    </row>
    <row r="18" spans="1:22" ht="13.8">
      <c r="A18" s="239"/>
      <c r="B18" s="239"/>
      <c r="C18" s="817"/>
      <c r="D18" s="817"/>
      <c r="E18" s="817"/>
      <c r="F18" s="817"/>
      <c r="G18" s="92"/>
      <c r="H18" s="817"/>
      <c r="I18" s="817"/>
      <c r="J18" s="817"/>
      <c r="K18" s="817"/>
      <c r="L18" s="92"/>
      <c r="M18" s="817"/>
      <c r="N18" s="817"/>
      <c r="O18" s="817"/>
      <c r="P18" s="817"/>
      <c r="Q18" s="92"/>
      <c r="R18" s="817"/>
      <c r="S18" s="817"/>
      <c r="T18" s="817"/>
      <c r="U18" s="817"/>
      <c r="V18" s="92"/>
    </row>
    <row r="19" spans="1:22" ht="30" customHeight="1">
      <c r="A19" s="506"/>
      <c r="B19" s="507" t="s">
        <v>987</v>
      </c>
      <c r="C19" s="508"/>
      <c r="D19" s="509" t="s">
        <v>988</v>
      </c>
      <c r="E19" s="509"/>
      <c r="F19" s="509"/>
      <c r="G19" s="509"/>
      <c r="H19" s="509"/>
      <c r="I19" s="509" t="s">
        <v>988</v>
      </c>
      <c r="J19" s="509"/>
      <c r="K19" s="509"/>
      <c r="L19" s="509"/>
      <c r="M19" s="509"/>
      <c r="N19" s="509" t="s">
        <v>988</v>
      </c>
      <c r="O19" s="509"/>
      <c r="P19" s="509"/>
      <c r="Q19" s="509" t="s">
        <v>988</v>
      </c>
      <c r="R19" s="509"/>
      <c r="S19" s="509" t="s">
        <v>988</v>
      </c>
      <c r="T19" s="509"/>
      <c r="U19" s="509"/>
      <c r="V19" s="509" t="s">
        <v>988</v>
      </c>
    </row>
    <row r="20" spans="1:22" ht="13.8">
      <c r="A20" s="239"/>
      <c r="B20" s="239" t="s">
        <v>989</v>
      </c>
      <c r="C20" s="823"/>
      <c r="D20" s="817">
        <f>79069.02*D4</f>
        <v>22965.152483299455</v>
      </c>
      <c r="E20" s="817"/>
      <c r="F20" s="817"/>
      <c r="G20" s="92"/>
      <c r="H20" s="819"/>
      <c r="I20" s="818">
        <v>0</v>
      </c>
      <c r="J20" s="817"/>
      <c r="K20" s="817"/>
      <c r="L20" s="92"/>
      <c r="M20" s="819"/>
      <c r="N20" s="818">
        <v>1380.84</v>
      </c>
      <c r="O20" s="817"/>
      <c r="P20" s="817"/>
      <c r="Q20" s="92">
        <f>D20+I20+N20</f>
        <v>24345.992483299455</v>
      </c>
      <c r="R20" s="819"/>
      <c r="S20" s="818">
        <v>0</v>
      </c>
      <c r="T20" s="817"/>
      <c r="U20" s="817"/>
      <c r="V20" s="92">
        <f>S20</f>
        <v>0</v>
      </c>
    </row>
    <row r="21" spans="1:22" ht="13.8">
      <c r="A21" s="239"/>
      <c r="B21" s="239"/>
      <c r="C21" s="817"/>
      <c r="D21" s="817"/>
      <c r="E21" s="817"/>
      <c r="F21" s="817"/>
      <c r="G21" s="92"/>
      <c r="H21" s="817"/>
      <c r="I21" s="817"/>
      <c r="J21" s="817"/>
      <c r="K21" s="817"/>
      <c r="L21" s="92"/>
      <c r="M21" s="817"/>
      <c r="N21" s="817"/>
      <c r="O21" s="817"/>
      <c r="P21" s="817"/>
      <c r="Q21" s="92"/>
      <c r="R21" s="817"/>
      <c r="S21" s="817"/>
      <c r="T21" s="817"/>
      <c r="U21" s="817"/>
      <c r="V21" s="92"/>
    </row>
    <row r="22" spans="1:22" ht="13.8">
      <c r="A22" s="824"/>
      <c r="B22" s="239" t="s">
        <v>990</v>
      </c>
      <c r="C22" s="823"/>
      <c r="D22" s="817">
        <f>24042.4*D4</f>
        <v>6982.9799593377893</v>
      </c>
      <c r="E22" s="817"/>
      <c r="F22" s="817"/>
      <c r="G22" s="92"/>
      <c r="H22" s="819"/>
      <c r="I22" s="817">
        <f>20849.18*I4</f>
        <v>6069.6302765647661</v>
      </c>
      <c r="J22" s="817"/>
      <c r="K22" s="817"/>
      <c r="L22" s="92"/>
      <c r="M22" s="819"/>
      <c r="N22" s="817">
        <f>7376.47*N4</f>
        <v>2166.3641703377361</v>
      </c>
      <c r="O22" s="817"/>
      <c r="P22" s="817"/>
      <c r="Q22" s="92">
        <f>D22+I22+N22</f>
        <v>15218.974406240292</v>
      </c>
      <c r="R22" s="819"/>
      <c r="S22" s="817">
        <v>0</v>
      </c>
      <c r="T22" s="817"/>
      <c r="U22" s="817"/>
      <c r="V22" s="92">
        <f>S22</f>
        <v>0</v>
      </c>
    </row>
    <row r="23" spans="1:22" ht="14.4" thickBot="1">
      <c r="A23" s="824"/>
      <c r="B23" s="825" t="s">
        <v>991</v>
      </c>
      <c r="C23" s="826"/>
      <c r="D23" s="827">
        <f>D20-D22</f>
        <v>15982.172523961664</v>
      </c>
      <c r="E23" s="827"/>
      <c r="F23" s="827"/>
      <c r="G23" s="95"/>
      <c r="H23" s="827"/>
      <c r="I23" s="827">
        <f>I20-I22</f>
        <v>-6069.6302765647661</v>
      </c>
      <c r="J23" s="827"/>
      <c r="K23" s="827"/>
      <c r="L23" s="95"/>
      <c r="M23" s="827"/>
      <c r="N23" s="827">
        <f>N20-N22</f>
        <v>-785.52417033773622</v>
      </c>
      <c r="O23" s="827"/>
      <c r="P23" s="827"/>
      <c r="Q23" s="95">
        <f>D23+I23+N23</f>
        <v>9127.0180770591614</v>
      </c>
      <c r="R23" s="827"/>
      <c r="S23" s="827">
        <f>S20-S22</f>
        <v>0</v>
      </c>
      <c r="T23" s="827"/>
      <c r="U23" s="827"/>
      <c r="V23" s="95">
        <f>V20-V22</f>
        <v>0</v>
      </c>
    </row>
    <row r="24" spans="1:22" ht="13.8">
      <c r="A24" s="828"/>
      <c r="B24" s="828"/>
      <c r="C24" s="828"/>
      <c r="D24" s="828"/>
      <c r="E24" s="828"/>
      <c r="F24" s="828"/>
      <c r="G24" s="828"/>
      <c r="H24" s="828"/>
      <c r="I24" s="828"/>
      <c r="J24" s="828"/>
      <c r="K24" s="828"/>
      <c r="L24" s="828"/>
      <c r="M24" s="828"/>
      <c r="N24" s="828"/>
      <c r="O24" s="828"/>
      <c r="P24" s="828"/>
      <c r="Q24" s="828"/>
      <c r="R24" s="837"/>
      <c r="S24" s="837"/>
      <c r="T24" s="837"/>
      <c r="U24" s="837"/>
      <c r="V24" s="837"/>
    </row>
    <row r="25" spans="1:22" ht="13.8">
      <c r="A25" s="828"/>
      <c r="B25" s="807" t="s">
        <v>1173</v>
      </c>
      <c r="C25" s="828"/>
      <c r="D25" s="828"/>
      <c r="E25" s="828"/>
      <c r="F25" s="828"/>
      <c r="G25" s="828"/>
      <c r="H25" s="828"/>
      <c r="I25" s="828"/>
      <c r="J25" s="828"/>
      <c r="K25" s="828"/>
      <c r="L25" s="828"/>
      <c r="M25" s="828"/>
      <c r="N25" s="828"/>
      <c r="O25" s="828"/>
      <c r="P25" s="828"/>
      <c r="Q25" s="828"/>
      <c r="R25" s="94">
        <v>-12127.75</v>
      </c>
      <c r="S25" s="94">
        <f>-166.82*S4</f>
        <v>-49.064705882352939</v>
      </c>
      <c r="T25" s="94">
        <v>-176.94</v>
      </c>
      <c r="U25" s="94"/>
      <c r="V25" s="92">
        <f>SUM(R25:T25)</f>
        <v>-12353.754705882353</v>
      </c>
    </row>
    <row r="26" spans="1:22" ht="13.8">
      <c r="A26" s="828"/>
      <c r="B26" s="807" t="s">
        <v>1182</v>
      </c>
      <c r="C26" s="828"/>
      <c r="D26" s="828"/>
      <c r="E26" s="828"/>
      <c r="F26" s="828"/>
      <c r="G26" s="828"/>
      <c r="H26" s="828"/>
      <c r="I26" s="828"/>
      <c r="J26" s="828"/>
      <c r="K26" s="828"/>
      <c r="L26" s="828"/>
      <c r="M26" s="828"/>
      <c r="N26" s="828"/>
      <c r="O26" s="828"/>
      <c r="P26" s="828"/>
      <c r="Q26" s="828"/>
      <c r="R26" s="837">
        <v>302331.63</v>
      </c>
      <c r="S26" s="837">
        <f>(40173.53+10428.01)*S4</f>
        <v>14882.805882352943</v>
      </c>
      <c r="T26" s="837">
        <v>444.2</v>
      </c>
      <c r="U26" s="837"/>
      <c r="V26" s="837">
        <f>SUM(R26:T26)</f>
        <v>317658.63588235294</v>
      </c>
    </row>
    <row r="27" spans="1:22" ht="13.8">
      <c r="A27" s="828"/>
      <c r="B27" s="828"/>
      <c r="C27" s="828"/>
      <c r="D27" s="828"/>
      <c r="E27" s="828"/>
      <c r="F27" s="828"/>
      <c r="G27" s="828"/>
      <c r="H27" s="828"/>
      <c r="I27" s="828"/>
      <c r="J27" s="828"/>
      <c r="K27" s="828"/>
      <c r="L27" s="828"/>
      <c r="M27" s="828"/>
      <c r="N27" s="828"/>
      <c r="O27" s="828"/>
      <c r="P27" s="828"/>
      <c r="Q27" s="828"/>
      <c r="R27" s="837"/>
      <c r="S27" s="837"/>
      <c r="T27" s="837"/>
      <c r="U27" s="837"/>
      <c r="V27" s="837"/>
    </row>
    <row r="28" spans="1:22" ht="18" thickBot="1">
      <c r="A28" s="510"/>
      <c r="B28" s="511" t="s">
        <v>1201</v>
      </c>
      <c r="C28" s="511"/>
      <c r="D28" s="511"/>
      <c r="E28" s="511"/>
      <c r="F28" s="511"/>
      <c r="G28" s="510"/>
      <c r="H28" s="510"/>
      <c r="I28" s="510"/>
      <c r="J28" s="510"/>
      <c r="K28" s="510"/>
      <c r="L28" s="510"/>
      <c r="M28" s="510"/>
      <c r="N28" s="510"/>
      <c r="O28" s="510"/>
      <c r="P28" s="510"/>
      <c r="Q28" s="510"/>
      <c r="R28" s="837"/>
      <c r="S28" s="837"/>
      <c r="T28" s="837"/>
      <c r="U28" s="837"/>
      <c r="V28" s="837"/>
    </row>
    <row r="29" spans="1:22" ht="13.8" thickTop="1">
      <c r="A29" s="829"/>
      <c r="B29" s="512" t="s">
        <v>1202</v>
      </c>
      <c r="C29" s="512"/>
      <c r="D29" s="512"/>
      <c r="E29" s="512"/>
      <c r="F29" s="512"/>
      <c r="G29" s="829"/>
      <c r="H29" s="829"/>
      <c r="I29" s="829"/>
      <c r="J29" s="829"/>
      <c r="K29" s="829"/>
      <c r="L29" s="829"/>
      <c r="M29" s="829"/>
      <c r="N29" s="829"/>
      <c r="O29" s="829"/>
      <c r="P29" s="829"/>
      <c r="Q29" s="829"/>
      <c r="R29" s="837"/>
      <c r="S29" s="837"/>
      <c r="T29" s="837"/>
      <c r="U29" s="837"/>
      <c r="V29" s="837"/>
    </row>
    <row r="30" spans="1:22" ht="13.8">
      <c r="A30" s="828"/>
      <c r="B30" s="238"/>
      <c r="C30" s="238"/>
      <c r="D30" s="238"/>
      <c r="E30" s="238"/>
      <c r="F30" s="238"/>
      <c r="G30" s="828"/>
      <c r="H30" s="828"/>
      <c r="I30" s="828"/>
      <c r="J30" s="828"/>
      <c r="K30" s="828"/>
      <c r="L30" s="828"/>
      <c r="M30" s="828"/>
      <c r="N30" s="828"/>
      <c r="O30" s="828"/>
      <c r="P30" s="828"/>
      <c r="Q30" s="828"/>
      <c r="R30" s="837"/>
      <c r="S30" s="837"/>
      <c r="T30" s="837"/>
      <c r="U30" s="837"/>
      <c r="V30" s="837"/>
    </row>
    <row r="31" spans="1:22" ht="13.8">
      <c r="A31" s="828"/>
      <c r="B31" s="238"/>
      <c r="C31" s="238"/>
      <c r="D31" s="238"/>
      <c r="E31" s="238"/>
      <c r="F31" s="238"/>
      <c r="G31" s="828"/>
      <c r="H31" s="828"/>
      <c r="I31" s="828"/>
      <c r="J31" s="828"/>
      <c r="K31" s="828"/>
      <c r="L31" s="828"/>
      <c r="M31" s="828"/>
      <c r="N31" s="828"/>
      <c r="O31" s="828"/>
      <c r="P31" s="828"/>
      <c r="Q31" s="828"/>
      <c r="R31" s="837"/>
      <c r="S31" s="837"/>
      <c r="T31" s="837"/>
      <c r="U31" s="837"/>
      <c r="V31" s="837"/>
    </row>
    <row r="32" spans="1:22" ht="13.8">
      <c r="A32" s="828"/>
      <c r="B32" s="238" t="s">
        <v>1203</v>
      </c>
      <c r="C32" s="375">
        <v>1</v>
      </c>
      <c r="D32" s="376">
        <f>1/$N$4</f>
        <v>3.4050000000000038</v>
      </c>
      <c r="E32" s="375">
        <v>1</v>
      </c>
      <c r="F32" s="376">
        <f>$P$4</f>
        <v>3505.2683333333298</v>
      </c>
      <c r="G32" s="828"/>
      <c r="H32" s="828"/>
      <c r="I32" s="828"/>
      <c r="J32" s="828"/>
      <c r="K32" s="828"/>
      <c r="L32" s="828"/>
      <c r="M32" s="828"/>
      <c r="N32" s="828"/>
      <c r="O32" s="828"/>
      <c r="P32" s="828"/>
      <c r="Q32" s="828"/>
      <c r="R32" s="837"/>
      <c r="S32" s="837"/>
      <c r="T32" s="837"/>
      <c r="U32" s="837"/>
      <c r="V32" s="837"/>
    </row>
    <row r="33" spans="2:8" ht="30" customHeight="1">
      <c r="B33" s="513"/>
      <c r="C33" s="513" t="s">
        <v>976</v>
      </c>
      <c r="D33" s="513" t="s">
        <v>1036</v>
      </c>
      <c r="E33" s="513" t="s">
        <v>976</v>
      </c>
      <c r="F33" s="513" t="s">
        <v>690</v>
      </c>
      <c r="G33" s="505"/>
      <c r="H33" s="505"/>
    </row>
    <row r="34" spans="2:8" ht="30" customHeight="1" thickBot="1">
      <c r="B34" s="514" t="s">
        <v>210</v>
      </c>
      <c r="C34" s="514" t="s">
        <v>1047</v>
      </c>
      <c r="D34" s="514" t="s">
        <v>1037</v>
      </c>
      <c r="E34" s="514" t="s">
        <v>1038</v>
      </c>
      <c r="F34" s="514" t="s">
        <v>1039</v>
      </c>
      <c r="G34" s="514" t="s">
        <v>1040</v>
      </c>
      <c r="H34" s="514" t="s">
        <v>291</v>
      </c>
    </row>
    <row r="35" spans="2:8" ht="13.8">
      <c r="B35" s="239" t="s">
        <v>1041</v>
      </c>
      <c r="C35" s="377">
        <v>39010.5</v>
      </c>
      <c r="D35" s="96">
        <v>8442.19</v>
      </c>
      <c r="E35" s="377">
        <v>134104</v>
      </c>
      <c r="F35" s="96">
        <f>Inputs!N133/$F$32</f>
        <v>1602020.4032881949</v>
      </c>
      <c r="G35" s="96">
        <f>SUM(C35:F35)</f>
        <v>1783577.0932881949</v>
      </c>
      <c r="H35" s="828"/>
    </row>
    <row r="36" spans="2:8" ht="13.8">
      <c r="B36" s="239" t="s">
        <v>1032</v>
      </c>
      <c r="C36" s="377">
        <v>0</v>
      </c>
      <c r="D36" s="377">
        <v>0</v>
      </c>
      <c r="E36" s="377">
        <v>0</v>
      </c>
      <c r="F36" s="96">
        <f>Inputs!N134/$F$32</f>
        <v>-132166.22693174717</v>
      </c>
      <c r="G36" s="96">
        <f>SUM(C36:F36)</f>
        <v>-132166.22693174717</v>
      </c>
      <c r="H36" s="828"/>
    </row>
    <row r="37" spans="2:8" ht="13.8">
      <c r="B37" s="97" t="s">
        <v>252</v>
      </c>
      <c r="C37" s="98">
        <f>SUM(C35:C36)</f>
        <v>39010.5</v>
      </c>
      <c r="D37" s="98">
        <f>SUM(D35:D36)</f>
        <v>8442.19</v>
      </c>
      <c r="E37" s="98">
        <f>SUM(E35:E36)</f>
        <v>134104</v>
      </c>
      <c r="F37" s="98">
        <f>SUM(F35:F36)</f>
        <v>1469854.1763564479</v>
      </c>
      <c r="G37" s="98">
        <f>SUM(G35:G36)</f>
        <v>1651410.8663564478</v>
      </c>
      <c r="H37" s="830">
        <f>G37/$G$37</f>
        <v>1</v>
      </c>
    </row>
    <row r="38" spans="2:8" ht="13.8">
      <c r="B38" s="239" t="s">
        <v>981</v>
      </c>
      <c r="C38" s="377">
        <v>0</v>
      </c>
      <c r="D38" s="377">
        <v>0</v>
      </c>
      <c r="E38" s="377">
        <v>0</v>
      </c>
      <c r="F38" s="96">
        <f>Inputs!N135/$F$32</f>
        <v>696843.46952040354</v>
      </c>
      <c r="G38" s="96">
        <f>SUM(C38:F38)</f>
        <v>696843.46952040354</v>
      </c>
      <c r="H38" s="830">
        <f t="shared" ref="H38:H49" si="0">G38/$G$37</f>
        <v>0.42196856258907151</v>
      </c>
    </row>
    <row r="39" spans="2:8" ht="13.8">
      <c r="B39" s="97" t="s">
        <v>277</v>
      </c>
      <c r="C39" s="98">
        <f>C37-C38</f>
        <v>39010.5</v>
      </c>
      <c r="D39" s="98">
        <f>D37-D38</f>
        <v>8442.19</v>
      </c>
      <c r="E39" s="98">
        <f>E37-E38</f>
        <v>134104</v>
      </c>
      <c r="F39" s="98">
        <f>F37-F38</f>
        <v>773010.70683604432</v>
      </c>
      <c r="G39" s="98">
        <f>G37-G38</f>
        <v>954567.39683604427</v>
      </c>
      <c r="H39" s="830">
        <f t="shared" si="0"/>
        <v>0.57803143741092855</v>
      </c>
    </row>
    <row r="40" spans="2:8" ht="13.8">
      <c r="B40" s="239" t="s">
        <v>1033</v>
      </c>
      <c r="C40" s="377">
        <v>64116.57</v>
      </c>
      <c r="D40" s="96">
        <v>1845.06</v>
      </c>
      <c r="E40" s="377">
        <v>24839.32</v>
      </c>
      <c r="F40" s="96">
        <f>Inputs!N139/$F$32</f>
        <v>227508.6647194392</v>
      </c>
      <c r="G40" s="96">
        <f>SUM(C40:F40)</f>
        <v>318309.61471943918</v>
      </c>
      <c r="H40" s="830">
        <f t="shared" si="0"/>
        <v>0.19275010308109106</v>
      </c>
    </row>
    <row r="41" spans="2:8" ht="13.8">
      <c r="B41" s="239" t="s">
        <v>804</v>
      </c>
      <c r="C41" s="377">
        <v>23105.46</v>
      </c>
      <c r="D41" s="377">
        <v>18682.05</v>
      </c>
      <c r="E41" s="377">
        <v>0</v>
      </c>
      <c r="F41" s="96">
        <f>Inputs!N142/$F$32</f>
        <v>273798.31491740316</v>
      </c>
      <c r="G41" s="96">
        <f>SUM(C41:F41)</f>
        <v>315585.82491740317</v>
      </c>
      <c r="H41" s="830">
        <f t="shared" si="0"/>
        <v>0.19110073171172032</v>
      </c>
    </row>
    <row r="42" spans="2:8" ht="13.8">
      <c r="B42" s="239" t="s">
        <v>1042</v>
      </c>
      <c r="C42" s="377">
        <v>0</v>
      </c>
      <c r="D42" s="96">
        <v>0</v>
      </c>
      <c r="E42" s="377">
        <v>0</v>
      </c>
      <c r="F42" s="96">
        <f>Inputs!N141/$F$32</f>
        <v>192954.78196866545</v>
      </c>
      <c r="G42" s="96">
        <f>SUM(C42:F42)</f>
        <v>192954.78196866545</v>
      </c>
      <c r="H42" s="830">
        <f t="shared" si="0"/>
        <v>0.11684238362460747</v>
      </c>
    </row>
    <row r="43" spans="2:8" ht="13.8">
      <c r="B43" s="97" t="s">
        <v>1035</v>
      </c>
      <c r="C43" s="98">
        <f>C39-C40-C41-C42</f>
        <v>-48211.53</v>
      </c>
      <c r="D43" s="98">
        <f>D39-D40-D41-D42</f>
        <v>-12084.919999999998</v>
      </c>
      <c r="E43" s="98">
        <f>E39-E40-E41-E42</f>
        <v>109264.68</v>
      </c>
      <c r="F43" s="98">
        <f>F39-F40-F41-F42</f>
        <v>78748.945230536483</v>
      </c>
      <c r="G43" s="98">
        <f>G39-G40-G41-G42</f>
        <v>127717.17523053646</v>
      </c>
      <c r="H43" s="830">
        <f t="shared" si="0"/>
        <v>7.733821899350965E-2</v>
      </c>
    </row>
    <row r="44" spans="2:8" ht="13.8">
      <c r="B44" s="239" t="s">
        <v>261</v>
      </c>
      <c r="C44" s="377">
        <v>576.14</v>
      </c>
      <c r="D44" s="377">
        <v>19350.89</v>
      </c>
      <c r="E44" s="377">
        <v>0</v>
      </c>
      <c r="F44" s="96">
        <f>Inputs!N146/$F$32</f>
        <v>3081.2040542783016</v>
      </c>
      <c r="G44" s="96">
        <f>SUM(C44:F44)</f>
        <v>23008.234054278299</v>
      </c>
      <c r="H44" s="830">
        <f t="shared" si="0"/>
        <v>1.3932471030084707E-2</v>
      </c>
    </row>
    <row r="45" spans="2:8" ht="13.8">
      <c r="B45" s="239" t="s">
        <v>985</v>
      </c>
      <c r="C45" s="377">
        <v>912.54</v>
      </c>
      <c r="D45" s="96">
        <v>368.89</v>
      </c>
      <c r="E45" s="377">
        <v>236</v>
      </c>
      <c r="F45" s="96">
        <f>Inputs!N151/$F$32</f>
        <v>11442.306033632245</v>
      </c>
      <c r="G45" s="96">
        <f>SUM(C45:F45)</f>
        <v>12959.736033632245</v>
      </c>
      <c r="H45" s="830">
        <f t="shared" si="0"/>
        <v>7.8476751592567989E-3</v>
      </c>
    </row>
    <row r="46" spans="2:8" ht="13.8">
      <c r="B46" s="239" t="s">
        <v>1043</v>
      </c>
      <c r="C46" s="377">
        <v>0</v>
      </c>
      <c r="D46" s="377">
        <v>0</v>
      </c>
      <c r="E46" s="377">
        <v>0</v>
      </c>
      <c r="F46" s="96">
        <f>-1/$F$32</f>
        <v>-2.8528486406889468E-4</v>
      </c>
      <c r="G46" s="96">
        <f>SUM(C46:F46)</f>
        <v>-2.8528486406889468E-4</v>
      </c>
      <c r="H46" s="830">
        <f t="shared" si="0"/>
        <v>-1.7275220230222074E-10</v>
      </c>
    </row>
    <row r="47" spans="2:8" ht="13.8">
      <c r="B47" s="97" t="s">
        <v>1044</v>
      </c>
      <c r="C47" s="98">
        <f>C43+C44-C45+C46</f>
        <v>-48547.93</v>
      </c>
      <c r="D47" s="98">
        <f>D43+D44-D45+D46</f>
        <v>6897.0800000000008</v>
      </c>
      <c r="E47" s="98">
        <f>E43+E44-E45+E46</f>
        <v>109028.68</v>
      </c>
      <c r="F47" s="98">
        <f>F43+F44-F45+F46</f>
        <v>70387.842965897682</v>
      </c>
      <c r="G47" s="98">
        <f>G43+G44-G45+G46</f>
        <v>137765.67296589765</v>
      </c>
      <c r="H47" s="830">
        <f t="shared" si="0"/>
        <v>8.3423014691585362E-2</v>
      </c>
    </row>
    <row r="48" spans="2:8" ht="14.4" thickBot="1">
      <c r="B48" s="239" t="s">
        <v>1045</v>
      </c>
      <c r="C48" s="377">
        <v>0</v>
      </c>
      <c r="D48" s="377">
        <v>0</v>
      </c>
      <c r="E48" s="377">
        <v>0</v>
      </c>
      <c r="F48" s="377">
        <v>0</v>
      </c>
      <c r="G48" s="96">
        <f>SUM(C48:F48)</f>
        <v>0</v>
      </c>
      <c r="H48" s="830">
        <f t="shared" si="0"/>
        <v>0</v>
      </c>
    </row>
    <row r="49" spans="2:8" ht="14.4" thickBot="1">
      <c r="B49" s="99" t="s">
        <v>1046</v>
      </c>
      <c r="C49" s="100">
        <f>C47-C48</f>
        <v>-48547.93</v>
      </c>
      <c r="D49" s="100">
        <f>D47-D48</f>
        <v>6897.0800000000008</v>
      </c>
      <c r="E49" s="100">
        <f>E47-E48</f>
        <v>109028.68</v>
      </c>
      <c r="F49" s="100">
        <f>F47-F48</f>
        <v>70387.842965897682</v>
      </c>
      <c r="G49" s="100">
        <f>G47-G48</f>
        <v>137765.67296589765</v>
      </c>
      <c r="H49" s="830">
        <f t="shared" si="0"/>
        <v>8.3423014691585362E-2</v>
      </c>
    </row>
    <row r="50" spans="2:8" ht="13.8">
      <c r="B50" s="828"/>
      <c r="C50" s="828"/>
      <c r="D50" s="828"/>
      <c r="E50" s="828"/>
      <c r="F50" s="828"/>
      <c r="G50" s="828"/>
      <c r="H50" s="828"/>
    </row>
    <row r="51" spans="2:8" ht="15" thickBot="1">
      <c r="B51" s="516" t="s">
        <v>1055</v>
      </c>
      <c r="C51" s="516"/>
      <c r="D51" s="516"/>
      <c r="E51" s="516"/>
      <c r="F51" s="516"/>
      <c r="G51" s="516"/>
      <c r="H51" s="515"/>
    </row>
    <row r="52" spans="2:8" ht="14.4" thickTop="1">
      <c r="B52" s="240" t="s">
        <v>1056</v>
      </c>
      <c r="C52" s="238" t="s">
        <v>1204</v>
      </c>
      <c r="D52" s="238"/>
      <c r="E52" s="238"/>
      <c r="F52" s="238"/>
      <c r="G52" s="238"/>
      <c r="H52" s="828"/>
    </row>
    <row r="53" spans="2:8" ht="14.4" thickBot="1">
      <c r="B53" s="240" t="s">
        <v>1057</v>
      </c>
      <c r="C53" s="238" t="s">
        <v>1205</v>
      </c>
      <c r="D53" s="238"/>
      <c r="E53" s="238"/>
      <c r="F53" s="238"/>
      <c r="G53" s="238"/>
      <c r="H53" s="828"/>
    </row>
    <row r="54" spans="2:8" ht="14.4" thickTop="1">
      <c r="B54" s="241" t="s">
        <v>1058</v>
      </c>
      <c r="C54" s="242" t="s">
        <v>1059</v>
      </c>
      <c r="D54" s="242"/>
      <c r="E54" s="238"/>
      <c r="F54" s="238"/>
      <c r="G54" s="238"/>
      <c r="H54" s="828"/>
    </row>
    <row r="55" spans="2:8" ht="13.8">
      <c r="B55" s="240" t="s">
        <v>1060</v>
      </c>
      <c r="C55" s="238" t="s">
        <v>1061</v>
      </c>
      <c r="D55" s="238"/>
      <c r="E55" s="238"/>
      <c r="F55" s="238"/>
      <c r="G55" s="238"/>
      <c r="H55" s="828"/>
    </row>
    <row r="56" spans="2:8" ht="13.8">
      <c r="B56" s="240" t="s">
        <v>1062</v>
      </c>
      <c r="C56" s="238" t="s">
        <v>1063</v>
      </c>
      <c r="D56" s="238"/>
      <c r="E56" s="238"/>
      <c r="F56" s="238"/>
      <c r="G56" s="238"/>
      <c r="H56" s="828"/>
    </row>
    <row r="57" spans="2:8" ht="13.8">
      <c r="B57" s="240" t="s">
        <v>1064</v>
      </c>
      <c r="C57" s="238" t="s">
        <v>1065</v>
      </c>
      <c r="D57" s="238"/>
      <c r="E57" s="238"/>
      <c r="F57" s="238"/>
      <c r="G57" s="238"/>
      <c r="H57" s="828"/>
    </row>
    <row r="58" spans="2:8" ht="14.4" thickBot="1">
      <c r="B58" s="240" t="s">
        <v>1066</v>
      </c>
      <c r="C58" s="238" t="s">
        <v>1206</v>
      </c>
      <c r="D58" s="238"/>
      <c r="E58" s="238"/>
      <c r="F58" s="238"/>
      <c r="G58" s="238"/>
      <c r="H58" s="828"/>
    </row>
    <row r="59" spans="2:8" ht="14.4" thickBot="1">
      <c r="B59" s="243" t="s">
        <v>1067</v>
      </c>
      <c r="C59" s="244" t="s">
        <v>1207</v>
      </c>
      <c r="D59" s="238"/>
      <c r="E59" s="238"/>
      <c r="F59" s="238"/>
      <c r="G59" s="238"/>
      <c r="H59" s="828"/>
    </row>
    <row r="60" spans="2:8" ht="13.8">
      <c r="B60" s="240" t="s">
        <v>1068</v>
      </c>
      <c r="C60" s="238" t="s">
        <v>1208</v>
      </c>
      <c r="D60" s="238"/>
      <c r="E60" s="238"/>
      <c r="F60" s="238"/>
      <c r="G60" s="238"/>
      <c r="H60" s="828"/>
    </row>
    <row r="61" spans="2:8" ht="13.8">
      <c r="B61" s="240" t="s">
        <v>1069</v>
      </c>
      <c r="C61" s="238" t="s">
        <v>1070</v>
      </c>
      <c r="D61" s="238"/>
      <c r="E61" s="238"/>
      <c r="F61" s="238"/>
      <c r="G61" s="238"/>
      <c r="H61" s="828"/>
    </row>
    <row r="62" spans="2:8" ht="13.8">
      <c r="B62" s="828"/>
      <c r="C62" s="828"/>
      <c r="D62" s="828"/>
      <c r="E62" s="828"/>
      <c r="F62" s="828"/>
      <c r="G62" s="828"/>
      <c r="H62" s="828"/>
    </row>
    <row r="63" spans="2:8" ht="15" thickBot="1">
      <c r="B63" s="517" t="s">
        <v>1209</v>
      </c>
      <c r="C63" s="517"/>
      <c r="D63" s="517"/>
      <c r="E63" s="515"/>
      <c r="F63" s="515"/>
      <c r="G63" s="515"/>
      <c r="H63" s="515"/>
    </row>
    <row r="64" spans="2:8" ht="14.4" thickTop="1">
      <c r="B64" s="245" t="s">
        <v>1048</v>
      </c>
      <c r="C64" s="245" t="s">
        <v>146</v>
      </c>
      <c r="D64" s="245" t="s">
        <v>1049</v>
      </c>
      <c r="E64" s="828"/>
      <c r="F64" s="828"/>
      <c r="G64" s="828"/>
      <c r="H64" s="828"/>
    </row>
    <row r="65" spans="2:6" ht="13.8">
      <c r="B65" s="828" t="s">
        <v>1033</v>
      </c>
      <c r="C65" s="101">
        <f>$C$40</f>
        <v>64116.57</v>
      </c>
      <c r="D65" s="828" t="s">
        <v>1050</v>
      </c>
      <c r="E65" s="828"/>
      <c r="F65" s="828"/>
    </row>
    <row r="66" spans="2:6" ht="13.8">
      <c r="B66" s="828" t="s">
        <v>804</v>
      </c>
      <c r="C66" s="101">
        <f>$C$41</f>
        <v>23105.46</v>
      </c>
      <c r="D66" s="828" t="s">
        <v>1051</v>
      </c>
      <c r="E66" s="828"/>
      <c r="F66" s="828"/>
    </row>
    <row r="67" spans="2:6" ht="13.8">
      <c r="B67" s="828" t="s">
        <v>1042</v>
      </c>
      <c r="C67" s="101">
        <f>$C$42</f>
        <v>0</v>
      </c>
      <c r="D67" s="828" t="s">
        <v>1052</v>
      </c>
      <c r="E67" s="828"/>
      <c r="F67" s="828"/>
    </row>
    <row r="68" spans="2:6" ht="13.8">
      <c r="B68" s="828" t="s">
        <v>985</v>
      </c>
      <c r="C68" s="101">
        <f>$C$45</f>
        <v>912.54</v>
      </c>
      <c r="D68" s="828" t="s">
        <v>1053</v>
      </c>
      <c r="E68" s="828"/>
      <c r="F68" s="828"/>
    </row>
    <row r="69" spans="2:6" ht="13.8">
      <c r="B69" s="831" t="s">
        <v>1054</v>
      </c>
      <c r="C69" s="518">
        <f>SUM(C65:C68)</f>
        <v>88134.569999999992</v>
      </c>
      <c r="D69" s="831"/>
      <c r="E69" s="831"/>
      <c r="F69" s="831"/>
    </row>
    <row r="70" spans="2:6" ht="13.8">
      <c r="B70" s="828"/>
      <c r="C70" s="828"/>
      <c r="D70" s="828"/>
      <c r="E70" s="828"/>
      <c r="F70" s="828"/>
    </row>
    <row r="71" spans="2:6" ht="13.8">
      <c r="B71" s="828"/>
      <c r="C71" s="828"/>
      <c r="D71" s="828"/>
      <c r="E71" s="828"/>
      <c r="F71" s="828"/>
    </row>
    <row r="72" spans="2:6" ht="13.8">
      <c r="B72" s="828"/>
      <c r="C72" s="828"/>
      <c r="D72" s="828"/>
      <c r="E72" s="828"/>
      <c r="F72" s="828"/>
    </row>
    <row r="73" spans="2:6" ht="13.8">
      <c r="B73" s="828"/>
      <c r="C73" s="828"/>
      <c r="D73" s="828"/>
      <c r="E73" s="828"/>
      <c r="F73" s="828"/>
    </row>
    <row r="74" spans="2:6" ht="13.8">
      <c r="B74" s="828"/>
      <c r="C74" s="828"/>
      <c r="D74" s="828"/>
      <c r="E74" s="828"/>
      <c r="F74" s="828"/>
    </row>
    <row r="75" spans="2:6" ht="13.8">
      <c r="B75" s="828"/>
      <c r="C75" s="828"/>
      <c r="D75" s="828"/>
      <c r="E75" s="828"/>
      <c r="F75" s="828"/>
    </row>
    <row r="76" spans="2:6" ht="13.8">
      <c r="B76" s="828"/>
      <c r="C76" s="828"/>
      <c r="D76" s="828"/>
      <c r="E76" s="828"/>
      <c r="F76" s="828"/>
    </row>
    <row r="77" spans="2:6" ht="13.8">
      <c r="B77" s="828"/>
      <c r="C77" s="828"/>
      <c r="D77" s="828"/>
      <c r="E77" s="828"/>
      <c r="F77" s="828"/>
    </row>
    <row r="78" spans="2:6" ht="13.8">
      <c r="B78" s="828"/>
      <c r="C78" s="828"/>
      <c r="D78" s="828"/>
      <c r="E78" s="828"/>
      <c r="F78" s="828"/>
    </row>
    <row r="79" spans="2:6" ht="30" customHeight="1">
      <c r="B79" s="505" t="s">
        <v>210</v>
      </c>
      <c r="C79" s="519" t="s">
        <v>1076</v>
      </c>
      <c r="D79" s="505" t="s">
        <v>1071</v>
      </c>
      <c r="E79" s="505" t="s">
        <v>1072</v>
      </c>
      <c r="F79" s="505" t="s">
        <v>725</v>
      </c>
    </row>
    <row r="80" spans="2:6" ht="13.8">
      <c r="B80" s="828" t="s">
        <v>277</v>
      </c>
      <c r="C80" s="832">
        <f>ROUND($G$39/1000,0)</f>
        <v>955</v>
      </c>
      <c r="D80" s="833">
        <v>0</v>
      </c>
      <c r="E80" s="833">
        <v>0</v>
      </c>
      <c r="F80" s="834">
        <f>C80</f>
        <v>955</v>
      </c>
    </row>
    <row r="81" spans="2:8" ht="13.8">
      <c r="B81" s="828" t="s">
        <v>1075</v>
      </c>
      <c r="C81" s="832">
        <f>-ROUND($G$40/1000,0)</f>
        <v>-318</v>
      </c>
      <c r="D81" s="833">
        <f>IF(C81&gt;0,C81,0)</f>
        <v>0</v>
      </c>
      <c r="E81" s="834">
        <f>IF(C81&lt;0,-C81,0)</f>
        <v>318</v>
      </c>
      <c r="F81" s="833">
        <v>0</v>
      </c>
      <c r="G81" s="828"/>
      <c r="H81" s="828"/>
    </row>
    <row r="82" spans="2:8" ht="13.8">
      <c r="B82" s="828" t="s">
        <v>284</v>
      </c>
      <c r="C82" s="832">
        <f>-ROUND($G$41/1000,0)</f>
        <v>-316</v>
      </c>
      <c r="D82" s="833">
        <f>IF(C82&gt;0,C82,0)</f>
        <v>0</v>
      </c>
      <c r="E82" s="834">
        <f>IF(C82&lt;0,-C82,0)</f>
        <v>316</v>
      </c>
      <c r="F82" s="833">
        <v>0</v>
      </c>
      <c r="G82" s="828"/>
      <c r="H82" s="828"/>
    </row>
    <row r="83" spans="2:8" ht="13.8">
      <c r="B83" s="828" t="s">
        <v>1073</v>
      </c>
      <c r="C83" s="832">
        <f>-ROUND($G$42/1000,0)</f>
        <v>-193</v>
      </c>
      <c r="D83" s="833">
        <f>IF(C83&gt;0,C83,0)</f>
        <v>0</v>
      </c>
      <c r="E83" s="835">
        <f>IF(C83&lt;0,-C83,0)</f>
        <v>193</v>
      </c>
      <c r="F83" s="833">
        <v>0</v>
      </c>
      <c r="G83" s="828"/>
      <c r="H83" s="828"/>
    </row>
    <row r="84" spans="2:8" ht="13.8">
      <c r="B84" s="828" t="s">
        <v>1074</v>
      </c>
      <c r="C84" s="832">
        <f>ROUND($G$44/1000,0)</f>
        <v>23</v>
      </c>
      <c r="D84" s="833">
        <f>IF(C84&gt;0,C84,0)</f>
        <v>23</v>
      </c>
      <c r="E84" s="834">
        <f>IF(C84&lt;0,-C84,0)</f>
        <v>0</v>
      </c>
      <c r="F84" s="833">
        <v>0</v>
      </c>
      <c r="G84" s="828"/>
      <c r="H84" s="828"/>
    </row>
    <row r="85" spans="2:8" ht="13.8">
      <c r="B85" s="828" t="s">
        <v>985</v>
      </c>
      <c r="C85" s="832">
        <f>-ROUND($G$45/1000,0)</f>
        <v>-13</v>
      </c>
      <c r="D85" s="834">
        <f>IF(C85&gt;0,C85,0)</f>
        <v>0</v>
      </c>
      <c r="E85" s="833">
        <f>IF(C85&lt;0,-C85,0)</f>
        <v>13</v>
      </c>
      <c r="F85" s="833">
        <v>0</v>
      </c>
      <c r="G85" s="828"/>
      <c r="H85" s="828"/>
    </row>
    <row r="86" spans="2:8" ht="13.8">
      <c r="B86" s="828" t="s">
        <v>268</v>
      </c>
      <c r="C86" s="836">
        <f>ROUND($G$49/1000,0)</f>
        <v>138</v>
      </c>
      <c r="D86" s="833">
        <v>0</v>
      </c>
      <c r="E86" s="834">
        <v>0</v>
      </c>
      <c r="F86" s="833">
        <f>C86</f>
        <v>138</v>
      </c>
      <c r="G86" s="828"/>
      <c r="H86" s="828"/>
    </row>
    <row r="87" spans="2:8" ht="13.8">
      <c r="B87" s="828" t="s">
        <v>268</v>
      </c>
      <c r="C87" s="833">
        <v>0</v>
      </c>
      <c r="D87" s="833">
        <v>0</v>
      </c>
      <c r="E87" s="833">
        <v>0</v>
      </c>
      <c r="F87" s="834">
        <f>C86</f>
        <v>138</v>
      </c>
      <c r="G87" s="828"/>
      <c r="H87" s="828"/>
    </row>
    <row r="88" spans="2:8" ht="13.8">
      <c r="B88" s="828"/>
      <c r="C88" s="828"/>
      <c r="D88" s="828"/>
      <c r="E88" s="828"/>
      <c r="F88" s="828"/>
      <c r="G88" s="828"/>
      <c r="H88" s="828"/>
    </row>
    <row r="89" spans="2:8" ht="22.05" customHeight="1">
      <c r="B89" s="1061" t="s">
        <v>1380</v>
      </c>
      <c r="C89" s="1061"/>
      <c r="D89" s="1061"/>
      <c r="E89" s="1061"/>
      <c r="F89" s="1061"/>
      <c r="G89" s="1061"/>
      <c r="H89" s="1061"/>
    </row>
    <row r="90" spans="2:8" ht="30" customHeight="1">
      <c r="B90" s="1062" t="s">
        <v>1381</v>
      </c>
      <c r="C90" s="1062"/>
      <c r="D90" s="1062"/>
      <c r="E90" s="1062"/>
      <c r="F90" s="1062"/>
      <c r="G90" s="1062"/>
      <c r="H90" s="1062"/>
    </row>
    <row r="91" spans="2:8" ht="30" customHeight="1">
      <c r="B91" s="1053" t="s">
        <v>210</v>
      </c>
      <c r="C91" s="1054" t="s">
        <v>1382</v>
      </c>
      <c r="D91" s="1054" t="s">
        <v>879</v>
      </c>
      <c r="E91" s="1054" t="s">
        <v>883</v>
      </c>
      <c r="F91" s="1054" t="s">
        <v>1172</v>
      </c>
      <c r="G91" s="1054" t="s">
        <v>1383</v>
      </c>
      <c r="H91" s="1055" t="s">
        <v>1384</v>
      </c>
    </row>
    <row r="92" spans="2:8" ht="13.8">
      <c r="B92" s="1029" t="s">
        <v>867</v>
      </c>
      <c r="C92" s="1020">
        <f>G6</f>
        <v>820704.56945932319</v>
      </c>
      <c r="D92" s="1020">
        <f>L6</f>
        <v>233074.72084884156</v>
      </c>
      <c r="E92" s="1020">
        <f>Q6</f>
        <v>221864.21895463957</v>
      </c>
      <c r="F92" s="1020">
        <f>V6</f>
        <v>349926.0251529768</v>
      </c>
      <c r="G92" s="1020">
        <f>SUM(C92:F92)</f>
        <v>1625569.534415781</v>
      </c>
      <c r="H92" s="1034">
        <f>G37</f>
        <v>1651410.8663564478</v>
      </c>
    </row>
    <row r="93" spans="2:8" ht="13.8">
      <c r="B93" s="1029" t="s">
        <v>981</v>
      </c>
      <c r="C93" s="1020">
        <f>G9</f>
        <v>391637.89064990735</v>
      </c>
      <c r="D93" s="1020">
        <f>L9</f>
        <v>100188.7998884798</v>
      </c>
      <c r="E93" s="1020">
        <f>Q9</f>
        <v>99415.386621376208</v>
      </c>
      <c r="F93" s="1020">
        <f>V9</f>
        <v>98477.443215711479</v>
      </c>
      <c r="G93" s="1020">
        <f>SUM(C93:F93)</f>
        <v>689719.52037547482</v>
      </c>
      <c r="H93" s="1034">
        <f>G38</f>
        <v>696843.46952040354</v>
      </c>
    </row>
    <row r="94" spans="2:8" ht="13.8">
      <c r="B94" s="1030" t="s">
        <v>277</v>
      </c>
      <c r="C94" s="1021">
        <f>C92-C93</f>
        <v>429066.67880941584</v>
      </c>
      <c r="D94" s="1021">
        <f>D92-D93</f>
        <v>132885.92096036178</v>
      </c>
      <c r="E94" s="1021">
        <f>E92-E93</f>
        <v>122448.83233326336</v>
      </c>
      <c r="F94" s="1021">
        <f>F92-F93</f>
        <v>251448.58193726532</v>
      </c>
      <c r="G94" s="1021">
        <f>G92-G93</f>
        <v>935850.01404030621</v>
      </c>
      <c r="H94" s="1035">
        <f>G39</f>
        <v>954567.39683604427</v>
      </c>
    </row>
    <row r="95" spans="2:8" ht="13.8">
      <c r="B95" s="1031" t="s">
        <v>1332</v>
      </c>
      <c r="C95" s="1022">
        <f t="shared" ref="C95:H95" si="1">IF(C92=0,0,C94/C92)</f>
        <v>0.52280283889741619</v>
      </c>
      <c r="D95" s="1022">
        <f t="shared" si="1"/>
        <v>0.57014300167946441</v>
      </c>
      <c r="E95" s="1022">
        <f t="shared" si="1"/>
        <v>0.55190887881879769</v>
      </c>
      <c r="F95" s="1022">
        <f t="shared" si="1"/>
        <v>0.71857639576061771</v>
      </c>
      <c r="G95" s="1022">
        <f t="shared" si="1"/>
        <v>0.57570592597052117</v>
      </c>
      <c r="H95" s="1036">
        <f t="shared" si="1"/>
        <v>0.57803143741092855</v>
      </c>
    </row>
    <row r="96" spans="2:8" ht="13.8">
      <c r="B96" s="1029" t="s">
        <v>1033</v>
      </c>
      <c r="C96" s="1020">
        <f>G11</f>
        <v>70573.178404537117</v>
      </c>
      <c r="D96" s="1020">
        <f>L11</f>
        <v>59194.221517368438</v>
      </c>
      <c r="E96" s="1020">
        <f>Q11</f>
        <v>59705.888860487496</v>
      </c>
      <c r="F96" s="1020">
        <f>V11</f>
        <v>40324.482001929027</v>
      </c>
      <c r="G96" s="1020">
        <f>SUM(C96:F96)</f>
        <v>229797.77078432206</v>
      </c>
      <c r="H96" s="1034">
        <f>G40</f>
        <v>318309.61471943918</v>
      </c>
    </row>
    <row r="97" spans="2:8" ht="13.8">
      <c r="B97" s="1029" t="s">
        <v>804</v>
      </c>
      <c r="C97" s="1020">
        <f>G12</f>
        <v>158931.77257044317</v>
      </c>
      <c r="D97" s="1020">
        <f>L12</f>
        <v>37672.787941770752</v>
      </c>
      <c r="E97" s="1020">
        <f>Q12</f>
        <v>46965.805071033596</v>
      </c>
      <c r="F97" s="1020">
        <f>V12</f>
        <v>47323.68073526938</v>
      </c>
      <c r="G97" s="1020">
        <f>SUM(C97:F97)</f>
        <v>290894.04631851689</v>
      </c>
      <c r="H97" s="1034">
        <f>G41</f>
        <v>315585.82491740317</v>
      </c>
    </row>
    <row r="98" spans="2:8" ht="13.8">
      <c r="B98" s="1029" t="s">
        <v>1042</v>
      </c>
      <c r="C98" s="1020">
        <f>G13</f>
        <v>94960.433836968819</v>
      </c>
      <c r="D98" s="1020">
        <f>L13</f>
        <v>40077.282694653572</v>
      </c>
      <c r="E98" s="1020">
        <f>Q13</f>
        <v>31069.821110224118</v>
      </c>
      <c r="F98" s="1020">
        <f>V13</f>
        <v>31489.124642469294</v>
      </c>
      <c r="G98" s="1020">
        <f>SUM(C98:F98)</f>
        <v>197596.6622843158</v>
      </c>
      <c r="H98" s="1034">
        <f>G42</f>
        <v>192954.78196866545</v>
      </c>
    </row>
    <row r="99" spans="2:8" ht="13.8">
      <c r="B99" s="1032" t="s">
        <v>1385</v>
      </c>
      <c r="C99" s="1023">
        <f>C94-C96-C97-C98</f>
        <v>104601.29399746677</v>
      </c>
      <c r="D99" s="1024">
        <f>D94-D96-D97-D98</f>
        <v>-4058.3711934309831</v>
      </c>
      <c r="E99" s="1024">
        <f>E94-E96-E97-E98</f>
        <v>-15292.682708481851</v>
      </c>
      <c r="F99" s="1023">
        <f>F94-F96-F97-F98</f>
        <v>132311.2945575976</v>
      </c>
      <c r="G99" s="1023">
        <f>G94-G96-G97-G98</f>
        <v>217561.53465315147</v>
      </c>
      <c r="H99" s="1037">
        <f>G43</f>
        <v>127717.17523053646</v>
      </c>
    </row>
    <row r="100" spans="2:8" ht="13.8">
      <c r="B100" s="1033" t="s">
        <v>1386</v>
      </c>
      <c r="C100" s="1026">
        <f t="shared" ref="C100:H100" si="2">IF(C92=0,0,C99/C92)</f>
        <v>0.12745304204456626</v>
      </c>
      <c r="D100" s="1027">
        <f t="shared" si="2"/>
        <v>-1.7412318155528336E-2</v>
      </c>
      <c r="E100" s="1027">
        <f t="shared" si="2"/>
        <v>-6.8928116397211664E-2</v>
      </c>
      <c r="F100" s="1026">
        <f t="shared" si="2"/>
        <v>0.37811218671076324</v>
      </c>
      <c r="G100" s="1026">
        <f t="shared" si="2"/>
        <v>0.13383711372970683</v>
      </c>
      <c r="H100" s="1038">
        <f t="shared" si="2"/>
        <v>7.733821899350965E-2</v>
      </c>
    </row>
    <row r="101" spans="2:8" ht="13.8">
      <c r="B101" s="1019"/>
      <c r="C101" s="1019"/>
      <c r="D101" s="1019"/>
      <c r="E101" s="1019"/>
      <c r="F101" s="1019"/>
      <c r="G101" s="1019"/>
      <c r="H101" s="1019"/>
    </row>
    <row r="102" spans="2:8" ht="19.95" customHeight="1">
      <c r="B102" s="1063" t="s">
        <v>1387</v>
      </c>
      <c r="C102" s="1063"/>
      <c r="D102" s="1063"/>
      <c r="E102" s="1063"/>
      <c r="F102" s="1019"/>
      <c r="G102" s="1019"/>
      <c r="H102" s="1019"/>
    </row>
    <row r="103" spans="2:8" ht="13.8">
      <c r="B103" s="1028" t="s">
        <v>210</v>
      </c>
      <c r="C103" s="1025" t="s">
        <v>1388</v>
      </c>
      <c r="D103" s="1025" t="s">
        <v>1389</v>
      </c>
      <c r="E103" s="1042" t="s">
        <v>274</v>
      </c>
      <c r="F103" s="1019"/>
      <c r="G103" s="1019"/>
      <c r="H103" s="1019"/>
    </row>
    <row r="104" spans="2:8" ht="13.8">
      <c r="B104" s="1029" t="s">
        <v>867</v>
      </c>
      <c r="C104" s="1020">
        <f>G92</f>
        <v>1625569.534415781</v>
      </c>
      <c r="D104" s="1020">
        <f>H92</f>
        <v>1651410.8663564478</v>
      </c>
      <c r="E104" s="1043">
        <f t="shared" ref="E104:E109" si="3">C104-D104</f>
        <v>-25841.331940666772</v>
      </c>
      <c r="F104" s="1019"/>
      <c r="G104" s="1019"/>
      <c r="H104" s="1019"/>
    </row>
    <row r="105" spans="2:8" ht="13.8">
      <c r="B105" s="1029" t="s">
        <v>981</v>
      </c>
      <c r="C105" s="1020">
        <f>G93</f>
        <v>689719.52037547482</v>
      </c>
      <c r="D105" s="1020">
        <f>H93</f>
        <v>696843.46952040354</v>
      </c>
      <c r="E105" s="1043">
        <f t="shared" si="3"/>
        <v>-7123.9491449287161</v>
      </c>
      <c r="F105" s="1019"/>
      <c r="G105" s="1019"/>
      <c r="H105" s="1019"/>
    </row>
    <row r="106" spans="2:8" ht="13.8">
      <c r="B106" s="1029" t="s">
        <v>1033</v>
      </c>
      <c r="C106" s="1039">
        <f t="shared" ref="C106:D109" si="4">G96</f>
        <v>229797.77078432206</v>
      </c>
      <c r="D106" s="1039">
        <f t="shared" si="4"/>
        <v>318309.61471943918</v>
      </c>
      <c r="E106" s="1044">
        <f t="shared" si="3"/>
        <v>-88511.843935117126</v>
      </c>
      <c r="F106" s="1019"/>
      <c r="G106" s="1019"/>
      <c r="H106" s="1019"/>
    </row>
    <row r="107" spans="2:8" ht="13.8">
      <c r="B107" s="1029" t="s">
        <v>804</v>
      </c>
      <c r="C107" s="1020">
        <f t="shared" si="4"/>
        <v>290894.04631851689</v>
      </c>
      <c r="D107" s="1020">
        <f t="shared" si="4"/>
        <v>315585.82491740317</v>
      </c>
      <c r="E107" s="1043">
        <f t="shared" si="3"/>
        <v>-24691.778598886274</v>
      </c>
      <c r="F107" s="1019"/>
      <c r="G107" s="1019"/>
      <c r="H107" s="1019"/>
    </row>
    <row r="108" spans="2:8" ht="13.8">
      <c r="B108" s="1029" t="s">
        <v>1042</v>
      </c>
      <c r="C108" s="1020">
        <f t="shared" si="4"/>
        <v>197596.6622843158</v>
      </c>
      <c r="D108" s="1020">
        <f t="shared" si="4"/>
        <v>192954.78196866545</v>
      </c>
      <c r="E108" s="1043">
        <f t="shared" si="3"/>
        <v>4641.8803156503418</v>
      </c>
      <c r="F108" s="1019"/>
      <c r="G108" s="1019"/>
      <c r="H108" s="1019"/>
    </row>
    <row r="109" spans="2:8" ht="13.8">
      <c r="B109" s="1041" t="s">
        <v>278</v>
      </c>
      <c r="C109" s="1040">
        <f t="shared" si="4"/>
        <v>217561.53465315147</v>
      </c>
      <c r="D109" s="1040">
        <f t="shared" si="4"/>
        <v>127717.17523053646</v>
      </c>
      <c r="E109" s="1045">
        <f t="shared" si="3"/>
        <v>89844.359422615002</v>
      </c>
      <c r="F109" s="1019"/>
      <c r="G109" s="1019"/>
      <c r="H109" s="1019"/>
    </row>
    <row r="110" spans="2:8" ht="13.8">
      <c r="B110" s="1019"/>
      <c r="C110" s="1019"/>
      <c r="D110" s="1019"/>
      <c r="E110" s="1019"/>
      <c r="F110" s="1019"/>
      <c r="G110" s="1019"/>
      <c r="H110" s="1019"/>
    </row>
    <row r="111" spans="2:8" ht="19.95" customHeight="1">
      <c r="B111" s="1064" t="s">
        <v>1390</v>
      </c>
      <c r="C111" s="1064"/>
      <c r="D111" s="1064"/>
      <c r="E111" s="1064"/>
      <c r="F111" s="1064"/>
      <c r="G111" s="1064"/>
      <c r="H111" s="1064"/>
    </row>
    <row r="112" spans="2:8" ht="42" customHeight="1">
      <c r="B112" s="1057" t="s">
        <v>1391</v>
      </c>
      <c r="C112" s="1056"/>
      <c r="D112" s="1056"/>
      <c r="E112" s="1056"/>
      <c r="F112" s="1056"/>
      <c r="G112" s="1056"/>
      <c r="H112" s="1056"/>
    </row>
    <row r="113" spans="2:8" ht="42" customHeight="1">
      <c r="B113" s="1056" t="s">
        <v>1392</v>
      </c>
      <c r="C113" s="1056"/>
      <c r="D113" s="1056"/>
      <c r="E113" s="1056"/>
      <c r="F113" s="1056"/>
      <c r="G113" s="1056"/>
      <c r="H113" s="1056"/>
    </row>
    <row r="114" spans="2:8" ht="42" customHeight="1">
      <c r="B114" s="1058" t="s">
        <v>1393</v>
      </c>
      <c r="C114" s="1056"/>
      <c r="D114" s="1056"/>
      <c r="E114" s="1056"/>
      <c r="F114" s="1056"/>
      <c r="G114" s="1056"/>
      <c r="H114" s="1056"/>
    </row>
    <row r="115" spans="2:8" ht="42" customHeight="1">
      <c r="B115" s="1056" t="s">
        <v>1394</v>
      </c>
      <c r="C115" s="1056"/>
      <c r="D115" s="1056"/>
      <c r="E115" s="1056"/>
      <c r="F115" s="1056"/>
      <c r="G115" s="1056"/>
      <c r="H115" s="1056"/>
    </row>
    <row r="116" spans="2:8" ht="42" customHeight="1">
      <c r="B116" s="1056" t="s">
        <v>1395</v>
      </c>
      <c r="C116" s="1056"/>
      <c r="D116" s="1056"/>
      <c r="E116" s="1056"/>
      <c r="F116" s="1056"/>
      <c r="G116" s="1056"/>
      <c r="H116" s="1056"/>
    </row>
    <row r="117" spans="2:8" ht="42" customHeight="1">
      <c r="B117" s="1056" t="s">
        <v>1396</v>
      </c>
      <c r="C117" s="1056"/>
      <c r="D117" s="1056"/>
      <c r="E117" s="1056"/>
      <c r="F117" s="1056"/>
      <c r="G117" s="1056"/>
      <c r="H117" s="1056"/>
    </row>
  </sheetData>
  <mergeCells count="14">
    <mergeCell ref="R1:V1"/>
    <mergeCell ref="B89:H89"/>
    <mergeCell ref="B90:H90"/>
    <mergeCell ref="B102:E102"/>
    <mergeCell ref="B111:H111"/>
    <mergeCell ref="C1:G1"/>
    <mergeCell ref="H1:L1"/>
    <mergeCell ref="M1:Q1"/>
    <mergeCell ref="B117:H117"/>
    <mergeCell ref="B112:H112"/>
    <mergeCell ref="B113:H113"/>
    <mergeCell ref="B114:H114"/>
    <mergeCell ref="B115:H115"/>
    <mergeCell ref="B116:H116"/>
  </mergeCells>
  <pageMargins left="0.7" right="0.7" top="0.75" bottom="0.75" header="0.511811023622047" footer="0.511811023622047"/>
  <pageSetup paperSize="9" orientation="portrait" horizontalDpi="300" verticalDpi="300" r:id="rId1"/>
  <ignoredErrors>
    <ignoredError sqref="G37:G49" formula="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27B0-CE19-4011-8300-D7ADC4AC1DEF}">
  <sheetPr>
    <tabColor rgb="FFED7D31"/>
  </sheetPr>
  <dimension ref="A1:AJ166"/>
  <sheetViews>
    <sheetView showGridLines="0" topLeftCell="A11" zoomScale="77" workbookViewId="0">
      <pane xSplit="2" topLeftCell="C1" activePane="topRight" state="frozen"/>
      <selection activeCell="A19" sqref="A19"/>
      <selection pane="topRight" activeCell="P5" sqref="P5:R7"/>
    </sheetView>
  </sheetViews>
  <sheetFormatPr defaultRowHeight="14.4"/>
  <sheetData>
    <row r="1" spans="1:36" ht="18" thickBot="1">
      <c r="A1" s="1108" t="s">
        <v>937</v>
      </c>
      <c r="B1" s="1108"/>
      <c r="C1" s="1108"/>
      <c r="D1" s="1108"/>
      <c r="E1" s="1108"/>
      <c r="F1" s="1108"/>
      <c r="G1" s="1108"/>
      <c r="H1" s="1108"/>
      <c r="I1" s="1108"/>
      <c r="J1" s="1108"/>
      <c r="K1" s="1108"/>
      <c r="L1" s="1108"/>
      <c r="M1" s="1108"/>
      <c r="N1" s="1108"/>
      <c r="O1" s="1108"/>
      <c r="P1" s="1108"/>
      <c r="Q1" s="1108"/>
      <c r="R1" s="1108"/>
      <c r="S1" s="383"/>
      <c r="T1" s="383"/>
      <c r="U1" s="383"/>
      <c r="V1" s="383"/>
      <c r="W1" s="383"/>
      <c r="X1" s="383"/>
      <c r="Y1" s="383"/>
      <c r="Z1" s="383"/>
      <c r="AA1" s="383"/>
      <c r="AB1" s="383"/>
      <c r="AC1" s="383"/>
      <c r="AD1" s="383"/>
      <c r="AE1" s="383"/>
      <c r="AF1" s="383"/>
      <c r="AG1" s="383"/>
      <c r="AH1" s="383"/>
      <c r="AI1" s="383"/>
      <c r="AJ1" s="383"/>
    </row>
    <row r="2" spans="1:36" ht="15" thickTop="1">
      <c r="A2" s="1109" t="s">
        <v>1171</v>
      </c>
      <c r="B2" s="1109"/>
      <c r="C2" s="1109"/>
      <c r="D2" s="1109"/>
      <c r="E2" s="1109"/>
      <c r="F2" s="1109"/>
      <c r="G2" s="1109"/>
      <c r="H2" s="1109"/>
      <c r="I2" s="1109"/>
      <c r="J2" s="1109"/>
      <c r="K2" s="1109"/>
      <c r="L2" s="1109"/>
      <c r="M2" s="1109"/>
      <c r="N2" s="1109"/>
      <c r="O2" s="1109"/>
      <c r="P2" s="1109"/>
      <c r="Q2" s="1109"/>
      <c r="R2" s="1109"/>
      <c r="S2" s="575"/>
      <c r="T2" s="575"/>
      <c r="U2" s="575"/>
      <c r="V2" s="575"/>
      <c r="W2" s="575"/>
      <c r="X2" s="575" t="s">
        <v>630</v>
      </c>
      <c r="Y2" s="575" t="str">
        <f>TEXT(DATE(2026,COLUMN()-COLUMN($X$2),1),"mmm-aa")</f>
        <v>ene-26</v>
      </c>
      <c r="Z2" s="575" t="str">
        <f t="shared" ref="Z2:AJ2" si="0">TEXT(DATE(2026,COLUMN()-COLUMN($X$2),1),"mmm-aa")</f>
        <v>feb-26</v>
      </c>
      <c r="AA2" s="575" t="str">
        <f t="shared" si="0"/>
        <v>mar-26</v>
      </c>
      <c r="AB2" s="575" t="str">
        <f t="shared" si="0"/>
        <v>abr-26</v>
      </c>
      <c r="AC2" s="575" t="str">
        <f t="shared" si="0"/>
        <v>may-26</v>
      </c>
      <c r="AD2" s="575" t="str">
        <f t="shared" si="0"/>
        <v>jun-26</v>
      </c>
      <c r="AE2" s="575" t="str">
        <f t="shared" si="0"/>
        <v>jul-26</v>
      </c>
      <c r="AF2" s="575" t="str">
        <f t="shared" si="0"/>
        <v>ago-26</v>
      </c>
      <c r="AG2" s="575" t="str">
        <f t="shared" si="0"/>
        <v>sep-26</v>
      </c>
      <c r="AH2" s="575" t="str">
        <f t="shared" si="0"/>
        <v>oct-26</v>
      </c>
      <c r="AI2" s="575" t="str">
        <f t="shared" si="0"/>
        <v>nov-26</v>
      </c>
      <c r="AJ2" s="575" t="str">
        <f t="shared" si="0"/>
        <v>dic-26</v>
      </c>
    </row>
    <row r="3" spans="1:36">
      <c r="A3" s="246"/>
      <c r="B3" s="246"/>
      <c r="C3" s="246"/>
      <c r="D3" s="246"/>
      <c r="E3" s="246"/>
      <c r="F3" s="246"/>
      <c r="G3" s="246"/>
      <c r="H3" s="246"/>
      <c r="I3" s="246"/>
      <c r="J3" s="246"/>
      <c r="K3" s="246"/>
      <c r="L3" s="246"/>
      <c r="M3" s="246"/>
      <c r="N3" s="246"/>
      <c r="O3" s="246"/>
      <c r="P3" s="246"/>
      <c r="Q3" s="246"/>
      <c r="R3" s="246"/>
      <c r="S3" s="575"/>
      <c r="T3" s="575"/>
      <c r="U3" s="575"/>
      <c r="V3" s="575"/>
      <c r="W3" s="575"/>
      <c r="X3" s="575" t="s">
        <v>276</v>
      </c>
      <c r="Y3" s="624">
        <f>'Modelo Base'!F197/1000000</f>
        <v>612.24770100000001</v>
      </c>
      <c r="Z3" s="624">
        <f>'Modelo Base'!G197/1000000</f>
        <v>744.21813699999996</v>
      </c>
      <c r="AA3" s="624">
        <f>'Modelo Base'!H197/1000000</f>
        <v>787.04118700000004</v>
      </c>
      <c r="AB3" s="624">
        <f>'Modelo Base'!I197/1000000</f>
        <v>750.867662</v>
      </c>
      <c r="AC3" s="624">
        <f>'Modelo Base'!J197/1000000</f>
        <v>826.51474599999995</v>
      </c>
      <c r="AD3" s="624">
        <f>'Modelo Base'!K197/1000000</f>
        <v>751.45331399999998</v>
      </c>
      <c r="AE3" s="624">
        <f>'Modelo Base'!L197/1000000</f>
        <v>679.89055199999996</v>
      </c>
      <c r="AF3" s="646">
        <f>'Modelo Base'!M197/1000000</f>
        <v>1573.6260714285715</v>
      </c>
      <c r="AG3" s="646">
        <f>'Modelo Base'!N197/1000000</f>
        <v>1665.0414285714285</v>
      </c>
      <c r="AH3" s="646">
        <f>'Modelo Base'!O197/1000000</f>
        <v>1756.4567857142858</v>
      </c>
      <c r="AI3" s="646">
        <f>'Modelo Base'!P197/1000000</f>
        <v>1847.872142857143</v>
      </c>
      <c r="AJ3" s="646">
        <f>'Modelo Base'!Q197/1000000</f>
        <v>1939.2874999999999</v>
      </c>
    </row>
    <row r="4" spans="1:36">
      <c r="A4" s="1110" t="s">
        <v>954</v>
      </c>
      <c r="B4" s="1110"/>
      <c r="C4" s="1110"/>
      <c r="D4" s="1113" t="s">
        <v>955</v>
      </c>
      <c r="E4" s="1113"/>
      <c r="F4" s="1113"/>
      <c r="G4" s="1116" t="s">
        <v>956</v>
      </c>
      <c r="H4" s="1116"/>
      <c r="I4" s="1116"/>
      <c r="J4" s="1119" t="s">
        <v>957</v>
      </c>
      <c r="K4" s="1119"/>
      <c r="L4" s="1119"/>
      <c r="M4" s="1123" t="s">
        <v>958</v>
      </c>
      <c r="N4" s="1123"/>
      <c r="O4" s="1123"/>
      <c r="P4" s="1126" t="s">
        <v>959</v>
      </c>
      <c r="Q4" s="1126"/>
      <c r="R4" s="1126"/>
      <c r="S4" s="575"/>
      <c r="T4" s="575"/>
      <c r="U4" s="575"/>
      <c r="V4" s="575"/>
      <c r="W4" s="575"/>
      <c r="X4" s="575" t="s">
        <v>278</v>
      </c>
      <c r="Y4" s="624">
        <f>'Modelo Base'!F198/1000000</f>
        <v>69.979360999999997</v>
      </c>
      <c r="Z4" s="624">
        <f>'Modelo Base'!G198/1000000</f>
        <v>46.134031999999998</v>
      </c>
      <c r="AA4" s="624">
        <f>'Modelo Base'!H198/1000000</f>
        <v>-22.242792999999999</v>
      </c>
      <c r="AB4" s="624">
        <f>'Modelo Base'!I198/1000000</f>
        <v>4.8382519999999998</v>
      </c>
      <c r="AC4" s="624">
        <f>'Modelo Base'!J198/1000000</f>
        <v>113.00947499999999</v>
      </c>
      <c r="AD4" s="624">
        <f>'Modelo Base'!K198/1000000</f>
        <v>34.975495000000002</v>
      </c>
      <c r="AE4" s="624">
        <f>'Modelo Base'!L198/1000000</f>
        <v>29.342362000000001</v>
      </c>
      <c r="AF4" s="624">
        <f>'Modelo Base'!M198/1000000</f>
        <v>741.79675842857137</v>
      </c>
      <c r="AG4" s="624">
        <f>'Modelo Base'!N198/1000000</f>
        <v>833.2121155714284</v>
      </c>
      <c r="AH4" s="624">
        <f>'Modelo Base'!O198/1000000</f>
        <v>924.627472714286</v>
      </c>
      <c r="AI4" s="624">
        <f>'Modelo Base'!P198/1000000</f>
        <v>999.2322858571431</v>
      </c>
      <c r="AJ4" s="646">
        <f>'Modelo Base'!Q198/1000000</f>
        <v>1090.647643</v>
      </c>
    </row>
    <row r="5" spans="1:36">
      <c r="A5" s="1111">
        <f>'Modelo Base'!S197/1000000</f>
        <v>13934.51722757143</v>
      </c>
      <c r="B5" s="1110"/>
      <c r="C5" s="1110"/>
      <c r="D5" s="1114">
        <f>'Modelo Base'!S198/1000000</f>
        <v>4865.5524595714287</v>
      </c>
      <c r="E5" s="1113"/>
      <c r="F5" s="1113"/>
      <c r="G5" s="1117">
        <f>IF('Modelo Base'!S197=0,0,'Modelo Base'!S198/'Modelo Base'!S197)</f>
        <v>0.34917266096196276</v>
      </c>
      <c r="H5" s="1116"/>
      <c r="I5" s="1116"/>
      <c r="J5" s="1120">
        <f>'Modelo Base'!S201/1000000</f>
        <v>3226.3061608280191</v>
      </c>
      <c r="K5" s="1119"/>
      <c r="L5" s="1119"/>
      <c r="M5" s="1124">
        <f>'Modelo Base'!Q189/1000000</f>
        <v>200</v>
      </c>
      <c r="N5" s="1123"/>
      <c r="O5" s="1123"/>
      <c r="P5" s="1127">
        <f>'Modelo Base'!S457/1000000</f>
        <v>1067.7338215107068</v>
      </c>
      <c r="Q5" s="1126"/>
      <c r="R5" s="1126"/>
      <c r="S5" s="575"/>
      <c r="T5" s="575"/>
      <c r="U5" s="575"/>
      <c r="V5" s="575"/>
      <c r="W5" s="575"/>
      <c r="X5" s="575" t="s">
        <v>400</v>
      </c>
      <c r="Y5" s="624">
        <f>'Modelo Base'!F201/1000000</f>
        <v>63.485497000000002</v>
      </c>
      <c r="Z5" s="624">
        <f>'Modelo Base'!G201/1000000</f>
        <v>54.048915000000001</v>
      </c>
      <c r="AA5" s="624">
        <f>'Modelo Base'!H201/1000000</f>
        <v>-37.938006999999999</v>
      </c>
      <c r="AB5" s="624">
        <f>'Modelo Base'!I201/1000000</f>
        <v>0.70620300000000003</v>
      </c>
      <c r="AC5" s="624">
        <f>'Modelo Base'!J201/1000000</f>
        <v>108.374968</v>
      </c>
      <c r="AD5" s="624">
        <f>'Modelo Base'!K201/1000000</f>
        <v>33.343649999999997</v>
      </c>
      <c r="AE5" s="624">
        <f>'Modelo Base'!L201/1000000</f>
        <v>24.707052000000001</v>
      </c>
      <c r="AF5" s="624">
        <f>'Modelo Base'!M201/1000000</f>
        <v>481.52293311648799</v>
      </c>
      <c r="AG5" s="624">
        <f>'Modelo Base'!N201/1000000</f>
        <v>540.90398206381735</v>
      </c>
      <c r="AH5" s="624">
        <f>'Modelo Base'!O201/1000000</f>
        <v>600.28567989773921</v>
      </c>
      <c r="AI5" s="624">
        <f>'Modelo Base'!P201/1000000</f>
        <v>648.74116220347616</v>
      </c>
      <c r="AJ5" s="624">
        <f>'Modelo Base'!Q201/1000000</f>
        <v>708.12412554649859</v>
      </c>
    </row>
    <row r="6" spans="1:36">
      <c r="A6" s="1110"/>
      <c r="B6" s="1110"/>
      <c r="C6" s="1110"/>
      <c r="D6" s="1113"/>
      <c r="E6" s="1113"/>
      <c r="F6" s="1113"/>
      <c r="G6" s="1116"/>
      <c r="H6" s="1116"/>
      <c r="I6" s="1116"/>
      <c r="J6" s="1119"/>
      <c r="K6" s="1119"/>
      <c r="L6" s="1119"/>
      <c r="M6" s="1123"/>
      <c r="N6" s="1123"/>
      <c r="O6" s="1123"/>
      <c r="P6" s="1126"/>
      <c r="Q6" s="1126"/>
      <c r="R6" s="1126"/>
      <c r="S6" s="575"/>
      <c r="T6" s="575"/>
      <c r="U6" s="575"/>
      <c r="V6" s="575"/>
      <c r="W6" s="575"/>
      <c r="X6" s="575"/>
      <c r="Y6" s="575"/>
      <c r="Z6" s="575"/>
      <c r="AA6" s="575"/>
      <c r="AB6" s="575"/>
      <c r="AC6" s="575"/>
      <c r="AD6" s="575"/>
      <c r="AE6" s="575"/>
      <c r="AF6" s="575"/>
      <c r="AG6" s="575"/>
      <c r="AH6" s="575"/>
      <c r="AI6" s="575"/>
      <c r="AJ6" s="575"/>
    </row>
    <row r="7" spans="1:36" ht="15" thickBot="1">
      <c r="A7" s="1112"/>
      <c r="B7" s="1112"/>
      <c r="C7" s="1112"/>
      <c r="D7" s="1115"/>
      <c r="E7" s="1115"/>
      <c r="F7" s="1115"/>
      <c r="G7" s="1118"/>
      <c r="H7" s="1118"/>
      <c r="I7" s="1118"/>
      <c r="J7" s="1121"/>
      <c r="K7" s="1121"/>
      <c r="L7" s="1121"/>
      <c r="M7" s="1125"/>
      <c r="N7" s="1125"/>
      <c r="O7" s="1125"/>
      <c r="P7" s="1128"/>
      <c r="Q7" s="1128"/>
      <c r="R7" s="1128"/>
      <c r="S7" s="575"/>
      <c r="T7" s="575"/>
      <c r="U7" s="575"/>
      <c r="V7" s="575"/>
      <c r="W7" s="575"/>
      <c r="X7" s="575"/>
      <c r="Y7" s="575"/>
      <c r="Z7" s="575"/>
      <c r="AA7" s="575"/>
      <c r="AB7" s="575"/>
      <c r="AC7" s="575"/>
      <c r="AD7" s="575"/>
      <c r="AE7" s="575"/>
      <c r="AF7" s="575"/>
      <c r="AG7" s="575"/>
      <c r="AH7" s="575"/>
      <c r="AI7" s="575"/>
      <c r="AJ7" s="575"/>
    </row>
    <row r="8" spans="1:36" ht="30" customHeight="1" thickBot="1">
      <c r="A8" s="1129" t="s">
        <v>950</v>
      </c>
      <c r="B8" s="1130"/>
      <c r="C8" s="1130"/>
      <c r="D8" s="1130"/>
      <c r="E8" s="1130"/>
      <c r="F8" s="1130"/>
      <c r="G8" s="1130"/>
      <c r="H8" s="1130"/>
      <c r="I8" s="1130"/>
      <c r="J8" s="1130"/>
      <c r="K8" s="1130"/>
      <c r="L8" s="1130"/>
      <c r="M8" s="1130"/>
      <c r="N8" s="1130"/>
      <c r="O8" s="1130"/>
      <c r="P8" s="1130"/>
      <c r="Q8" s="1130"/>
      <c r="R8" s="1130"/>
      <c r="S8" s="386"/>
      <c r="T8" s="386"/>
      <c r="U8" s="386"/>
      <c r="V8" s="386"/>
      <c r="W8" s="386"/>
      <c r="X8" s="386" t="s">
        <v>630</v>
      </c>
      <c r="Y8" s="386" t="str">
        <f t="shared" ref="Y8:AJ8" si="1">TEXT(DATE(2026,COLUMN()-COLUMN($X$2),1),"mmm-aa")</f>
        <v>ene-26</v>
      </c>
      <c r="Z8" s="386" t="str">
        <f t="shared" si="1"/>
        <v>feb-26</v>
      </c>
      <c r="AA8" s="386" t="str">
        <f t="shared" si="1"/>
        <v>mar-26</v>
      </c>
      <c r="AB8" s="386" t="str">
        <f t="shared" si="1"/>
        <v>abr-26</v>
      </c>
      <c r="AC8" s="386" t="str">
        <f t="shared" si="1"/>
        <v>may-26</v>
      </c>
      <c r="AD8" s="386" t="str">
        <f t="shared" si="1"/>
        <v>jun-26</v>
      </c>
      <c r="AE8" s="386" t="str">
        <f t="shared" si="1"/>
        <v>jul-26</v>
      </c>
      <c r="AF8" s="386" t="str">
        <f t="shared" si="1"/>
        <v>ago-26</v>
      </c>
      <c r="AG8" s="386" t="str">
        <f t="shared" si="1"/>
        <v>sep-26</v>
      </c>
      <c r="AH8" s="386" t="str">
        <f t="shared" si="1"/>
        <v>oct-26</v>
      </c>
      <c r="AI8" s="386" t="str">
        <f t="shared" si="1"/>
        <v>nov-26</v>
      </c>
      <c r="AJ8" s="386" t="str">
        <f t="shared" si="1"/>
        <v>dic-26</v>
      </c>
    </row>
    <row r="9" spans="1:36" ht="15" thickTop="1">
      <c r="A9" s="246"/>
      <c r="B9" s="246"/>
      <c r="C9" s="246"/>
      <c r="D9" s="246"/>
      <c r="E9" s="246"/>
      <c r="F9" s="246"/>
      <c r="G9" s="246"/>
      <c r="H9" s="246"/>
      <c r="I9" s="246"/>
      <c r="J9" s="246"/>
      <c r="K9" s="246"/>
      <c r="L9" s="246"/>
      <c r="M9" s="246"/>
      <c r="N9" s="246"/>
      <c r="O9" s="246"/>
      <c r="P9" s="246"/>
      <c r="Q9" s="246"/>
      <c r="R9" s="246"/>
      <c r="S9" s="575"/>
      <c r="T9" s="575"/>
      <c r="U9" s="575"/>
      <c r="V9" s="575"/>
      <c r="W9" s="575"/>
      <c r="X9" s="575" t="s">
        <v>669</v>
      </c>
      <c r="Y9" s="624">
        <f>'Modelo Base'!F54</f>
        <v>0.6103933202029288</v>
      </c>
      <c r="Z9" s="624">
        <f>'Modelo Base'!G54</f>
        <v>0.53869870414082643</v>
      </c>
      <c r="AA9" s="624">
        <f>'Modelo Base'!H54</f>
        <v>0.42107324429007298</v>
      </c>
      <c r="AB9" s="624">
        <f>'Modelo Base'!I54</f>
        <v>0.49488623202952642</v>
      </c>
      <c r="AC9" s="624">
        <f>'Modelo Base'!J54</f>
        <v>0.56991629644802488</v>
      </c>
      <c r="AD9" s="624">
        <f>'Modelo Base'!K54</f>
        <v>0.53626180162138459</v>
      </c>
      <c r="AE9" s="624">
        <f>'Modelo Base'!L54</f>
        <v>0.52651520593567536</v>
      </c>
      <c r="AF9" s="624">
        <f>'Modelo Base'!M54</f>
        <v>0.7759816853462268</v>
      </c>
      <c r="AG9" s="624">
        <f>'Modelo Base'!N54</f>
        <v>0.78828090738911971</v>
      </c>
      <c r="AH9" s="624">
        <f>'Modelo Base'!O54</f>
        <v>0.79929989551475966</v>
      </c>
      <c r="AI9" s="624">
        <f>'Modelo Base'!P54</f>
        <v>0.80380124197548719</v>
      </c>
      <c r="AJ9" s="624">
        <f>'Modelo Base'!Q54</f>
        <v>0.81304978275956175</v>
      </c>
    </row>
    <row r="10" spans="1:36">
      <c r="A10" s="246"/>
      <c r="B10" s="246"/>
      <c r="C10" s="246"/>
      <c r="D10" s="246"/>
      <c r="E10" s="246"/>
      <c r="F10" s="246"/>
      <c r="G10" s="246"/>
      <c r="H10" s="246"/>
      <c r="I10" s="246"/>
      <c r="J10" s="246"/>
      <c r="K10" s="246"/>
      <c r="L10" s="246"/>
      <c r="M10" s="246"/>
      <c r="N10" s="246"/>
      <c r="O10" s="246"/>
      <c r="P10" s="246"/>
      <c r="Q10" s="246"/>
      <c r="R10" s="246"/>
      <c r="S10" s="575"/>
      <c r="T10" s="575"/>
      <c r="U10" s="575"/>
      <c r="V10" s="575"/>
      <c r="W10" s="575"/>
      <c r="X10" s="575" t="s">
        <v>670</v>
      </c>
      <c r="Y10" s="624">
        <f>'Modelo Base'!F199</f>
        <v>0.11429909967109864</v>
      </c>
      <c r="Z10" s="624">
        <f>'Modelo Base'!G199</f>
        <v>6.1989932395318657E-2</v>
      </c>
      <c r="AA10" s="624">
        <f>'Modelo Base'!H199</f>
        <v>-2.8261282087134278E-2</v>
      </c>
      <c r="AB10" s="624">
        <f>'Modelo Base'!I199</f>
        <v>6.4435482373989888E-3</v>
      </c>
      <c r="AC10" s="624">
        <f>'Modelo Base'!J199</f>
        <v>0.13673013766169395</v>
      </c>
      <c r="AD10" s="624">
        <f>'Modelo Base'!K199</f>
        <v>4.6543802986009589E-2</v>
      </c>
      <c r="AE10" s="624">
        <f>'Modelo Base'!L199</f>
        <v>4.3157478676067854E-2</v>
      </c>
      <c r="AF10" s="624">
        <f>'Modelo Base'!M199</f>
        <v>0.47139328198544167</v>
      </c>
      <c r="AG10" s="624">
        <f>'Modelo Base'!N199</f>
        <v>0.50041524569530227</v>
      </c>
      <c r="AH10" s="624">
        <f>'Modelo Base'!O199</f>
        <v>0.5264162945735521</v>
      </c>
      <c r="AI10" s="624">
        <f>'Modelo Base'!P199</f>
        <v>0.54074752396675563</v>
      </c>
      <c r="AJ10" s="624">
        <f>'Modelo Base'!Q199</f>
        <v>0.56239605679921101</v>
      </c>
    </row>
    <row r="11" spans="1:36">
      <c r="A11" s="246"/>
      <c r="B11" s="246"/>
      <c r="C11" s="246"/>
      <c r="D11" s="246"/>
      <c r="E11" s="246"/>
      <c r="F11" s="246"/>
      <c r="G11" s="246"/>
      <c r="H11" s="246"/>
      <c r="I11" s="246"/>
      <c r="J11" s="246"/>
      <c r="K11" s="246"/>
      <c r="L11" s="246"/>
      <c r="M11" s="246"/>
      <c r="N11" s="246"/>
      <c r="O11" s="246"/>
      <c r="P11" s="246"/>
      <c r="Q11" s="246"/>
      <c r="R11" s="246"/>
      <c r="S11" s="575"/>
      <c r="T11" s="575"/>
      <c r="U11" s="575"/>
      <c r="V11" s="575"/>
      <c r="W11" s="575"/>
      <c r="X11" s="575" t="s">
        <v>671</v>
      </c>
      <c r="Y11" s="624">
        <f>'Modelo Base'!F202</f>
        <v>0.10369250369794365</v>
      </c>
      <c r="Z11" s="624">
        <f>'Modelo Base'!G202</f>
        <v>7.2625097821285692E-2</v>
      </c>
      <c r="AA11" s="624">
        <f>'Modelo Base'!H202</f>
        <v>-4.820333119364438E-2</v>
      </c>
      <c r="AB11" s="624">
        <f>'Modelo Base'!I202</f>
        <v>9.4051593341890386E-4</v>
      </c>
      <c r="AC11" s="624">
        <f>'Modelo Base'!J202</f>
        <v>0.13112284871442573</v>
      </c>
      <c r="AD11" s="624">
        <f>'Modelo Base'!K202</f>
        <v>4.4372217646511038E-2</v>
      </c>
      <c r="AE11" s="624">
        <f>'Modelo Base'!L202</f>
        <v>3.6339748989481474E-2</v>
      </c>
      <c r="AF11" s="624">
        <f>'Modelo Base'!M202</f>
        <v>0.3059957774335495</v>
      </c>
      <c r="AG11" s="624">
        <f>'Modelo Base'!N202</f>
        <v>0.32485917334075098</v>
      </c>
      <c r="AH11" s="624">
        <f>'Modelo Base'!O202</f>
        <v>0.34175943568894879</v>
      </c>
      <c r="AI11" s="624">
        <f>'Modelo Base'!P202</f>
        <v>0.35107470217090109</v>
      </c>
      <c r="AJ11" s="624">
        <f>'Modelo Base'!Q202</f>
        <v>0.36514654250414058</v>
      </c>
    </row>
    <row r="12" spans="1:36">
      <c r="A12" s="246"/>
      <c r="B12" s="246"/>
      <c r="C12" s="246"/>
      <c r="D12" s="246"/>
      <c r="E12" s="246"/>
      <c r="F12" s="246"/>
      <c r="G12" s="246"/>
      <c r="H12" s="246"/>
      <c r="I12" s="246"/>
      <c r="J12" s="246"/>
      <c r="K12" s="246"/>
      <c r="L12" s="246"/>
      <c r="M12" s="246"/>
      <c r="N12" s="246"/>
      <c r="O12" s="246"/>
      <c r="P12" s="246"/>
      <c r="Q12" s="246"/>
      <c r="R12" s="246"/>
      <c r="S12" s="575"/>
      <c r="T12" s="575"/>
      <c r="U12" s="575"/>
      <c r="V12" s="575"/>
      <c r="W12" s="575"/>
      <c r="X12" s="575"/>
      <c r="Y12" s="575"/>
      <c r="Z12" s="575"/>
      <c r="AA12" s="575"/>
      <c r="AB12" s="575"/>
      <c r="AC12" s="575"/>
      <c r="AD12" s="575"/>
      <c r="AE12" s="575"/>
      <c r="AF12" s="575"/>
      <c r="AG12" s="575"/>
      <c r="AH12" s="575"/>
      <c r="AI12" s="575"/>
      <c r="AJ12" s="575"/>
    </row>
    <row r="13" spans="1:36">
      <c r="A13" s="246"/>
      <c r="B13" s="246"/>
      <c r="C13" s="246"/>
      <c r="D13" s="246"/>
      <c r="E13" s="246"/>
      <c r="F13" s="246"/>
      <c r="G13" s="246"/>
      <c r="H13" s="246"/>
      <c r="I13" s="246"/>
      <c r="J13" s="246"/>
      <c r="K13" s="246"/>
      <c r="L13" s="246"/>
      <c r="M13" s="246"/>
      <c r="N13" s="246"/>
      <c r="O13" s="246"/>
      <c r="P13" s="246"/>
      <c r="Q13" s="246"/>
      <c r="R13" s="246"/>
      <c r="S13" s="575"/>
      <c r="T13" s="575"/>
      <c r="U13" s="575"/>
      <c r="V13" s="575"/>
      <c r="W13" s="575"/>
      <c r="X13" s="575"/>
      <c r="Y13" s="575"/>
      <c r="Z13" s="575"/>
      <c r="AA13" s="575"/>
      <c r="AB13" s="575"/>
      <c r="AC13" s="575"/>
      <c r="AD13" s="575"/>
      <c r="AE13" s="575"/>
      <c r="AF13" s="575"/>
      <c r="AG13" s="575"/>
      <c r="AH13" s="575"/>
      <c r="AI13" s="575"/>
      <c r="AJ13" s="575"/>
    </row>
    <row r="14" spans="1:36" ht="30" customHeight="1">
      <c r="A14" s="933"/>
      <c r="B14" s="934"/>
      <c r="C14" s="934"/>
      <c r="D14" s="934"/>
      <c r="E14" s="934"/>
      <c r="F14" s="934"/>
      <c r="G14" s="934"/>
      <c r="H14" s="934"/>
      <c r="I14" s="934"/>
      <c r="J14" s="934"/>
      <c r="K14" s="934"/>
      <c r="L14" s="934"/>
      <c r="M14" s="934"/>
      <c r="N14" s="934"/>
      <c r="O14" s="934"/>
      <c r="P14" s="934"/>
      <c r="Q14" s="934"/>
      <c r="R14" s="934"/>
      <c r="S14" s="934"/>
      <c r="T14" s="934"/>
      <c r="U14" s="934"/>
      <c r="V14" s="934"/>
      <c r="W14" s="934"/>
      <c r="X14" s="386" t="s">
        <v>630</v>
      </c>
      <c r="Y14" s="386" t="str">
        <f t="shared" ref="Y14:AJ14" si="2">TEXT(DATE(2026,COLUMN()-COLUMN($X$2),1),"mmm-aa")</f>
        <v>ene-26</v>
      </c>
      <c r="Z14" s="386" t="str">
        <f t="shared" si="2"/>
        <v>feb-26</v>
      </c>
      <c r="AA14" s="386" t="str">
        <f t="shared" si="2"/>
        <v>mar-26</v>
      </c>
      <c r="AB14" s="386" t="str">
        <f t="shared" si="2"/>
        <v>abr-26</v>
      </c>
      <c r="AC14" s="386" t="str">
        <f t="shared" si="2"/>
        <v>may-26</v>
      </c>
      <c r="AD14" s="386" t="str">
        <f t="shared" si="2"/>
        <v>jun-26</v>
      </c>
      <c r="AE14" s="386" t="str">
        <f t="shared" si="2"/>
        <v>jul-26</v>
      </c>
      <c r="AF14" s="386" t="str">
        <f t="shared" si="2"/>
        <v>ago-26</v>
      </c>
      <c r="AG14" s="386" t="str">
        <f t="shared" si="2"/>
        <v>sep-26</v>
      </c>
      <c r="AH14" s="386" t="str">
        <f t="shared" si="2"/>
        <v>oct-26</v>
      </c>
      <c r="AI14" s="386" t="str">
        <f t="shared" si="2"/>
        <v>nov-26</v>
      </c>
      <c r="AJ14" s="386" t="str">
        <f t="shared" si="2"/>
        <v>dic-26</v>
      </c>
    </row>
    <row r="15" spans="1:36">
      <c r="A15" s="246"/>
      <c r="B15" s="246"/>
      <c r="C15" s="246"/>
      <c r="D15" s="246"/>
      <c r="E15" s="246"/>
      <c r="F15" s="246"/>
      <c r="G15" s="246"/>
      <c r="H15" s="246"/>
      <c r="I15" s="246"/>
      <c r="J15" s="246"/>
      <c r="K15" s="246"/>
      <c r="L15" s="246"/>
      <c r="M15" s="246"/>
      <c r="N15" s="246"/>
      <c r="O15" s="246"/>
      <c r="P15" s="246"/>
      <c r="Q15" s="246"/>
      <c r="R15" s="246"/>
      <c r="S15" s="575"/>
      <c r="T15" s="575"/>
      <c r="U15" s="575"/>
      <c r="V15" s="575"/>
      <c r="W15" s="575"/>
      <c r="X15" s="575" t="s">
        <v>474</v>
      </c>
      <c r="Y15" s="646">
        <f>'Modelo Base'!F205/1000000</f>
        <v>218.72726599999999</v>
      </c>
      <c r="Z15" s="624">
        <f>'Modelo Base'!G205/1000000</f>
        <v>-304.71859899999998</v>
      </c>
      <c r="AA15" s="624">
        <f>'Modelo Base'!H205/1000000</f>
        <v>125.650513</v>
      </c>
      <c r="AB15" s="624">
        <f>'Modelo Base'!I205/1000000</f>
        <v>73.339722366666663</v>
      </c>
      <c r="AC15" s="646">
        <f>'Modelo Base'!J205/1000000</f>
        <v>-29.144814083333337</v>
      </c>
      <c r="AD15" s="624">
        <f>'Modelo Base'!K205/1000000</f>
        <v>-108.44620243333334</v>
      </c>
      <c r="AE15" s="624">
        <f>'Modelo Base'!L205/1000000</f>
        <v>41.319773566666669</v>
      </c>
      <c r="AF15" s="646">
        <f>'Modelo Base'!M205/1000000</f>
        <v>-1785.0775872242066</v>
      </c>
      <c r="AG15" s="624">
        <f>'Modelo Base'!N205/1000000</f>
        <v>320.74154882601169</v>
      </c>
      <c r="AH15" s="624">
        <f>'Modelo Base'!O205/1000000</f>
        <v>380.18249499723055</v>
      </c>
      <c r="AI15" s="624">
        <f>'Modelo Base'!P205/1000000</f>
        <v>440.19642336797591</v>
      </c>
      <c r="AJ15" s="624">
        <f>'Modelo Base'!Q205/1000000</f>
        <v>488.13649136158989</v>
      </c>
    </row>
    <row r="16" spans="1:36">
      <c r="A16" s="246"/>
      <c r="B16" s="246"/>
      <c r="C16" s="246"/>
      <c r="D16" s="246"/>
      <c r="E16" s="246"/>
      <c r="F16" s="246"/>
      <c r="G16" s="246"/>
      <c r="H16" s="246"/>
      <c r="I16" s="246"/>
      <c r="J16" s="246"/>
      <c r="K16" s="246"/>
      <c r="L16" s="246"/>
      <c r="M16" s="246"/>
      <c r="N16" s="246"/>
      <c r="O16" s="246"/>
      <c r="P16" s="246"/>
      <c r="Q16" s="246"/>
      <c r="R16" s="246"/>
      <c r="S16" s="575"/>
      <c r="T16" s="575"/>
      <c r="U16" s="575"/>
      <c r="V16" s="575"/>
      <c r="W16" s="575"/>
      <c r="X16" s="575" t="s">
        <v>475</v>
      </c>
      <c r="Y16" s="646">
        <f>'Modelo Base'!F206/1000000</f>
        <v>-7.3599540000000001</v>
      </c>
      <c r="Z16" s="624">
        <f>'Modelo Base'!G206/1000000</f>
        <v>-6.2690000000000001</v>
      </c>
      <c r="AA16" s="624">
        <f>'Modelo Base'!H206/1000000</f>
        <v>-0.28904800000000003</v>
      </c>
      <c r="AB16" s="624">
        <f>'Modelo Base'!I206/1000000</f>
        <v>1.2286356333333333</v>
      </c>
      <c r="AC16" s="646">
        <f>'Modelo Base'!J206/1000000</f>
        <v>-65.009996916666665</v>
      </c>
      <c r="AD16" s="624">
        <f>'Modelo Base'!K206/1000000</f>
        <v>-3.766258566666667</v>
      </c>
      <c r="AE16" s="624">
        <f>'Modelo Base'!L206/1000000</f>
        <v>-3.766258566666667</v>
      </c>
      <c r="AF16" s="624">
        <f>'Modelo Base'!M206/1000000</f>
        <v>-7.3600919999999999</v>
      </c>
      <c r="AG16" s="624">
        <f>'Modelo Base'!N206/1000000</f>
        <v>-7.3600919999999999</v>
      </c>
      <c r="AH16" s="624">
        <f>'Modelo Base'!O206/1000000</f>
        <v>-7.3600919999999999</v>
      </c>
      <c r="AI16" s="624">
        <f>'Modelo Base'!P206/1000000</f>
        <v>-7.3600919999999999</v>
      </c>
      <c r="AJ16" s="624">
        <f>'Modelo Base'!Q206/1000000</f>
        <v>-7.3600919999999999</v>
      </c>
    </row>
    <row r="17" spans="24:36">
      <c r="X17" s="575" t="s">
        <v>476</v>
      </c>
      <c r="Y17" s="646">
        <f>'Modelo Base'!F207/1000000</f>
        <v>-17.231358</v>
      </c>
      <c r="Z17" s="624">
        <f>'Modelo Base'!G207/1000000</f>
        <v>5.6945129999999997</v>
      </c>
      <c r="AA17" s="646">
        <f>'Modelo Base'!H207/1000000</f>
        <v>23.825706</v>
      </c>
      <c r="AB17" s="624">
        <f>'Modelo Base'!I207/1000000</f>
        <v>13.700089999999999</v>
      </c>
      <c r="AC17" s="646">
        <f>'Modelo Base'!J207/1000000</f>
        <v>-18.780003000000001</v>
      </c>
      <c r="AD17" s="624">
        <f>'Modelo Base'!K207/1000000</f>
        <v>-17.168520000000001</v>
      </c>
      <c r="AE17" s="624">
        <f>'Modelo Base'!L207/1000000</f>
        <v>21.272048000000002</v>
      </c>
      <c r="AF17" s="646">
        <f>'Modelo Base'!M207/1000000</f>
        <v>750.43693171350003</v>
      </c>
      <c r="AG17" s="646">
        <f>'Modelo Base'!N207/1000000</f>
        <v>0</v>
      </c>
      <c r="AH17" s="646">
        <f>'Modelo Base'!O207/1000000</f>
        <v>0</v>
      </c>
      <c r="AI17" s="646">
        <f>'Modelo Base'!P207/1000000</f>
        <v>-51.306369680511473</v>
      </c>
      <c r="AJ17" s="646">
        <f>'Modelo Base'!Q207/1000000</f>
        <v>-480.77639936158988</v>
      </c>
    </row>
    <row r="18" spans="24:36">
      <c r="X18" s="575" t="s">
        <v>625</v>
      </c>
      <c r="Y18" s="646">
        <f>'Modelo Base'!F208/1000000</f>
        <v>194.135954</v>
      </c>
      <c r="Z18" s="624">
        <f>'Modelo Base'!G208/1000000</f>
        <v>-305.29308600000002</v>
      </c>
      <c r="AA18" s="624">
        <f>'Modelo Base'!H208/1000000</f>
        <v>149.18717100000001</v>
      </c>
      <c r="AB18" s="624">
        <f>'Modelo Base'!I208/1000000</f>
        <v>88.268448000000006</v>
      </c>
      <c r="AC18" s="646">
        <f>'Modelo Base'!J208/1000000</f>
        <v>-112.934814</v>
      </c>
      <c r="AD18" s="624">
        <f>'Modelo Base'!K208/1000000</f>
        <v>-129.38098099999999</v>
      </c>
      <c r="AE18" s="624">
        <f>'Modelo Base'!L208/1000000</f>
        <v>58.825563000000002</v>
      </c>
      <c r="AF18" s="624">
        <f>'Modelo Base'!M208/1000000</f>
        <v>-1042.0007475107066</v>
      </c>
      <c r="AG18" s="624">
        <f>'Modelo Base'!N208/1000000</f>
        <v>313.38145682601174</v>
      </c>
      <c r="AH18" s="624">
        <f>'Modelo Base'!O208/1000000</f>
        <v>372.82240299723054</v>
      </c>
      <c r="AI18" s="624">
        <f>'Modelo Base'!P208/1000000</f>
        <v>381.52996168746444</v>
      </c>
      <c r="AJ18" s="624">
        <f>'Modelo Base'!Q208/1000000</f>
        <v>0</v>
      </c>
    </row>
    <row r="19" spans="24:36">
      <c r="X19" s="575"/>
      <c r="Y19" s="575"/>
      <c r="Z19" s="575"/>
      <c r="AA19" s="575"/>
      <c r="AB19" s="575"/>
      <c r="AC19" s="575"/>
      <c r="AD19" s="575"/>
      <c r="AE19" s="575"/>
      <c r="AF19" s="575"/>
      <c r="AG19" s="575"/>
      <c r="AH19" s="575"/>
      <c r="AI19" s="575"/>
      <c r="AJ19" s="575"/>
    </row>
    <row r="20" spans="24:36">
      <c r="X20" s="575"/>
      <c r="Y20" s="575"/>
      <c r="Z20" s="575"/>
      <c r="AA20" s="575"/>
      <c r="AB20" s="575"/>
      <c r="AC20" s="575"/>
      <c r="AD20" s="575"/>
      <c r="AE20" s="575"/>
      <c r="AF20" s="575"/>
      <c r="AG20" s="575"/>
      <c r="AH20" s="575"/>
      <c r="AI20" s="575"/>
      <c r="AJ20" s="575"/>
    </row>
    <row r="21" spans="24:36" ht="30" customHeight="1">
      <c r="X21" s="386" t="s">
        <v>630</v>
      </c>
      <c r="Y21" s="386" t="str">
        <f t="shared" ref="Y21:AJ21" si="3">TEXT(DATE(2026,COLUMN()-COLUMN($X$2),1),"mmm-aa")</f>
        <v>ene-26</v>
      </c>
      <c r="Z21" s="386" t="str">
        <f t="shared" si="3"/>
        <v>feb-26</v>
      </c>
      <c r="AA21" s="386" t="str">
        <f t="shared" si="3"/>
        <v>mar-26</v>
      </c>
      <c r="AB21" s="386" t="str">
        <f t="shared" si="3"/>
        <v>abr-26</v>
      </c>
      <c r="AC21" s="386" t="str">
        <f t="shared" si="3"/>
        <v>may-26</v>
      </c>
      <c r="AD21" s="386" t="str">
        <f t="shared" si="3"/>
        <v>jun-26</v>
      </c>
      <c r="AE21" s="386" t="str">
        <f t="shared" si="3"/>
        <v>jul-26</v>
      </c>
      <c r="AF21" s="386" t="str">
        <f t="shared" si="3"/>
        <v>ago-26</v>
      </c>
      <c r="AG21" s="386" t="str">
        <f t="shared" si="3"/>
        <v>sep-26</v>
      </c>
      <c r="AH21" s="386" t="str">
        <f t="shared" si="3"/>
        <v>oct-26</v>
      </c>
      <c r="AI21" s="386" t="str">
        <f t="shared" si="3"/>
        <v>nov-26</v>
      </c>
      <c r="AJ21" s="386" t="str">
        <f t="shared" si="3"/>
        <v>dic-26</v>
      </c>
    </row>
    <row r="22" spans="24:36">
      <c r="X22" s="575" t="s">
        <v>938</v>
      </c>
      <c r="Y22" s="646">
        <f>'Modelo Base'!F189/1000000</f>
        <v>425.59495399999997</v>
      </c>
      <c r="Z22" s="624">
        <f>'Modelo Base'!G189/1000000</f>
        <v>120.30154</v>
      </c>
      <c r="AA22" s="624">
        <f>'Modelo Base'!H189/1000000</f>
        <v>269.48871000000003</v>
      </c>
      <c r="AB22" s="646">
        <f>'Modelo Base'!I189/1000000</f>
        <v>357.757161</v>
      </c>
      <c r="AC22" s="624">
        <f>'Modelo Base'!J189/1000000</f>
        <v>244.82234500000001</v>
      </c>
      <c r="AD22" s="624">
        <f>'Modelo Base'!K189/1000000</f>
        <v>115.441362</v>
      </c>
      <c r="AE22" s="624">
        <f>'Modelo Base'!L189/1000000</f>
        <v>174.26692600000001</v>
      </c>
      <c r="AF22" s="646">
        <f>'Modelo Base'!M189/1000000</f>
        <v>-867.73382151070666</v>
      </c>
      <c r="AG22" s="646">
        <f>'Modelo Base'!N189/1000000</f>
        <v>-554.35236468469498</v>
      </c>
      <c r="AH22" s="624">
        <f>'Modelo Base'!O189/1000000</f>
        <v>-181.52996168746446</v>
      </c>
      <c r="AI22" s="624">
        <f>'Modelo Base'!P189/1000000</f>
        <v>200</v>
      </c>
      <c r="AJ22" s="624">
        <f>'Modelo Base'!Q189/1000000</f>
        <v>200</v>
      </c>
    </row>
    <row r="23" spans="24:36">
      <c r="X23" s="575" t="s">
        <v>939</v>
      </c>
      <c r="Y23" s="624">
        <f>'Modelo Base'!F186/1000000</f>
        <v>200</v>
      </c>
      <c r="Z23" s="624">
        <f>'Modelo Base'!G186/1000000</f>
        <v>200</v>
      </c>
      <c r="AA23" s="624">
        <f>'Modelo Base'!H186/1000000</f>
        <v>200</v>
      </c>
      <c r="AB23" s="624">
        <f>'Modelo Base'!I186/1000000</f>
        <v>200</v>
      </c>
      <c r="AC23" s="624">
        <f>'Modelo Base'!J186/1000000</f>
        <v>200</v>
      </c>
      <c r="AD23" s="624">
        <f>'Modelo Base'!K186/1000000</f>
        <v>200</v>
      </c>
      <c r="AE23" s="624">
        <f>'Modelo Base'!L186/1000000</f>
        <v>200</v>
      </c>
      <c r="AF23" s="624">
        <f>'Modelo Base'!M186/1000000</f>
        <v>200</v>
      </c>
      <c r="AG23" s="624">
        <f>'Modelo Base'!N186/1000000</f>
        <v>200</v>
      </c>
      <c r="AH23" s="624">
        <f>'Modelo Base'!O186/1000000</f>
        <v>200</v>
      </c>
      <c r="AI23" s="624">
        <f>'Modelo Base'!P186/1000000</f>
        <v>200</v>
      </c>
      <c r="AJ23" s="624">
        <f>'Modelo Base'!Q186/1000000</f>
        <v>200</v>
      </c>
    </row>
    <row r="24" spans="24:36">
      <c r="X24" s="575"/>
      <c r="Y24" s="575"/>
      <c r="Z24" s="575"/>
      <c r="AA24" s="575"/>
      <c r="AB24" s="575"/>
      <c r="AC24" s="575"/>
      <c r="AD24" s="575"/>
      <c r="AE24" s="575"/>
      <c r="AF24" s="575"/>
      <c r="AG24" s="575"/>
      <c r="AH24" s="575"/>
      <c r="AI24" s="575"/>
      <c r="AJ24" s="575"/>
    </row>
    <row r="25" spans="24:36">
      <c r="X25" s="575"/>
      <c r="Y25" s="575"/>
      <c r="Z25" s="575"/>
      <c r="AA25" s="575"/>
      <c r="AB25" s="575"/>
      <c r="AC25" s="575"/>
      <c r="AD25" s="575"/>
      <c r="AE25" s="575"/>
      <c r="AF25" s="575"/>
      <c r="AG25" s="575"/>
      <c r="AH25" s="575"/>
      <c r="AI25" s="575"/>
      <c r="AJ25" s="575"/>
    </row>
    <row r="26" spans="24:36" ht="30" customHeight="1">
      <c r="X26" s="386" t="s">
        <v>79</v>
      </c>
      <c r="Y26" s="386" t="str">
        <f>TEXT(DATE(2026,COLUMN()-COLUMN($X$26),1),"mmm-aa")</f>
        <v>ene-26</v>
      </c>
      <c r="Z26" s="386" t="str">
        <f t="shared" ref="Z26:AJ26" si="4">TEXT(DATE(2026,COLUMN()-COLUMN($X$26),1),"mmm-aa")</f>
        <v>feb-26</v>
      </c>
      <c r="AA26" s="386" t="str">
        <f t="shared" si="4"/>
        <v>mar-26</v>
      </c>
      <c r="AB26" s="386" t="str">
        <f t="shared" si="4"/>
        <v>abr-26</v>
      </c>
      <c r="AC26" s="386" t="str">
        <f t="shared" si="4"/>
        <v>may-26</v>
      </c>
      <c r="AD26" s="386" t="str">
        <f t="shared" si="4"/>
        <v>jun-26</v>
      </c>
      <c r="AE26" s="386" t="str">
        <f t="shared" si="4"/>
        <v>jul-26</v>
      </c>
      <c r="AF26" s="386" t="str">
        <f t="shared" si="4"/>
        <v>ago-26</v>
      </c>
      <c r="AG26" s="386" t="str">
        <f t="shared" si="4"/>
        <v>sep-26</v>
      </c>
      <c r="AH26" s="386" t="str">
        <f t="shared" si="4"/>
        <v>oct-26</v>
      </c>
      <c r="AI26" s="386" t="str">
        <f t="shared" si="4"/>
        <v>nov-26</v>
      </c>
      <c r="AJ26" s="386" t="str">
        <f t="shared" si="4"/>
        <v>dic-26</v>
      </c>
    </row>
    <row r="27" spans="24:36">
      <c r="X27" s="575" t="s">
        <v>96</v>
      </c>
      <c r="Y27" s="624">
        <f>'Modelo Base'!F21/1000000</f>
        <v>612.24770100000001</v>
      </c>
      <c r="Z27" s="624">
        <f>'Modelo Base'!G21/1000000</f>
        <v>744.21813699999996</v>
      </c>
      <c r="AA27" s="624">
        <f>'Modelo Base'!H21/1000000</f>
        <v>787.04118700000004</v>
      </c>
      <c r="AB27" s="624">
        <f>'Modelo Base'!I21/1000000</f>
        <v>750.867662</v>
      </c>
      <c r="AC27" s="646">
        <f>'Modelo Base'!J21/1000000</f>
        <v>1013.2</v>
      </c>
      <c r="AD27" s="646">
        <f>'Modelo Base'!K21/1000000</f>
        <v>1186.615357142857</v>
      </c>
      <c r="AE27" s="646">
        <f>'Modelo Base'!L21/1000000</f>
        <v>1360.0307142857143</v>
      </c>
      <c r="AF27" s="646">
        <f>'Modelo Base'!M21/1000000</f>
        <v>1533.4460714285715</v>
      </c>
      <c r="AG27" s="646">
        <f>'Modelo Base'!N21/1000000</f>
        <v>1706.8614285714286</v>
      </c>
      <c r="AH27" s="646">
        <f>'Modelo Base'!O21/1000000</f>
        <v>1880.2767857142858</v>
      </c>
      <c r="AI27" s="646">
        <f>'Modelo Base'!P21/1000000</f>
        <v>2053.6921428571427</v>
      </c>
      <c r="AJ27" s="646">
        <f>'Modelo Base'!Q21/1000000</f>
        <v>2227.1075000000001</v>
      </c>
    </row>
    <row r="28" spans="24:36">
      <c r="X28" s="575" t="s">
        <v>90</v>
      </c>
      <c r="Y28" s="624">
        <f>'Modelo Base'!F22/1000000</f>
        <v>612.24770100000001</v>
      </c>
      <c r="Z28" s="624">
        <f>'Modelo Base'!G22/1000000</f>
        <v>744.21813699999996</v>
      </c>
      <c r="AA28" s="624">
        <f>'Modelo Base'!H22/1000000</f>
        <v>787.04118700000004</v>
      </c>
      <c r="AB28" s="624">
        <f>'Modelo Base'!I22/1000000</f>
        <v>750.867662</v>
      </c>
      <c r="AC28" s="646">
        <f>'Modelo Base'!J22/1000000</f>
        <v>1218.4027094999999</v>
      </c>
      <c r="AD28" s="624">
        <f>'Modelo Base'!K22/1000000</f>
        <v>759.47893950000002</v>
      </c>
      <c r="AE28" s="624">
        <f>'Modelo Base'!L22/1000000</f>
        <v>803.43646333333334</v>
      </c>
      <c r="AF28" s="646">
        <f>'Modelo Base'!M22/1000000</f>
        <v>1243.6402333333333</v>
      </c>
      <c r="AG28" s="646">
        <f>'Modelo Base'!N22/1000000</f>
        <v>1249.0402333333332</v>
      </c>
      <c r="AH28" s="646">
        <f>'Modelo Base'!O22/1000000</f>
        <v>1350.4209306666667</v>
      </c>
      <c r="AI28" s="646">
        <f>'Modelo Base'!P22/1000000</f>
        <v>1355.8209306666668</v>
      </c>
      <c r="AJ28" s="646">
        <f>'Modelo Base'!Q22/1000000</f>
        <v>1361.2209306666668</v>
      </c>
    </row>
    <row r="29" spans="24:36">
      <c r="X29" s="575" t="s">
        <v>93</v>
      </c>
      <c r="Y29" s="624">
        <f>'Modelo Base'!F23/1000000</f>
        <v>612.24770100000001</v>
      </c>
      <c r="Z29" s="624">
        <f>'Modelo Base'!G23/1000000</f>
        <v>744.21813699999996</v>
      </c>
      <c r="AA29" s="624">
        <f>'Modelo Base'!H23/1000000</f>
        <v>787.04118700000004</v>
      </c>
      <c r="AB29" s="624">
        <f>'Modelo Base'!I23/1000000</f>
        <v>750.867662</v>
      </c>
      <c r="AC29" s="624">
        <f>'Modelo Base'!J23/1000000</f>
        <v>826.51474599999995</v>
      </c>
      <c r="AD29" s="624">
        <f>'Modelo Base'!K23/1000000</f>
        <v>751.45331399999998</v>
      </c>
      <c r="AE29" s="646">
        <f>'Modelo Base'!L23/1000000</f>
        <v>1047.4069442857144</v>
      </c>
      <c r="AF29" s="646">
        <f>'Modelo Base'!M23/1000000</f>
        <v>1573.6260714285715</v>
      </c>
      <c r="AG29" s="646">
        <f>'Modelo Base'!N23/1000000</f>
        <v>1665.0414285714285</v>
      </c>
      <c r="AH29" s="646">
        <f>'Modelo Base'!O23/1000000</f>
        <v>1756.4567857142858</v>
      </c>
      <c r="AI29" s="646">
        <f>'Modelo Base'!P23/1000000</f>
        <v>1847.872142857143</v>
      </c>
      <c r="AJ29" s="646">
        <f>'Modelo Base'!Q23/1000000</f>
        <v>1939.2874999999999</v>
      </c>
    </row>
    <row r="30" spans="24:36">
      <c r="X30" s="575"/>
      <c r="Y30" s="575"/>
      <c r="Z30" s="575"/>
      <c r="AA30" s="575"/>
      <c r="AB30" s="575"/>
      <c r="AC30" s="575"/>
      <c r="AD30" s="575"/>
      <c r="AE30" s="575"/>
      <c r="AF30" s="575"/>
      <c r="AG30" s="575"/>
      <c r="AH30" s="575"/>
      <c r="AI30" s="575"/>
      <c r="AJ30" s="575"/>
    </row>
    <row r="31" spans="24:36">
      <c r="X31" s="575"/>
      <c r="Y31" s="575"/>
      <c r="Z31" s="575"/>
      <c r="AA31" s="575"/>
      <c r="AB31" s="575"/>
      <c r="AC31" s="575"/>
      <c r="AD31" s="575"/>
      <c r="AE31" s="575"/>
      <c r="AF31" s="575"/>
      <c r="AG31" s="575"/>
      <c r="AH31" s="575"/>
      <c r="AI31" s="575"/>
      <c r="AJ31" s="575"/>
    </row>
    <row r="32" spans="24:36" ht="30" customHeight="1">
      <c r="X32" s="386" t="s">
        <v>630</v>
      </c>
      <c r="Y32" s="386" t="str">
        <f>TEXT(DATE(2026,COLUMN()-COLUMN($X$32),1),"mmm-aa")</f>
        <v>ene-26</v>
      </c>
      <c r="Z32" s="386" t="str">
        <f t="shared" ref="Z32:AJ32" si="5">TEXT(DATE(2026,COLUMN()-COLUMN($X$32),1),"mmm-aa")</f>
        <v>feb-26</v>
      </c>
      <c r="AA32" s="386" t="str">
        <f t="shared" si="5"/>
        <v>mar-26</v>
      </c>
      <c r="AB32" s="386" t="str">
        <f t="shared" si="5"/>
        <v>abr-26</v>
      </c>
      <c r="AC32" s="386" t="str">
        <f t="shared" si="5"/>
        <v>may-26</v>
      </c>
      <c r="AD32" s="386" t="str">
        <f t="shared" si="5"/>
        <v>jun-26</v>
      </c>
      <c r="AE32" s="386" t="str">
        <f t="shared" si="5"/>
        <v>jul-26</v>
      </c>
      <c r="AF32" s="386" t="str">
        <f t="shared" si="5"/>
        <v>ago-26</v>
      </c>
      <c r="AG32" s="386" t="str">
        <f t="shared" si="5"/>
        <v>sep-26</v>
      </c>
      <c r="AH32" s="386" t="str">
        <f t="shared" si="5"/>
        <v>oct-26</v>
      </c>
      <c r="AI32" s="386" t="str">
        <f t="shared" si="5"/>
        <v>nov-26</v>
      </c>
      <c r="AJ32" s="386" t="str">
        <f t="shared" si="5"/>
        <v>dic-26</v>
      </c>
    </row>
    <row r="33" spans="1:36">
      <c r="A33" s="246"/>
      <c r="B33" s="246"/>
      <c r="C33" s="246"/>
      <c r="D33" s="246"/>
      <c r="E33" s="246"/>
      <c r="F33" s="246"/>
      <c r="G33" s="246"/>
      <c r="H33" s="246"/>
      <c r="I33" s="246"/>
      <c r="J33" s="246"/>
      <c r="K33" s="246"/>
      <c r="L33" s="246"/>
      <c r="M33" s="246"/>
      <c r="N33" s="246"/>
      <c r="O33" s="246"/>
      <c r="P33" s="246"/>
      <c r="Q33" s="246"/>
      <c r="R33" s="246"/>
      <c r="S33" s="575"/>
      <c r="T33" s="575"/>
      <c r="U33" s="575"/>
      <c r="V33" s="575"/>
      <c r="W33" s="575"/>
      <c r="X33" s="575" t="s">
        <v>805</v>
      </c>
      <c r="Y33" s="624">
        <f>'Modelo Base'!F233</f>
        <v>83.883618266130497</v>
      </c>
      <c r="Z33" s="624">
        <f>'Modelo Base'!G233</f>
        <v>68.288405970412413</v>
      </c>
      <c r="AA33" s="624">
        <f>'Modelo Base'!H233</f>
        <v>66.479627634786041</v>
      </c>
      <c r="AB33" s="624">
        <f>'Modelo Base'!I233</f>
        <v>65.987250853266872</v>
      </c>
      <c r="AC33" s="624">
        <f>'Modelo Base'!J233</f>
        <v>59.671102274562443</v>
      </c>
      <c r="AD33" s="624">
        <f>'Modelo Base'!K233</f>
        <v>69.36115117059687</v>
      </c>
      <c r="AE33" s="624">
        <f>'Modelo Base'!L233</f>
        <v>76.951113824273293</v>
      </c>
      <c r="AF33" s="624">
        <f>'Modelo Base'!M233</f>
        <v>58.094591456538161</v>
      </c>
      <c r="AG33" s="624">
        <f>'Modelo Base'!N233</f>
        <v>81.6940844028763</v>
      </c>
      <c r="AH33" s="624">
        <f>'Modelo Base'!O233</f>
        <v>81.814096520206363</v>
      </c>
      <c r="AI33" s="624">
        <f>'Modelo Base'!P233</f>
        <v>81.922234492878104</v>
      </c>
      <c r="AJ33" s="624">
        <f>'Modelo Base'!Q233</f>
        <v>82.020177513648704</v>
      </c>
    </row>
    <row r="34" spans="1:36">
      <c r="A34" s="246"/>
      <c r="B34" s="246"/>
      <c r="C34" s="246"/>
      <c r="D34" s="246"/>
      <c r="E34" s="246"/>
      <c r="F34" s="246"/>
      <c r="G34" s="246"/>
      <c r="H34" s="246"/>
      <c r="I34" s="246"/>
      <c r="J34" s="246"/>
      <c r="K34" s="246"/>
      <c r="L34" s="246"/>
      <c r="M34" s="246"/>
      <c r="N34" s="246"/>
      <c r="O34" s="246"/>
      <c r="P34" s="246"/>
      <c r="Q34" s="246"/>
      <c r="R34" s="246"/>
      <c r="S34" s="575"/>
      <c r="T34" s="575"/>
      <c r="U34" s="575"/>
      <c r="V34" s="575"/>
      <c r="W34" s="575"/>
      <c r="X34" s="575" t="s">
        <v>940</v>
      </c>
      <c r="Y34" s="624">
        <f>'Modelo Base'!F234</f>
        <v>9.614560886405167</v>
      </c>
      <c r="Z34" s="624">
        <f>'Modelo Base'!G234</f>
        <v>7.6089761418314508</v>
      </c>
      <c r="AA34" s="624">
        <f>'Modelo Base'!H234</f>
        <v>6.7670344830580103</v>
      </c>
      <c r="AB34" s="624">
        <f>'Modelo Base'!I234</f>
        <v>8.5724442762023649</v>
      </c>
      <c r="AC34" s="624">
        <f>'Modelo Base'!J234</f>
        <v>8.9523556781668781</v>
      </c>
      <c r="AD34" s="624">
        <f>'Modelo Base'!K234</f>
        <v>7.8811540905730393</v>
      </c>
      <c r="AE34" s="624">
        <f>'Modelo Base'!L234</f>
        <v>8.7627549548838601</v>
      </c>
      <c r="AF34" s="624">
        <f>'Modelo Base'!M234</f>
        <v>8.8977828623702386</v>
      </c>
      <c r="AG34" s="624">
        <f>'Modelo Base'!N234</f>
        <v>8.8977828623702386</v>
      </c>
      <c r="AH34" s="624">
        <f>'Modelo Base'!O234</f>
        <v>8.8977828623702386</v>
      </c>
      <c r="AI34" s="624">
        <f>'Modelo Base'!P234</f>
        <v>8.6516451570400186</v>
      </c>
      <c r="AJ34" s="624">
        <f>'Modelo Base'!Q234</f>
        <v>8.6516451570400186</v>
      </c>
    </row>
    <row r="35" spans="1:36">
      <c r="A35" s="246"/>
      <c r="B35" s="246"/>
      <c r="C35" s="246"/>
      <c r="D35" s="246"/>
      <c r="E35" s="246"/>
      <c r="F35" s="246"/>
      <c r="G35" s="246"/>
      <c r="H35" s="246"/>
      <c r="I35" s="246"/>
      <c r="J35" s="246"/>
      <c r="K35" s="246"/>
      <c r="L35" s="246"/>
      <c r="M35" s="246"/>
      <c r="N35" s="246"/>
      <c r="O35" s="246"/>
      <c r="P35" s="246"/>
      <c r="Q35" s="246"/>
      <c r="R35" s="246"/>
      <c r="S35" s="575"/>
      <c r="T35" s="575"/>
      <c r="U35" s="575"/>
      <c r="V35" s="575"/>
      <c r="W35" s="575"/>
      <c r="X35" s="575" t="s">
        <v>941</v>
      </c>
      <c r="Y35" s="624">
        <f>'Modelo Base'!F235</f>
        <v>74.269057379725325</v>
      </c>
      <c r="Z35" s="624">
        <f>'Modelo Base'!G235</f>
        <v>60.679429828580965</v>
      </c>
      <c r="AA35" s="624">
        <f>'Modelo Base'!H235</f>
        <v>59.712593151728029</v>
      </c>
      <c r="AB35" s="624">
        <f>'Modelo Base'!I235</f>
        <v>57.41480657706451</v>
      </c>
      <c r="AC35" s="624">
        <f>'Modelo Base'!J235</f>
        <v>50.718746596395562</v>
      </c>
      <c r="AD35" s="624">
        <f>'Modelo Base'!K235</f>
        <v>61.479997080023828</v>
      </c>
      <c r="AE35" s="624">
        <f>'Modelo Base'!L235</f>
        <v>68.188358869389432</v>
      </c>
      <c r="AF35" s="624">
        <f>'Modelo Base'!M235</f>
        <v>49.196808594167919</v>
      </c>
      <c r="AG35" s="624">
        <f>'Modelo Base'!N235</f>
        <v>72.796301540506064</v>
      </c>
      <c r="AH35" s="624">
        <f>'Modelo Base'!O235</f>
        <v>72.916313657836128</v>
      </c>
      <c r="AI35" s="624">
        <f>'Modelo Base'!P235</f>
        <v>73.270589335838082</v>
      </c>
      <c r="AJ35" s="624">
        <f>'Modelo Base'!Q235</f>
        <v>73.368532356608682</v>
      </c>
    </row>
    <row r="36" spans="1:36">
      <c r="A36" s="246"/>
      <c r="B36" s="246"/>
      <c r="C36" s="246"/>
      <c r="D36" s="246"/>
      <c r="E36" s="246"/>
      <c r="F36" s="246"/>
      <c r="G36" s="246"/>
      <c r="H36" s="246"/>
      <c r="I36" s="246"/>
      <c r="J36" s="246"/>
      <c r="K36" s="246"/>
      <c r="L36" s="246"/>
      <c r="M36" s="246"/>
      <c r="N36" s="246"/>
      <c r="O36" s="246"/>
      <c r="P36" s="246"/>
      <c r="Q36" s="246"/>
      <c r="R36" s="246"/>
      <c r="S36" s="575"/>
      <c r="T36" s="575"/>
      <c r="U36" s="575"/>
      <c r="V36" s="575"/>
      <c r="W36" s="575"/>
      <c r="X36" s="575"/>
      <c r="Y36" s="575"/>
      <c r="Z36" s="575"/>
      <c r="AA36" s="575"/>
      <c r="AB36" s="575"/>
      <c r="AC36" s="575"/>
      <c r="AD36" s="575"/>
      <c r="AE36" s="575"/>
      <c r="AF36" s="575"/>
      <c r="AG36" s="575"/>
      <c r="AH36" s="575"/>
      <c r="AI36" s="575"/>
      <c r="AJ36" s="575"/>
    </row>
    <row r="37" spans="1:36">
      <c r="A37" s="246"/>
      <c r="B37" s="246"/>
      <c r="C37" s="246"/>
      <c r="D37" s="246"/>
      <c r="E37" s="246"/>
      <c r="F37" s="246"/>
      <c r="G37" s="246"/>
      <c r="H37" s="246"/>
      <c r="I37" s="246"/>
      <c r="J37" s="246"/>
      <c r="K37" s="246"/>
      <c r="L37" s="246"/>
      <c r="M37" s="246"/>
      <c r="N37" s="246"/>
      <c r="O37" s="246"/>
      <c r="P37" s="246"/>
      <c r="Q37" s="246"/>
      <c r="R37" s="246"/>
      <c r="S37" s="575"/>
      <c r="T37" s="575"/>
      <c r="U37" s="575"/>
      <c r="V37" s="575"/>
      <c r="W37" s="575"/>
      <c r="X37" s="575"/>
      <c r="Y37" s="575"/>
      <c r="Z37" s="575"/>
      <c r="AA37" s="575"/>
      <c r="AB37" s="575"/>
      <c r="AC37" s="575"/>
      <c r="AD37" s="575"/>
      <c r="AE37" s="575"/>
      <c r="AF37" s="575"/>
      <c r="AG37" s="575"/>
      <c r="AH37" s="575"/>
      <c r="AI37" s="575"/>
      <c r="AJ37" s="575"/>
    </row>
    <row r="38" spans="1:36" ht="30" customHeight="1">
      <c r="A38" s="933"/>
      <c r="B38" s="934"/>
      <c r="C38" s="934"/>
      <c r="D38" s="934"/>
      <c r="E38" s="934"/>
      <c r="F38" s="934"/>
      <c r="G38" s="934"/>
      <c r="H38" s="934"/>
      <c r="I38" s="934"/>
      <c r="J38" s="934"/>
      <c r="K38" s="934"/>
      <c r="L38" s="934"/>
      <c r="M38" s="934"/>
      <c r="N38" s="934"/>
      <c r="O38" s="934"/>
      <c r="P38" s="934"/>
      <c r="Q38" s="934"/>
      <c r="R38" s="934"/>
      <c r="S38" s="934"/>
      <c r="T38" s="934"/>
      <c r="U38" s="934"/>
      <c r="V38" s="934"/>
      <c r="W38" s="934"/>
      <c r="X38" s="386" t="s">
        <v>630</v>
      </c>
      <c r="Y38" s="386" t="str">
        <f>TEXT(DATE(2026,COLUMN()-COLUMN($X$38),1),"mmm-aa")</f>
        <v>ene-26</v>
      </c>
      <c r="Z38" s="386" t="str">
        <f t="shared" ref="Z38:AJ38" si="6">TEXT(DATE(2026,COLUMN()-COLUMN($X$38),1),"mmm-aa")</f>
        <v>feb-26</v>
      </c>
      <c r="AA38" s="386" t="str">
        <f t="shared" si="6"/>
        <v>mar-26</v>
      </c>
      <c r="AB38" s="386" t="str">
        <f t="shared" si="6"/>
        <v>abr-26</v>
      </c>
      <c r="AC38" s="386" t="str">
        <f t="shared" si="6"/>
        <v>may-26</v>
      </c>
      <c r="AD38" s="386" t="str">
        <f t="shared" si="6"/>
        <v>jun-26</v>
      </c>
      <c r="AE38" s="386" t="str">
        <f t="shared" si="6"/>
        <v>jul-26</v>
      </c>
      <c r="AF38" s="386" t="str">
        <f t="shared" si="6"/>
        <v>ago-26</v>
      </c>
      <c r="AG38" s="386" t="str">
        <f t="shared" si="6"/>
        <v>sep-26</v>
      </c>
      <c r="AH38" s="386" t="str">
        <f t="shared" si="6"/>
        <v>oct-26</v>
      </c>
      <c r="AI38" s="386" t="str">
        <f t="shared" si="6"/>
        <v>nov-26</v>
      </c>
      <c r="AJ38" s="386" t="str">
        <f t="shared" si="6"/>
        <v>dic-26</v>
      </c>
    </row>
    <row r="39" spans="1:36">
      <c r="A39" s="246"/>
      <c r="B39" s="246"/>
      <c r="C39" s="246"/>
      <c r="D39" s="246"/>
      <c r="E39" s="246"/>
      <c r="F39" s="246"/>
      <c r="G39" s="246"/>
      <c r="H39" s="246"/>
      <c r="I39" s="246"/>
      <c r="J39" s="246"/>
      <c r="K39" s="246"/>
      <c r="L39" s="246"/>
      <c r="M39" s="246"/>
      <c r="N39" s="246"/>
      <c r="O39" s="246"/>
      <c r="P39" s="246"/>
      <c r="Q39" s="246"/>
      <c r="R39" s="246"/>
      <c r="S39" s="575"/>
      <c r="T39" s="575"/>
      <c r="U39" s="575"/>
      <c r="V39" s="575"/>
      <c r="W39" s="575"/>
      <c r="X39" s="575" t="s">
        <v>942</v>
      </c>
      <c r="Y39" s="624">
        <f>'Modelo Base'!F133/1000000</f>
        <v>72.783461000000003</v>
      </c>
      <c r="Z39" s="624">
        <f>'Modelo Base'!G133/1000000</f>
        <v>101.365099</v>
      </c>
      <c r="AA39" s="624">
        <f>'Modelo Base'!H133/1000000</f>
        <v>104.18998000000001</v>
      </c>
      <c r="AB39" s="624">
        <f>'Modelo Base'!I133/1000000</f>
        <v>112.56347</v>
      </c>
      <c r="AC39" s="624">
        <f>'Modelo Base'!J133/1000000</f>
        <v>99.589766999999995</v>
      </c>
      <c r="AD39" s="624">
        <f>'Modelo Base'!K133/1000000</f>
        <v>83.503946999999997</v>
      </c>
      <c r="AE39" s="624">
        <f>'Modelo Base'!L133/1000000</f>
        <v>83.503946999999997</v>
      </c>
      <c r="AF39" s="624">
        <f>'Modelo Base'!M133/1000000</f>
        <v>104.555195</v>
      </c>
      <c r="AG39" s="624">
        <f>'Modelo Base'!N133/1000000</f>
        <v>104.555195</v>
      </c>
      <c r="AH39" s="624">
        <f>'Modelo Base'!O133/1000000</f>
        <v>104.555195</v>
      </c>
      <c r="AI39" s="624">
        <f>'Modelo Base'!P133/1000000</f>
        <v>104.555195</v>
      </c>
      <c r="AJ39" s="624">
        <f>'Modelo Base'!Q133/1000000</f>
        <v>104.555195</v>
      </c>
    </row>
    <row r="40" spans="1:36">
      <c r="A40" s="246"/>
      <c r="B40" s="246"/>
      <c r="C40" s="246"/>
      <c r="D40" s="246"/>
      <c r="E40" s="246"/>
      <c r="F40" s="246"/>
      <c r="G40" s="246"/>
      <c r="H40" s="246"/>
      <c r="I40" s="246"/>
      <c r="J40" s="246"/>
      <c r="K40" s="246"/>
      <c r="L40" s="246"/>
      <c r="M40" s="246"/>
      <c r="N40" s="246"/>
      <c r="O40" s="246"/>
      <c r="P40" s="246"/>
      <c r="Q40" s="246"/>
      <c r="R40" s="246"/>
      <c r="S40" s="575"/>
      <c r="T40" s="575"/>
      <c r="U40" s="575"/>
      <c r="V40" s="575"/>
      <c r="W40" s="575"/>
      <c r="X40" s="575" t="s">
        <v>943</v>
      </c>
      <c r="Y40" s="646">
        <f>'Modelo Base'!F144/1000000</f>
        <v>0</v>
      </c>
      <c r="Z40" s="646">
        <f>'Modelo Base'!G144/1000000</f>
        <v>0</v>
      </c>
      <c r="AA40" s="646">
        <f>'Modelo Base'!H144/1000000</f>
        <v>0</v>
      </c>
      <c r="AB40" s="646">
        <f>'Modelo Base'!I144/1000000</f>
        <v>0</v>
      </c>
      <c r="AC40" s="646">
        <f>'Modelo Base'!J144/1000000</f>
        <v>2642.6491810000002</v>
      </c>
      <c r="AD40" s="646">
        <f>'Modelo Base'!K144/1000000</f>
        <v>2641.5664809999998</v>
      </c>
      <c r="AE40" s="646">
        <f>'Modelo Base'!L144/1000000</f>
        <v>2641.5664809999998</v>
      </c>
      <c r="AF40" s="646">
        <f>'Modelo Base'!M144/1000000</f>
        <v>3392.2242127135</v>
      </c>
      <c r="AG40" s="646">
        <f>'Modelo Base'!N144/1000000</f>
        <v>3392.2242127135</v>
      </c>
      <c r="AH40" s="646">
        <f>'Modelo Base'!O144/1000000</f>
        <v>3392.2242127135</v>
      </c>
      <c r="AI40" s="646">
        <f>'Modelo Base'!P144/1000000</f>
        <v>3340.9178430329885</v>
      </c>
      <c r="AJ40" s="646">
        <f>'Modelo Base'!Q144/1000000</f>
        <v>2860.1414436713985</v>
      </c>
    </row>
    <row r="41" spans="1:36">
      <c r="A41" s="246"/>
      <c r="B41" s="246"/>
      <c r="C41" s="246"/>
      <c r="D41" s="246"/>
      <c r="E41" s="246"/>
      <c r="F41" s="246"/>
      <c r="G41" s="246"/>
      <c r="H41" s="246"/>
      <c r="I41" s="246"/>
      <c r="J41" s="246"/>
      <c r="K41" s="246"/>
      <c r="L41" s="246"/>
      <c r="M41" s="246"/>
      <c r="N41" s="246"/>
      <c r="O41" s="246"/>
      <c r="P41" s="246"/>
      <c r="Q41" s="246"/>
      <c r="R41" s="246"/>
      <c r="S41" s="575"/>
      <c r="T41" s="575"/>
      <c r="U41" s="575"/>
      <c r="V41" s="575"/>
      <c r="W41" s="575"/>
      <c r="X41" s="575" t="s">
        <v>944</v>
      </c>
      <c r="Y41" s="624">
        <f>('Modelo Base'!F133+'Modelo Base'!F144)/1000000</f>
        <v>72.783461000000003</v>
      </c>
      <c r="Z41" s="624">
        <f>('Modelo Base'!G133+'Modelo Base'!G144)/1000000</f>
        <v>101.365099</v>
      </c>
      <c r="AA41" s="624">
        <f>('Modelo Base'!H133+'Modelo Base'!H144)/1000000</f>
        <v>104.18998000000001</v>
      </c>
      <c r="AB41" s="624">
        <f>('Modelo Base'!I133+'Modelo Base'!I144)/1000000</f>
        <v>112.56347</v>
      </c>
      <c r="AC41" s="646">
        <f>('Modelo Base'!J133+'Modelo Base'!J144)/1000000</f>
        <v>2742.2389480000002</v>
      </c>
      <c r="AD41" s="646">
        <f>('Modelo Base'!K133+'Modelo Base'!K144)/1000000</f>
        <v>2725.070428</v>
      </c>
      <c r="AE41" s="646">
        <f>('Modelo Base'!L133+'Modelo Base'!L144)/1000000</f>
        <v>2725.070428</v>
      </c>
      <c r="AF41" s="646">
        <f>('Modelo Base'!M133+'Modelo Base'!M144)/1000000</f>
        <v>3496.7794077134999</v>
      </c>
      <c r="AG41" s="646">
        <f>('Modelo Base'!N133+'Modelo Base'!N144)/1000000</f>
        <v>3496.7794077134999</v>
      </c>
      <c r="AH41" s="646">
        <f>('Modelo Base'!O133+'Modelo Base'!O144)/1000000</f>
        <v>3496.7794077134999</v>
      </c>
      <c r="AI41" s="646">
        <f>('Modelo Base'!P133+'Modelo Base'!P144)/1000000</f>
        <v>3445.4730380329884</v>
      </c>
      <c r="AJ41" s="646">
        <f>('Modelo Base'!Q133+'Modelo Base'!Q144)/1000000</f>
        <v>2964.6966386713984</v>
      </c>
    </row>
    <row r="42" spans="1:36">
      <c r="A42" s="246"/>
      <c r="B42" s="246"/>
      <c r="C42" s="246"/>
      <c r="D42" s="246"/>
      <c r="E42" s="246"/>
      <c r="F42" s="246"/>
      <c r="G42" s="246"/>
      <c r="H42" s="246"/>
      <c r="I42" s="246"/>
      <c r="J42" s="246"/>
      <c r="K42" s="246"/>
      <c r="L42" s="246"/>
      <c r="M42" s="246"/>
      <c r="N42" s="246"/>
      <c r="O42" s="246"/>
      <c r="P42" s="246"/>
      <c r="Q42" s="246"/>
      <c r="R42" s="246"/>
      <c r="S42" s="575"/>
      <c r="T42" s="575"/>
      <c r="U42" s="575"/>
      <c r="V42" s="575"/>
      <c r="W42" s="575"/>
      <c r="X42" s="575"/>
      <c r="Y42" s="575"/>
      <c r="Z42" s="575"/>
      <c r="AA42" s="575"/>
      <c r="AB42" s="575"/>
      <c r="AC42" s="575"/>
      <c r="AD42" s="575"/>
      <c r="AE42" s="575"/>
      <c r="AF42" s="575"/>
      <c r="AG42" s="575"/>
      <c r="AH42" s="575"/>
      <c r="AI42" s="575"/>
      <c r="AJ42" s="575"/>
    </row>
    <row r="43" spans="1:36">
      <c r="A43" s="246"/>
      <c r="B43" s="246"/>
      <c r="C43" s="246"/>
      <c r="D43" s="246"/>
      <c r="E43" s="246"/>
      <c r="F43" s="246"/>
      <c r="G43" s="246"/>
      <c r="H43" s="246"/>
      <c r="I43" s="246"/>
      <c r="J43" s="246"/>
      <c r="K43" s="246"/>
      <c r="L43" s="246"/>
      <c r="M43" s="246"/>
      <c r="N43" s="246"/>
      <c r="O43" s="246"/>
      <c r="P43" s="246"/>
      <c r="Q43" s="246"/>
      <c r="R43" s="246"/>
      <c r="S43" s="575"/>
      <c r="T43" s="575"/>
      <c r="U43" s="575"/>
      <c r="V43" s="575"/>
      <c r="W43" s="575"/>
      <c r="X43" s="575"/>
      <c r="Y43" s="575"/>
      <c r="Z43" s="575"/>
      <c r="AA43" s="575"/>
      <c r="AB43" s="575"/>
      <c r="AC43" s="575"/>
      <c r="AD43" s="575"/>
      <c r="AE43" s="575"/>
      <c r="AF43" s="575"/>
      <c r="AG43" s="575"/>
      <c r="AH43" s="575"/>
      <c r="AI43" s="575"/>
      <c r="AJ43" s="575"/>
    </row>
    <row r="44" spans="1:36" ht="30" customHeight="1">
      <c r="A44" s="933"/>
      <c r="B44" s="934"/>
      <c r="C44" s="934"/>
      <c r="D44" s="934"/>
      <c r="E44" s="934"/>
      <c r="F44" s="934"/>
      <c r="G44" s="934"/>
      <c r="H44" s="934"/>
      <c r="I44" s="934"/>
      <c r="J44" s="934"/>
      <c r="K44" s="934"/>
      <c r="L44" s="934"/>
      <c r="M44" s="934"/>
      <c r="N44" s="934"/>
      <c r="O44" s="934"/>
      <c r="P44" s="934"/>
      <c r="Q44" s="934"/>
      <c r="R44" s="934"/>
      <c r="S44" s="934"/>
      <c r="T44" s="934"/>
      <c r="U44" s="934"/>
      <c r="V44" s="934"/>
      <c r="W44" s="934"/>
      <c r="X44" s="386" t="s">
        <v>630</v>
      </c>
      <c r="Y44" s="386" t="str">
        <f>TEXT(DATE(2026,COLUMN()-COLUMN($X$44),1),"mmm-aa")</f>
        <v>ene-26</v>
      </c>
      <c r="Z44" s="386" t="str">
        <f t="shared" ref="Z44:AJ44" si="7">TEXT(DATE(2026,COLUMN()-COLUMN($X$44),1),"mmm-aa")</f>
        <v>feb-26</v>
      </c>
      <c r="AA44" s="386" t="str">
        <f t="shared" si="7"/>
        <v>mar-26</v>
      </c>
      <c r="AB44" s="386" t="str">
        <f t="shared" si="7"/>
        <v>abr-26</v>
      </c>
      <c r="AC44" s="386" t="str">
        <f t="shared" si="7"/>
        <v>may-26</v>
      </c>
      <c r="AD44" s="386" t="str">
        <f t="shared" si="7"/>
        <v>jun-26</v>
      </c>
      <c r="AE44" s="386" t="str">
        <f t="shared" si="7"/>
        <v>jul-26</v>
      </c>
      <c r="AF44" s="386" t="str">
        <f t="shared" si="7"/>
        <v>ago-26</v>
      </c>
      <c r="AG44" s="386" t="str">
        <f t="shared" si="7"/>
        <v>sep-26</v>
      </c>
      <c r="AH44" s="386" t="str">
        <f t="shared" si="7"/>
        <v>oct-26</v>
      </c>
      <c r="AI44" s="386" t="str">
        <f t="shared" si="7"/>
        <v>nov-26</v>
      </c>
      <c r="AJ44" s="386" t="str">
        <f t="shared" si="7"/>
        <v>dic-26</v>
      </c>
    </row>
    <row r="45" spans="1:36">
      <c r="A45" s="246"/>
      <c r="B45" s="246"/>
      <c r="C45" s="246"/>
      <c r="D45" s="246"/>
      <c r="E45" s="246"/>
      <c r="F45" s="246"/>
      <c r="G45" s="246"/>
      <c r="H45" s="246"/>
      <c r="I45" s="246"/>
      <c r="J45" s="246"/>
      <c r="K45" s="246"/>
      <c r="L45" s="246"/>
      <c r="M45" s="246"/>
      <c r="N45" s="246"/>
      <c r="O45" s="246"/>
      <c r="P45" s="246"/>
      <c r="Q45" s="246"/>
      <c r="R45" s="246"/>
      <c r="S45" s="575"/>
      <c r="T45" s="575"/>
      <c r="U45" s="575"/>
      <c r="V45" s="575"/>
      <c r="W45" s="575"/>
      <c r="X45" s="575" t="s">
        <v>945</v>
      </c>
      <c r="Y45" s="624">
        <f>'Modelo Base'!F215/1000000</f>
        <v>1590.540829</v>
      </c>
      <c r="Z45" s="624">
        <f>'Modelo Base'!G215/1000000</f>
        <v>1797.5571890000001</v>
      </c>
      <c r="AA45" s="624">
        <f>'Modelo Base'!H215/1000000</f>
        <v>1690.5898139999999</v>
      </c>
      <c r="AB45" s="624">
        <f>'Modelo Base'!I215/1000000</f>
        <v>1612.589704</v>
      </c>
      <c r="AC45" s="646">
        <f>'Modelo Base'!J215/1000000</f>
        <v>1675.3466920000001</v>
      </c>
      <c r="AD45" s="646">
        <f>'Modelo Base'!K215/1000000</f>
        <v>1799.431102</v>
      </c>
      <c r="AE45" s="646">
        <f>'Modelo Base'!L215/1000000</f>
        <v>1688.457915</v>
      </c>
      <c r="AF45" s="646">
        <f>'Modelo Base'!M215/1000000</f>
        <v>4406.1530000000002</v>
      </c>
      <c r="AG45" s="646">
        <f>'Modelo Base'!N215/1000000</f>
        <v>4662.116</v>
      </c>
      <c r="AH45" s="646">
        <f>'Modelo Base'!O215/1000000</f>
        <v>4918.0789999999997</v>
      </c>
      <c r="AI45" s="646">
        <f>'Modelo Base'!P215/1000000</f>
        <v>5174.0420000000004</v>
      </c>
      <c r="AJ45" s="646">
        <f>'Modelo Base'!Q215/1000000</f>
        <v>5430.0050000000001</v>
      </c>
    </row>
    <row r="46" spans="1:36">
      <c r="A46" s="246"/>
      <c r="B46" s="246"/>
      <c r="C46" s="246"/>
      <c r="D46" s="246"/>
      <c r="E46" s="246"/>
      <c r="F46" s="246"/>
      <c r="G46" s="246"/>
      <c r="H46" s="246"/>
      <c r="I46" s="246"/>
      <c r="J46" s="246"/>
      <c r="K46" s="246"/>
      <c r="L46" s="246"/>
      <c r="M46" s="246"/>
      <c r="N46" s="246"/>
      <c r="O46" s="246"/>
      <c r="P46" s="246"/>
      <c r="Q46" s="246"/>
      <c r="R46" s="246"/>
      <c r="S46" s="575"/>
      <c r="T46" s="575"/>
      <c r="U46" s="575"/>
      <c r="V46" s="575"/>
      <c r="W46" s="575"/>
      <c r="X46" s="575" t="s">
        <v>946</v>
      </c>
      <c r="Y46" s="624">
        <f>'Modelo Base'!F216/1000000</f>
        <v>502.128241</v>
      </c>
      <c r="Z46" s="624">
        <f>'Modelo Base'!G216/1000000</f>
        <v>493.78229700000003</v>
      </c>
      <c r="AA46" s="624">
        <f>'Modelo Base'!H216/1000000</f>
        <v>571.03756499999997</v>
      </c>
      <c r="AB46" s="624">
        <f>'Modelo Base'!I216/1000000</f>
        <v>563.84176300000001</v>
      </c>
      <c r="AC46" s="624">
        <f>'Modelo Base'!J216/1000000</f>
        <v>502.31105000000002</v>
      </c>
      <c r="AD46" s="624">
        <f>'Modelo Base'!K216/1000000</f>
        <v>483.39090599999997</v>
      </c>
      <c r="AE46" s="624">
        <f>'Modelo Base'!L216/1000000</f>
        <v>403.76030400000002</v>
      </c>
      <c r="AF46" s="624">
        <f>'Modelo Base'!M216/1000000</f>
        <v>611.03650472222205</v>
      </c>
      <c r="AG46" s="624">
        <f>'Modelo Base'!N216/1000000</f>
        <v>611.03650472222205</v>
      </c>
      <c r="AH46" s="624">
        <f>'Modelo Base'!O216/1000000</f>
        <v>611.03650472222205</v>
      </c>
      <c r="AI46" s="624">
        <f>'Modelo Base'!P216/1000000</f>
        <v>628.42038032222206</v>
      </c>
      <c r="AJ46" s="624">
        <f>'Modelo Base'!Q216/1000000</f>
        <v>628.42038032222206</v>
      </c>
    </row>
    <row r="47" spans="1:36">
      <c r="A47" s="246"/>
      <c r="B47" s="246"/>
      <c r="C47" s="246"/>
      <c r="D47" s="246"/>
      <c r="E47" s="246"/>
      <c r="F47" s="246"/>
      <c r="G47" s="246"/>
      <c r="H47" s="246"/>
      <c r="I47" s="246"/>
      <c r="J47" s="246"/>
      <c r="K47" s="246"/>
      <c r="L47" s="246"/>
      <c r="M47" s="246"/>
      <c r="N47" s="246"/>
      <c r="O47" s="246"/>
      <c r="P47" s="246"/>
      <c r="Q47" s="246"/>
      <c r="R47" s="246"/>
      <c r="S47" s="575"/>
      <c r="T47" s="575"/>
      <c r="U47" s="575"/>
      <c r="V47" s="575"/>
      <c r="W47" s="575"/>
      <c r="X47" s="575" t="s">
        <v>947</v>
      </c>
      <c r="Y47" s="646">
        <f>'Modelo Base'!F217/1000000</f>
        <v>14.35008</v>
      </c>
      <c r="Z47" s="646">
        <f>'Modelo Base'!G217/1000000</f>
        <v>1.7917000000000001</v>
      </c>
      <c r="AA47" s="646">
        <f>'Modelo Base'!H217/1000000</f>
        <v>25.570584</v>
      </c>
      <c r="AB47" s="646">
        <f>'Modelo Base'!I217/1000000</f>
        <v>24.496645000000001</v>
      </c>
      <c r="AC47" s="624">
        <f>'Modelo Base'!J217/1000000</f>
        <v>22.513415999999999</v>
      </c>
      <c r="AD47" s="624">
        <f>'Modelo Base'!K217/1000000</f>
        <v>23.325495</v>
      </c>
      <c r="AE47" s="624">
        <f>'Modelo Base'!L217/1000000</f>
        <v>19.229474</v>
      </c>
      <c r="AF47" s="624">
        <f>'Modelo Base'!M217/1000000</f>
        <v>259.28157937041664</v>
      </c>
      <c r="AG47" s="624">
        <f>'Modelo Base'!N217/1000000</f>
        <v>291.25599034205544</v>
      </c>
      <c r="AH47" s="624">
        <f>'Modelo Base'!O217/1000000</f>
        <v>323.23075071416719</v>
      </c>
      <c r="AI47" s="624">
        <f>'Modelo Base'!P217/1000000</f>
        <v>349.32216426341023</v>
      </c>
      <c r="AJ47" s="624">
        <f>'Modelo Base'!Q217/1000000</f>
        <v>381.29760606349919</v>
      </c>
    </row>
    <row r="48" spans="1:36" ht="15" thickBot="1">
      <c r="A48" s="1122" t="s">
        <v>951</v>
      </c>
      <c r="B48" s="1122"/>
      <c r="C48" s="1122"/>
      <c r="D48" s="1122"/>
      <c r="E48" s="1122"/>
      <c r="F48" s="1122"/>
      <c r="G48" s="1122"/>
      <c r="H48" s="1122"/>
      <c r="I48" s="1122"/>
      <c r="J48" s="1122"/>
      <c r="K48" s="1122"/>
      <c r="L48" s="1122"/>
      <c r="M48" s="1122"/>
      <c r="N48" s="1122"/>
      <c r="O48" s="1122"/>
      <c r="P48" s="1122"/>
      <c r="Q48" s="1122"/>
      <c r="R48" s="1122"/>
      <c r="S48" s="575"/>
      <c r="T48" s="575"/>
      <c r="U48" s="575"/>
      <c r="V48" s="575"/>
      <c r="W48" s="575"/>
      <c r="X48" s="575" t="s">
        <v>668</v>
      </c>
      <c r="Y48" s="646">
        <f>'Modelo Base'!F218/1000000</f>
        <v>1074.062508</v>
      </c>
      <c r="Z48" s="646">
        <f>'Modelo Base'!G218/1000000</f>
        <v>1301.9831919999999</v>
      </c>
      <c r="AA48" s="646">
        <f>'Modelo Base'!H218/1000000</f>
        <v>1093.981665</v>
      </c>
      <c r="AB48" s="646">
        <f>'Modelo Base'!I218/1000000</f>
        <v>1024.2512959999999</v>
      </c>
      <c r="AC48" s="646">
        <f>'Modelo Base'!J218/1000000</f>
        <v>1150.522226</v>
      </c>
      <c r="AD48" s="646">
        <f>'Modelo Base'!K218/1000000</f>
        <v>1292.7147010000001</v>
      </c>
      <c r="AE48" s="646">
        <f>'Modelo Base'!L218/1000000</f>
        <v>1265.4681370000001</v>
      </c>
      <c r="AF48" s="646">
        <f>'Modelo Base'!M218/1000000</f>
        <v>3535.8349159073609</v>
      </c>
      <c r="AG48" s="646">
        <f>'Modelo Base'!N218/1000000</f>
        <v>3759.8235049357222</v>
      </c>
      <c r="AH48" s="646">
        <f>'Modelo Base'!O218/1000000</f>
        <v>3983.8117445636108</v>
      </c>
      <c r="AI48" s="646">
        <f>'Modelo Base'!P218/1000000</f>
        <v>4196.2994554143679</v>
      </c>
      <c r="AJ48" s="646">
        <f>'Modelo Base'!Q218/1000000</f>
        <v>4420.2870136142792</v>
      </c>
    </row>
    <row r="51" spans="24:36" ht="30" customHeight="1">
      <c r="X51" s="386" t="s">
        <v>630</v>
      </c>
      <c r="Y51" s="386" t="str">
        <f>TEXT(DATE(2026,COLUMN()-COLUMN($X$51),1),"mmm-aa")</f>
        <v>ene-26</v>
      </c>
      <c r="Z51" s="386" t="str">
        <f t="shared" ref="Z51:AJ51" si="8">TEXT(DATE(2026,COLUMN()-COLUMN($X$51),1),"mmm-aa")</f>
        <v>feb-26</v>
      </c>
      <c r="AA51" s="386" t="str">
        <f t="shared" si="8"/>
        <v>mar-26</v>
      </c>
      <c r="AB51" s="386" t="str">
        <f t="shared" si="8"/>
        <v>abr-26</v>
      </c>
      <c r="AC51" s="386" t="str">
        <f t="shared" si="8"/>
        <v>may-26</v>
      </c>
      <c r="AD51" s="386" t="str">
        <f t="shared" si="8"/>
        <v>jun-26</v>
      </c>
      <c r="AE51" s="386" t="str">
        <f t="shared" si="8"/>
        <v>jul-26</v>
      </c>
      <c r="AF51" s="386" t="str">
        <f t="shared" si="8"/>
        <v>ago-26</v>
      </c>
      <c r="AG51" s="386" t="str">
        <f t="shared" si="8"/>
        <v>sep-26</v>
      </c>
      <c r="AH51" s="386" t="str">
        <f t="shared" si="8"/>
        <v>oct-26</v>
      </c>
      <c r="AI51" s="386" t="str">
        <f t="shared" si="8"/>
        <v>nov-26</v>
      </c>
      <c r="AJ51" s="386" t="str">
        <f t="shared" si="8"/>
        <v>dic-26</v>
      </c>
    </row>
    <row r="52" spans="24:36">
      <c r="X52" s="575" t="s">
        <v>670</v>
      </c>
      <c r="Y52" s="624">
        <f>'Modelo Base'!F199</f>
        <v>0.11429909967109864</v>
      </c>
      <c r="Z52" s="624">
        <f>'Modelo Base'!G199</f>
        <v>6.1989932395318657E-2</v>
      </c>
      <c r="AA52" s="624">
        <f>'Modelo Base'!H199</f>
        <v>-2.8261282087134278E-2</v>
      </c>
      <c r="AB52" s="624">
        <f>'Modelo Base'!I199</f>
        <v>6.4435482373989888E-3</v>
      </c>
      <c r="AC52" s="624">
        <f>'Modelo Base'!J199</f>
        <v>0.13673013766169395</v>
      </c>
      <c r="AD52" s="624">
        <f>'Modelo Base'!K199</f>
        <v>4.6543802986009589E-2</v>
      </c>
      <c r="AE52" s="624">
        <f>'Modelo Base'!L199</f>
        <v>4.3157478676067854E-2</v>
      </c>
      <c r="AF52" s="624">
        <f>'Modelo Base'!M199</f>
        <v>0.47139328198544167</v>
      </c>
      <c r="AG52" s="624">
        <f>'Modelo Base'!N199</f>
        <v>0.50041524569530227</v>
      </c>
      <c r="AH52" s="624">
        <f>'Modelo Base'!O199</f>
        <v>0.5264162945735521</v>
      </c>
      <c r="AI52" s="624">
        <f>'Modelo Base'!P199</f>
        <v>0.54074752396675563</v>
      </c>
      <c r="AJ52" s="624">
        <f>'Modelo Base'!Q199</f>
        <v>0.56239605679921101</v>
      </c>
    </row>
    <row r="53" spans="24:36">
      <c r="X53" s="575" t="s">
        <v>671</v>
      </c>
      <c r="Y53" s="624">
        <f>'Modelo Base'!F202</f>
        <v>0.10369250369794365</v>
      </c>
      <c r="Z53" s="624">
        <f>'Modelo Base'!G202</f>
        <v>7.2625097821285692E-2</v>
      </c>
      <c r="AA53" s="624">
        <f>'Modelo Base'!H202</f>
        <v>-4.820333119364438E-2</v>
      </c>
      <c r="AB53" s="624">
        <f>'Modelo Base'!I202</f>
        <v>9.4051593341890386E-4</v>
      </c>
      <c r="AC53" s="624">
        <f>'Modelo Base'!J202</f>
        <v>0.13112284871442573</v>
      </c>
      <c r="AD53" s="624">
        <f>'Modelo Base'!K202</f>
        <v>4.4372217646511038E-2</v>
      </c>
      <c r="AE53" s="624">
        <f>'Modelo Base'!L202</f>
        <v>3.6339748989481474E-2</v>
      </c>
      <c r="AF53" s="624">
        <f>'Modelo Base'!M202</f>
        <v>0.3059957774335495</v>
      </c>
      <c r="AG53" s="624">
        <f>'Modelo Base'!N202</f>
        <v>0.32485917334075098</v>
      </c>
      <c r="AH53" s="624">
        <f>'Modelo Base'!O202</f>
        <v>0.34175943568894879</v>
      </c>
      <c r="AI53" s="624">
        <f>'Modelo Base'!P202</f>
        <v>0.35107470217090109</v>
      </c>
      <c r="AJ53" s="624">
        <f>'Modelo Base'!Q202</f>
        <v>0.36514654250414058</v>
      </c>
    </row>
    <row r="54" spans="24:36">
      <c r="X54" s="575"/>
      <c r="Y54" s="575"/>
      <c r="Z54" s="575"/>
      <c r="AA54" s="575"/>
      <c r="AB54" s="575"/>
      <c r="AC54" s="575"/>
      <c r="AD54" s="575"/>
      <c r="AE54" s="575"/>
      <c r="AF54" s="575"/>
      <c r="AG54" s="575"/>
      <c r="AH54" s="575"/>
      <c r="AI54" s="575"/>
      <c r="AJ54" s="575"/>
    </row>
    <row r="55" spans="24:36">
      <c r="X55" s="575"/>
      <c r="Y55" s="575"/>
      <c r="Z55" s="575"/>
      <c r="AA55" s="575"/>
      <c r="AB55" s="575"/>
      <c r="AC55" s="575"/>
      <c r="AD55" s="575"/>
      <c r="AE55" s="575"/>
      <c r="AF55" s="575"/>
      <c r="AG55" s="575"/>
      <c r="AH55" s="575"/>
      <c r="AI55" s="575"/>
      <c r="AJ55" s="575"/>
    </row>
    <row r="56" spans="24:36" ht="30" customHeight="1">
      <c r="X56" s="386" t="s">
        <v>630</v>
      </c>
      <c r="Y56" s="386" t="str">
        <f>TEXT(DATE(2026,COLUMN()-COLUMN($X$56),1),"mmm-aa")</f>
        <v>ene-26</v>
      </c>
      <c r="Z56" s="386" t="str">
        <f t="shared" ref="Z56:AJ56" si="9">TEXT(DATE(2026,COLUMN()-COLUMN($X$56),1),"mmm-aa")</f>
        <v>feb-26</v>
      </c>
      <c r="AA56" s="386" t="str">
        <f t="shared" si="9"/>
        <v>mar-26</v>
      </c>
      <c r="AB56" s="386" t="str">
        <f t="shared" si="9"/>
        <v>abr-26</v>
      </c>
      <c r="AC56" s="386" t="str">
        <f t="shared" si="9"/>
        <v>may-26</v>
      </c>
      <c r="AD56" s="386" t="str">
        <f t="shared" si="9"/>
        <v>jun-26</v>
      </c>
      <c r="AE56" s="386" t="str">
        <f t="shared" si="9"/>
        <v>jul-26</v>
      </c>
      <c r="AF56" s="386" t="str">
        <f t="shared" si="9"/>
        <v>ago-26</v>
      </c>
      <c r="AG56" s="386" t="str">
        <f t="shared" si="9"/>
        <v>sep-26</v>
      </c>
      <c r="AH56" s="386" t="str">
        <f t="shared" si="9"/>
        <v>oct-26</v>
      </c>
      <c r="AI56" s="386" t="str">
        <f t="shared" si="9"/>
        <v>nov-26</v>
      </c>
      <c r="AJ56" s="386" t="str">
        <f t="shared" si="9"/>
        <v>dic-26</v>
      </c>
    </row>
    <row r="57" spans="24:36">
      <c r="X57" s="575" t="s">
        <v>454</v>
      </c>
      <c r="Y57" s="646">
        <f>'Modelo Base'!F205/1000000</f>
        <v>218.72726599999999</v>
      </c>
      <c r="Z57" s="624">
        <f>'Modelo Base'!G205/1000000</f>
        <v>-304.71859899999998</v>
      </c>
      <c r="AA57" s="624">
        <f>'Modelo Base'!H205/1000000</f>
        <v>125.650513</v>
      </c>
      <c r="AB57" s="624">
        <f>'Modelo Base'!I205/1000000</f>
        <v>73.339722366666663</v>
      </c>
      <c r="AC57" s="646">
        <f>'Modelo Base'!J205/1000000</f>
        <v>-29.144814083333337</v>
      </c>
      <c r="AD57" s="624">
        <f>'Modelo Base'!K205/1000000</f>
        <v>-108.44620243333334</v>
      </c>
      <c r="AE57" s="624">
        <f>'Modelo Base'!L205/1000000</f>
        <v>41.319773566666669</v>
      </c>
      <c r="AF57" s="646">
        <f>'Modelo Base'!M205/1000000</f>
        <v>-1785.0775872242066</v>
      </c>
      <c r="AG57" s="624">
        <f>'Modelo Base'!N205/1000000</f>
        <v>320.74154882601169</v>
      </c>
      <c r="AH57" s="624">
        <f>'Modelo Base'!O205/1000000</f>
        <v>380.18249499723055</v>
      </c>
      <c r="AI57" s="624">
        <f>'Modelo Base'!P205/1000000</f>
        <v>440.19642336797591</v>
      </c>
      <c r="AJ57" s="624">
        <f>'Modelo Base'!Q205/1000000</f>
        <v>488.13649136158989</v>
      </c>
    </row>
    <row r="58" spans="24:36">
      <c r="X58" s="575" t="s">
        <v>948</v>
      </c>
      <c r="Y58" s="646">
        <f>'Modelo Base'!F208/1000000</f>
        <v>194.135954</v>
      </c>
      <c r="Z58" s="624">
        <f>'Modelo Base'!G208/1000000</f>
        <v>-305.29308600000002</v>
      </c>
      <c r="AA58" s="624">
        <f>'Modelo Base'!H208/1000000</f>
        <v>149.18717100000001</v>
      </c>
      <c r="AB58" s="624">
        <f>'Modelo Base'!I208/1000000</f>
        <v>88.268448000000006</v>
      </c>
      <c r="AC58" s="646">
        <f>'Modelo Base'!J208/1000000</f>
        <v>-112.934814</v>
      </c>
      <c r="AD58" s="624">
        <f>'Modelo Base'!K208/1000000</f>
        <v>-129.38098099999999</v>
      </c>
      <c r="AE58" s="624">
        <f>'Modelo Base'!L208/1000000</f>
        <v>58.825563000000002</v>
      </c>
      <c r="AF58" s="624">
        <f>'Modelo Base'!M208/1000000</f>
        <v>-1042.0007475107066</v>
      </c>
      <c r="AG58" s="624">
        <f>'Modelo Base'!N208/1000000</f>
        <v>313.38145682601174</v>
      </c>
      <c r="AH58" s="624">
        <f>'Modelo Base'!O208/1000000</f>
        <v>372.82240299723054</v>
      </c>
      <c r="AI58" s="624">
        <f>'Modelo Base'!P208/1000000</f>
        <v>381.52996168746444</v>
      </c>
      <c r="AJ58" s="624">
        <f>'Modelo Base'!Q208/1000000</f>
        <v>0</v>
      </c>
    </row>
    <row r="59" spans="24:36">
      <c r="X59" s="575"/>
      <c r="Y59" s="575"/>
      <c r="Z59" s="575"/>
      <c r="AA59" s="575"/>
      <c r="AB59" s="575"/>
      <c r="AC59" s="575"/>
      <c r="AD59" s="575"/>
      <c r="AE59" s="575"/>
      <c r="AF59" s="575"/>
      <c r="AG59" s="575"/>
      <c r="AH59" s="575"/>
      <c r="AI59" s="575"/>
      <c r="AJ59" s="575"/>
    </row>
    <row r="60" spans="24:36">
      <c r="X60" s="575"/>
      <c r="Y60" s="575"/>
      <c r="Z60" s="575"/>
      <c r="AA60" s="575"/>
      <c r="AB60" s="575"/>
      <c r="AC60" s="575"/>
      <c r="AD60" s="575"/>
      <c r="AE60" s="575"/>
      <c r="AF60" s="575"/>
      <c r="AG60" s="575"/>
      <c r="AH60" s="575"/>
      <c r="AI60" s="575"/>
      <c r="AJ60" s="575"/>
    </row>
    <row r="61" spans="24:36" ht="30" customHeight="1">
      <c r="X61" s="386" t="s">
        <v>630</v>
      </c>
      <c r="Y61" s="386" t="str">
        <f>TEXT(DATE(2026,COLUMN()-COLUMN($X$61),1),"mmm-aa")</f>
        <v>ene-26</v>
      </c>
      <c r="Z61" s="386" t="str">
        <f t="shared" ref="Z61:AJ61" si="10">TEXT(DATE(2026,COLUMN()-COLUMN($X$61),1),"mmm-aa")</f>
        <v>feb-26</v>
      </c>
      <c r="AA61" s="386" t="str">
        <f t="shared" si="10"/>
        <v>mar-26</v>
      </c>
      <c r="AB61" s="386" t="str">
        <f t="shared" si="10"/>
        <v>abr-26</v>
      </c>
      <c r="AC61" s="386" t="str">
        <f t="shared" si="10"/>
        <v>may-26</v>
      </c>
      <c r="AD61" s="386" t="str">
        <f t="shared" si="10"/>
        <v>jun-26</v>
      </c>
      <c r="AE61" s="386" t="str">
        <f t="shared" si="10"/>
        <v>jul-26</v>
      </c>
      <c r="AF61" s="386" t="str">
        <f t="shared" si="10"/>
        <v>ago-26</v>
      </c>
      <c r="AG61" s="386" t="str">
        <f t="shared" si="10"/>
        <v>sep-26</v>
      </c>
      <c r="AH61" s="386" t="str">
        <f t="shared" si="10"/>
        <v>oct-26</v>
      </c>
      <c r="AI61" s="386" t="str">
        <f t="shared" si="10"/>
        <v>nov-26</v>
      </c>
      <c r="AJ61" s="386" t="str">
        <f t="shared" si="10"/>
        <v>dic-26</v>
      </c>
    </row>
    <row r="62" spans="24:36">
      <c r="X62" s="575" t="s">
        <v>475</v>
      </c>
      <c r="Y62" s="646">
        <f>'Modelo Base'!F206/1000000</f>
        <v>-7.3599540000000001</v>
      </c>
      <c r="Z62" s="624">
        <f>'Modelo Base'!G206/1000000</f>
        <v>-6.2690000000000001</v>
      </c>
      <c r="AA62" s="624">
        <f>'Modelo Base'!H206/1000000</f>
        <v>-0.28904800000000003</v>
      </c>
      <c r="AB62" s="624">
        <f>'Modelo Base'!I206/1000000</f>
        <v>1.2286356333333333</v>
      </c>
      <c r="AC62" s="646">
        <f>'Modelo Base'!J206/1000000</f>
        <v>-65.009996916666665</v>
      </c>
      <c r="AD62" s="624">
        <f>'Modelo Base'!K206/1000000</f>
        <v>-3.766258566666667</v>
      </c>
      <c r="AE62" s="624">
        <f>'Modelo Base'!L206/1000000</f>
        <v>-3.766258566666667</v>
      </c>
      <c r="AF62" s="624">
        <f>'Modelo Base'!M206/1000000</f>
        <v>-7.3600919999999999</v>
      </c>
      <c r="AG62" s="624">
        <f>'Modelo Base'!N206/1000000</f>
        <v>-7.3600919999999999</v>
      </c>
      <c r="AH62" s="624">
        <f>'Modelo Base'!O206/1000000</f>
        <v>-7.3600919999999999</v>
      </c>
      <c r="AI62" s="624">
        <f>'Modelo Base'!P206/1000000</f>
        <v>-7.3600919999999999</v>
      </c>
      <c r="AJ62" s="624">
        <f>'Modelo Base'!Q206/1000000</f>
        <v>-7.3600919999999999</v>
      </c>
    </row>
    <row r="63" spans="24:36">
      <c r="X63" s="575" t="s">
        <v>476</v>
      </c>
      <c r="Y63" s="646">
        <f>'Modelo Base'!F207/1000000</f>
        <v>-17.231358</v>
      </c>
      <c r="Z63" s="624">
        <f>'Modelo Base'!G207/1000000</f>
        <v>5.6945129999999997</v>
      </c>
      <c r="AA63" s="646">
        <f>'Modelo Base'!H207/1000000</f>
        <v>23.825706</v>
      </c>
      <c r="AB63" s="624">
        <f>'Modelo Base'!I207/1000000</f>
        <v>13.700089999999999</v>
      </c>
      <c r="AC63" s="646">
        <f>'Modelo Base'!J207/1000000</f>
        <v>-18.780003000000001</v>
      </c>
      <c r="AD63" s="624">
        <f>'Modelo Base'!K207/1000000</f>
        <v>-17.168520000000001</v>
      </c>
      <c r="AE63" s="624">
        <f>'Modelo Base'!L207/1000000</f>
        <v>21.272048000000002</v>
      </c>
      <c r="AF63" s="646">
        <f>'Modelo Base'!M207/1000000</f>
        <v>750.43693171350003</v>
      </c>
      <c r="AG63" s="646">
        <f>'Modelo Base'!N207/1000000</f>
        <v>0</v>
      </c>
      <c r="AH63" s="646">
        <f>'Modelo Base'!O207/1000000</f>
        <v>0</v>
      </c>
      <c r="AI63" s="646">
        <f>'Modelo Base'!P207/1000000</f>
        <v>-51.306369680511473</v>
      </c>
      <c r="AJ63" s="646">
        <f>'Modelo Base'!Q207/1000000</f>
        <v>-480.77639936158988</v>
      </c>
    </row>
    <row r="66" spans="24:36" ht="30" customHeight="1">
      <c r="X66" s="386" t="s">
        <v>630</v>
      </c>
      <c r="Y66" s="386" t="str">
        <f>TEXT(DATE(2026,COLUMN()-COLUMN($X$66),1),"mmm-aa")</f>
        <v>ene-26</v>
      </c>
      <c r="Z66" s="386" t="str">
        <f t="shared" ref="Z66:AJ66" si="11">TEXT(DATE(2026,COLUMN()-COLUMN($X$66),1),"mmm-aa")</f>
        <v>feb-26</v>
      </c>
      <c r="AA66" s="386" t="str">
        <f t="shared" si="11"/>
        <v>mar-26</v>
      </c>
      <c r="AB66" s="386" t="str">
        <f t="shared" si="11"/>
        <v>abr-26</v>
      </c>
      <c r="AC66" s="386" t="str">
        <f t="shared" si="11"/>
        <v>may-26</v>
      </c>
      <c r="AD66" s="386" t="str">
        <f t="shared" si="11"/>
        <v>jun-26</v>
      </c>
      <c r="AE66" s="386" t="str">
        <f t="shared" si="11"/>
        <v>jul-26</v>
      </c>
      <c r="AF66" s="386" t="str">
        <f t="shared" si="11"/>
        <v>ago-26</v>
      </c>
      <c r="AG66" s="386" t="str">
        <f t="shared" si="11"/>
        <v>sep-26</v>
      </c>
      <c r="AH66" s="386" t="str">
        <f t="shared" si="11"/>
        <v>oct-26</v>
      </c>
      <c r="AI66" s="386" t="str">
        <f t="shared" si="11"/>
        <v>nov-26</v>
      </c>
      <c r="AJ66" s="386" t="str">
        <f t="shared" si="11"/>
        <v>dic-26</v>
      </c>
    </row>
    <row r="67" spans="24:36">
      <c r="X67" s="575" t="s">
        <v>949</v>
      </c>
      <c r="Y67" s="624">
        <f>'Modelo Base'!F235</f>
        <v>74.269057379725325</v>
      </c>
      <c r="Z67" s="624">
        <f>'Modelo Base'!G235</f>
        <v>60.679429828580965</v>
      </c>
      <c r="AA67" s="624">
        <f>'Modelo Base'!H235</f>
        <v>59.712593151728029</v>
      </c>
      <c r="AB67" s="624">
        <f>'Modelo Base'!I235</f>
        <v>57.41480657706451</v>
      </c>
      <c r="AC67" s="624">
        <f>'Modelo Base'!J235</f>
        <v>50.718746596395562</v>
      </c>
      <c r="AD67" s="624">
        <f>'Modelo Base'!K235</f>
        <v>61.479997080023828</v>
      </c>
      <c r="AE67" s="624">
        <f>'Modelo Base'!L235</f>
        <v>68.188358869389432</v>
      </c>
      <c r="AF67" s="624">
        <f>'Modelo Base'!M235</f>
        <v>49.196808594167919</v>
      </c>
      <c r="AG67" s="624">
        <f>'Modelo Base'!N235</f>
        <v>72.796301540506064</v>
      </c>
      <c r="AH67" s="624">
        <f>'Modelo Base'!O235</f>
        <v>72.916313657836128</v>
      </c>
      <c r="AI67" s="624">
        <f>'Modelo Base'!P235</f>
        <v>73.270589335838082</v>
      </c>
      <c r="AJ67" s="624">
        <f>'Modelo Base'!Q235</f>
        <v>73.368532356608682</v>
      </c>
    </row>
    <row r="68" spans="24:36">
      <c r="X68" s="575"/>
      <c r="Y68" s="575"/>
      <c r="Z68" s="575"/>
      <c r="AA68" s="575"/>
      <c r="AB68" s="575"/>
      <c r="AC68" s="575"/>
      <c r="AD68" s="575"/>
      <c r="AE68" s="575"/>
      <c r="AF68" s="575"/>
      <c r="AG68" s="575"/>
      <c r="AH68" s="575"/>
      <c r="AI68" s="575"/>
      <c r="AJ68" s="575"/>
    </row>
    <row r="69" spans="24:36">
      <c r="X69" s="575"/>
      <c r="Y69" s="575"/>
      <c r="Z69" s="575"/>
      <c r="AA69" s="575"/>
      <c r="AB69" s="575"/>
      <c r="AC69" s="575"/>
      <c r="AD69" s="575"/>
      <c r="AE69" s="575"/>
      <c r="AF69" s="575"/>
      <c r="AG69" s="575"/>
      <c r="AH69" s="575"/>
      <c r="AI69" s="575"/>
      <c r="AJ69" s="575"/>
    </row>
    <row r="70" spans="24:36" ht="30" customHeight="1">
      <c r="X70" s="386" t="s">
        <v>630</v>
      </c>
      <c r="Y70" s="386" t="str">
        <f>TEXT(DATE(2026,COLUMN()-COLUMN($X$70),1),"mmm-aa")</f>
        <v>ene-26</v>
      </c>
      <c r="Z70" s="386" t="str">
        <f t="shared" ref="Z70:AJ70" si="12">TEXT(DATE(2026,COLUMN()-COLUMN($X$70),1),"mmm-aa")</f>
        <v>feb-26</v>
      </c>
      <c r="AA70" s="386" t="str">
        <f t="shared" si="12"/>
        <v>mar-26</v>
      </c>
      <c r="AB70" s="386" t="str">
        <f t="shared" si="12"/>
        <v>abr-26</v>
      </c>
      <c r="AC70" s="386" t="str">
        <f t="shared" si="12"/>
        <v>may-26</v>
      </c>
      <c r="AD70" s="386" t="str">
        <f t="shared" si="12"/>
        <v>jun-26</v>
      </c>
      <c r="AE70" s="386" t="str">
        <f t="shared" si="12"/>
        <v>jul-26</v>
      </c>
      <c r="AF70" s="386" t="str">
        <f t="shared" si="12"/>
        <v>ago-26</v>
      </c>
      <c r="AG70" s="386" t="str">
        <f t="shared" si="12"/>
        <v>sep-26</v>
      </c>
      <c r="AH70" s="386" t="str">
        <f t="shared" si="12"/>
        <v>oct-26</v>
      </c>
      <c r="AI70" s="386" t="str">
        <f t="shared" si="12"/>
        <v>nov-26</v>
      </c>
      <c r="AJ70" s="386" t="str">
        <f t="shared" si="12"/>
        <v>dic-26</v>
      </c>
    </row>
    <row r="71" spans="24:36">
      <c r="X71" s="575" t="s">
        <v>944</v>
      </c>
      <c r="Y71" s="624">
        <f>('Modelo Base'!F133+'Modelo Base'!F144)/1000000</f>
        <v>72.783461000000003</v>
      </c>
      <c r="Z71" s="624">
        <f>('Modelo Base'!G133+'Modelo Base'!G144)/1000000</f>
        <v>101.365099</v>
      </c>
      <c r="AA71" s="624">
        <f>('Modelo Base'!H133+'Modelo Base'!H144)/1000000</f>
        <v>104.18998000000001</v>
      </c>
      <c r="AB71" s="624">
        <f>('Modelo Base'!I133+'Modelo Base'!I144)/1000000</f>
        <v>112.56347</v>
      </c>
      <c r="AC71" s="646">
        <f>('Modelo Base'!J133+'Modelo Base'!J144)/1000000</f>
        <v>2742.2389480000002</v>
      </c>
      <c r="AD71" s="646">
        <f>('Modelo Base'!K133+'Modelo Base'!K144)/1000000</f>
        <v>2725.070428</v>
      </c>
      <c r="AE71" s="646">
        <f>('Modelo Base'!L133+'Modelo Base'!L144)/1000000</f>
        <v>2725.070428</v>
      </c>
      <c r="AF71" s="646">
        <f>('Modelo Base'!M133+'Modelo Base'!M144)/1000000</f>
        <v>3496.7794077134999</v>
      </c>
      <c r="AG71" s="646">
        <f>('Modelo Base'!N133+'Modelo Base'!N144)/1000000</f>
        <v>3496.7794077134999</v>
      </c>
      <c r="AH71" s="646">
        <f>('Modelo Base'!O133+'Modelo Base'!O144)/1000000</f>
        <v>3496.7794077134999</v>
      </c>
      <c r="AI71" s="646">
        <f>('Modelo Base'!P133+'Modelo Base'!P144)/1000000</f>
        <v>3445.4730380329884</v>
      </c>
      <c r="AJ71" s="646">
        <f>('Modelo Base'!Q133+'Modelo Base'!Q144)/1000000</f>
        <v>2964.6966386713984</v>
      </c>
    </row>
    <row r="72" spans="24:36">
      <c r="X72" s="575"/>
      <c r="Y72" s="575"/>
      <c r="Z72" s="575"/>
      <c r="AA72" s="575"/>
      <c r="AB72" s="575"/>
      <c r="AC72" s="575"/>
      <c r="AD72" s="575"/>
      <c r="AE72" s="575"/>
      <c r="AF72" s="575"/>
      <c r="AG72" s="575"/>
      <c r="AH72" s="575"/>
      <c r="AI72" s="575"/>
      <c r="AJ72" s="575"/>
    </row>
    <row r="73" spans="24:36">
      <c r="X73" s="575"/>
      <c r="Y73" s="575"/>
      <c r="Z73" s="575"/>
      <c r="AA73" s="575"/>
      <c r="AB73" s="575"/>
      <c r="AC73" s="575"/>
      <c r="AD73" s="575"/>
      <c r="AE73" s="575"/>
      <c r="AF73" s="575"/>
      <c r="AG73" s="575"/>
      <c r="AH73" s="575"/>
      <c r="AI73" s="575"/>
      <c r="AJ73" s="575"/>
    </row>
    <row r="74" spans="24:36" ht="30" customHeight="1">
      <c r="X74" s="386" t="s">
        <v>630</v>
      </c>
      <c r="Y74" s="386" t="str">
        <f>TEXT(DATE(2026,COLUMN()-COLUMN($X$74),1),"mmm-aa")</f>
        <v>ene-26</v>
      </c>
      <c r="Z74" s="386" t="str">
        <f t="shared" ref="Z74:AJ74" si="13">TEXT(DATE(2026,COLUMN()-COLUMN($X$74),1),"mmm-aa")</f>
        <v>feb-26</v>
      </c>
      <c r="AA74" s="386" t="str">
        <f t="shared" si="13"/>
        <v>mar-26</v>
      </c>
      <c r="AB74" s="386" t="str">
        <f t="shared" si="13"/>
        <v>abr-26</v>
      </c>
      <c r="AC74" s="386" t="str">
        <f t="shared" si="13"/>
        <v>may-26</v>
      </c>
      <c r="AD74" s="386" t="str">
        <f t="shared" si="13"/>
        <v>jun-26</v>
      </c>
      <c r="AE74" s="386" t="str">
        <f t="shared" si="13"/>
        <v>jul-26</v>
      </c>
      <c r="AF74" s="386" t="str">
        <f t="shared" si="13"/>
        <v>ago-26</v>
      </c>
      <c r="AG74" s="386" t="str">
        <f t="shared" si="13"/>
        <v>sep-26</v>
      </c>
      <c r="AH74" s="386" t="str">
        <f t="shared" si="13"/>
        <v>oct-26</v>
      </c>
      <c r="AI74" s="386" t="str">
        <f t="shared" si="13"/>
        <v>nov-26</v>
      </c>
      <c r="AJ74" s="386" t="str">
        <f t="shared" si="13"/>
        <v>dic-26</v>
      </c>
    </row>
    <row r="75" spans="24:36">
      <c r="X75" s="575" t="s">
        <v>947</v>
      </c>
      <c r="Y75" s="646">
        <f>'Modelo Base'!F217/1000000</f>
        <v>14.35008</v>
      </c>
      <c r="Z75" s="646">
        <f>'Modelo Base'!G217/1000000</f>
        <v>1.7917000000000001</v>
      </c>
      <c r="AA75" s="646">
        <f>'Modelo Base'!H217/1000000</f>
        <v>25.570584</v>
      </c>
      <c r="AB75" s="646">
        <f>'Modelo Base'!I217/1000000</f>
        <v>24.496645000000001</v>
      </c>
      <c r="AC75" s="624">
        <f>'Modelo Base'!J217/1000000</f>
        <v>22.513415999999999</v>
      </c>
      <c r="AD75" s="624">
        <f>'Modelo Base'!K217/1000000</f>
        <v>23.325495</v>
      </c>
      <c r="AE75" s="624">
        <f>'Modelo Base'!L217/1000000</f>
        <v>19.229474</v>
      </c>
      <c r="AF75" s="624">
        <f>'Modelo Base'!M217/1000000</f>
        <v>259.28157937041664</v>
      </c>
      <c r="AG75" s="624">
        <f>'Modelo Base'!N217/1000000</f>
        <v>291.25599034205544</v>
      </c>
      <c r="AH75" s="624">
        <f>'Modelo Base'!O217/1000000</f>
        <v>323.23075071416719</v>
      </c>
      <c r="AI75" s="624">
        <f>'Modelo Base'!P217/1000000</f>
        <v>349.32216426341023</v>
      </c>
      <c r="AJ75" s="624">
        <f>'Modelo Base'!Q217/1000000</f>
        <v>381.29760606349919</v>
      </c>
    </row>
    <row r="76" spans="24:36">
      <c r="X76" s="575"/>
      <c r="Y76" s="575"/>
      <c r="Z76" s="575"/>
      <c r="AA76" s="575"/>
      <c r="AB76" s="575"/>
      <c r="AC76" s="575"/>
      <c r="AD76" s="575"/>
      <c r="AE76" s="575"/>
      <c r="AF76" s="575"/>
      <c r="AG76" s="575"/>
      <c r="AH76" s="575"/>
      <c r="AI76" s="575"/>
      <c r="AJ76" s="575"/>
    </row>
    <row r="77" spans="24:36">
      <c r="X77" s="575"/>
      <c r="Y77" s="575"/>
      <c r="Z77" s="575"/>
      <c r="AA77" s="575"/>
      <c r="AB77" s="575"/>
      <c r="AC77" s="575"/>
      <c r="AD77" s="575"/>
      <c r="AE77" s="575"/>
      <c r="AF77" s="575"/>
      <c r="AG77" s="575"/>
      <c r="AH77" s="575"/>
      <c r="AI77" s="575"/>
      <c r="AJ77" s="575"/>
    </row>
    <row r="78" spans="24:36" ht="30" customHeight="1">
      <c r="X78" s="386" t="s">
        <v>630</v>
      </c>
      <c r="Y78" s="386" t="str">
        <f>TEXT(DATE(2026,COLUMN()-COLUMN($X$78),1),"mmm-aa")</f>
        <v>ene-26</v>
      </c>
      <c r="Z78" s="386" t="str">
        <f t="shared" ref="Z78:AJ78" si="14">TEXT(DATE(2026,COLUMN()-COLUMN($X$78),1),"mmm-aa")</f>
        <v>feb-26</v>
      </c>
      <c r="AA78" s="386" t="str">
        <f t="shared" si="14"/>
        <v>mar-26</v>
      </c>
      <c r="AB78" s="386" t="str">
        <f t="shared" si="14"/>
        <v>abr-26</v>
      </c>
      <c r="AC78" s="386" t="str">
        <f t="shared" si="14"/>
        <v>may-26</v>
      </c>
      <c r="AD78" s="386" t="str">
        <f t="shared" si="14"/>
        <v>jun-26</v>
      </c>
      <c r="AE78" s="386" t="str">
        <f t="shared" si="14"/>
        <v>jul-26</v>
      </c>
      <c r="AF78" s="386" t="str">
        <f t="shared" si="14"/>
        <v>ago-26</v>
      </c>
      <c r="AG78" s="386" t="str">
        <f t="shared" si="14"/>
        <v>sep-26</v>
      </c>
      <c r="AH78" s="386" t="str">
        <f t="shared" si="14"/>
        <v>oct-26</v>
      </c>
      <c r="AI78" s="386" t="str">
        <f t="shared" si="14"/>
        <v>nov-26</v>
      </c>
      <c r="AJ78" s="386" t="str">
        <f t="shared" si="14"/>
        <v>dic-26</v>
      </c>
    </row>
    <row r="79" spans="24:36">
      <c r="X79" s="575" t="s">
        <v>668</v>
      </c>
      <c r="Y79" s="646">
        <f>'Modelo Base'!F218/1000000</f>
        <v>1074.062508</v>
      </c>
      <c r="Z79" s="646">
        <f>'Modelo Base'!G218/1000000</f>
        <v>1301.9831919999999</v>
      </c>
      <c r="AA79" s="646">
        <f>'Modelo Base'!H218/1000000</f>
        <v>1093.981665</v>
      </c>
      <c r="AB79" s="646">
        <f>'Modelo Base'!I218/1000000</f>
        <v>1024.2512959999999</v>
      </c>
      <c r="AC79" s="646">
        <f>'Modelo Base'!J218/1000000</f>
        <v>1150.522226</v>
      </c>
      <c r="AD79" s="646">
        <f>'Modelo Base'!K218/1000000</f>
        <v>1292.7147010000001</v>
      </c>
      <c r="AE79" s="646">
        <f>'Modelo Base'!L218/1000000</f>
        <v>1265.4681370000001</v>
      </c>
      <c r="AF79" s="646">
        <f>'Modelo Base'!M218/1000000</f>
        <v>3535.8349159073609</v>
      </c>
      <c r="AG79" s="646">
        <f>'Modelo Base'!N218/1000000</f>
        <v>3759.8235049357222</v>
      </c>
      <c r="AH79" s="646">
        <f>'Modelo Base'!O218/1000000</f>
        <v>3983.8117445636108</v>
      </c>
      <c r="AI79" s="646">
        <f>'Modelo Base'!P218/1000000</f>
        <v>4196.2994554143679</v>
      </c>
      <c r="AJ79" s="646">
        <f>'Modelo Base'!Q218/1000000</f>
        <v>4420.2870136142792</v>
      </c>
    </row>
    <row r="82" spans="24:36" ht="30" customHeight="1">
      <c r="X82" s="386" t="s">
        <v>630</v>
      </c>
      <c r="Y82" s="386" t="str">
        <f>TEXT(DATE(2026,COLUMN()-COLUMN($X$82),1),"mmm-aa")</f>
        <v>ene-26</v>
      </c>
      <c r="Z82" s="386" t="str">
        <f t="shared" ref="Z82:AJ82" si="15">TEXT(DATE(2026,COLUMN()-COLUMN($X$82),1),"mmm-aa")</f>
        <v>feb-26</v>
      </c>
      <c r="AA82" s="386" t="str">
        <f t="shared" si="15"/>
        <v>mar-26</v>
      </c>
      <c r="AB82" s="386" t="str">
        <f t="shared" si="15"/>
        <v>abr-26</v>
      </c>
      <c r="AC82" s="386" t="str">
        <f t="shared" si="15"/>
        <v>may-26</v>
      </c>
      <c r="AD82" s="386" t="str">
        <f t="shared" si="15"/>
        <v>jun-26</v>
      </c>
      <c r="AE82" s="386" t="str">
        <f t="shared" si="15"/>
        <v>jul-26</v>
      </c>
      <c r="AF82" s="386" t="str">
        <f t="shared" si="15"/>
        <v>ago-26</v>
      </c>
      <c r="AG82" s="386" t="str">
        <f t="shared" si="15"/>
        <v>sep-26</v>
      </c>
      <c r="AH82" s="386" t="str">
        <f t="shared" si="15"/>
        <v>oct-26</v>
      </c>
      <c r="AI82" s="386" t="str">
        <f t="shared" si="15"/>
        <v>nov-26</v>
      </c>
      <c r="AJ82" s="386" t="str">
        <f t="shared" si="15"/>
        <v>dic-26</v>
      </c>
    </row>
    <row r="83" spans="24:36">
      <c r="X83" s="575" t="s">
        <v>278</v>
      </c>
      <c r="Y83" s="624">
        <f>'Modelo Base'!F198/1000000</f>
        <v>69.979360999999997</v>
      </c>
      <c r="Z83" s="624">
        <f>'Modelo Base'!G198/1000000</f>
        <v>46.134031999999998</v>
      </c>
      <c r="AA83" s="624">
        <f>'Modelo Base'!H198/1000000</f>
        <v>-22.242792999999999</v>
      </c>
      <c r="AB83" s="624">
        <f>'Modelo Base'!I198/1000000</f>
        <v>4.8382519999999998</v>
      </c>
      <c r="AC83" s="624">
        <f>'Modelo Base'!J198/1000000</f>
        <v>113.00947499999999</v>
      </c>
      <c r="AD83" s="624">
        <f>'Modelo Base'!K198/1000000</f>
        <v>34.975495000000002</v>
      </c>
      <c r="AE83" s="624">
        <f>'Modelo Base'!L198/1000000</f>
        <v>29.342362000000001</v>
      </c>
      <c r="AF83" s="624">
        <f>'Modelo Base'!M198/1000000</f>
        <v>741.79675842857137</v>
      </c>
      <c r="AG83" s="624">
        <f>'Modelo Base'!N198/1000000</f>
        <v>833.2121155714284</v>
      </c>
      <c r="AH83" s="624">
        <f>'Modelo Base'!O198/1000000</f>
        <v>924.627472714286</v>
      </c>
      <c r="AI83" s="624">
        <f>'Modelo Base'!P198/1000000</f>
        <v>999.2322858571431</v>
      </c>
      <c r="AJ83" s="646">
        <f>'Modelo Base'!Q198/1000000</f>
        <v>1090.647643</v>
      </c>
    </row>
    <row r="84" spans="24:36">
      <c r="X84" s="575" t="s">
        <v>400</v>
      </c>
      <c r="Y84" s="624">
        <f>'Modelo Base'!F201/1000000</f>
        <v>63.485497000000002</v>
      </c>
      <c r="Z84" s="624">
        <f>'Modelo Base'!G201/1000000</f>
        <v>54.048915000000001</v>
      </c>
      <c r="AA84" s="624">
        <f>'Modelo Base'!H201/1000000</f>
        <v>-37.938006999999999</v>
      </c>
      <c r="AB84" s="624">
        <f>'Modelo Base'!I201/1000000</f>
        <v>0.70620300000000003</v>
      </c>
      <c r="AC84" s="624">
        <f>'Modelo Base'!J201/1000000</f>
        <v>108.374968</v>
      </c>
      <c r="AD84" s="624">
        <f>'Modelo Base'!K201/1000000</f>
        <v>33.343649999999997</v>
      </c>
      <c r="AE84" s="624">
        <f>'Modelo Base'!L201/1000000</f>
        <v>24.707052000000001</v>
      </c>
      <c r="AF84" s="624">
        <f>'Modelo Base'!M201/1000000</f>
        <v>481.52293311648799</v>
      </c>
      <c r="AG84" s="624">
        <f>'Modelo Base'!N201/1000000</f>
        <v>540.90398206381735</v>
      </c>
      <c r="AH84" s="624">
        <f>'Modelo Base'!O201/1000000</f>
        <v>600.28567989773921</v>
      </c>
      <c r="AI84" s="624">
        <f>'Modelo Base'!P201/1000000</f>
        <v>648.74116220347616</v>
      </c>
      <c r="AJ84" s="624">
        <f>'Modelo Base'!Q201/1000000</f>
        <v>708.12412554649859</v>
      </c>
    </row>
    <row r="85" spans="24:36">
      <c r="X85" s="575"/>
      <c r="Y85" s="575"/>
      <c r="Z85" s="575"/>
      <c r="AA85" s="575"/>
      <c r="AB85" s="575"/>
      <c r="AC85" s="575"/>
      <c r="AD85" s="575"/>
      <c r="AE85" s="575"/>
      <c r="AF85" s="575"/>
      <c r="AG85" s="575"/>
      <c r="AH85" s="575"/>
      <c r="AI85" s="575"/>
      <c r="AJ85" s="575"/>
    </row>
    <row r="86" spans="24:36">
      <c r="X86" s="575"/>
      <c r="Y86" s="575"/>
      <c r="Z86" s="575"/>
      <c r="AA86" s="575"/>
      <c r="AB86" s="575"/>
      <c r="AC86" s="575"/>
      <c r="AD86" s="575"/>
      <c r="AE86" s="575"/>
      <c r="AF86" s="575"/>
      <c r="AG86" s="575"/>
      <c r="AH86" s="575"/>
      <c r="AI86" s="575"/>
      <c r="AJ86" s="575"/>
    </row>
    <row r="87" spans="24:36" ht="30" customHeight="1">
      <c r="X87" s="386" t="s">
        <v>630</v>
      </c>
      <c r="Y87" s="386" t="str">
        <f>TEXT(DATE(2026,COLUMN()-COLUMN($X$87),1),"mmm-aa")</f>
        <v>ene-26</v>
      </c>
      <c r="Z87" s="386" t="str">
        <f t="shared" ref="Z87:AJ87" si="16">TEXT(DATE(2026,COLUMN()-COLUMN($X$87),1),"mmm-aa")</f>
        <v>feb-26</v>
      </c>
      <c r="AA87" s="386" t="str">
        <f t="shared" si="16"/>
        <v>mar-26</v>
      </c>
      <c r="AB87" s="386" t="str">
        <f t="shared" si="16"/>
        <v>abr-26</v>
      </c>
      <c r="AC87" s="386" t="str">
        <f t="shared" si="16"/>
        <v>may-26</v>
      </c>
      <c r="AD87" s="386" t="str">
        <f t="shared" si="16"/>
        <v>jun-26</v>
      </c>
      <c r="AE87" s="386" t="str">
        <f t="shared" si="16"/>
        <v>jul-26</v>
      </c>
      <c r="AF87" s="386" t="str">
        <f t="shared" si="16"/>
        <v>ago-26</v>
      </c>
      <c r="AG87" s="386" t="str">
        <f t="shared" si="16"/>
        <v>sep-26</v>
      </c>
      <c r="AH87" s="386" t="str">
        <f t="shared" si="16"/>
        <v>oct-26</v>
      </c>
      <c r="AI87" s="386" t="str">
        <f t="shared" si="16"/>
        <v>nov-26</v>
      </c>
      <c r="AJ87" s="386" t="str">
        <f t="shared" si="16"/>
        <v>dic-26</v>
      </c>
    </row>
    <row r="88" spans="24:36">
      <c r="X88" s="575" t="s">
        <v>953</v>
      </c>
      <c r="Y88" s="624">
        <f>'Modelo Base'!F138/1000000</f>
        <v>0.63706025416666678</v>
      </c>
      <c r="Z88" s="624">
        <f>'Modelo Base'!G138/1000000</f>
        <v>0.72561900000000001</v>
      </c>
      <c r="AA88" s="624">
        <f>'Modelo Base'!H138/1000000</f>
        <v>0.85647949583333349</v>
      </c>
      <c r="AB88" s="624">
        <f>'Modelo Base'!I138/1000000</f>
        <v>0.90313937499999997</v>
      </c>
      <c r="AC88" s="624">
        <f>'Modelo Base'!J138/1000000</f>
        <v>0.93802891666666666</v>
      </c>
      <c r="AD88" s="624">
        <f>'Modelo Base'!K138/1000000</f>
        <v>0.82991472500000008</v>
      </c>
      <c r="AE88" s="624">
        <f>'Modelo Base'!L138/1000000</f>
        <v>0.69586622499999995</v>
      </c>
      <c r="AF88" s="624">
        <f>'Modelo Base'!M138/1000000</f>
        <v>0.87129329166666658</v>
      </c>
      <c r="AG88" s="624">
        <f>'Modelo Base'!N138/1000000</f>
        <v>0.87129329166666658</v>
      </c>
      <c r="AH88" s="624">
        <f>'Modelo Base'!O138/1000000</f>
        <v>0.87129329166666658</v>
      </c>
      <c r="AI88" s="624">
        <f>'Modelo Base'!P138/1000000</f>
        <v>0.87129329166666658</v>
      </c>
      <c r="AJ88" s="624">
        <f>'Modelo Base'!Q138/1000000</f>
        <v>0.87129329166666658</v>
      </c>
    </row>
    <row r="89" spans="24:36">
      <c r="X89" s="575"/>
      <c r="Y89" s="575"/>
      <c r="Z89" s="575"/>
      <c r="AA89" s="575"/>
      <c r="AB89" s="575"/>
      <c r="AC89" s="575"/>
      <c r="AD89" s="575"/>
      <c r="AE89" s="575"/>
      <c r="AF89" s="575"/>
      <c r="AG89" s="575"/>
      <c r="AH89" s="575"/>
      <c r="AI89" s="575"/>
      <c r="AJ89" s="575"/>
    </row>
    <row r="90" spans="24:36">
      <c r="X90" s="575"/>
      <c r="Y90" s="575"/>
      <c r="Z90" s="575"/>
      <c r="AA90" s="575"/>
      <c r="AB90" s="575"/>
      <c r="AC90" s="575"/>
      <c r="AD90" s="575"/>
      <c r="AE90" s="575"/>
      <c r="AF90" s="575"/>
      <c r="AG90" s="575"/>
      <c r="AH90" s="575"/>
      <c r="AI90" s="575"/>
      <c r="AJ90" s="575"/>
    </row>
    <row r="91" spans="24:36">
      <c r="X91" s="575"/>
      <c r="Y91" s="575"/>
      <c r="Z91" s="575"/>
      <c r="AA91" s="575"/>
      <c r="AB91" s="575"/>
      <c r="AC91" s="575"/>
      <c r="AD91" s="575"/>
      <c r="AE91" s="575"/>
      <c r="AF91" s="575"/>
      <c r="AG91" s="575"/>
      <c r="AH91" s="575"/>
      <c r="AI91" s="575"/>
      <c r="AJ91" s="575"/>
    </row>
    <row r="92" spans="24:36" ht="30" customHeight="1">
      <c r="X92" s="386" t="s">
        <v>961</v>
      </c>
      <c r="Y92" s="386" t="str">
        <f t="shared" ref="Y92:AJ92" si="17">Y$2</f>
        <v>ene-26</v>
      </c>
      <c r="Z92" s="386" t="str">
        <f t="shared" si="17"/>
        <v>feb-26</v>
      </c>
      <c r="AA92" s="386" t="str">
        <f t="shared" si="17"/>
        <v>mar-26</v>
      </c>
      <c r="AB92" s="386" t="str">
        <f t="shared" si="17"/>
        <v>abr-26</v>
      </c>
      <c r="AC92" s="386" t="str">
        <f t="shared" si="17"/>
        <v>may-26</v>
      </c>
      <c r="AD92" s="386" t="str">
        <f t="shared" si="17"/>
        <v>jun-26</v>
      </c>
      <c r="AE92" s="386" t="str">
        <f t="shared" si="17"/>
        <v>jul-26</v>
      </c>
      <c r="AF92" s="386" t="str">
        <f t="shared" si="17"/>
        <v>ago-26</v>
      </c>
      <c r="AG92" s="386" t="str">
        <f t="shared" si="17"/>
        <v>sep-26</v>
      </c>
      <c r="AH92" s="386" t="str">
        <f t="shared" si="17"/>
        <v>oct-26</v>
      </c>
      <c r="AI92" s="386" t="str">
        <f t="shared" si="17"/>
        <v>nov-26</v>
      </c>
      <c r="AJ92" s="386" t="str">
        <f t="shared" si="17"/>
        <v>dic-26</v>
      </c>
    </row>
    <row r="93" spans="24:36">
      <c r="X93" s="575" t="s">
        <v>962</v>
      </c>
      <c r="Y93" s="624">
        <f>'Modelo Base'!F54</f>
        <v>0.6103933202029288</v>
      </c>
      <c r="Z93" s="624">
        <f>'Modelo Base'!G54</f>
        <v>0.53869870414082643</v>
      </c>
      <c r="AA93" s="624">
        <f>'Modelo Base'!H54</f>
        <v>0.42107324429007298</v>
      </c>
      <c r="AB93" s="624">
        <f>'Modelo Base'!I54</f>
        <v>0.49488623202952642</v>
      </c>
      <c r="AC93" s="624">
        <f>'Modelo Base'!J54</f>
        <v>0.56991629644802488</v>
      </c>
      <c r="AD93" s="624">
        <f>'Modelo Base'!K54</f>
        <v>0.53626180162138459</v>
      </c>
      <c r="AE93" s="624">
        <f>'Modelo Base'!L54</f>
        <v>0.52651520593567536</v>
      </c>
      <c r="AF93" s="624">
        <f>'Modelo Base'!M54</f>
        <v>0.7759816853462268</v>
      </c>
      <c r="AG93" s="624">
        <f>'Modelo Base'!N54</f>
        <v>0.78828090738911971</v>
      </c>
      <c r="AH93" s="624">
        <f>'Modelo Base'!O54</f>
        <v>0.79929989551475966</v>
      </c>
      <c r="AI93" s="624">
        <f>'Modelo Base'!P54</f>
        <v>0.80380124197548719</v>
      </c>
      <c r="AJ93" s="624">
        <f>'Modelo Base'!Q54</f>
        <v>0.81304978275956175</v>
      </c>
    </row>
    <row r="94" spans="24:36">
      <c r="X94" s="575"/>
      <c r="Y94" s="575"/>
      <c r="Z94" s="575"/>
      <c r="AA94" s="575"/>
      <c r="AB94" s="575"/>
      <c r="AC94" s="575"/>
      <c r="AD94" s="575"/>
      <c r="AE94" s="575"/>
      <c r="AF94" s="575"/>
      <c r="AG94" s="575"/>
      <c r="AH94" s="575"/>
      <c r="AI94" s="575"/>
      <c r="AJ94" s="575"/>
    </row>
    <row r="95" spans="24:36">
      <c r="X95" s="575"/>
      <c r="Y95" s="575"/>
      <c r="Z95" s="575"/>
      <c r="AA95" s="575"/>
      <c r="AB95" s="575"/>
      <c r="AC95" s="575"/>
      <c r="AD95" s="575"/>
      <c r="AE95" s="575"/>
      <c r="AF95" s="575"/>
      <c r="AG95" s="575"/>
      <c r="AH95" s="575"/>
      <c r="AI95" s="575"/>
      <c r="AJ95" s="575"/>
    </row>
    <row r="96" spans="24:36" ht="30" customHeight="1">
      <c r="X96" s="386" t="s">
        <v>961</v>
      </c>
      <c r="Y96" s="386" t="str">
        <f t="shared" ref="Y96:AJ96" si="18">Y$2</f>
        <v>ene-26</v>
      </c>
      <c r="Z96" s="386" t="str">
        <f t="shared" si="18"/>
        <v>feb-26</v>
      </c>
      <c r="AA96" s="386" t="str">
        <f t="shared" si="18"/>
        <v>mar-26</v>
      </c>
      <c r="AB96" s="386" t="str">
        <f t="shared" si="18"/>
        <v>abr-26</v>
      </c>
      <c r="AC96" s="386" t="str">
        <f t="shared" si="18"/>
        <v>may-26</v>
      </c>
      <c r="AD96" s="386" t="str">
        <f t="shared" si="18"/>
        <v>jun-26</v>
      </c>
      <c r="AE96" s="386" t="str">
        <f t="shared" si="18"/>
        <v>jul-26</v>
      </c>
      <c r="AF96" s="386" t="str">
        <f t="shared" si="18"/>
        <v>ago-26</v>
      </c>
      <c r="AG96" s="386" t="str">
        <f t="shared" si="18"/>
        <v>sep-26</v>
      </c>
      <c r="AH96" s="386" t="str">
        <f t="shared" si="18"/>
        <v>oct-26</v>
      </c>
      <c r="AI96" s="386" t="str">
        <f t="shared" si="18"/>
        <v>nov-26</v>
      </c>
      <c r="AJ96" s="386" t="str">
        <f t="shared" si="18"/>
        <v>dic-26</v>
      </c>
    </row>
    <row r="97" spans="1:36">
      <c r="A97" s="575"/>
      <c r="B97" s="575"/>
      <c r="C97" s="575"/>
      <c r="D97" s="575"/>
      <c r="E97" s="575"/>
      <c r="F97" s="575"/>
      <c r="G97" s="575"/>
      <c r="H97" s="575"/>
      <c r="I97" s="575"/>
      <c r="J97" s="575"/>
      <c r="K97" s="575"/>
      <c r="L97" s="575"/>
      <c r="M97" s="575"/>
      <c r="N97" s="575"/>
      <c r="O97" s="575"/>
      <c r="P97" s="575"/>
      <c r="Q97" s="575"/>
      <c r="R97" s="575"/>
      <c r="S97" s="575"/>
      <c r="T97" s="575"/>
      <c r="U97" s="575"/>
      <c r="V97" s="575"/>
      <c r="W97" s="575"/>
      <c r="X97" s="575" t="s">
        <v>963</v>
      </c>
      <c r="Y97" s="624">
        <f>'Modelo Base'!F52/1000000</f>
        <v>238.53579400000001</v>
      </c>
      <c r="Z97" s="624">
        <f>'Modelo Base'!G52/1000000</f>
        <v>343.30879099999999</v>
      </c>
      <c r="AA97" s="624">
        <f>'Modelo Base'!H52/1000000</f>
        <v>455.63920100000001</v>
      </c>
      <c r="AB97" s="624">
        <f>'Modelo Base'!I52/1000000</f>
        <v>379.273594</v>
      </c>
      <c r="AC97" s="624">
        <f>'Modelo Base'!J52/1000000</f>
        <v>355.47052300000001</v>
      </c>
      <c r="AD97" s="624">
        <f>'Modelo Base'!K52/1000000</f>
        <v>348.47760599999998</v>
      </c>
      <c r="AE97" s="624">
        <f>'Modelo Base'!L52/1000000</f>
        <v>321.91783800000002</v>
      </c>
      <c r="AF97" s="624">
        <f>'Modelo Base'!M52/1000000</f>
        <v>352.52106041666661</v>
      </c>
      <c r="AG97" s="624">
        <f>'Modelo Base'!N52/1000000</f>
        <v>352.52106041666661</v>
      </c>
      <c r="AH97" s="624">
        <f>'Modelo Base'!O52/1000000</f>
        <v>352.52106041666661</v>
      </c>
      <c r="AI97" s="624">
        <f>'Modelo Base'!P52/1000000</f>
        <v>362.55021941666661</v>
      </c>
      <c r="AJ97" s="624">
        <f>'Modelo Base'!Q52/1000000</f>
        <v>362.55021941666661</v>
      </c>
    </row>
    <row r="98" spans="1:36">
      <c r="A98" s="575"/>
      <c r="B98" s="575"/>
      <c r="C98" s="575"/>
      <c r="D98" s="575"/>
      <c r="E98" s="575"/>
      <c r="F98" s="575"/>
      <c r="G98" s="575"/>
      <c r="H98" s="575"/>
      <c r="I98" s="575"/>
      <c r="J98" s="575"/>
      <c r="K98" s="575"/>
      <c r="L98" s="575"/>
      <c r="M98" s="575"/>
      <c r="N98" s="575"/>
      <c r="O98" s="575"/>
      <c r="P98" s="575"/>
      <c r="Q98" s="575"/>
      <c r="R98" s="575"/>
      <c r="S98" s="575"/>
      <c r="T98" s="575"/>
      <c r="U98" s="575"/>
      <c r="V98" s="575"/>
      <c r="W98" s="575"/>
      <c r="X98" s="575" t="s">
        <v>964</v>
      </c>
      <c r="Y98" s="624">
        <f>SUM('Modelo Base'!F56:F58)/1000000</f>
        <v>303.73254600000001</v>
      </c>
      <c r="Z98" s="624">
        <f>SUM('Modelo Base'!G56:G58)/1000000</f>
        <v>354.77531399999998</v>
      </c>
      <c r="AA98" s="624">
        <f>SUM('Modelo Base'!H56:H58)/1000000</f>
        <v>353.64477900000003</v>
      </c>
      <c r="AB98" s="624">
        <f>SUM('Modelo Base'!I56:I58)/1000000</f>
        <v>366.75581599999998</v>
      </c>
      <c r="AC98" s="624">
        <f>SUM('Modelo Base'!J56:J58)/1000000</f>
        <v>358.03474799999998</v>
      </c>
      <c r="AD98" s="624">
        <f>SUM('Modelo Base'!K56:K58)/1000000</f>
        <v>368.00021299999997</v>
      </c>
      <c r="AE98" s="624">
        <f>SUM('Modelo Base'!L56:L58)/1000000</f>
        <v>328.63035200000002</v>
      </c>
      <c r="AF98" s="624">
        <f>SUM('Modelo Base'!M56:M58)/1000000</f>
        <v>479.30825258333323</v>
      </c>
      <c r="AG98" s="624">
        <f>SUM('Modelo Base'!N56:N58)/1000000</f>
        <v>479.30825258333323</v>
      </c>
      <c r="AH98" s="624">
        <f>SUM('Modelo Base'!O56:O58)/1000000</f>
        <v>479.30825258333323</v>
      </c>
      <c r="AI98" s="624">
        <f>SUM('Modelo Base'!P56:P58)/1000000</f>
        <v>486.08963758333323</v>
      </c>
      <c r="AJ98" s="624">
        <f>SUM('Modelo Base'!Q56:Q58)/1000000</f>
        <v>486.08963758333323</v>
      </c>
    </row>
    <row r="99" spans="1:36">
      <c r="A99" s="575"/>
      <c r="B99" s="575"/>
      <c r="C99" s="575"/>
      <c r="D99" s="575"/>
      <c r="E99" s="575"/>
      <c r="F99" s="575"/>
      <c r="G99" s="575"/>
      <c r="H99" s="575"/>
      <c r="I99" s="575"/>
      <c r="J99" s="575"/>
      <c r="K99" s="575"/>
      <c r="L99" s="575"/>
      <c r="M99" s="575"/>
      <c r="N99" s="575"/>
      <c r="O99" s="575"/>
      <c r="P99" s="575"/>
      <c r="Q99" s="575"/>
      <c r="R99" s="575"/>
      <c r="S99" s="575"/>
      <c r="T99" s="575"/>
      <c r="U99" s="575"/>
      <c r="V99" s="575"/>
      <c r="W99" s="575"/>
      <c r="X99" s="575"/>
      <c r="Y99" s="575"/>
      <c r="Z99" s="575"/>
      <c r="AA99" s="575"/>
      <c r="AB99" s="575"/>
      <c r="AC99" s="575"/>
      <c r="AD99" s="575"/>
      <c r="AE99" s="575"/>
      <c r="AF99" s="575"/>
      <c r="AG99" s="575"/>
      <c r="AH99" s="575"/>
      <c r="AI99" s="575"/>
      <c r="AJ99" s="575"/>
    </row>
    <row r="100" spans="1:36">
      <c r="A100" s="575"/>
      <c r="B100" s="575"/>
      <c r="C100" s="575"/>
      <c r="D100" s="575"/>
      <c r="E100" s="575"/>
      <c r="F100" s="575"/>
      <c r="G100" s="575"/>
      <c r="H100" s="575"/>
      <c r="I100" s="575"/>
      <c r="J100" s="575"/>
      <c r="K100" s="575"/>
      <c r="L100" s="575"/>
      <c r="M100" s="575"/>
      <c r="N100" s="575"/>
      <c r="O100" s="575"/>
      <c r="P100" s="575"/>
      <c r="Q100" s="575"/>
      <c r="R100" s="575"/>
      <c r="S100" s="575"/>
      <c r="T100" s="575"/>
      <c r="U100" s="575"/>
      <c r="V100" s="575"/>
      <c r="W100" s="575"/>
      <c r="X100" s="575"/>
      <c r="Y100" s="575"/>
      <c r="Z100" s="575"/>
      <c r="AA100" s="575"/>
      <c r="AB100" s="575"/>
      <c r="AC100" s="575"/>
      <c r="AD100" s="575"/>
      <c r="AE100" s="575"/>
      <c r="AF100" s="575"/>
      <c r="AG100" s="575"/>
      <c r="AH100" s="575"/>
      <c r="AI100" s="575"/>
      <c r="AJ100" s="575"/>
    </row>
    <row r="101" spans="1:36">
      <c r="A101" s="575"/>
      <c r="B101" s="575"/>
      <c r="C101" s="575"/>
      <c r="D101" s="575"/>
      <c r="E101" s="575"/>
      <c r="F101" s="575"/>
      <c r="G101" s="575"/>
      <c r="H101" s="575"/>
      <c r="I101" s="575"/>
      <c r="J101" s="575"/>
      <c r="K101" s="575"/>
      <c r="L101" s="575"/>
      <c r="M101" s="575"/>
      <c r="N101" s="575"/>
      <c r="O101" s="575"/>
      <c r="P101" s="575"/>
      <c r="Q101" s="575"/>
      <c r="R101" s="575"/>
      <c r="S101" s="575"/>
      <c r="T101" s="575"/>
      <c r="U101" s="575"/>
      <c r="V101" s="575"/>
      <c r="W101" s="575"/>
      <c r="X101" s="575"/>
      <c r="Y101" s="575"/>
      <c r="Z101" s="575"/>
      <c r="AA101" s="575"/>
      <c r="AB101" s="575"/>
      <c r="AC101" s="575"/>
      <c r="AD101" s="575"/>
      <c r="AE101" s="575"/>
      <c r="AF101" s="575"/>
      <c r="AG101" s="575"/>
      <c r="AH101" s="575"/>
      <c r="AI101" s="575"/>
      <c r="AJ101" s="575"/>
    </row>
    <row r="102" spans="1:36" ht="30" customHeight="1">
      <c r="A102" s="933"/>
      <c r="B102" s="934"/>
      <c r="C102" s="934"/>
      <c r="D102" s="934"/>
      <c r="E102" s="934"/>
      <c r="F102" s="934"/>
      <c r="G102" s="934"/>
      <c r="H102" s="934"/>
      <c r="I102" s="934"/>
      <c r="J102" s="934"/>
      <c r="K102" s="934"/>
      <c r="L102" s="934"/>
      <c r="M102" s="934"/>
      <c r="N102" s="934"/>
      <c r="O102" s="934"/>
      <c r="P102" s="934"/>
      <c r="Q102" s="934"/>
      <c r="R102" s="934"/>
      <c r="S102" s="934"/>
      <c r="T102" s="934"/>
      <c r="U102" s="934"/>
      <c r="V102" s="934"/>
      <c r="W102" s="934"/>
      <c r="X102" s="386" t="s">
        <v>961</v>
      </c>
      <c r="Y102" s="386" t="str">
        <f t="shared" ref="Y102:AJ102" si="19">Y$2</f>
        <v>ene-26</v>
      </c>
      <c r="Z102" s="386" t="str">
        <f t="shared" si="19"/>
        <v>feb-26</v>
      </c>
      <c r="AA102" s="386" t="str">
        <f t="shared" si="19"/>
        <v>mar-26</v>
      </c>
      <c r="AB102" s="386" t="str">
        <f t="shared" si="19"/>
        <v>abr-26</v>
      </c>
      <c r="AC102" s="386" t="str">
        <f t="shared" si="19"/>
        <v>may-26</v>
      </c>
      <c r="AD102" s="386" t="str">
        <f t="shared" si="19"/>
        <v>jun-26</v>
      </c>
      <c r="AE102" s="386" t="str">
        <f t="shared" si="19"/>
        <v>jul-26</v>
      </c>
      <c r="AF102" s="386" t="str">
        <f t="shared" si="19"/>
        <v>ago-26</v>
      </c>
      <c r="AG102" s="386" t="str">
        <f t="shared" si="19"/>
        <v>sep-26</v>
      </c>
      <c r="AH102" s="386" t="str">
        <f t="shared" si="19"/>
        <v>oct-26</v>
      </c>
      <c r="AI102" s="386" t="str">
        <f t="shared" si="19"/>
        <v>nov-26</v>
      </c>
      <c r="AJ102" s="386" t="str">
        <f t="shared" si="19"/>
        <v>dic-26</v>
      </c>
    </row>
    <row r="103" spans="1:36">
      <c r="A103" s="575"/>
      <c r="B103" s="575"/>
      <c r="C103" s="575"/>
      <c r="D103" s="575"/>
      <c r="E103" s="575"/>
      <c r="F103" s="575"/>
      <c r="G103" s="575"/>
      <c r="H103" s="575"/>
      <c r="I103" s="575"/>
      <c r="J103" s="575"/>
      <c r="K103" s="575"/>
      <c r="L103" s="575"/>
      <c r="M103" s="575"/>
      <c r="N103" s="575"/>
      <c r="O103" s="575"/>
      <c r="P103" s="575"/>
      <c r="Q103" s="575"/>
      <c r="R103" s="575"/>
      <c r="S103" s="575"/>
      <c r="T103" s="575"/>
      <c r="U103" s="575"/>
      <c r="V103" s="575"/>
      <c r="W103" s="575"/>
      <c r="X103" s="575" t="s">
        <v>965</v>
      </c>
      <c r="Y103" s="646">
        <f>'Modelo Base'!F457/1000000</f>
        <v>0</v>
      </c>
      <c r="Z103" s="624">
        <f>'Modelo Base'!G457/1000000</f>
        <v>79.698459999999997</v>
      </c>
      <c r="AA103" s="624">
        <f>'Modelo Base'!H457/1000000</f>
        <v>0</v>
      </c>
      <c r="AB103" s="624">
        <f>'Modelo Base'!I457/1000000</f>
        <v>0</v>
      </c>
      <c r="AC103" s="646">
        <f>'Modelo Base'!J457/1000000</f>
        <v>0</v>
      </c>
      <c r="AD103" s="624">
        <f>'Modelo Base'!K457/1000000</f>
        <v>84.558638000000002</v>
      </c>
      <c r="AE103" s="624">
        <f>'Modelo Base'!L457/1000000</f>
        <v>25.733073999999998</v>
      </c>
      <c r="AF103" s="646">
        <f>'Modelo Base'!M457/1000000</f>
        <v>1067.7338215107068</v>
      </c>
      <c r="AG103" s="646">
        <f>'Modelo Base'!N457/1000000</f>
        <v>754.35236468469498</v>
      </c>
      <c r="AH103" s="646">
        <f>'Modelo Base'!O457/1000000</f>
        <v>381.52996168746449</v>
      </c>
      <c r="AI103" s="624">
        <f>'Modelo Base'!P457/1000000</f>
        <v>0</v>
      </c>
      <c r="AJ103" s="624">
        <f>'Modelo Base'!Q457/1000000</f>
        <v>0</v>
      </c>
    </row>
    <row r="104" spans="1:36">
      <c r="A104" s="575"/>
      <c r="B104" s="575"/>
      <c r="C104" s="575"/>
      <c r="D104" s="575"/>
      <c r="E104" s="575"/>
      <c r="F104" s="575"/>
      <c r="G104" s="575"/>
      <c r="H104" s="575"/>
      <c r="I104" s="575"/>
      <c r="J104" s="575"/>
      <c r="K104" s="575"/>
      <c r="L104" s="575"/>
      <c r="M104" s="575"/>
      <c r="N104" s="575"/>
      <c r="O104" s="575"/>
      <c r="P104" s="575"/>
      <c r="Q104" s="575"/>
      <c r="R104" s="575"/>
      <c r="S104" s="575"/>
      <c r="T104" s="575"/>
      <c r="U104" s="575"/>
      <c r="V104" s="575"/>
      <c r="W104" s="575"/>
      <c r="X104" s="575"/>
      <c r="Y104" s="575"/>
      <c r="Z104" s="575"/>
      <c r="AA104" s="575"/>
      <c r="AB104" s="575"/>
      <c r="AC104" s="575"/>
      <c r="AD104" s="575"/>
      <c r="AE104" s="575"/>
      <c r="AF104" s="575"/>
      <c r="AG104" s="575"/>
      <c r="AH104" s="575"/>
      <c r="AI104" s="575"/>
      <c r="AJ104" s="575"/>
    </row>
    <row r="105" spans="1:36">
      <c r="A105" s="575"/>
      <c r="B105" s="575"/>
      <c r="C105" s="575"/>
      <c r="D105" s="575"/>
      <c r="E105" s="575"/>
      <c r="F105" s="575"/>
      <c r="G105" s="575"/>
      <c r="H105" s="575"/>
      <c r="I105" s="575"/>
      <c r="J105" s="575"/>
      <c r="K105" s="575"/>
      <c r="L105" s="575"/>
      <c r="M105" s="575"/>
      <c r="N105" s="575"/>
      <c r="O105" s="575"/>
      <c r="P105" s="575"/>
      <c r="Q105" s="575"/>
      <c r="R105" s="575"/>
      <c r="S105" s="575"/>
      <c r="T105" s="575"/>
      <c r="U105" s="575"/>
      <c r="V105" s="575"/>
      <c r="W105" s="575"/>
      <c r="X105" s="575"/>
      <c r="Y105" s="575"/>
      <c r="Z105" s="575"/>
      <c r="AA105" s="575"/>
      <c r="AB105" s="575"/>
      <c r="AC105" s="575"/>
      <c r="AD105" s="575"/>
      <c r="AE105" s="575"/>
      <c r="AF105" s="575"/>
      <c r="AG105" s="575"/>
      <c r="AH105" s="575"/>
      <c r="AI105" s="575"/>
      <c r="AJ105" s="575"/>
    </row>
    <row r="106" spans="1:36" ht="30" customHeight="1">
      <c r="A106" s="933"/>
      <c r="B106" s="934"/>
      <c r="C106" s="934"/>
      <c r="D106" s="934"/>
      <c r="E106" s="934"/>
      <c r="F106" s="934"/>
      <c r="G106" s="934"/>
      <c r="H106" s="934"/>
      <c r="I106" s="934"/>
      <c r="J106" s="934"/>
      <c r="K106" s="934"/>
      <c r="L106" s="934"/>
      <c r="M106" s="934"/>
      <c r="N106" s="934"/>
      <c r="O106" s="934"/>
      <c r="P106" s="934"/>
      <c r="Q106" s="934"/>
      <c r="R106" s="934"/>
      <c r="S106" s="934"/>
      <c r="T106" s="934"/>
      <c r="U106" s="934"/>
      <c r="V106" s="934"/>
      <c r="W106" s="934"/>
      <c r="X106" s="386" t="s">
        <v>961</v>
      </c>
      <c r="Y106" s="386" t="str">
        <f t="shared" ref="Y106:AJ106" si="20">Y$2</f>
        <v>ene-26</v>
      </c>
      <c r="Z106" s="386" t="str">
        <f t="shared" si="20"/>
        <v>feb-26</v>
      </c>
      <c r="AA106" s="386" t="str">
        <f t="shared" si="20"/>
        <v>mar-26</v>
      </c>
      <c r="AB106" s="386" t="str">
        <f t="shared" si="20"/>
        <v>abr-26</v>
      </c>
      <c r="AC106" s="386" t="str">
        <f t="shared" si="20"/>
        <v>may-26</v>
      </c>
      <c r="AD106" s="386" t="str">
        <f t="shared" si="20"/>
        <v>jun-26</v>
      </c>
      <c r="AE106" s="386" t="str">
        <f t="shared" si="20"/>
        <v>jul-26</v>
      </c>
      <c r="AF106" s="386" t="str">
        <f t="shared" si="20"/>
        <v>ago-26</v>
      </c>
      <c r="AG106" s="386" t="str">
        <f t="shared" si="20"/>
        <v>sep-26</v>
      </c>
      <c r="AH106" s="386" t="str">
        <f t="shared" si="20"/>
        <v>oct-26</v>
      </c>
      <c r="AI106" s="386" t="str">
        <f t="shared" si="20"/>
        <v>nov-26</v>
      </c>
      <c r="AJ106" s="386" t="str">
        <f t="shared" si="20"/>
        <v>dic-26</v>
      </c>
    </row>
    <row r="107" spans="1:36" ht="15" thickBot="1">
      <c r="A107" s="1122" t="s">
        <v>952</v>
      </c>
      <c r="B107" s="1122"/>
      <c r="C107" s="1122"/>
      <c r="D107" s="1122"/>
      <c r="E107" s="1122"/>
      <c r="F107" s="1122"/>
      <c r="G107" s="1122"/>
      <c r="H107" s="1122"/>
      <c r="I107" s="1122"/>
      <c r="J107" s="1122"/>
      <c r="K107" s="1122"/>
      <c r="L107" s="1122"/>
      <c r="M107" s="1122"/>
      <c r="N107" s="1122"/>
      <c r="O107" s="1122"/>
      <c r="P107" s="1122"/>
      <c r="Q107" s="1122"/>
      <c r="R107" s="1122"/>
      <c r="S107" s="575"/>
      <c r="T107" s="575"/>
      <c r="U107" s="575"/>
      <c r="V107" s="575"/>
      <c r="W107" s="575"/>
      <c r="X107" s="575" t="s">
        <v>966</v>
      </c>
      <c r="Y107" s="646">
        <f>'Modelo Base'!F113/1000000</f>
        <v>5014.8351750000002</v>
      </c>
      <c r="Z107" s="646">
        <f>'Modelo Base'!G113/1000000</f>
        <v>5250.0737929999996</v>
      </c>
      <c r="AA107" s="646">
        <f>'Modelo Base'!H113/1000000</f>
        <v>5182.1901049999997</v>
      </c>
      <c r="AB107" s="646">
        <f>'Modelo Base'!I113/1000000</f>
        <v>5140.184816</v>
      </c>
      <c r="AC107" s="646">
        <f>'Modelo Base'!J113/1000000</f>
        <v>5320.1716649999998</v>
      </c>
      <c r="AD107" s="646">
        <f>'Modelo Base'!K113/1000000</f>
        <v>5374.856769</v>
      </c>
      <c r="AE107" s="646">
        <f>'Modelo Base'!L113/1000000</f>
        <v>5296.4249920000002</v>
      </c>
      <c r="AF107" s="646">
        <f>'Modelo Base'!M113/1000000</f>
        <v>8014.1200769999996</v>
      </c>
      <c r="AG107" s="646">
        <f>'Modelo Base'!N113/1000000</f>
        <v>8270.0830769999993</v>
      </c>
      <c r="AH107" s="646">
        <f>'Modelo Base'!O113/1000000</f>
        <v>8526.0460770000009</v>
      </c>
      <c r="AI107" s="646">
        <f>'Modelo Base'!P113/1000000</f>
        <v>8782.0090770000006</v>
      </c>
      <c r="AJ107" s="646">
        <f>'Modelo Base'!Q113/1000000</f>
        <v>9037.9720770000004</v>
      </c>
    </row>
    <row r="108" spans="1:36" ht="15" thickTop="1">
      <c r="A108" s="575"/>
      <c r="B108" s="575"/>
      <c r="C108" s="575"/>
      <c r="D108" s="575"/>
      <c r="E108" s="575"/>
      <c r="F108" s="575"/>
      <c r="G108" s="575"/>
      <c r="H108" s="575"/>
      <c r="I108" s="575"/>
      <c r="J108" s="575"/>
      <c r="K108" s="575"/>
      <c r="L108" s="575"/>
      <c r="M108" s="575"/>
      <c r="N108" s="575"/>
      <c r="O108" s="575"/>
      <c r="P108" s="575"/>
      <c r="Q108" s="575"/>
      <c r="R108" s="575"/>
      <c r="S108" s="575"/>
      <c r="T108" s="575"/>
      <c r="U108" s="575"/>
      <c r="V108" s="575"/>
      <c r="W108" s="575"/>
      <c r="X108" s="575" t="s">
        <v>967</v>
      </c>
      <c r="Y108" s="646">
        <f>'Modelo Base'!F118/1000000</f>
        <v>516.47832100000005</v>
      </c>
      <c r="Z108" s="646">
        <f>'Modelo Base'!G118/1000000</f>
        <v>495.57399700000002</v>
      </c>
      <c r="AA108" s="646">
        <f>'Modelo Base'!H118/1000000</f>
        <v>596.60814900000003</v>
      </c>
      <c r="AB108" s="646">
        <f>'Modelo Base'!I118/1000000</f>
        <v>588.33840799999996</v>
      </c>
      <c r="AC108" s="624">
        <f>'Modelo Base'!J118/1000000</f>
        <v>524.82446600000003</v>
      </c>
      <c r="AD108" s="624">
        <f>'Modelo Base'!K118/1000000</f>
        <v>506.71640100000002</v>
      </c>
      <c r="AE108" s="624">
        <f>'Modelo Base'!L118/1000000</f>
        <v>422.989778</v>
      </c>
      <c r="AF108" s="624">
        <f>'Modelo Base'!M118/1000000</f>
        <v>870.31808409263874</v>
      </c>
      <c r="AG108" s="624">
        <f>'Modelo Base'!N118/1000000</f>
        <v>902.29249506427755</v>
      </c>
      <c r="AH108" s="624">
        <f>'Modelo Base'!O118/1000000</f>
        <v>934.26725543638918</v>
      </c>
      <c r="AI108" s="624">
        <f>'Modelo Base'!P118/1000000</f>
        <v>977.74254458563234</v>
      </c>
      <c r="AJ108" s="646">
        <f>'Modelo Base'!Q118/1000000</f>
        <v>1009.7179863857214</v>
      </c>
    </row>
    <row r="109" spans="1:36">
      <c r="A109" s="575"/>
      <c r="B109" s="575"/>
      <c r="C109" s="575"/>
      <c r="D109" s="575"/>
      <c r="E109" s="575"/>
      <c r="F109" s="575"/>
      <c r="G109" s="575"/>
      <c r="H109" s="575"/>
      <c r="I109" s="575"/>
      <c r="J109" s="575"/>
      <c r="K109" s="575"/>
      <c r="L109" s="575"/>
      <c r="M109" s="575"/>
      <c r="N109" s="575"/>
      <c r="O109" s="575"/>
      <c r="P109" s="575"/>
      <c r="Q109" s="575"/>
      <c r="R109" s="575"/>
      <c r="S109" s="575"/>
      <c r="T109" s="575"/>
      <c r="U109" s="575"/>
      <c r="V109" s="575"/>
      <c r="W109" s="575"/>
      <c r="X109" s="575"/>
      <c r="Y109" s="575"/>
      <c r="Z109" s="575"/>
      <c r="AA109" s="575"/>
      <c r="AB109" s="575"/>
      <c r="AC109" s="575"/>
      <c r="AD109" s="575"/>
      <c r="AE109" s="575"/>
      <c r="AF109" s="575"/>
      <c r="AG109" s="575"/>
      <c r="AH109" s="575"/>
      <c r="AI109" s="575"/>
      <c r="AJ109" s="575"/>
    </row>
    <row r="110" spans="1:36">
      <c r="A110" s="575"/>
      <c r="B110" s="575"/>
      <c r="C110" s="575"/>
      <c r="D110" s="575"/>
      <c r="E110" s="575"/>
      <c r="F110" s="575"/>
      <c r="G110" s="575"/>
      <c r="H110" s="575"/>
      <c r="I110" s="575"/>
      <c r="J110" s="575"/>
      <c r="K110" s="575"/>
      <c r="L110" s="575"/>
      <c r="M110" s="575"/>
      <c r="N110" s="575"/>
      <c r="O110" s="575"/>
      <c r="P110" s="575"/>
      <c r="Q110" s="575"/>
      <c r="R110" s="575"/>
      <c r="S110" s="575"/>
      <c r="T110" s="575"/>
      <c r="U110" s="575"/>
      <c r="V110" s="575"/>
      <c r="W110" s="575"/>
      <c r="X110" s="575"/>
      <c r="Y110" s="575"/>
      <c r="Z110" s="575"/>
      <c r="AA110" s="575"/>
      <c r="AB110" s="575"/>
      <c r="AC110" s="575"/>
      <c r="AD110" s="575"/>
      <c r="AE110" s="575"/>
      <c r="AF110" s="575"/>
      <c r="AG110" s="575"/>
      <c r="AH110" s="575"/>
      <c r="AI110" s="575"/>
      <c r="AJ110" s="575"/>
    </row>
    <row r="111" spans="1:36" ht="30" customHeight="1">
      <c r="A111" s="933"/>
      <c r="B111" s="934"/>
      <c r="C111" s="934"/>
      <c r="D111" s="934"/>
      <c r="E111" s="934"/>
      <c r="F111" s="934"/>
      <c r="G111" s="934"/>
      <c r="H111" s="934"/>
      <c r="I111" s="934"/>
      <c r="J111" s="934"/>
      <c r="K111" s="934"/>
      <c r="L111" s="934"/>
      <c r="M111" s="934"/>
      <c r="N111" s="934"/>
      <c r="O111" s="934"/>
      <c r="P111" s="934"/>
      <c r="Q111" s="934"/>
      <c r="R111" s="934"/>
      <c r="S111" s="934"/>
      <c r="T111" s="934"/>
      <c r="U111" s="934"/>
      <c r="V111" s="934"/>
      <c r="W111" s="934"/>
      <c r="X111" s="386" t="s">
        <v>961</v>
      </c>
      <c r="Y111" s="386" t="str">
        <f t="shared" ref="Y111:AJ111" si="21">Y$2</f>
        <v>ene-26</v>
      </c>
      <c r="Z111" s="386" t="str">
        <f t="shared" si="21"/>
        <v>feb-26</v>
      </c>
      <c r="AA111" s="386" t="str">
        <f t="shared" si="21"/>
        <v>mar-26</v>
      </c>
      <c r="AB111" s="386" t="str">
        <f t="shared" si="21"/>
        <v>abr-26</v>
      </c>
      <c r="AC111" s="386" t="str">
        <f t="shared" si="21"/>
        <v>may-26</v>
      </c>
      <c r="AD111" s="386" t="str">
        <f t="shared" si="21"/>
        <v>jun-26</v>
      </c>
      <c r="AE111" s="386" t="str">
        <f t="shared" si="21"/>
        <v>jul-26</v>
      </c>
      <c r="AF111" s="386" t="str">
        <f t="shared" si="21"/>
        <v>ago-26</v>
      </c>
      <c r="AG111" s="386" t="str">
        <f t="shared" si="21"/>
        <v>sep-26</v>
      </c>
      <c r="AH111" s="386" t="str">
        <f t="shared" si="21"/>
        <v>oct-26</v>
      </c>
      <c r="AI111" s="386" t="str">
        <f t="shared" si="21"/>
        <v>nov-26</v>
      </c>
      <c r="AJ111" s="386" t="str">
        <f t="shared" si="21"/>
        <v>dic-26</v>
      </c>
    </row>
    <row r="112" spans="1:36">
      <c r="A112" s="575"/>
      <c r="B112" s="575"/>
      <c r="C112" s="575"/>
      <c r="D112" s="575"/>
      <c r="E112" s="575"/>
      <c r="F112" s="575"/>
      <c r="G112" s="575"/>
      <c r="H112" s="575"/>
      <c r="I112" s="575"/>
      <c r="J112" s="575"/>
      <c r="K112" s="575"/>
      <c r="L112" s="575"/>
      <c r="M112" s="575"/>
      <c r="N112" s="575"/>
      <c r="O112" s="575"/>
      <c r="P112" s="575"/>
      <c r="Q112" s="575"/>
      <c r="R112" s="575"/>
      <c r="S112" s="575"/>
      <c r="T112" s="575"/>
      <c r="U112" s="575"/>
      <c r="V112" s="575"/>
      <c r="W112" s="575"/>
      <c r="X112" s="575" t="s">
        <v>968</v>
      </c>
      <c r="Y112" s="624">
        <f>IF('Modelo Base'!$S$198=0,0,('Modelo Base'!F133+'Modelo Base'!F144)/'Modelo Base'!$S$198)</f>
        <v>1.4958930482153505E-2</v>
      </c>
      <c r="Z112" s="624">
        <f>IF('Modelo Base'!$S$198=0,0,('Modelo Base'!G133+'Modelo Base'!G144)/'Modelo Base'!$S$198)</f>
        <v>2.083321469499242E-2</v>
      </c>
      <c r="AA112" s="624">
        <f>IF('Modelo Base'!$S$198=0,0,('Modelo Base'!H133+'Modelo Base'!H144)/'Modelo Base'!$S$198)</f>
        <v>2.1413802618660358E-2</v>
      </c>
      <c r="AB112" s="624">
        <f>IF('Modelo Base'!$S$198=0,0,('Modelo Base'!I133+'Modelo Base'!I144)/'Modelo Base'!$S$198)</f>
        <v>2.3134776766935716E-2</v>
      </c>
      <c r="AC112" s="624">
        <f>IF('Modelo Base'!$S$198=0,0,('Modelo Base'!J133+'Modelo Base'!J144)/'Modelo Base'!$S$198)</f>
        <v>0.56360279141693692</v>
      </c>
      <c r="AD112" s="624">
        <f>IF('Modelo Base'!$S$198=0,0,('Modelo Base'!K133+'Modelo Base'!K144)/'Modelo Base'!$S$198)</f>
        <v>0.56007420547676756</v>
      </c>
      <c r="AE112" s="624">
        <f>IF('Modelo Base'!$S$198=0,0,('Modelo Base'!L133+'Modelo Base'!L144)/'Modelo Base'!$S$198)</f>
        <v>0.56007420547676756</v>
      </c>
      <c r="AF112" s="624">
        <f>IF('Modelo Base'!$S$198=0,0,('Modelo Base'!M133+'Modelo Base'!M144)/'Modelo Base'!$S$198)</f>
        <v>0.71868085623754763</v>
      </c>
      <c r="AG112" s="624">
        <f>IF('Modelo Base'!$S$198=0,0,('Modelo Base'!N133+'Modelo Base'!N144)/'Modelo Base'!$S$198)</f>
        <v>0.71868085623754763</v>
      </c>
      <c r="AH112" s="624">
        <f>IF('Modelo Base'!$S$198=0,0,('Modelo Base'!O133+'Modelo Base'!O144)/'Modelo Base'!$S$198)</f>
        <v>0.71868085623754763</v>
      </c>
      <c r="AI112" s="624">
        <f>IF('Modelo Base'!$S$198=0,0,('Modelo Base'!P133+'Modelo Base'!P144)/'Modelo Base'!$S$198)</f>
        <v>0.70813603730756525</v>
      </c>
      <c r="AJ112" s="624">
        <f>IF('Modelo Base'!$S$198=0,0,('Modelo Base'!Q133+'Modelo Base'!Q144)/'Modelo Base'!$S$198)</f>
        <v>0.60932374346088902</v>
      </c>
    </row>
    <row r="166" spans="1:18">
      <c r="A166" s="1095" t="s">
        <v>960</v>
      </c>
      <c r="B166" s="1095"/>
      <c r="C166" s="1095"/>
      <c r="D166" s="1095"/>
      <c r="E166" s="1095"/>
      <c r="F166" s="1095"/>
      <c r="G166" s="1095"/>
      <c r="H166" s="1095"/>
      <c r="I166" s="1095"/>
      <c r="J166" s="1095"/>
      <c r="K166" s="1095"/>
      <c r="L166" s="1095"/>
      <c r="M166" s="1095"/>
      <c r="N166" s="1095"/>
      <c r="O166" s="1095"/>
      <c r="P166" s="1095"/>
      <c r="Q166" s="1095"/>
      <c r="R166" s="1095"/>
    </row>
  </sheetData>
  <mergeCells count="18">
    <mergeCell ref="A107:R107"/>
    <mergeCell ref="A166:R166"/>
    <mergeCell ref="M4:O4"/>
    <mergeCell ref="M5:O7"/>
    <mergeCell ref="P4:R4"/>
    <mergeCell ref="P5:R7"/>
    <mergeCell ref="A8:R8"/>
    <mergeCell ref="A48:R48"/>
    <mergeCell ref="A1:R1"/>
    <mergeCell ref="A2:R2"/>
    <mergeCell ref="A4:C4"/>
    <mergeCell ref="A5:C7"/>
    <mergeCell ref="D4:F4"/>
    <mergeCell ref="D5:F7"/>
    <mergeCell ref="G4:I4"/>
    <mergeCell ref="G5:I7"/>
    <mergeCell ref="J4:L4"/>
    <mergeCell ref="J5:L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14AF3-0C8A-4A47-A035-83D387EA4041}">
  <sheetPr>
    <tabColor rgb="FFC00000"/>
  </sheetPr>
  <dimension ref="B2:N28"/>
  <sheetViews>
    <sheetView workbookViewId="0"/>
  </sheetViews>
  <sheetFormatPr defaultRowHeight="14.4"/>
  <cols>
    <col min="1" max="1" width="3.6640625" customWidth="1"/>
    <col min="2" max="2" width="35.21875" customWidth="1"/>
    <col min="3" max="13" width="17.5546875" customWidth="1"/>
  </cols>
  <sheetData>
    <row r="2" spans="2:14" ht="18">
      <c r="B2" s="924" t="s">
        <v>1210</v>
      </c>
      <c r="C2" s="924"/>
      <c r="D2" s="924"/>
      <c r="E2" s="924"/>
      <c r="F2" s="924"/>
      <c r="G2" s="924"/>
      <c r="H2" s="924"/>
      <c r="I2" s="924"/>
      <c r="J2" s="924"/>
      <c r="K2" s="924"/>
      <c r="L2" s="924"/>
      <c r="M2" s="924"/>
      <c r="N2" s="627"/>
    </row>
    <row r="3" spans="2:14">
      <c r="B3" s="927" t="s">
        <v>1211</v>
      </c>
      <c r="C3" s="927"/>
      <c r="D3" s="927"/>
      <c r="E3" s="927"/>
      <c r="F3" s="927"/>
      <c r="G3" s="927"/>
      <c r="H3" s="927"/>
      <c r="I3" s="927"/>
      <c r="J3" s="927"/>
      <c r="K3" s="927"/>
      <c r="L3" s="927"/>
      <c r="M3" s="927"/>
      <c r="N3" s="627"/>
    </row>
    <row r="4" spans="2:14">
      <c r="B4" s="928"/>
      <c r="C4" s="928"/>
      <c r="D4" s="928"/>
      <c r="E4" s="928"/>
      <c r="F4" s="928"/>
      <c r="G4" s="928"/>
      <c r="H4" s="928"/>
      <c r="I4" s="928"/>
      <c r="J4" s="928"/>
      <c r="K4" s="928"/>
      <c r="L4" s="928"/>
      <c r="M4" s="928"/>
      <c r="N4" s="627"/>
    </row>
    <row r="5" spans="2:14" ht="30" customHeight="1">
      <c r="B5" s="928"/>
      <c r="C5" s="1131" t="s">
        <v>1212</v>
      </c>
      <c r="D5" s="1131"/>
      <c r="E5" s="1131" t="s">
        <v>1213</v>
      </c>
      <c r="F5" s="1131"/>
      <c r="G5" s="1131" t="s">
        <v>1214</v>
      </c>
      <c r="H5" s="1131"/>
      <c r="I5" s="1131" t="s">
        <v>1215</v>
      </c>
      <c r="J5" s="1131"/>
      <c r="K5" s="1131" t="s">
        <v>1015</v>
      </c>
      <c r="L5" s="1131"/>
      <c r="M5" s="1131" t="s">
        <v>1216</v>
      </c>
      <c r="N5" s="1134"/>
    </row>
    <row r="6" spans="2:14" ht="28.05" customHeight="1">
      <c r="B6" s="928"/>
      <c r="C6" s="1132">
        <f>'Consolidado '!G37</f>
        <v>1651410.8663564478</v>
      </c>
      <c r="D6" s="1132"/>
      <c r="E6" s="1132">
        <f>'Consolidado '!G49</f>
        <v>137765.67296589765</v>
      </c>
      <c r="F6" s="1132"/>
      <c r="G6" s="1137">
        <f>'Consolidado '!G39/'Consolidado '!G37</f>
        <v>0.57803143741092855</v>
      </c>
      <c r="H6" s="1137"/>
      <c r="I6" s="1132">
        <f>'Consolidado '!E49</f>
        <v>109028.68</v>
      </c>
      <c r="J6" s="1132"/>
      <c r="K6" s="1132">
        <f>'Burn &amp; RunW'!C95</f>
        <v>1162.5739078884999</v>
      </c>
      <c r="L6" s="1132"/>
      <c r="M6" s="1132">
        <f>'Burn &amp; RunW'!G30</f>
        <v>132.0649587216181</v>
      </c>
      <c r="N6" s="1135"/>
    </row>
    <row r="7" spans="2:14">
      <c r="B7" s="928"/>
      <c r="C7" s="1133" t="s">
        <v>146</v>
      </c>
      <c r="D7" s="1133"/>
      <c r="E7" s="1133" t="s">
        <v>146</v>
      </c>
      <c r="F7" s="1133"/>
      <c r="G7" s="1133" t="s">
        <v>291</v>
      </c>
      <c r="H7" s="1133"/>
      <c r="I7" s="1133" t="s">
        <v>146</v>
      </c>
      <c r="J7" s="1133"/>
      <c r="K7" s="1133" t="s">
        <v>672</v>
      </c>
      <c r="L7" s="1133"/>
      <c r="M7" s="1133" t="s">
        <v>672</v>
      </c>
      <c r="N7" s="1136"/>
    </row>
    <row r="8" spans="2:14">
      <c r="B8" s="928"/>
      <c r="C8" s="928"/>
      <c r="D8" s="928"/>
      <c r="E8" s="928"/>
      <c r="F8" s="928"/>
      <c r="G8" s="928"/>
      <c r="H8" s="928"/>
      <c r="I8" s="928"/>
      <c r="J8" s="928"/>
      <c r="K8" s="928"/>
      <c r="L8" s="928"/>
      <c r="M8" s="928"/>
      <c r="N8" s="627"/>
    </row>
    <row r="9" spans="2:14">
      <c r="B9" s="928"/>
      <c r="C9" s="928"/>
      <c r="D9" s="928"/>
      <c r="E9" s="928"/>
      <c r="F9" s="928"/>
      <c r="G9" s="928"/>
      <c r="H9" s="928"/>
      <c r="I9" s="928"/>
      <c r="J9" s="928"/>
      <c r="K9" s="928"/>
      <c r="L9" s="928"/>
      <c r="M9" s="928"/>
      <c r="N9" s="627"/>
    </row>
    <row r="10" spans="2:14">
      <c r="B10" s="925" t="s">
        <v>1217</v>
      </c>
      <c r="C10" s="925"/>
      <c r="D10" s="925"/>
      <c r="E10" s="925"/>
      <c r="F10" s="925"/>
      <c r="G10" s="928"/>
      <c r="H10" s="928"/>
      <c r="I10" s="928"/>
      <c r="J10" s="928"/>
      <c r="K10" s="928"/>
      <c r="L10" s="928"/>
      <c r="M10" s="928"/>
      <c r="N10" s="627"/>
    </row>
    <row r="11" spans="2:14">
      <c r="B11" s="926" t="s">
        <v>210</v>
      </c>
      <c r="C11" s="926" t="s">
        <v>1218</v>
      </c>
      <c r="D11" s="926" t="s">
        <v>1002</v>
      </c>
      <c r="E11" s="926" t="s">
        <v>1003</v>
      </c>
      <c r="F11" s="926" t="s">
        <v>1219</v>
      </c>
      <c r="G11" s="928"/>
      <c r="H11" s="928"/>
      <c r="I11" s="928"/>
      <c r="J11" s="928"/>
      <c r="K11" s="928"/>
      <c r="L11" s="928"/>
      <c r="M11" s="928"/>
      <c r="N11" s="627"/>
    </row>
    <row r="12" spans="2:14">
      <c r="B12" s="929" t="s">
        <v>1220</v>
      </c>
      <c r="C12" s="930">
        <f>'Consolidado '!C37</f>
        <v>39010.5</v>
      </c>
      <c r="D12" s="930">
        <f>'Consolidado '!D37</f>
        <v>8442.19</v>
      </c>
      <c r="E12" s="930">
        <f>'Consolidado '!E37</f>
        <v>134104</v>
      </c>
      <c r="F12" s="930">
        <f>'Consolidado '!F37</f>
        <v>1469854.1763564479</v>
      </c>
      <c r="G12" s="928"/>
      <c r="H12" s="928"/>
      <c r="I12" s="928"/>
      <c r="J12" s="928"/>
      <c r="K12" s="928"/>
      <c r="L12" s="928"/>
      <c r="M12" s="928"/>
      <c r="N12" s="627"/>
    </row>
    <row r="13" spans="2:14">
      <c r="B13" s="929" t="s">
        <v>268</v>
      </c>
      <c r="C13" s="930">
        <f>'Consolidado '!C49</f>
        <v>-48547.93</v>
      </c>
      <c r="D13" s="930">
        <f>'Consolidado '!D49</f>
        <v>6897.0800000000008</v>
      </c>
      <c r="E13" s="930">
        <f>'Consolidado '!E49</f>
        <v>109028.68</v>
      </c>
      <c r="F13" s="930">
        <f>'Consolidado '!F49</f>
        <v>70387.842965897682</v>
      </c>
      <c r="G13" s="928"/>
      <c r="H13" s="928"/>
      <c r="I13" s="928"/>
      <c r="J13" s="928"/>
      <c r="K13" s="928"/>
      <c r="L13" s="928"/>
      <c r="M13" s="928"/>
      <c r="N13" s="627"/>
    </row>
    <row r="14" spans="2:14">
      <c r="B14" s="929" t="s">
        <v>1221</v>
      </c>
      <c r="C14" s="930">
        <f>'Consolidado '!C40+'Consolidado '!C41+'Consolidado '!C42+'Consolidado '!C45</f>
        <v>88134.569999999992</v>
      </c>
      <c r="D14" s="930">
        <f>'Consolidado '!D40+'Consolidado '!D41+'Consolidado '!D42+'Consolidado '!D45</f>
        <v>20896</v>
      </c>
      <c r="E14" s="930">
        <f>'Consolidado '!E40+'Consolidado '!E41+'Consolidado '!E42+'Consolidado '!E45</f>
        <v>25075.32</v>
      </c>
      <c r="F14" s="930">
        <f>'Consolidado '!F40+'Consolidado '!F41+'Consolidado '!F42+'Consolidado '!F45</f>
        <v>705704.06763914006</v>
      </c>
      <c r="G14" s="928"/>
      <c r="H14" s="928"/>
      <c r="I14" s="928"/>
      <c r="J14" s="928"/>
      <c r="K14" s="928"/>
      <c r="L14" s="928"/>
      <c r="M14" s="928"/>
      <c r="N14" s="627"/>
    </row>
    <row r="17" spans="2:6">
      <c r="B17" s="925" t="s">
        <v>1227</v>
      </c>
      <c r="C17" s="925"/>
      <c r="D17" s="925"/>
      <c r="E17" s="925"/>
      <c r="F17" s="925"/>
    </row>
    <row r="18" spans="2:6">
      <c r="B18" s="926" t="s">
        <v>370</v>
      </c>
      <c r="C18" s="932" t="s">
        <v>878</v>
      </c>
      <c r="D18" s="932" t="s">
        <v>327</v>
      </c>
      <c r="E18" s="932" t="s">
        <v>328</v>
      </c>
      <c r="F18" s="932" t="s">
        <v>329</v>
      </c>
    </row>
    <row r="19" spans="2:6">
      <c r="B19" s="929" t="s">
        <v>1220</v>
      </c>
      <c r="C19" s="930">
        <f>'Consolidado '!G6</f>
        <v>820704.56945932319</v>
      </c>
      <c r="D19" s="930">
        <f>'Consolidado '!L6</f>
        <v>233074.72084884156</v>
      </c>
      <c r="E19" s="930">
        <f>'Consolidado '!Q6</f>
        <v>221864.21895463957</v>
      </c>
      <c r="F19" s="930">
        <f>'Consolidado '!V6</f>
        <v>349926.0251529768</v>
      </c>
    </row>
    <row r="20" spans="2:6">
      <c r="B20" s="929" t="s">
        <v>268</v>
      </c>
      <c r="C20" s="930">
        <f>'Consolidado '!G17</f>
        <v>-20528.874232526061</v>
      </c>
      <c r="D20" s="930">
        <f>'Consolidado '!L17</f>
        <v>695.10279716243895</v>
      </c>
      <c r="E20" s="930">
        <f>'Consolidado '!Q17</f>
        <v>-13653.826908864597</v>
      </c>
      <c r="F20" s="930">
        <f>'Consolidado '!V17</f>
        <v>130647.39618979108</v>
      </c>
    </row>
    <row r="21" spans="2:6">
      <c r="B21" s="931" t="s">
        <v>1228</v>
      </c>
      <c r="C21" s="928"/>
      <c r="D21" s="928"/>
      <c r="E21" s="928"/>
      <c r="F21" s="928"/>
    </row>
    <row r="22" spans="2:6">
      <c r="B22" s="928"/>
      <c r="C22" s="928"/>
      <c r="D22" s="928"/>
      <c r="E22" s="928"/>
      <c r="F22" s="928"/>
    </row>
    <row r="23" spans="2:6">
      <c r="B23" s="925" t="s">
        <v>1222</v>
      </c>
      <c r="C23" s="925"/>
      <c r="D23" s="928"/>
      <c r="E23" s="928"/>
      <c r="F23" s="928"/>
    </row>
    <row r="24" spans="2:6">
      <c r="B24" s="926" t="s">
        <v>674</v>
      </c>
      <c r="C24" s="926" t="s">
        <v>146</v>
      </c>
      <c r="D24" s="928"/>
      <c r="E24" s="928"/>
      <c r="F24" s="928"/>
    </row>
    <row r="25" spans="2:6">
      <c r="B25" s="929" t="s">
        <v>1223</v>
      </c>
      <c r="C25" s="930">
        <f>'Consolidado '!G40</f>
        <v>318309.61471943918</v>
      </c>
      <c r="D25" s="928"/>
      <c r="E25" s="928"/>
      <c r="F25" s="928"/>
    </row>
    <row r="26" spans="2:6">
      <c r="B26" s="929" t="s">
        <v>983</v>
      </c>
      <c r="C26" s="930">
        <f>'Consolidado '!G41</f>
        <v>315585.82491740317</v>
      </c>
      <c r="D26" s="928"/>
      <c r="E26" s="928"/>
      <c r="F26" s="928"/>
    </row>
    <row r="27" spans="2:6">
      <c r="B27" s="929" t="s">
        <v>1073</v>
      </c>
      <c r="C27" s="930">
        <f>'Consolidado '!G42</f>
        <v>192954.78196866545</v>
      </c>
      <c r="D27" s="928"/>
      <c r="E27" s="928"/>
      <c r="F27" s="928"/>
    </row>
    <row r="28" spans="2:6">
      <c r="B28" s="929" t="s">
        <v>981</v>
      </c>
      <c r="C28" s="930">
        <f>'Consolidado '!G38</f>
        <v>696843.46952040354</v>
      </c>
      <c r="D28" s="928"/>
      <c r="E28" s="928"/>
      <c r="F28" s="928"/>
    </row>
  </sheetData>
  <mergeCells count="18">
    <mergeCell ref="C5:D5"/>
    <mergeCell ref="C6:D6"/>
    <mergeCell ref="C7:D7"/>
    <mergeCell ref="E5:F5"/>
    <mergeCell ref="E6:F6"/>
    <mergeCell ref="E7:F7"/>
    <mergeCell ref="G5:H5"/>
    <mergeCell ref="G6:H6"/>
    <mergeCell ref="G7:H7"/>
    <mergeCell ref="I5:J5"/>
    <mergeCell ref="I6:J6"/>
    <mergeCell ref="I7:J7"/>
    <mergeCell ref="K5:L5"/>
    <mergeCell ref="K6:L6"/>
    <mergeCell ref="K7:L7"/>
    <mergeCell ref="M5:N5"/>
    <mergeCell ref="M6:N6"/>
    <mergeCell ref="M7:N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EF22-1A9D-4152-B37A-70BB002DA913}">
  <sheetPr>
    <tabColor rgb="FF548235"/>
  </sheetPr>
  <dimension ref="B2:Q111"/>
  <sheetViews>
    <sheetView showGridLines="0" topLeftCell="A89" zoomScale="92" workbookViewId="0">
      <pane xSplit="2" topLeftCell="C1" activePane="topRight" state="frozen"/>
      <selection activeCell="A89" sqref="A89"/>
      <selection pane="topRight" activeCell="I59" sqref="I59"/>
    </sheetView>
  </sheetViews>
  <sheetFormatPr defaultRowHeight="14.4"/>
  <cols>
    <col min="2" max="2" width="60.6640625" bestFit="1" customWidth="1"/>
    <col min="3" max="17" width="17" customWidth="1"/>
  </cols>
  <sheetData>
    <row r="2" spans="2:16" ht="17.399999999999999">
      <c r="B2" s="1138" t="s">
        <v>1077</v>
      </c>
      <c r="C2" s="1138"/>
      <c r="D2" s="1138"/>
      <c r="E2" s="1138"/>
      <c r="F2" s="1138"/>
      <c r="G2" s="1138"/>
      <c r="H2" s="1138"/>
      <c r="I2" s="1138"/>
      <c r="J2" s="1138"/>
      <c r="K2" s="1138"/>
      <c r="L2" s="1138"/>
      <c r="M2" s="1138"/>
      <c r="N2" s="1138"/>
      <c r="O2" s="1138"/>
      <c r="P2" s="383"/>
    </row>
    <row r="3" spans="2:16">
      <c r="B3" s="1139" t="s">
        <v>1078</v>
      </c>
      <c r="C3" s="1139"/>
      <c r="D3" s="1139"/>
      <c r="E3" s="1139"/>
      <c r="F3" s="1139"/>
      <c r="G3" s="1139"/>
      <c r="H3" s="1139"/>
      <c r="I3" s="1139"/>
      <c r="J3" s="1139"/>
      <c r="K3" s="1139"/>
      <c r="L3" s="1139"/>
      <c r="M3" s="1139"/>
      <c r="N3" s="1139"/>
      <c r="O3" s="1139"/>
      <c r="P3" s="583"/>
    </row>
    <row r="4" spans="2:16">
      <c r="B4" s="575"/>
      <c r="C4" s="575"/>
      <c r="D4" s="575"/>
      <c r="E4" s="575"/>
      <c r="F4" s="575"/>
      <c r="G4" s="575"/>
      <c r="H4" s="575"/>
      <c r="I4" s="575"/>
      <c r="J4" s="575"/>
      <c r="K4" s="575"/>
      <c r="L4" s="575"/>
      <c r="M4" s="575"/>
      <c r="N4" s="575"/>
      <c r="O4" s="575"/>
      <c r="P4" s="575"/>
    </row>
    <row r="5" spans="2:16">
      <c r="B5" s="579" t="s">
        <v>1079</v>
      </c>
      <c r="C5" s="320">
        <v>4000</v>
      </c>
      <c r="D5" s="575"/>
      <c r="E5" s="575"/>
      <c r="F5" s="575"/>
      <c r="G5" s="575"/>
      <c r="H5" s="575"/>
      <c r="I5" s="575"/>
      <c r="J5" s="575"/>
      <c r="K5" s="575"/>
      <c r="L5" s="575"/>
      <c r="M5" s="575"/>
      <c r="N5" s="575"/>
      <c r="O5" s="575"/>
      <c r="P5" s="575"/>
    </row>
    <row r="6" spans="2:16">
      <c r="B6" s="579" t="s">
        <v>1080</v>
      </c>
      <c r="C6" s="320">
        <v>3690</v>
      </c>
      <c r="D6" s="575"/>
      <c r="E6" s="575"/>
      <c r="F6" s="575"/>
      <c r="G6" s="575"/>
      <c r="H6" s="575"/>
      <c r="I6" s="575"/>
      <c r="J6" s="575"/>
      <c r="K6" s="575"/>
      <c r="L6" s="575"/>
      <c r="M6" s="575"/>
      <c r="N6" s="575"/>
      <c r="O6" s="575"/>
      <c r="P6" s="575"/>
    </row>
    <row r="7" spans="2:16">
      <c r="B7" s="575"/>
      <c r="C7" s="575"/>
      <c r="D7" s="575"/>
      <c r="E7" s="575"/>
      <c r="F7" s="575"/>
      <c r="G7" s="575"/>
      <c r="H7" s="575"/>
      <c r="I7" s="575"/>
      <c r="J7" s="575"/>
      <c r="K7" s="575"/>
      <c r="L7" s="575"/>
      <c r="M7" s="575"/>
      <c r="N7" s="575"/>
      <c r="O7" s="575"/>
      <c r="P7" s="575"/>
    </row>
    <row r="8" spans="2:16" ht="30" customHeight="1" thickBot="1">
      <c r="B8" s="522" t="s">
        <v>210</v>
      </c>
      <c r="C8" s="520" t="s">
        <v>735</v>
      </c>
      <c r="D8" s="520" t="s">
        <v>51</v>
      </c>
      <c r="E8" s="520" t="s">
        <v>52</v>
      </c>
      <c r="F8" s="520" t="s">
        <v>53</v>
      </c>
      <c r="G8" s="520" t="s">
        <v>54</v>
      </c>
      <c r="H8" s="521" t="s">
        <v>55</v>
      </c>
      <c r="I8" s="520" t="s">
        <v>56</v>
      </c>
      <c r="J8" s="520" t="s">
        <v>57</v>
      </c>
      <c r="K8" s="520" t="s">
        <v>58</v>
      </c>
      <c r="L8" s="520" t="s">
        <v>59</v>
      </c>
      <c r="M8" s="520" t="s">
        <v>60</v>
      </c>
      <c r="N8" s="520" t="s">
        <v>61</v>
      </c>
      <c r="O8" s="520" t="s">
        <v>62</v>
      </c>
      <c r="P8" s="520" t="s">
        <v>16</v>
      </c>
    </row>
    <row r="9" spans="2:16" ht="30" customHeight="1">
      <c r="B9" s="500" t="s">
        <v>1081</v>
      </c>
      <c r="C9" s="498"/>
      <c r="D9" s="498" t="s">
        <v>1082</v>
      </c>
      <c r="E9" s="498" t="s">
        <v>1082</v>
      </c>
      <c r="F9" s="498" t="s">
        <v>1082</v>
      </c>
      <c r="G9" s="498" t="s">
        <v>1082</v>
      </c>
      <c r="H9" s="523" t="s">
        <v>1083</v>
      </c>
      <c r="I9" s="498" t="s">
        <v>1083</v>
      </c>
      <c r="J9" s="498" t="s">
        <v>1083</v>
      </c>
      <c r="K9" s="498" t="s">
        <v>1083</v>
      </c>
      <c r="L9" s="498" t="s">
        <v>1083</v>
      </c>
      <c r="M9" s="498" t="s">
        <v>1083</v>
      </c>
      <c r="N9" s="498" t="s">
        <v>1083</v>
      </c>
      <c r="O9" s="498" t="s">
        <v>1083</v>
      </c>
      <c r="P9" s="498" t="s">
        <v>1084</v>
      </c>
    </row>
    <row r="10" spans="2:16">
      <c r="B10" s="575" t="s">
        <v>1085</v>
      </c>
      <c r="C10" s="575" t="s">
        <v>690</v>
      </c>
      <c r="D10" s="320">
        <v>4000</v>
      </c>
      <c r="E10" s="320">
        <v>4000</v>
      </c>
      <c r="F10" s="320">
        <v>4000</v>
      </c>
      <c r="G10" s="320">
        <v>4000</v>
      </c>
      <c r="H10" s="784">
        <v>3690</v>
      </c>
      <c r="I10" s="320">
        <v>3690</v>
      </c>
      <c r="J10" s="320">
        <v>3690</v>
      </c>
      <c r="K10" s="320">
        <v>3690</v>
      </c>
      <c r="L10" s="320">
        <v>3690</v>
      </c>
      <c r="M10" s="320">
        <v>3690</v>
      </c>
      <c r="N10" s="320">
        <v>3690</v>
      </c>
      <c r="O10" s="320">
        <v>3690</v>
      </c>
      <c r="P10" s="579"/>
    </row>
    <row r="11" spans="2:16">
      <c r="B11" s="575"/>
      <c r="C11" s="575"/>
      <c r="D11" s="575"/>
      <c r="E11" s="575"/>
      <c r="F11" s="575"/>
      <c r="G11" s="575"/>
      <c r="H11" s="785"/>
      <c r="I11" s="575"/>
      <c r="J11" s="575"/>
      <c r="K11" s="575"/>
      <c r="L11" s="575"/>
      <c r="M11" s="575"/>
      <c r="N11" s="575"/>
      <c r="O11" s="575"/>
      <c r="P11" s="579"/>
    </row>
    <row r="12" spans="2:16">
      <c r="B12" s="580" t="s">
        <v>1086</v>
      </c>
      <c r="C12" s="580" t="s">
        <v>146</v>
      </c>
      <c r="D12" s="786">
        <f>'Informe Accionista'!C65</f>
        <v>186232</v>
      </c>
      <c r="E12" s="786">
        <f>'Informe Accionista'!D65</f>
        <v>354321</v>
      </c>
      <c r="F12" s="786">
        <f>'Informe Accionista'!E65</f>
        <v>396239</v>
      </c>
      <c r="G12" s="786">
        <f>'Informe Accionista'!F65</f>
        <v>359191</v>
      </c>
      <c r="H12" s="787">
        <f>'Informe Accionista'!G58</f>
        <v>360135.50135501358</v>
      </c>
      <c r="I12" s="786">
        <f>'Informe Accionista'!H58</f>
        <v>259076.31087882307</v>
      </c>
      <c r="J12" s="786">
        <f>'Informe Accionista'!I58</f>
        <v>283850.12040263263</v>
      </c>
      <c r="K12" s="786">
        <f>'Informe Accionista'!J58</f>
        <v>426456.92992644216</v>
      </c>
      <c r="L12" s="786">
        <f>'Informe Accionista'!K58</f>
        <v>451230.73945025163</v>
      </c>
      <c r="M12" s="786">
        <f>'Informe Accionista'!L58</f>
        <v>476004.54897406121</v>
      </c>
      <c r="N12" s="786">
        <f>'Informe Accionista'!M58</f>
        <v>500778.35849787074</v>
      </c>
      <c r="O12" s="786">
        <f>'Informe Accionista'!N58</f>
        <v>525552.16802168021</v>
      </c>
      <c r="P12" s="788">
        <f>SUM(D12:O12)</f>
        <v>4579067.6775067747</v>
      </c>
    </row>
    <row r="13" spans="2:16" ht="15" thickBot="1">
      <c r="B13" s="789" t="s">
        <v>1086</v>
      </c>
      <c r="C13" s="789" t="s">
        <v>140</v>
      </c>
      <c r="D13" s="790">
        <f t="shared" ref="D13:O13" si="0">D12*D10</f>
        <v>744928000</v>
      </c>
      <c r="E13" s="790">
        <f t="shared" si="0"/>
        <v>1417284000</v>
      </c>
      <c r="F13" s="790">
        <f t="shared" si="0"/>
        <v>1584956000</v>
      </c>
      <c r="G13" s="790">
        <f t="shared" si="0"/>
        <v>1436764000</v>
      </c>
      <c r="H13" s="791">
        <f t="shared" si="0"/>
        <v>1328900000</v>
      </c>
      <c r="I13" s="790">
        <f t="shared" si="0"/>
        <v>955991587.14285719</v>
      </c>
      <c r="J13" s="790">
        <f t="shared" si="0"/>
        <v>1047406944.2857144</v>
      </c>
      <c r="K13" s="790">
        <f t="shared" si="0"/>
        <v>1573626071.4285715</v>
      </c>
      <c r="L13" s="790">
        <f t="shared" si="0"/>
        <v>1665041428.5714285</v>
      </c>
      <c r="M13" s="790">
        <f t="shared" si="0"/>
        <v>1756456785.7142859</v>
      </c>
      <c r="N13" s="790">
        <f t="shared" si="0"/>
        <v>1847872142.8571429</v>
      </c>
      <c r="O13" s="790">
        <f t="shared" si="0"/>
        <v>1939287500</v>
      </c>
      <c r="P13" s="790">
        <f>SUM(D13:O13)</f>
        <v>17298514460</v>
      </c>
    </row>
    <row r="14" spans="2:16" ht="15" thickTop="1">
      <c r="B14" s="575"/>
      <c r="C14" s="575"/>
      <c r="D14" s="575"/>
      <c r="E14" s="575"/>
      <c r="F14" s="575"/>
      <c r="G14" s="575"/>
      <c r="H14" s="785"/>
      <c r="I14" s="575"/>
      <c r="J14" s="575"/>
      <c r="K14" s="575"/>
      <c r="L14" s="575"/>
      <c r="M14" s="575"/>
      <c r="N14" s="575"/>
      <c r="O14" s="575"/>
      <c r="P14" s="579"/>
    </row>
    <row r="15" spans="2:16">
      <c r="B15" s="575"/>
      <c r="C15" s="575"/>
      <c r="D15" s="575"/>
      <c r="E15" s="575"/>
      <c r="F15" s="575"/>
      <c r="G15" s="575"/>
      <c r="H15" s="785"/>
      <c r="I15" s="575"/>
      <c r="J15" s="575"/>
      <c r="K15" s="575"/>
      <c r="L15" s="575"/>
      <c r="M15" s="575"/>
      <c r="N15" s="575"/>
      <c r="O15" s="575"/>
      <c r="P15" s="579"/>
    </row>
    <row r="16" spans="2:16" ht="15" thickBot="1">
      <c r="B16" s="393" t="s">
        <v>1154</v>
      </c>
      <c r="C16" s="393"/>
      <c r="D16" s="393"/>
      <c r="E16" s="393"/>
      <c r="F16" s="393"/>
      <c r="G16" s="393"/>
      <c r="H16" s="524"/>
      <c r="I16" s="393"/>
      <c r="J16" s="393"/>
      <c r="K16" s="393"/>
      <c r="L16" s="393"/>
      <c r="M16" s="393"/>
      <c r="N16" s="393"/>
      <c r="O16" s="393"/>
      <c r="P16" s="393"/>
    </row>
    <row r="17" spans="2:16" ht="15" thickTop="1">
      <c r="B17" s="247" t="s">
        <v>1091</v>
      </c>
      <c r="C17" s="247" t="s">
        <v>146</v>
      </c>
      <c r="D17" s="102">
        <f>'Informe Accionista'!C30</f>
        <v>165920.7861788618</v>
      </c>
      <c r="E17" s="102">
        <f>'Informe Accionista'!D30</f>
        <v>201685.13197831978</v>
      </c>
      <c r="F17" s="102">
        <f>'Informe Accionista'!E30</f>
        <v>213290.2945799458</v>
      </c>
      <c r="G17" s="102">
        <f>'Informe Accionista'!F30</f>
        <v>203487.17127371274</v>
      </c>
      <c r="H17" s="103">
        <f>'Informe Accionista'!G30</f>
        <v>223987.73604336043</v>
      </c>
      <c r="I17" s="102">
        <f>'Informe Accionista'!H30</f>
        <v>203645.88455284553</v>
      </c>
      <c r="J17" s="102">
        <f>'Modelo Base'!L51/J10</f>
        <v>184252.18211382115</v>
      </c>
      <c r="K17" s="102"/>
      <c r="L17" s="102"/>
      <c r="M17" s="102"/>
      <c r="N17" s="102"/>
      <c r="O17" s="102"/>
      <c r="P17" s="378">
        <f>SUM(D17:I17)</f>
        <v>1212017.0046070463</v>
      </c>
    </row>
    <row r="18" spans="2:16">
      <c r="B18" s="247" t="s">
        <v>1091</v>
      </c>
      <c r="C18" s="247" t="s">
        <v>140</v>
      </c>
      <c r="D18" s="102">
        <f>'Informe Accionista'!C122</f>
        <v>612247701</v>
      </c>
      <c r="E18" s="102">
        <f>'Informe Accionista'!D122</f>
        <v>744218137</v>
      </c>
      <c r="F18" s="102">
        <f>'Informe Accionista'!E122</f>
        <v>787041187</v>
      </c>
      <c r="G18" s="102">
        <f>'Informe Accionista'!F122</f>
        <v>750867662</v>
      </c>
      <c r="H18" s="103">
        <f>'Informe Accionista'!G122</f>
        <v>826514746</v>
      </c>
      <c r="I18" s="102">
        <f>'Informe Accionista'!H122</f>
        <v>751453314</v>
      </c>
      <c r="J18" s="102">
        <f>'Modelo Base'!L51</f>
        <v>679890552</v>
      </c>
      <c r="K18" s="102"/>
      <c r="L18" s="102"/>
      <c r="M18" s="102"/>
      <c r="N18" s="102"/>
      <c r="O18" s="102"/>
      <c r="P18" s="378">
        <f>SUM(D18:I18)</f>
        <v>4472342747</v>
      </c>
    </row>
    <row r="19" spans="2:16">
      <c r="B19" s="247" t="s">
        <v>1092</v>
      </c>
      <c r="C19" s="247" t="s">
        <v>146</v>
      </c>
      <c r="D19" s="379">
        <f t="shared" ref="D19:I19" si="1">D17-D12</f>
        <v>-20311.213821138197</v>
      </c>
      <c r="E19" s="379">
        <f t="shared" si="1"/>
        <v>-152635.86802168022</v>
      </c>
      <c r="F19" s="379">
        <f t="shared" si="1"/>
        <v>-182948.7054200542</v>
      </c>
      <c r="G19" s="379">
        <f t="shared" si="1"/>
        <v>-155703.82872628726</v>
      </c>
      <c r="H19" s="380">
        <f t="shared" si="1"/>
        <v>-136147.76531165314</v>
      </c>
      <c r="I19" s="379">
        <f t="shared" si="1"/>
        <v>-55430.426325977547</v>
      </c>
      <c r="J19" s="379">
        <f>J17-J12</f>
        <v>-99597.938288811478</v>
      </c>
      <c r="K19" s="104"/>
      <c r="L19" s="104"/>
      <c r="M19" s="104"/>
      <c r="N19" s="104"/>
      <c r="O19" s="104"/>
      <c r="P19" s="379">
        <f>SUM(D17:I17)-SUM(D12:I12)</f>
        <v>-703177.80762679037</v>
      </c>
    </row>
    <row r="20" spans="2:16" ht="15" thickBot="1">
      <c r="B20" s="247" t="s">
        <v>1093</v>
      </c>
      <c r="C20" s="247" t="s">
        <v>291</v>
      </c>
      <c r="D20" s="381">
        <f t="shared" ref="D20:I20" si="2">IFERROR(D17/D12,0)</f>
        <v>0.89093596255671315</v>
      </c>
      <c r="E20" s="381">
        <f t="shared" si="2"/>
        <v>0.56921585787554163</v>
      </c>
      <c r="F20" s="381">
        <f t="shared" si="2"/>
        <v>0.53828697977721984</v>
      </c>
      <c r="G20" s="381">
        <f t="shared" si="2"/>
        <v>0.56651522803665111</v>
      </c>
      <c r="H20" s="382">
        <f t="shared" si="2"/>
        <v>0.621954056738656</v>
      </c>
      <c r="I20" s="381">
        <f t="shared" si="2"/>
        <v>0.78604594863208532</v>
      </c>
      <c r="J20" s="381">
        <f>IFERROR(J17/J12,0)</f>
        <v>0.64911785787677356</v>
      </c>
      <c r="K20" s="105"/>
      <c r="L20" s="105"/>
      <c r="M20" s="105"/>
      <c r="N20" s="105"/>
      <c r="O20" s="105"/>
      <c r="P20" s="381">
        <f>IFERROR(SUM(D17:I17)/SUM(D12:I12),0)</f>
        <v>0.63284267316565002</v>
      </c>
    </row>
    <row r="21" spans="2:16">
      <c r="B21" s="420" t="s">
        <v>1153</v>
      </c>
      <c r="C21" s="420"/>
      <c r="D21" s="420"/>
      <c r="E21" s="420"/>
      <c r="F21" s="420"/>
      <c r="G21" s="420"/>
      <c r="H21" s="525"/>
      <c r="I21" s="420"/>
      <c r="J21" s="420"/>
      <c r="K21" s="420"/>
      <c r="L21" s="420"/>
      <c r="M21" s="420"/>
      <c r="N21" s="420"/>
      <c r="O21" s="420"/>
      <c r="P21" s="420"/>
    </row>
    <row r="22" spans="2:16">
      <c r="B22" s="1140" t="s">
        <v>1087</v>
      </c>
      <c r="C22" s="1140"/>
      <c r="D22" s="1140"/>
      <c r="E22" s="1140"/>
      <c r="F22" s="1140"/>
      <c r="G22" s="1140"/>
      <c r="H22" s="1141"/>
      <c r="I22" s="1140"/>
      <c r="J22" s="1140"/>
      <c r="K22" s="1140"/>
      <c r="L22" s="1140"/>
      <c r="M22" s="1140"/>
      <c r="N22" s="1140"/>
      <c r="O22" s="1140"/>
      <c r="P22" s="1140"/>
    </row>
    <row r="23" spans="2:16">
      <c r="B23" s="575" t="s">
        <v>1088</v>
      </c>
      <c r="C23" s="575" t="s">
        <v>146</v>
      </c>
      <c r="D23" s="792">
        <f>'Informe Accionista'!C65</f>
        <v>186232</v>
      </c>
      <c r="E23" s="792">
        <f>'Informe Accionista'!D65</f>
        <v>354321</v>
      </c>
      <c r="F23" s="792">
        <f>'Informe Accionista'!E65</f>
        <v>396239</v>
      </c>
      <c r="G23" s="792">
        <f>'Informe Accionista'!F65</f>
        <v>359191</v>
      </c>
      <c r="H23" s="793">
        <f>'Informe Accionista'!G65</f>
        <v>403080</v>
      </c>
      <c r="I23" s="792">
        <f>'Informe Accionista'!H65</f>
        <v>375559</v>
      </c>
      <c r="J23" s="792">
        <f>'Informe Accionista'!I65</f>
        <v>388085</v>
      </c>
      <c r="K23" s="792">
        <f>'Informe Accionista'!J65</f>
        <v>383589</v>
      </c>
      <c r="L23" s="792">
        <f>'Informe Accionista'!K65</f>
        <v>424263</v>
      </c>
      <c r="M23" s="792">
        <f>'Informe Accionista'!L65</f>
        <v>419954</v>
      </c>
      <c r="N23" s="792">
        <f>'Informe Accionista'!M65</f>
        <v>423217</v>
      </c>
      <c r="O23" s="792">
        <f>'Informe Accionista'!N65</f>
        <v>441996</v>
      </c>
      <c r="P23" s="794">
        <f>SUM(D23:O23)</f>
        <v>4555726</v>
      </c>
    </row>
    <row r="24" spans="2:16">
      <c r="B24" s="575" t="s">
        <v>1088</v>
      </c>
      <c r="C24" s="575" t="s">
        <v>140</v>
      </c>
      <c r="D24" s="795">
        <f t="shared" ref="D24:O24" si="3">D23*$C$5</f>
        <v>744928000</v>
      </c>
      <c r="E24" s="795">
        <f t="shared" si="3"/>
        <v>1417284000</v>
      </c>
      <c r="F24" s="795">
        <f t="shared" si="3"/>
        <v>1584956000</v>
      </c>
      <c r="G24" s="795">
        <f t="shared" si="3"/>
        <v>1436764000</v>
      </c>
      <c r="H24" s="796">
        <f t="shared" si="3"/>
        <v>1612320000</v>
      </c>
      <c r="I24" s="795">
        <f t="shared" si="3"/>
        <v>1502236000</v>
      </c>
      <c r="J24" s="795">
        <f t="shared" si="3"/>
        <v>1552340000</v>
      </c>
      <c r="K24" s="795">
        <f t="shared" si="3"/>
        <v>1534356000</v>
      </c>
      <c r="L24" s="795">
        <f t="shared" si="3"/>
        <v>1697052000</v>
      </c>
      <c r="M24" s="795">
        <f t="shared" si="3"/>
        <v>1679816000</v>
      </c>
      <c r="N24" s="795">
        <f t="shared" si="3"/>
        <v>1692868000</v>
      </c>
      <c r="O24" s="795">
        <f t="shared" si="3"/>
        <v>1767984000</v>
      </c>
      <c r="P24" s="794">
        <f>SUM(D24:O24)</f>
        <v>18222904000</v>
      </c>
    </row>
    <row r="25" spans="2:16">
      <c r="B25" s="575"/>
      <c r="C25" s="575"/>
      <c r="D25" s="575"/>
      <c r="E25" s="575"/>
      <c r="F25" s="575"/>
      <c r="G25" s="575"/>
      <c r="H25" s="785"/>
      <c r="I25" s="575"/>
      <c r="J25" s="575"/>
      <c r="K25" s="575"/>
      <c r="L25" s="575"/>
      <c r="M25" s="575"/>
      <c r="N25" s="575"/>
      <c r="O25" s="575"/>
      <c r="P25" s="579"/>
    </row>
    <row r="26" spans="2:16">
      <c r="B26" s="575" t="s">
        <v>1089</v>
      </c>
      <c r="C26" s="575" t="s">
        <v>146</v>
      </c>
      <c r="D26" s="792">
        <f>'Informe Accionista'!C58</f>
        <v>165920.7861788618</v>
      </c>
      <c r="E26" s="792">
        <f>'Informe Accionista'!D58</f>
        <v>201685.13197831978</v>
      </c>
      <c r="F26" s="792">
        <f>'Informe Accionista'!E58</f>
        <v>213290.2945799458</v>
      </c>
      <c r="G26" s="792">
        <f>'Informe Accionista'!F58</f>
        <v>203487.17127371274</v>
      </c>
      <c r="H26" s="793">
        <f>'Informe Accionista'!G58</f>
        <v>360135.50135501358</v>
      </c>
      <c r="I26" s="792">
        <f>'Informe Accionista'!H58</f>
        <v>259076.31087882307</v>
      </c>
      <c r="J26" s="792">
        <f>'Informe Accionista'!I58</f>
        <v>283850.12040263263</v>
      </c>
      <c r="K26" s="792">
        <f>'Informe Accionista'!J58</f>
        <v>426456.92992644216</v>
      </c>
      <c r="L26" s="792">
        <f>'Informe Accionista'!K58</f>
        <v>451230.73945025163</v>
      </c>
      <c r="M26" s="792">
        <f>'Informe Accionista'!L58</f>
        <v>476004.54897406121</v>
      </c>
      <c r="N26" s="792">
        <f>'Informe Accionista'!M58</f>
        <v>500778.35849787074</v>
      </c>
      <c r="O26" s="792">
        <f>'Informe Accionista'!N58</f>
        <v>525552.16802168021</v>
      </c>
      <c r="P26" s="794">
        <f>SUM(D26:O26)</f>
        <v>4067468.0615176153</v>
      </c>
    </row>
    <row r="27" spans="2:16">
      <c r="B27" s="575" t="s">
        <v>1089</v>
      </c>
      <c r="C27" s="575" t="s">
        <v>140</v>
      </c>
      <c r="D27" s="795">
        <f t="shared" ref="D27:O27" si="4">D26*$C$6</f>
        <v>612247701</v>
      </c>
      <c r="E27" s="795">
        <f t="shared" si="4"/>
        <v>744218137</v>
      </c>
      <c r="F27" s="795">
        <f t="shared" si="4"/>
        <v>787041187</v>
      </c>
      <c r="G27" s="795">
        <f t="shared" si="4"/>
        <v>750867662</v>
      </c>
      <c r="H27" s="796">
        <f t="shared" si="4"/>
        <v>1328900000</v>
      </c>
      <c r="I27" s="795">
        <f t="shared" si="4"/>
        <v>955991587.14285719</v>
      </c>
      <c r="J27" s="795">
        <f t="shared" si="4"/>
        <v>1047406944.2857144</v>
      </c>
      <c r="K27" s="795">
        <f t="shared" si="4"/>
        <v>1573626071.4285715</v>
      </c>
      <c r="L27" s="795">
        <f t="shared" si="4"/>
        <v>1665041428.5714285</v>
      </c>
      <c r="M27" s="795">
        <f t="shared" si="4"/>
        <v>1756456785.7142859</v>
      </c>
      <c r="N27" s="795">
        <f t="shared" si="4"/>
        <v>1847872142.8571429</v>
      </c>
      <c r="O27" s="795">
        <f t="shared" si="4"/>
        <v>1939287500</v>
      </c>
      <c r="P27" s="794">
        <f>SUM(D27:O27)</f>
        <v>15008957147</v>
      </c>
    </row>
    <row r="28" spans="2:16">
      <c r="B28" s="575"/>
      <c r="C28" s="575"/>
      <c r="D28" s="575"/>
      <c r="E28" s="575"/>
      <c r="F28" s="575"/>
      <c r="G28" s="575"/>
      <c r="H28" s="785"/>
      <c r="I28" s="575"/>
      <c r="J28" s="575"/>
      <c r="K28" s="575"/>
      <c r="L28" s="575"/>
      <c r="M28" s="575"/>
      <c r="N28" s="575"/>
      <c r="O28" s="575"/>
      <c r="P28" s="579"/>
    </row>
    <row r="29" spans="2:16">
      <c r="B29" s="575"/>
      <c r="C29" s="575"/>
      <c r="D29" s="575"/>
      <c r="E29" s="575"/>
      <c r="F29" s="575"/>
      <c r="G29" s="575"/>
      <c r="H29" s="785"/>
      <c r="I29" s="575"/>
      <c r="J29" s="575"/>
      <c r="K29" s="575"/>
      <c r="L29" s="575"/>
      <c r="M29" s="575"/>
      <c r="N29" s="575"/>
      <c r="O29" s="575"/>
      <c r="P29" s="579"/>
    </row>
    <row r="30" spans="2:16">
      <c r="B30" s="575" t="s">
        <v>1090</v>
      </c>
      <c r="C30" s="575" t="s">
        <v>146</v>
      </c>
      <c r="D30" s="795">
        <f t="shared" ref="D30:P30" si="5">D12-D23</f>
        <v>0</v>
      </c>
      <c r="E30" s="795">
        <f t="shared" si="5"/>
        <v>0</v>
      </c>
      <c r="F30" s="795">
        <f t="shared" si="5"/>
        <v>0</v>
      </c>
      <c r="G30" s="795">
        <f t="shared" si="5"/>
        <v>0</v>
      </c>
      <c r="H30" s="796">
        <f t="shared" si="5"/>
        <v>-42944.498644986423</v>
      </c>
      <c r="I30" s="795">
        <f t="shared" si="5"/>
        <v>-116482.68912117693</v>
      </c>
      <c r="J30" s="795">
        <f t="shared" si="5"/>
        <v>-104234.87959736737</v>
      </c>
      <c r="K30" s="795">
        <f t="shared" si="5"/>
        <v>42867.929926442157</v>
      </c>
      <c r="L30" s="795">
        <f t="shared" si="5"/>
        <v>26967.739450251625</v>
      </c>
      <c r="M30" s="795">
        <f t="shared" si="5"/>
        <v>56050.54897406121</v>
      </c>
      <c r="N30" s="795">
        <f t="shared" si="5"/>
        <v>77561.358497870737</v>
      </c>
      <c r="O30" s="795">
        <f t="shared" si="5"/>
        <v>83556.168021680205</v>
      </c>
      <c r="P30" s="794">
        <f t="shared" si="5"/>
        <v>23341.677506774664</v>
      </c>
    </row>
    <row r="31" spans="2:16">
      <c r="B31" s="575" t="s">
        <v>1090</v>
      </c>
      <c r="C31" s="575" t="s">
        <v>140</v>
      </c>
      <c r="D31" s="795">
        <f t="shared" ref="D31:P31" si="6">D13-D24</f>
        <v>0</v>
      </c>
      <c r="E31" s="795">
        <f t="shared" si="6"/>
        <v>0</v>
      </c>
      <c r="F31" s="795">
        <f t="shared" si="6"/>
        <v>0</v>
      </c>
      <c r="G31" s="795">
        <f t="shared" si="6"/>
        <v>0</v>
      </c>
      <c r="H31" s="796">
        <f t="shared" si="6"/>
        <v>-283420000</v>
      </c>
      <c r="I31" s="795">
        <f t="shared" si="6"/>
        <v>-546244412.85714281</v>
      </c>
      <c r="J31" s="795">
        <f t="shared" si="6"/>
        <v>-504933055.71428561</v>
      </c>
      <c r="K31" s="795">
        <f t="shared" si="6"/>
        <v>39270071.428571463</v>
      </c>
      <c r="L31" s="795">
        <f t="shared" si="6"/>
        <v>-32010571.428571463</v>
      </c>
      <c r="M31" s="795">
        <f t="shared" si="6"/>
        <v>76640785.714285851</v>
      </c>
      <c r="N31" s="795">
        <f t="shared" si="6"/>
        <v>155004142.85714293</v>
      </c>
      <c r="O31" s="795">
        <f t="shared" si="6"/>
        <v>171303500</v>
      </c>
      <c r="P31" s="794">
        <f t="shared" si="6"/>
        <v>-924389540</v>
      </c>
    </row>
    <row r="34" spans="4:15" ht="30" customHeight="1">
      <c r="D34" s="386" t="s">
        <v>51</v>
      </c>
      <c r="E34" s="386" t="s">
        <v>52</v>
      </c>
      <c r="F34" s="386" t="s">
        <v>53</v>
      </c>
      <c r="G34" s="386" t="s">
        <v>54</v>
      </c>
      <c r="H34" s="386" t="s">
        <v>55</v>
      </c>
      <c r="I34" s="386" t="s">
        <v>56</v>
      </c>
      <c r="J34" s="386" t="s">
        <v>57</v>
      </c>
      <c r="K34" s="386" t="s">
        <v>58</v>
      </c>
      <c r="L34" s="386" t="s">
        <v>59</v>
      </c>
      <c r="M34" s="386" t="s">
        <v>60</v>
      </c>
      <c r="N34" s="386" t="s">
        <v>61</v>
      </c>
      <c r="O34" s="386" t="s">
        <v>62</v>
      </c>
    </row>
    <row r="35" spans="4:15">
      <c r="D35" s="795">
        <f t="shared" ref="D35:O35" si="7">D12</f>
        <v>186232</v>
      </c>
      <c r="E35" s="795">
        <f t="shared" si="7"/>
        <v>354321</v>
      </c>
      <c r="F35" s="795">
        <f t="shared" si="7"/>
        <v>396239</v>
      </c>
      <c r="G35" s="795">
        <f t="shared" si="7"/>
        <v>359191</v>
      </c>
      <c r="H35" s="795">
        <f t="shared" si="7"/>
        <v>360135.50135501358</v>
      </c>
      <c r="I35" s="795">
        <f t="shared" si="7"/>
        <v>259076.31087882307</v>
      </c>
      <c r="J35" s="795">
        <f t="shared" si="7"/>
        <v>283850.12040263263</v>
      </c>
      <c r="K35" s="795">
        <f t="shared" si="7"/>
        <v>426456.92992644216</v>
      </c>
      <c r="L35" s="795">
        <f t="shared" si="7"/>
        <v>451230.73945025163</v>
      </c>
      <c r="M35" s="795">
        <f t="shared" si="7"/>
        <v>476004.54897406121</v>
      </c>
      <c r="N35" s="795">
        <f t="shared" si="7"/>
        <v>500778.35849787074</v>
      </c>
      <c r="O35" s="795">
        <f t="shared" si="7"/>
        <v>525552.16802168021</v>
      </c>
    </row>
    <row r="52" spans="2:17" ht="30" customHeight="1">
      <c r="B52" s="392" t="s">
        <v>1094</v>
      </c>
      <c r="C52" s="386" t="s">
        <v>51</v>
      </c>
      <c r="D52" s="386" t="s">
        <v>52</v>
      </c>
      <c r="E52" s="386" t="s">
        <v>53</v>
      </c>
      <c r="F52" s="386" t="s">
        <v>54</v>
      </c>
      <c r="G52" s="386" t="s">
        <v>55</v>
      </c>
      <c r="H52" s="386" t="s">
        <v>56</v>
      </c>
      <c r="I52" s="386" t="s">
        <v>57</v>
      </c>
      <c r="J52" s="386" t="s">
        <v>58</v>
      </c>
      <c r="K52" s="386" t="s">
        <v>59</v>
      </c>
      <c r="L52" s="386" t="s">
        <v>60</v>
      </c>
      <c r="M52" s="386" t="s">
        <v>61</v>
      </c>
      <c r="N52" s="386" t="s">
        <v>62</v>
      </c>
      <c r="O52" s="386"/>
      <c r="P52" s="386"/>
      <c r="Q52" s="386"/>
    </row>
    <row r="53" spans="2:17">
      <c r="B53" s="797" t="s">
        <v>1095</v>
      </c>
      <c r="C53" s="695">
        <f t="shared" ref="C53:N53" si="8">D12</f>
        <v>186232</v>
      </c>
      <c r="D53" s="695">
        <f t="shared" si="8"/>
        <v>354321</v>
      </c>
      <c r="E53" s="695">
        <f t="shared" si="8"/>
        <v>396239</v>
      </c>
      <c r="F53" s="695">
        <f t="shared" si="8"/>
        <v>359191</v>
      </c>
      <c r="G53" s="695">
        <f t="shared" si="8"/>
        <v>360135.50135501358</v>
      </c>
      <c r="H53" s="695">
        <f t="shared" si="8"/>
        <v>259076.31087882307</v>
      </c>
      <c r="I53" s="695">
        <f t="shared" si="8"/>
        <v>283850.12040263263</v>
      </c>
      <c r="J53" s="695">
        <f t="shared" si="8"/>
        <v>426456.92992644216</v>
      </c>
      <c r="K53" s="695">
        <f t="shared" si="8"/>
        <v>451230.73945025163</v>
      </c>
      <c r="L53" s="695">
        <f t="shared" si="8"/>
        <v>476004.54897406121</v>
      </c>
      <c r="M53" s="695">
        <f t="shared" si="8"/>
        <v>500778.35849787074</v>
      </c>
      <c r="N53" s="695">
        <f t="shared" si="8"/>
        <v>525552.16802168021</v>
      </c>
      <c r="O53" s="647">
        <f>SUM(C53:N53)</f>
        <v>4579067.6775067747</v>
      </c>
      <c r="P53" s="797"/>
      <c r="Q53" s="575"/>
    </row>
    <row r="54" spans="2:17">
      <c r="B54" s="797" t="s">
        <v>273</v>
      </c>
      <c r="C54" s="695">
        <f t="shared" ref="C54:H54" si="9">D17</f>
        <v>165920.7861788618</v>
      </c>
      <c r="D54" s="695">
        <f t="shared" si="9"/>
        <v>201685.13197831978</v>
      </c>
      <c r="E54" s="695">
        <f t="shared" si="9"/>
        <v>213290.2945799458</v>
      </c>
      <c r="F54" s="695">
        <f t="shared" si="9"/>
        <v>203487.17127371274</v>
      </c>
      <c r="G54" s="695">
        <f t="shared" si="9"/>
        <v>223987.73604336043</v>
      </c>
      <c r="H54" s="695">
        <f t="shared" si="9"/>
        <v>203645.88455284553</v>
      </c>
      <c r="I54" s="698"/>
      <c r="J54" s="698"/>
      <c r="K54" s="698"/>
      <c r="L54" s="698"/>
      <c r="M54" s="698"/>
      <c r="N54" s="698"/>
      <c r="O54" s="797"/>
      <c r="P54" s="797"/>
      <c r="Q54" s="575"/>
    </row>
    <row r="55" spans="2:17">
      <c r="B55" s="575"/>
      <c r="C55" s="575"/>
      <c r="D55" s="575"/>
      <c r="E55" s="575"/>
      <c r="F55" s="575"/>
      <c r="G55" s="575"/>
      <c r="H55" s="575"/>
      <c r="I55" s="575"/>
      <c r="J55" s="575"/>
      <c r="K55" s="575"/>
      <c r="L55" s="575"/>
      <c r="M55" s="575"/>
      <c r="N55" s="575"/>
      <c r="O55" s="575"/>
      <c r="P55" s="575"/>
      <c r="Q55" s="575"/>
    </row>
    <row r="56" spans="2:17">
      <c r="B56" s="575"/>
      <c r="C56" s="575"/>
      <c r="D56" s="575"/>
      <c r="E56" s="575"/>
      <c r="F56" s="575"/>
      <c r="G56" s="575"/>
      <c r="H56" s="575"/>
      <c r="I56" s="575"/>
      <c r="J56" s="575"/>
      <c r="K56" s="575"/>
      <c r="L56" s="575"/>
      <c r="M56" s="575"/>
      <c r="N56" s="575"/>
      <c r="O56" s="575"/>
      <c r="P56" s="575"/>
      <c r="Q56" s="575"/>
    </row>
    <row r="57" spans="2:17" ht="15" thickBot="1">
      <c r="B57" s="248" t="s">
        <v>1096</v>
      </c>
      <c r="C57" s="575"/>
      <c r="D57" s="575"/>
      <c r="E57" s="575"/>
      <c r="F57" s="575"/>
      <c r="G57" s="575"/>
      <c r="H57" s="575"/>
      <c r="I57" s="575"/>
      <c r="J57" s="798" t="s">
        <v>1094</v>
      </c>
      <c r="K57" s="798" t="s">
        <v>51</v>
      </c>
      <c r="L57" s="798" t="s">
        <v>52</v>
      </c>
      <c r="M57" s="798" t="s">
        <v>53</v>
      </c>
      <c r="N57" s="798" t="s">
        <v>54</v>
      </c>
      <c r="O57" s="798" t="s">
        <v>55</v>
      </c>
      <c r="P57" s="798" t="s">
        <v>56</v>
      </c>
      <c r="Q57" s="798" t="s">
        <v>57</v>
      </c>
    </row>
    <row r="58" spans="2:17" ht="15" thickTop="1">
      <c r="B58" s="249" t="s">
        <v>1094</v>
      </c>
      <c r="C58" s="250" t="s">
        <v>51</v>
      </c>
      <c r="D58" s="250" t="s">
        <v>52</v>
      </c>
      <c r="E58" s="250" t="s">
        <v>53</v>
      </c>
      <c r="F58" s="250" t="s">
        <v>54</v>
      </c>
      <c r="G58" s="250" t="s">
        <v>55</v>
      </c>
      <c r="H58" s="250" t="s">
        <v>56</v>
      </c>
      <c r="I58" s="250" t="s">
        <v>57</v>
      </c>
      <c r="J58" s="251" t="s">
        <v>1100</v>
      </c>
      <c r="K58" s="626">
        <f t="shared" ref="K58:P58" si="10">C60</f>
        <v>-194.135626</v>
      </c>
      <c r="L58" s="626">
        <f t="shared" si="10"/>
        <v>305.29308700000001</v>
      </c>
      <c r="M58" s="626">
        <f t="shared" si="10"/>
        <v>-149.18717200000003</v>
      </c>
      <c r="N58" s="626">
        <f t="shared" si="10"/>
        <v>-88.268449999999973</v>
      </c>
      <c r="O58" s="626">
        <f t="shared" si="10"/>
        <v>112.93481599999998</v>
      </c>
      <c r="P58" s="626">
        <f t="shared" si="10"/>
        <v>129.38098300000001</v>
      </c>
      <c r="Q58" s="626">
        <f>I60</f>
        <v>-58.825564000000014</v>
      </c>
    </row>
    <row r="59" spans="2:17">
      <c r="B59" s="579" t="s">
        <v>1097</v>
      </c>
      <c r="C59" s="582">
        <f>Inputs!D93/1000000</f>
        <v>425.59462600000001</v>
      </c>
      <c r="D59" s="582">
        <f>Inputs!E93/1000000</f>
        <v>120.30153900000001</v>
      </c>
      <c r="E59" s="582">
        <f>Inputs!F93/1000000</f>
        <v>269.48871100000002</v>
      </c>
      <c r="F59" s="582">
        <f>Inputs!G93/1000000</f>
        <v>357.757161</v>
      </c>
      <c r="G59" s="582">
        <f>Inputs!H93/1000000</f>
        <v>244.82234500000001</v>
      </c>
      <c r="H59" s="582">
        <f>Inputs!I93/1000000</f>
        <v>115.441362</v>
      </c>
      <c r="I59" s="582">
        <f>Inputs!J93/1000000</f>
        <v>174.26692600000001</v>
      </c>
      <c r="J59" s="575"/>
      <c r="K59" s="575"/>
      <c r="L59" s="575"/>
      <c r="M59" s="575"/>
      <c r="N59" s="575"/>
      <c r="O59" s="575"/>
      <c r="P59" s="575"/>
      <c r="Q59" s="575"/>
    </row>
    <row r="60" spans="2:17">
      <c r="B60" s="579" t="s">
        <v>1098</v>
      </c>
      <c r="C60" s="582">
        <f>'Modelo Base'!E34/1000000-C59</f>
        <v>-194.135626</v>
      </c>
      <c r="D60" s="612">
        <f t="shared" ref="D60:I60" si="11">C59-D59</f>
        <v>305.29308700000001</v>
      </c>
      <c r="E60" s="612">
        <f t="shared" si="11"/>
        <v>-149.18717200000003</v>
      </c>
      <c r="F60" s="612">
        <f t="shared" si="11"/>
        <v>-88.268449999999973</v>
      </c>
      <c r="G60" s="612">
        <f t="shared" si="11"/>
        <v>112.93481599999998</v>
      </c>
      <c r="H60" s="612">
        <f t="shared" si="11"/>
        <v>129.38098300000001</v>
      </c>
      <c r="I60" s="612">
        <f t="shared" si="11"/>
        <v>-58.825564000000014</v>
      </c>
      <c r="J60" s="575"/>
      <c r="K60" s="575"/>
      <c r="L60" s="575"/>
      <c r="M60" s="575"/>
      <c r="N60" s="575"/>
      <c r="O60" s="575"/>
      <c r="P60" s="575"/>
      <c r="Q60" s="575"/>
    </row>
    <row r="61" spans="2:17">
      <c r="B61" s="583" t="s">
        <v>1099</v>
      </c>
      <c r="C61" s="583"/>
      <c r="D61" s="583"/>
      <c r="E61" s="583"/>
      <c r="F61" s="583"/>
      <c r="G61" s="583"/>
      <c r="H61" s="583"/>
      <c r="I61" s="583"/>
      <c r="J61" s="583"/>
      <c r="K61" s="583"/>
      <c r="L61" s="583"/>
      <c r="M61" s="583"/>
      <c r="N61" s="583"/>
      <c r="O61" s="583"/>
      <c r="P61" s="583"/>
      <c r="Q61" s="583"/>
    </row>
    <row r="104" spans="2:14">
      <c r="B104" s="389" t="s">
        <v>1108</v>
      </c>
      <c r="C104" s="389"/>
      <c r="D104" s="389"/>
      <c r="E104" s="389"/>
      <c r="F104" s="389"/>
      <c r="G104" s="389"/>
      <c r="H104" s="389"/>
      <c r="I104" s="389"/>
      <c r="J104" s="389"/>
      <c r="K104" s="389"/>
      <c r="L104" s="389"/>
      <c r="M104" s="389"/>
      <c r="N104" s="389"/>
    </row>
    <row r="105" spans="2:14">
      <c r="B105" s="575"/>
      <c r="C105" s="575"/>
      <c r="D105" s="575"/>
      <c r="E105" s="575"/>
      <c r="F105" s="575"/>
      <c r="G105" s="575"/>
      <c r="H105" s="575"/>
      <c r="I105" s="575"/>
      <c r="J105" s="575"/>
      <c r="K105" s="575"/>
      <c r="L105" s="575"/>
      <c r="M105" s="575"/>
      <c r="N105" s="575"/>
    </row>
    <row r="106" spans="2:14" ht="30" customHeight="1">
      <c r="B106" s="527" t="s">
        <v>370</v>
      </c>
      <c r="C106" s="1142" t="s">
        <v>287</v>
      </c>
      <c r="D106" s="1142"/>
      <c r="E106" s="1142" t="s">
        <v>288</v>
      </c>
      <c r="F106" s="1142"/>
      <c r="G106" s="1142" t="s">
        <v>289</v>
      </c>
      <c r="H106" s="1142"/>
      <c r="I106" s="1142" t="s">
        <v>290</v>
      </c>
      <c r="J106" s="1142"/>
      <c r="K106" s="1142" t="s">
        <v>879</v>
      </c>
      <c r="L106" s="1142"/>
      <c r="M106" s="1142" t="s">
        <v>883</v>
      </c>
      <c r="N106" s="1142"/>
    </row>
    <row r="107" spans="2:14" ht="30" customHeight="1">
      <c r="B107" s="527" t="s">
        <v>1101</v>
      </c>
      <c r="C107" s="526" t="s">
        <v>1102</v>
      </c>
      <c r="D107" s="526" t="s">
        <v>1103</v>
      </c>
      <c r="E107" s="526" t="s">
        <v>1102</v>
      </c>
      <c r="F107" s="526" t="s">
        <v>1103</v>
      </c>
      <c r="G107" s="526" t="s">
        <v>1102</v>
      </c>
      <c r="H107" s="526" t="s">
        <v>1103</v>
      </c>
      <c r="I107" s="526" t="s">
        <v>1102</v>
      </c>
      <c r="J107" s="526" t="s">
        <v>1103</v>
      </c>
      <c r="K107" s="526" t="s">
        <v>1102</v>
      </c>
      <c r="L107" s="526" t="s">
        <v>1103</v>
      </c>
      <c r="M107" s="526" t="s">
        <v>1102</v>
      </c>
      <c r="N107" s="526" t="s">
        <v>1103</v>
      </c>
    </row>
    <row r="108" spans="2:14">
      <c r="B108" s="799" t="s">
        <v>1104</v>
      </c>
      <c r="C108" s="800">
        <v>227928.83</v>
      </c>
      <c r="D108" s="801">
        <f>+C108</f>
        <v>227928.83</v>
      </c>
      <c r="E108" s="801">
        <f>+D108</f>
        <v>227928.83</v>
      </c>
      <c r="F108" s="800">
        <v>239271</v>
      </c>
      <c r="G108" s="801">
        <f>+F108</f>
        <v>239271</v>
      </c>
      <c r="H108" s="800">
        <v>243471</v>
      </c>
      <c r="I108" s="801">
        <f>+H108</f>
        <v>243471</v>
      </c>
      <c r="J108" s="800">
        <v>243471</v>
      </c>
      <c r="K108" s="801">
        <f>+J108</f>
        <v>243471</v>
      </c>
      <c r="L108" s="800">
        <v>247393</v>
      </c>
      <c r="M108" s="801">
        <f>+L108</f>
        <v>247393</v>
      </c>
      <c r="N108" s="800">
        <v>249580</v>
      </c>
    </row>
    <row r="109" spans="2:14">
      <c r="B109" s="799" t="s">
        <v>1105</v>
      </c>
      <c r="C109" s="800">
        <v>145619</v>
      </c>
      <c r="D109" s="800">
        <v>128981</v>
      </c>
      <c r="E109" s="801">
        <f t="shared" ref="E109:E111" si="12">+D109</f>
        <v>128981</v>
      </c>
      <c r="F109" s="800">
        <v>119379</v>
      </c>
      <c r="G109" s="801">
        <f t="shared" ref="G109:G111" si="13">+F109</f>
        <v>119379</v>
      </c>
      <c r="H109" s="800">
        <v>103188</v>
      </c>
      <c r="I109" s="801">
        <f t="shared" ref="I109:I111" si="14">+H109</f>
        <v>103188</v>
      </c>
      <c r="J109" s="800">
        <v>95037</v>
      </c>
      <c r="K109" s="801">
        <f t="shared" ref="K109:K111" si="15">+J109</f>
        <v>95037</v>
      </c>
      <c r="L109" s="800">
        <v>77687</v>
      </c>
      <c r="M109" s="801">
        <f t="shared" ref="M109:M111" si="16">+L109</f>
        <v>77687</v>
      </c>
      <c r="N109" s="800">
        <v>50254</v>
      </c>
    </row>
    <row r="110" spans="2:14">
      <c r="B110" s="799" t="s">
        <v>1106</v>
      </c>
      <c r="C110" s="801">
        <f>92028000/3790</f>
        <v>24281.794195250659</v>
      </c>
      <c r="D110" s="800">
        <v>23914</v>
      </c>
      <c r="E110" s="801">
        <f t="shared" si="12"/>
        <v>23914</v>
      </c>
      <c r="F110" s="800">
        <v>25287</v>
      </c>
      <c r="G110" s="801">
        <f t="shared" si="13"/>
        <v>25287</v>
      </c>
      <c r="H110" s="800">
        <v>25739</v>
      </c>
      <c r="I110" s="801">
        <f t="shared" si="14"/>
        <v>25739</v>
      </c>
      <c r="J110" s="800">
        <v>47170</v>
      </c>
      <c r="K110" s="801">
        <f t="shared" si="15"/>
        <v>47170</v>
      </c>
      <c r="L110" s="800">
        <v>47460</v>
      </c>
      <c r="M110" s="801">
        <f t="shared" si="16"/>
        <v>47460</v>
      </c>
      <c r="N110" s="800">
        <v>20928</v>
      </c>
    </row>
    <row r="111" spans="2:14">
      <c r="B111" s="799" t="s">
        <v>1107</v>
      </c>
      <c r="C111" s="801">
        <f>231140000/3790</f>
        <v>60986.807387862798</v>
      </c>
      <c r="D111" s="800">
        <v>42970</v>
      </c>
      <c r="E111" s="801">
        <f t="shared" si="12"/>
        <v>42970</v>
      </c>
      <c r="F111" s="800">
        <v>74142</v>
      </c>
      <c r="G111" s="801">
        <f t="shared" si="13"/>
        <v>74142</v>
      </c>
      <c r="H111" s="800">
        <v>47690</v>
      </c>
      <c r="I111" s="801">
        <f t="shared" si="14"/>
        <v>47690</v>
      </c>
      <c r="J111" s="800">
        <v>32978</v>
      </c>
      <c r="K111" s="801">
        <f t="shared" si="15"/>
        <v>32978</v>
      </c>
      <c r="L111" s="800">
        <v>14482</v>
      </c>
      <c r="M111" s="801">
        <f t="shared" si="16"/>
        <v>14482</v>
      </c>
      <c r="N111" s="800">
        <v>38582</v>
      </c>
    </row>
  </sheetData>
  <mergeCells count="9">
    <mergeCell ref="B2:O2"/>
    <mergeCell ref="B3:O3"/>
    <mergeCell ref="B22:P22"/>
    <mergeCell ref="C106:D106"/>
    <mergeCell ref="E106:F106"/>
    <mergeCell ref="G106:H106"/>
    <mergeCell ref="I106:J106"/>
    <mergeCell ref="K106:L106"/>
    <mergeCell ref="M106:N10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17</vt:i4>
      </vt:variant>
    </vt:vector>
  </HeadingPairs>
  <TitlesOfParts>
    <vt:vector size="30" baseType="lpstr">
      <vt:lpstr>Auditoría</vt:lpstr>
      <vt:lpstr>Pack Junta Jul-26</vt:lpstr>
      <vt:lpstr>Burn &amp; RunW</vt:lpstr>
      <vt:lpstr>Ppto Ene. 2026</vt:lpstr>
      <vt:lpstr>Revenue</vt:lpstr>
      <vt:lpstr>Inputs</vt:lpstr>
      <vt:lpstr>Modelo Base</vt:lpstr>
      <vt:lpstr>Consol. Pptos</vt:lpstr>
      <vt:lpstr>Informe Accionista</vt:lpstr>
      <vt:lpstr>Consolidado </vt:lpstr>
      <vt:lpstr>Dashboard Gráficos</vt:lpstr>
      <vt:lpstr>Dashboard Consolidado</vt:lpstr>
      <vt:lpstr>Ppto Combinado 2026</vt:lpstr>
      <vt:lpstr>CostoVentasBase</vt:lpstr>
      <vt:lpstr>DeltaModQ2</vt:lpstr>
      <vt:lpstr>DeltaModQ3</vt:lpstr>
      <vt:lpstr>DeltaModQ4</vt:lpstr>
      <vt:lpstr>DeltaVtasQ2</vt:lpstr>
      <vt:lpstr>DeltaVtasQ3</vt:lpstr>
      <vt:lpstr>DeltaVtasQ4</vt:lpstr>
      <vt:lpstr>GtosAdminBase</vt:lpstr>
      <vt:lpstr>GtosNoOpBase</vt:lpstr>
      <vt:lpstr>GtosOpInflado</vt:lpstr>
      <vt:lpstr>GtosVentasBase</vt:lpstr>
      <vt:lpstr>InflacionAnual</vt:lpstr>
      <vt:lpstr>IngNoOpBase</vt:lpstr>
      <vt:lpstr>Revenue!Print_Area</vt:lpstr>
      <vt:lpstr>TasaDeudaLp</vt:lpstr>
      <vt:lpstr>TasaImpuesto</vt:lpstr>
      <vt:lpstr>TrmLargoPlazo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2026-04-28T13:58:13Z</dcterms:created>
  <dcterms:modified xsi:type="dcterms:W3CDTF">2026-08-14T19:04:53Z</dcterms:modified>
  <cp:category/>
  <cp:contentStatus/>
</cp:coreProperties>
</file>